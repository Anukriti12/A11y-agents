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_axe" sheetId="2" state="visible" r:id="rId4"/>
    <sheet name="B_persona_llm" sheetId="3" state="visible" r:id="rId5"/>
    <sheet name="C_persona_agent" sheetId="4" state="visible" r:id="rId6"/>
    <sheet name="PersonaAgent_Analysis" sheetId="5" state="visible" r:id="rId7"/>
    <sheet name="PersonaAgent_ByTool" sheetId="6" state="visible" r:id="rId8"/>
    <sheet name="D_vanilla_llm" sheetId="7" state="visible" r:id="rId9"/>
    <sheet name="E_vanilla_agent" sheetId="8" state="visible" r:id="rId10"/>
  </sheets>
  <definedNames>
    <definedName function="false" hidden="true" localSheetId="1" name="_xlnm._FilterDatabase" vbProcedure="false">A_axe!$A$1:$Z$538</definedName>
    <definedName function="false" hidden="true" localSheetId="2" name="_xlnm._FilterDatabase" vbProcedure="false">B_persona_llm!$A$1:$Z$538</definedName>
    <definedName function="false" hidden="true" localSheetId="3" name="_xlnm._FilterDatabase" vbProcedure="false">C_persona_agent!$A$1:$Z$538</definedName>
    <definedName function="false" hidden="true" localSheetId="6" name="_xlnm._FilterDatabase" vbProcedure="false">D_vanilla_llm!$A$1:$Z$538</definedName>
    <definedName function="false" hidden="true" localSheetId="7" name="_xlnm._FilterDatabase" vbProcedure="false">E_vanilla_agent!$A$1:$Z$538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<sst xmlns="http://schemas.openxmlformats.org/spreadsheetml/2006/main" count="41526" uniqueCount="3932">
  <si>
    <t xml:space="preserve">WCAG evaluation results — condition comparison</t>
  </si>
  <si>
    <t xml:space="preserve">Overall accuracy by condition</t>
  </si>
  <si>
    <t xml:space="preserve">Condition</t>
  </si>
  <si>
    <t xml:space="preserve">Key</t>
  </si>
  <si>
    <t xml:space="preserve">Records</t>
  </si>
  <si>
    <t xml:space="preserve">Correct</t>
  </si>
  <si>
    <t xml:space="preserve">Accuracy</t>
  </si>
  <si>
    <t xml:space="preserve">Pass recall</t>
  </si>
  <si>
    <t xml:space="preserve">Fail recall</t>
  </si>
  <si>
    <t xml:space="preserve">Inapplicable recall</t>
  </si>
  <si>
    <t xml:space="preserve">Avg time (s)</t>
  </si>
  <si>
    <t xml:space="preserve">Avg issues</t>
  </si>
  <si>
    <t xml:space="preserve">Avg tool calls</t>
  </si>
  <si>
    <t xml:space="preserve">axe</t>
  </si>
  <si>
    <t xml:space="preserve">A</t>
  </si>
  <si>
    <t xml:space="preserve">persona_llm</t>
  </si>
  <si>
    <t xml:space="preserve">B</t>
  </si>
  <si>
    <t xml:space="preserve">persona_agent</t>
  </si>
  <si>
    <t xml:space="preserve">C</t>
  </si>
  <si>
    <t xml:space="preserve">vanilla_llm</t>
  </si>
  <si>
    <t xml:space="preserve">D</t>
  </si>
  <si>
    <t xml:space="preserve">vanilla_agent</t>
  </si>
  <si>
    <t xml:space="preserve">E</t>
  </si>
  <si>
    <t xml:space="preserve">Confusion matrix — counts of evaluated label per expected label</t>
  </si>
  <si>
    <t xml:space="preserve">Expected</t>
  </si>
  <si>
    <t xml:space="preserve">eval: passed</t>
  </si>
  <si>
    <t xml:space="preserve">eval: failed</t>
  </si>
  <si>
    <t xml:space="preserve">eval: inapplicable</t>
  </si>
  <si>
    <t xml:space="preserve">eval: error</t>
  </si>
  <si>
    <t xml:space="preserve">Total</t>
  </si>
  <si>
    <t xml:space="preserve">passed</t>
  </si>
  <si>
    <t xml:space="preserve">failed</t>
  </si>
  <si>
    <t xml:space="preserve">inapplicable</t>
  </si>
  <si>
    <t xml:space="preserve">Accuracy by persona</t>
  </si>
  <si>
    <t xml:space="preserve">Persona</t>
  </si>
  <si>
    <t xml:space="preserve">ade</t>
  </si>
  <si>
    <t xml:space="preserve">elias</t>
  </si>
  <si>
    <t xml:space="preserve">ian</t>
  </si>
  <si>
    <t xml:space="preserve">lakshmi</t>
  </si>
  <si>
    <t xml:space="preserve">sophie</t>
  </si>
  <si>
    <t xml:space="preserve">stefan</t>
  </si>
  <si>
    <t xml:space="preserve">Accuracy by WCAG criterion</t>
  </si>
  <si>
    <t xml:space="preserve">WCAG criterion</t>
  </si>
  <si>
    <t xml:space="preserve">Records (per condition)</t>
  </si>
  <si>
    <t xml:space="preserve">1.1.1</t>
  </si>
  <si>
    <t xml:space="preserve">1.3.1</t>
  </si>
  <si>
    <t xml:space="preserve">1.3.5</t>
  </si>
  <si>
    <t xml:space="preserve">1.4.3</t>
  </si>
  <si>
    <t xml:space="preserve">1.4.12</t>
  </si>
  <si>
    <t xml:space="preserve">2.1.1</t>
  </si>
  <si>
    <t xml:space="preserve">2.2.1</t>
  </si>
  <si>
    <t xml:space="preserve">2.2.2</t>
  </si>
  <si>
    <t xml:space="preserve">2.4.1</t>
  </si>
  <si>
    <t xml:space="preserve">2.4.3</t>
  </si>
  <si>
    <t xml:space="preserve">2.4.5</t>
  </si>
  <si>
    <t xml:space="preserve">2.4.6</t>
  </si>
  <si>
    <t xml:space="preserve">2.4.7</t>
  </si>
  <si>
    <t xml:space="preserve">2.4.8</t>
  </si>
  <si>
    <t xml:space="preserve">2.5.5</t>
  </si>
  <si>
    <t xml:space="preserve">3.1.4</t>
  </si>
  <si>
    <t xml:space="preserve">3.1.5</t>
  </si>
  <si>
    <t xml:space="preserve">3.3.1</t>
  </si>
  <si>
    <t xml:space="preserve">3.3.2</t>
  </si>
  <si>
    <t xml:space="preserve">4.1.2</t>
  </si>
  <si>
    <t xml:space="preserve">snippet_id</t>
  </si>
  <si>
    <t xml:space="preserve">condition</t>
  </si>
  <si>
    <t xml:space="preserve">condition_key</t>
  </si>
  <si>
    <t xml:space="preserve">model</t>
  </si>
  <si>
    <t xml:space="preserve">persona</t>
  </si>
  <si>
    <t xml:space="preserve">wcag_criterion</t>
  </si>
  <si>
    <t xml:space="preserve">expected</t>
  </si>
  <si>
    <t xml:space="preserve">evaluated</t>
  </si>
  <si>
    <t xml:space="preserve">correct</t>
  </si>
  <si>
    <t xml:space="preserve">repetition</t>
  </si>
  <si>
    <t xml:space="preserve">severity</t>
  </si>
  <si>
    <t xml:space="preserve">issue_count</t>
  </si>
  <si>
    <t xml:space="preserve">tool_call_count</t>
  </si>
  <si>
    <t xml:space="preserve">tools_called</t>
  </si>
  <si>
    <t xml:space="preserve">iteration_count</t>
  </si>
  <si>
    <t xml:space="preserve">total_time_seconds</t>
  </si>
  <si>
    <t xml:space="preserve">input_tokens</t>
  </si>
  <si>
    <t xml:space="preserve">output_tokens</t>
  </si>
  <si>
    <t xml:space="preserve">testcase_title</t>
  </si>
  <si>
    <t xml:space="preserve">rule_id</t>
  </si>
  <si>
    <t xml:space="preserve">rule_name</t>
  </si>
  <si>
    <t xml:space="preserve">corpus_source</t>
  </si>
  <si>
    <t xml:space="preserve">rule_url</t>
  </si>
  <si>
    <t xml:space="preserve">html_path</t>
  </si>
  <si>
    <t xml:space="preserve">overall_assessment</t>
  </si>
  <si>
    <t xml:space="preserve">issues_detail</t>
  </si>
  <si>
    <t xml:space="preserve">033e04cced5973596d9aa724feacb027d23b4c53</t>
  </si>
  <si>
    <t xml:space="preserve">n/a</t>
  </si>
  <si>
    <t xml:space="preserve">N/A</t>
  </si>
  <si>
    <t xml:space="preserve">axe-core</t>
  </si>
  <si>
    <t xml:space="preserve">Inapplicable Example 2</t>
  </si>
  <si>
    <t xml:space="preserve">akn7bn</t>
  </si>
  <si>
    <t xml:space="preserve">Iframe with interactive elements is not excluded from tab-order</t>
  </si>
  <si>
    <t xml:space="preserve">https://www.w3.org/WAI/content-assets/wcag-act-rules/testcases/akn7bn/033e04cced5973596d9aa724feacb027d23b4c53.html</t>
  </si>
  <si>
    <t xml:space="preserve">corpus1\ade\2.1.1\inapplicable\033e04cced5973596d9aa724feacb027d23b4c53.html</t>
  </si>
  <si>
    <t xml:space="preserve">Found 2 rule violation(s) affecting 2 element(s).</t>
  </si>
  <si>
    <t xml:space="preserve">17a371c470316dc29e424101065ebfe9f7b2e990</t>
  </si>
  <si>
    <t xml:space="preserve">Inapplicable Example 5</t>
  </si>
  <si>
    <t xml:space="preserve">https://www.w3.org/WAI/content-assets/wcag-act-rules/testcases/akn7bn/17a371c470316dc29e424101065ebfe9f7b2e990.html</t>
  </si>
  <si>
    <t xml:space="preserve">corpus1\ade\2.1.1\inapplicable\17a371c470316dc29e424101065ebfe9f7b2e990.html</t>
  </si>
  <si>
    <t xml:space="preserve">1e3939d9f8e0f78f9c564ec6feb12cc5635c0acb</t>
  </si>
  <si>
    <t xml:space="preserve">Passed Example 1</t>
  </si>
  <si>
    <t xml:space="preserve">https://www.w3.org/WAI/content-assets/wcag-act-rules/testcases/akn7bn/1e3939d9f8e0f78f9c564ec6feb12cc5635c0acb.html</t>
  </si>
  <si>
    <t xml:space="preserve">corpus1\ade\2.1.1\passed\1e3939d9f8e0f78f9c564ec6feb12cc5635c0acb.html</t>
  </si>
  <si>
    <t xml:space="preserve">Found 3 rule violation(s) affecting 3 element(s).</t>
  </si>
  <si>
    <t xml:space="preserve">270a22a8e4ce4d9f073e1484a0d807705207a1d7</t>
  </si>
  <si>
    <t xml:space="preserve">Passed Example 2</t>
  </si>
  <si>
    <t xml:space="preserve">0ssw9k</t>
  </si>
  <si>
    <t xml:space="preserve">Scrollable content can be reached with sequential focus navigation</t>
  </si>
  <si>
    <t xml:space="preserve">https://www.w3.org/WAI/content-assets/wcag-act-rules/testcases/0ssw9k/270a22a8e4ce4d9f073e1484a0d807705207a1d7.html</t>
  </si>
  <si>
    <t xml:space="preserve">corpus1\ade\2.1.1\passed\270a22a8e4ce4d9f073e1484a0d807705207a1d7.html</t>
  </si>
  <si>
    <t xml:space="preserve">5fa34d0a7eea03109cd12c0e7c21fce793c268db</t>
  </si>
  <si>
    <t xml:space="preserve">serious</t>
  </si>
  <si>
    <t xml:space="preserve">Failed Example 1</t>
  </si>
  <si>
    <t xml:space="preserve">https://www.w3.org/WAI/content-assets/wcag-act-rules/testcases/0ssw9k/5fa34d0a7eea03109cd12c0e7c21fce793c268db.html</t>
  </si>
  <si>
    <t xml:space="preserve">corpus1\ade\2.1.1\failed\5fa34d0a7eea03109cd12c0e7c21fce793c268db.html</t>
  </si>
  <si>
    <t xml:space="preserve">[wcag2a, wcag211] Ensure elements that have scrollable content are accessible by keyboard Scrollable region must have keyboard access</t>
  </si>
  <si>
    <t xml:space="preserve">62673162e22ee1e95e962522b1d1c3b549dbfc49</t>
  </si>
  <si>
    <t xml:space="preserve">https://www.w3.org/WAI/content-assets/wcag-act-rules/testcases/akn7bn/62673162e22ee1e95e962522b1d1c3b549dbfc49.html</t>
  </si>
  <si>
    <t xml:space="preserve">corpus1\ade\2.1.1\failed\62673162e22ee1e95e962522b1d1c3b549dbfc49.html</t>
  </si>
  <si>
    <t xml:space="preserve">0bf30cdf02ff26dfca5aa705b7023227da221e05</t>
  </si>
  <si>
    <t xml:space="preserve">Inapplicable Example 7</t>
  </si>
  <si>
    <t xml:space="preserve">bc659a</t>
  </si>
  <si>
    <t xml:space="preserve">Meta element has no refresh delay</t>
  </si>
  <si>
    <t xml:space="preserve">https://www.w3.org/WAI/content-assets/wcag-act-rules/testcases/bc659a/0bf30cdf02ff26dfca5aa705b7023227da221e05.html</t>
  </si>
  <si>
    <t xml:space="preserve">corpus1\ade\2.2.1\inapplicable\0bf30cdf02ff26dfca5aa705b7023227da221e05.html</t>
  </si>
  <si>
    <t xml:space="preserve">Found 4 rule violation(s) affecting 4 element(s).</t>
  </si>
  <si>
    <t xml:space="preserve">48a600254c0883cd5a72471420b1ac5a532ca6c3</t>
  </si>
  <si>
    <t xml:space="preserve">Inapplicable Example 1</t>
  </si>
  <si>
    <t xml:space="preserve">https://www.w3.org/WAI/content-assets/wcag-act-rules/testcases/bc659a/48a600254c0883cd5a72471420b1ac5a532ca6c3.html</t>
  </si>
  <si>
    <t xml:space="preserve">corpus1\ade\2.2.1\inapplicable\48a600254c0883cd5a72471420b1ac5a532ca6c3.html</t>
  </si>
  <si>
    <t xml:space="preserve">49d79a4e4e4a994a8eb7cf2eaf59c99d2251cac5</t>
  </si>
  <si>
    <t xml:space="preserve">https://www.w3.org/WAI/content-assets/wcag-act-rules/testcases/bc659a/49d79a4e4e4a994a8eb7cf2eaf59c99d2251cac5.html</t>
  </si>
  <si>
    <t xml:space="preserve">corpus1\ade\2.2.1\passed\49d79a4e4e4a994a8eb7cf2eaf59c99d2251cac5.html</t>
  </si>
  <si>
    <t xml:space="preserve">Found 1 rule violation(s) affecting 1 element(s).</t>
  </si>
  <si>
    <t xml:space="preserve">56857820788db21498e95a5cbba65d59a9a2b892</t>
  </si>
  <si>
    <t xml:space="preserve">critical</t>
  </si>
  <si>
    <t xml:space="preserve">https://www.w3.org/WAI/content-assets/wcag-act-rules/testcases/bc659a/56857820788db21498e95a5cbba65d59a9a2b892.html</t>
  </si>
  <si>
    <t xml:space="preserve">corpus1\ade\2.2.1\failed\56857820788db21498e95a5cbba65d59a9a2b892.html</t>
  </si>
  <si>
    <t xml:space="preserve">Found 5 rule violation(s) affecting 5 element(s).</t>
  </si>
  <si>
    <t xml:space="preserve">[wcag2a, wcag221] Ensures &lt;meta http-equiv="refresh"&gt; is not used for delayed refresh Delayed refresh under 20 hours must not be used</t>
  </si>
  <si>
    <t xml:space="preserve">5d4d5b214459c8a0779600ab39a5668003271c62</t>
  </si>
  <si>
    <t xml:space="preserve">Failed Example 4</t>
  </si>
  <si>
    <t xml:space="preserve">https://www.w3.org/WAI/content-assets/wcag-act-rules/testcases/bc659a/5d4d5b214459c8a0779600ab39a5668003271c62.html</t>
  </si>
  <si>
    <t xml:space="preserve">corpus1\ade\2.2.1\failed\5d4d5b214459c8a0779600ab39a5668003271c62.html</t>
  </si>
  <si>
    <t xml:space="preserve">b5ca868de7980f6944142ecdb849f47ad2cdfb5c</t>
  </si>
  <si>
    <t xml:space="preserve">Passed Example 3</t>
  </si>
  <si>
    <t xml:space="preserve">https://www.w3.org/WAI/content-assets/wcag-act-rules/testcases/bc659a/b5ca868de7980f6944142ecdb849f47ad2cdfb5c.html</t>
  </si>
  <si>
    <t xml:space="preserve">corpus1\ade\2.2.1\passed\b5ca868de7980f6944142ecdb849f47ad2cdfb5c.html</t>
  </si>
  <si>
    <t xml:space="preserve">ha-2-4-3-fail-01-positive-tabindex</t>
  </si>
  <si>
    <t xml:space="preserve">Positive tabindex values disrupt natural focus order</t>
  </si>
  <si>
    <t xml:space="preserve">hand-authored from W3C Understanding</t>
  </si>
  <si>
    <t xml:space="preserve">corpus1\ade\2.4.3\failed\ha-2-4-3-fail-01-positive-tabindex.html</t>
  </si>
  <si>
    <t xml:space="preserve">Found 1 rule violation(s) affecting 4 element(s).</t>
  </si>
  <si>
    <t xml:space="preserve">ha-2-4-3-fail-02-visual-reorder-css</t>
  </si>
  <si>
    <t xml:space="preserve">CSS flex order does not match DOM order</t>
  </si>
  <si>
    <t xml:space="preserve">corpus1\ade\2.4.3\failed\ha-2-4-3-fail-02-visual-reorder-css.html</t>
  </si>
  <si>
    <t xml:space="preserve">Found 0 rule violation(s) affecting 0 element(s).</t>
  </si>
  <si>
    <t xml:space="preserve">ha-2-4-3-inap-01-static-content</t>
  </si>
  <si>
    <t xml:space="preserve">Page has no focusable elements</t>
  </si>
  <si>
    <t xml:space="preserve">corpus1\ade\2.4.3\inapplicable\ha-2-4-3-inap-01-static-content.html</t>
  </si>
  <si>
    <t xml:space="preserve">ha-2-4-3-inap-02-single-interactive</t>
  </si>
  <si>
    <t xml:space="preserve">Page has only one focusable element</t>
  </si>
  <si>
    <t xml:space="preserve">corpus1\ade\2.4.3\inapplicable\ha-2-4-3-inap-02-single-interactive.html</t>
  </si>
  <si>
    <t xml:space="preserve">ha-2-4-3-pass-01-natural-dom-order</t>
  </si>
  <si>
    <t xml:space="preserve">Form follows natural DOM order matching visual order</t>
  </si>
  <si>
    <t xml:space="preserve">corpus1\ade\2.4.3\passed\ha-2-4-3-pass-01-natural-dom-order.html</t>
  </si>
  <si>
    <t xml:space="preserve">ha-2-4-3-pass-02-modal-focus-trap</t>
  </si>
  <si>
    <t xml:space="preserve">Modal dialog keeps focus inside the dialog</t>
  </si>
  <si>
    <t xml:space="preserve">corpus1\ade\2.4.3\passed\ha-2-4-3-pass-02-modal-focus-trap.html</t>
  </si>
  <si>
    <t xml:space="preserve">52be6331dc0978990a8b806a9a4a84bf738a43e1</t>
  </si>
  <si>
    <t xml:space="preserve">oj04fd</t>
  </si>
  <si>
    <t xml:space="preserve">Element in sequential focus order has visible focus</t>
  </si>
  <si>
    <t xml:space="preserve">https://www.w3.org/WAI/content-assets/wcag-act-rules/testcases/oj04fd/52be6331dc0978990a8b806a9a4a84bf738a43e1.html</t>
  </si>
  <si>
    <t xml:space="preserve">corpus1\ade\2.4.7\passed\52be6331dc0978990a8b806a9a4a84bf738a43e1.html</t>
  </si>
  <si>
    <t xml:space="preserve">8f296b7a417523e9c769761dd41b703c75d90019</t>
  </si>
  <si>
    <t xml:space="preserve">Passed Example 4</t>
  </si>
  <si>
    <t xml:space="preserve">https://www.w3.org/WAI/content-assets/wcag-act-rules/testcases/oj04fd/8f296b7a417523e9c769761dd41b703c75d90019.html</t>
  </si>
  <si>
    <t xml:space="preserve">corpus1\ade\2.4.7\passed\8f296b7a417523e9c769761dd41b703c75d90019.html</t>
  </si>
  <si>
    <t xml:space="preserve">Found 3 rule violation(s) affecting 5 element(s).</t>
  </si>
  <si>
    <t xml:space="preserve">90789ad82a761b7697418e8cb403db103f0925a2</t>
  </si>
  <si>
    <t xml:space="preserve">https://www.w3.org/WAI/content-assets/wcag-act-rules/testcases/oj04fd/90789ad82a761b7697418e8cb403db103f0925a2.html</t>
  </si>
  <si>
    <t xml:space="preserve">corpus1\ade\2.4.7\inapplicable\90789ad82a761b7697418e8cb403db103f0925a2.html</t>
  </si>
  <si>
    <t xml:space="preserve">b12f1f45eef29c30197ca3bda79d793cd90eeadd</t>
  </si>
  <si>
    <t xml:space="preserve">https://www.w3.org/WAI/content-assets/wcag-act-rules/testcases/oj04fd/b12f1f45eef29c30197ca3bda79d793cd90eeadd.html</t>
  </si>
  <si>
    <t xml:space="preserve">corpus1\ade\2.4.7\inapplicable\b12f1f45eef29c30197ca3bda79d793cd90eeadd.html</t>
  </si>
  <si>
    <t xml:space="preserve">Found 3 rule violation(s) affecting 4 element(s).</t>
  </si>
  <si>
    <t xml:space="preserve">f1c9efb4c8d1b5f7870c693bce2e6ca046dd768d</t>
  </si>
  <si>
    <t xml:space="preserve">https://www.w3.org/WAI/content-assets/wcag-act-rules/testcases/oj04fd/f1c9efb4c8d1b5f7870c693bce2e6ca046dd768d.html</t>
  </si>
  <si>
    <t xml:space="preserve">corpus1\ade\2.4.7\failed\f1c9efb4c8d1b5f7870c693bce2e6ca046dd768d.html</t>
  </si>
  <si>
    <t xml:space="preserve">ha-2-4-7-fail-01-focus-suppressed</t>
  </si>
  <si>
    <t xml:space="preserve">Focus indicator suppressed via CSS outline removal</t>
  </si>
  <si>
    <t xml:space="preserve">corpus1\ade\2.4.7\failed\ha-2-4-7-fail-01-focus-suppressed.html</t>
  </si>
  <si>
    <t xml:space="preserve">ha-2-5-5-fail-01-tiny-icons</t>
  </si>
  <si>
    <t xml:space="preserve">Tightly packed icon buttons well below 44x44</t>
  </si>
  <si>
    <t xml:space="preserve">corpus1\ade\2.5.5\failed\ha-2-5-5-fail-01-tiny-icons.html</t>
  </si>
  <si>
    <t xml:space="preserve">ha-2-5-5-fail-02-short-buttons</t>
  </si>
  <si>
    <t xml:space="preserve">Standard buttons styled below 44px height</t>
  </si>
  <si>
    <t xml:space="preserve">corpus1\ade\2.5.5\failed\ha-2-5-5-fail-02-short-buttons.html</t>
  </si>
  <si>
    <t xml:space="preserve">ha-2-5-5-inap-01-inline-link-in-text</t>
  </si>
  <si>
    <t xml:space="preserve">Only interactive element is an inline link within text</t>
  </si>
  <si>
    <t xml:space="preserve">corpus1\ade\2.5.5\inapplicable\ha-2-5-5-inap-01-inline-link-in-text.html</t>
  </si>
  <si>
    <t xml:space="preserve">ha-2-5-5-inap-02-no-interactive</t>
  </si>
  <si>
    <t xml:space="preserve">Page has no interactive targets at all</t>
  </si>
  <si>
    <t xml:space="preserve">corpus1\ade\2.5.5\inapplicable\ha-2-5-5-inap-02-no-interactive.html</t>
  </si>
  <si>
    <t xml:space="preserve">ha-2-5-5-pass-01-large-buttons</t>
  </si>
  <si>
    <t xml:space="preserve">Buttons sized at or above 44x44 CSS pixels</t>
  </si>
  <si>
    <t xml:space="preserve">corpus1\ade\2.5.5\passed\ha-2-5-5-pass-01-large-buttons.html</t>
  </si>
  <si>
    <t xml:space="preserve">ha-2-5-5-pass-02-icon-with-padding</t>
  </si>
  <si>
    <t xml:space="preserve">Small icon with generous touch padding reaches 44x44</t>
  </si>
  <si>
    <t xml:space="preserve">corpus1\ade\2.5.5\passed\ha-2-5-5-pass-02-icon-with-padding.html</t>
  </si>
  <si>
    <t xml:space="preserve">0411dce372604b1c0b14fe48aae6190882e8110c</t>
  </si>
  <si>
    <t xml:space="preserve">Passed Example 6</t>
  </si>
  <si>
    <t xml:space="preserve">73f2c2</t>
  </si>
  <si>
    <t xml:space="preserve">`autocomplete` attribute has valid value</t>
  </si>
  <si>
    <t xml:space="preserve">https://www.w3.org/WAI/content-assets/wcag-act-rules/testcases/73f2c2/0411dce372604b1c0b14fe48aae6190882e8110c.html</t>
  </si>
  <si>
    <t xml:space="preserve">corpus1\elias\1.3.5\passed\0411dce372604b1c0b14fe48aae6190882e8110c.html</t>
  </si>
  <si>
    <t xml:space="preserve">130d7f761a6a43b896b2f1d0ded311da6a7aebf1</t>
  </si>
  <si>
    <t xml:space="preserve">Failed Example 8</t>
  </si>
  <si>
    <t xml:space="preserve">Autocomplete attribute has valid value</t>
  </si>
  <si>
    <t xml:space="preserve">https://www.w3.org/WAI/content-assets/wcag-act-rules/testcases/73f2c2/130d7f761a6a43b896b2f1d0ded311da6a7aebf1.html</t>
  </si>
  <si>
    <t xml:space="preserve">corpus1\elias\1.3.5\failed\130d7f761a6a43b896b2f1d0ded311da6a7aebf1.html</t>
  </si>
  <si>
    <t xml:space="preserve">[wcag21aa, wcag135] Ensure the autocomplete attribute is correct and suitable for the form field autocomplete attribute must be used correctly</t>
  </si>
  <si>
    <t xml:space="preserve">2512c24c9a793fa8a30958e203090f955a3fc262</t>
  </si>
  <si>
    <t xml:space="preserve">Failed Example 6</t>
  </si>
  <si>
    <t xml:space="preserve">https://www.w3.org/WAI/content-assets/wcag-act-rules/testcases/73f2c2/2512c24c9a793fa8a30958e203090f955a3fc262.html</t>
  </si>
  <si>
    <t xml:space="preserve">corpus1\elias\1.3.5\failed\2512c24c9a793fa8a30958e203090f955a3fc262.html</t>
  </si>
  <si>
    <t xml:space="preserve">35d0948a2cb309923e9a7cc5dd99a8ffc975088b</t>
  </si>
  <si>
    <t xml:space="preserve">Passed Example 8</t>
  </si>
  <si>
    <t xml:space="preserve">https://www.w3.org/WAI/content-assets/wcag-act-rules/testcases/73f2c2/35d0948a2cb309923e9a7cc5dd99a8ffc975088b.html</t>
  </si>
  <si>
    <t xml:space="preserve">corpus1\elias\1.3.5\passed\35d0948a2cb309923e9a7cc5dd99a8ffc975088b.html</t>
  </si>
  <si>
    <t xml:space="preserve">3a6b86ed813d4c34e566641e9fcd571e16aeae6f</t>
  </si>
  <si>
    <t xml:space="preserve">https://www.w3.org/WAI/content-assets/wcag-act-rules/testcases/73f2c2/3a6b86ed813d4c34e566641e9fcd571e16aeae6f.html</t>
  </si>
  <si>
    <t xml:space="preserve">corpus1\elias\1.3.5\inapplicable\3a6b86ed813d4c34e566641e9fcd571e16aeae6f.html</t>
  </si>
  <si>
    <t xml:space="preserve">41c0b66bc0208aef009343935649f2bec3ae778d</t>
  </si>
  <si>
    <t xml:space="preserve">Inapplicable Example 8</t>
  </si>
  <si>
    <t xml:space="preserve">https://www.w3.org/WAI/content-assets/wcag-act-rules/testcases/73f2c2/41c0b66bc0208aef009343935649f2bec3ae778d.html</t>
  </si>
  <si>
    <t xml:space="preserve">corpus1\elias\1.3.5\inapplicable\41c0b66bc0208aef009343935649f2bec3ae778d.html</t>
  </si>
  <si>
    <t xml:space="preserve">0128de1beb7862298366680f6920bd3b3874d752</t>
  </si>
  <si>
    <t xml:space="preserve">78fd32</t>
  </si>
  <si>
    <t xml:space="preserve">Important line height in style attributes is wide enough</t>
  </si>
  <si>
    <t xml:space="preserve">https://www.w3.org/WAI/content-assets/wcag-act-rules/testcases/78fd32/0128de1beb7862298366680f6920bd3b3874d752.html</t>
  </si>
  <si>
    <t xml:space="preserve">corpus1\elias\1.4.12\inapplicable\0128de1beb7862298366680f6920bd3b3874d752.html</t>
  </si>
  <si>
    <t xml:space="preserve">0dcc810409a65f29f559c4826afbaa71bcba6ae0</t>
  </si>
  <si>
    <t xml:space="preserve">https://www.w3.org/WAI/content-assets/wcag-act-rules/testcases/78fd32/0dcc810409a65f29f559c4826afbaa71bcba6ae0.html</t>
  </si>
  <si>
    <t xml:space="preserve">corpus1\elias\1.4.12\passed\0dcc810409a65f29f559c4826afbaa71bcba6ae0.html</t>
  </si>
  <si>
    <t xml:space="preserve">0f8063a09807c4bf8d5f7c796cbf0f2aa20e7e57</t>
  </si>
  <si>
    <t xml:space="preserve">Inapplicable Example 10</t>
  </si>
  <si>
    <t xml:space="preserve">https://www.w3.org/WAI/content-assets/wcag-act-rules/testcases/78fd32/0f8063a09807c4bf8d5f7c796cbf0f2aa20e7e57.html</t>
  </si>
  <si>
    <t xml:space="preserve">corpus1\elias\1.4.12\inapplicable\0f8063a09807c4bf8d5f7c796cbf0f2aa20e7e57.html</t>
  </si>
  <si>
    <t xml:space="preserve">1134eadf72b2a40c03b8bbf486ebfd3bb34cf986</t>
  </si>
  <si>
    <t xml:space="preserve">Failed Example 2</t>
  </si>
  <si>
    <t xml:space="preserve">9e45ec</t>
  </si>
  <si>
    <t xml:space="preserve">Important word spacing in style attributes is wide enough</t>
  </si>
  <si>
    <t xml:space="preserve">https://www.w3.org/WAI/content-assets/wcag-act-rules/testcases/9e45ec/1134eadf72b2a40c03b8bbf486ebfd3bb34cf986.html</t>
  </si>
  <si>
    <t xml:space="preserve">corpus1\elias\1.4.12\failed\1134eadf72b2a40c03b8bbf486ebfd3bb34cf986.html</t>
  </si>
  <si>
    <t xml:space="preserve">[wcag21aa, wcag1412] Ensure that text spacing set through style attributes can be adjusted with custom stylesheets Inline text spacing must be adjustable with custom stylesheets</t>
  </si>
  <si>
    <t xml:space="preserve">15905a239d6755102be6a60aa152ad963d5b1dbb</t>
  </si>
  <si>
    <t xml:space="preserve">Passed Example 5</t>
  </si>
  <si>
    <t xml:space="preserve">https://www.w3.org/WAI/content-assets/wcag-act-rules/testcases/9e45ec/15905a239d6755102be6a60aa152ad963d5b1dbb.html</t>
  </si>
  <si>
    <t xml:space="preserve">corpus1\elias\1.4.12\passed\15905a239d6755102be6a60aa152ad963d5b1dbb.html</t>
  </si>
  <si>
    <t xml:space="preserve">31d185e51a8be241f8a75d09deae69d3937f0329</t>
  </si>
  <si>
    <t xml:space="preserve">https://www.w3.org/WAI/content-assets/wcag-act-rules/testcases/9e45ec/31d185e51a8be241f8a75d09deae69d3937f0329.html</t>
  </si>
  <si>
    <t xml:space="preserve">corpus1\elias\1.4.12\failed\31d185e51a8be241f8a75d09deae69d3937f0329.html</t>
  </si>
  <si>
    <t xml:space="preserve">04344f745bd9bad51292748e7893f146c045aae4</t>
  </si>
  <si>
    <t xml:space="preserve">afw4f7</t>
  </si>
  <si>
    <t xml:space="preserve">Text has minimum contrast</t>
  </si>
  <si>
    <t xml:space="preserve">https://www.w3.org/WAI/content-assets/wcag-act-rules/testcases/afw4f7/04344f745bd9bad51292748e7893f146c045aae4.html</t>
  </si>
  <si>
    <t xml:space="preserve">corpus1\elias\1.4.3\passed\04344f745bd9bad51292748e7893f146c045aae4.html</t>
  </si>
  <si>
    <t xml:space="preserve">173cb00f20c52f35970c322dedf7bc11450b70c1</t>
  </si>
  <si>
    <t xml:space="preserve">Passed Example 10</t>
  </si>
  <si>
    <t xml:space="preserve">https://www.w3.org/WAI/content-assets/wcag-act-rules/testcases/afw4f7/173cb00f20c52f35970c322dedf7bc11450b70c1.html</t>
  </si>
  <si>
    <t xml:space="preserve">corpus1\elias\1.4.3\passed\173cb00f20c52f35970c322dedf7bc11450b70c1.html</t>
  </si>
  <si>
    <t xml:space="preserve">19123c99ec390011b87736827720d5e1e794bad2</t>
  </si>
  <si>
    <t xml:space="preserve">Failed Example 10</t>
  </si>
  <si>
    <t xml:space="preserve">https://www.w3.org/WAI/content-assets/wcag-act-rules/testcases/afw4f7/19123c99ec390011b87736827720d5e1e794bad2.html</t>
  </si>
  <si>
    <t xml:space="preserve">corpus1\elias\1.4.3\failed\19123c99ec390011b87736827720d5e1e794bad2.html</t>
  </si>
  <si>
    <t xml:space="preserve">20f9cd78dd0fa87ee8d40ea3ed35a1fe3ff66508</t>
  </si>
  <si>
    <t xml:space="preserve">https://www.w3.org/WAI/content-assets/wcag-act-rules/testcases/afw4f7/20f9cd78dd0fa87ee8d40ea3ed35a1fe3ff66508.html</t>
  </si>
  <si>
    <t xml:space="preserve">corpus1\elias\1.4.3\inapplicable\20f9cd78dd0fa87ee8d40ea3ed35a1fe3ff66508.html</t>
  </si>
  <si>
    <t xml:space="preserve">2347a45232c34aa309087ed099f4781cd70b5b1e</t>
  </si>
  <si>
    <t xml:space="preserve">https://www.w3.org/WAI/content-assets/wcag-act-rules/testcases/afw4f7/2347a45232c34aa309087ed099f4781cd70b5b1e.html</t>
  </si>
  <si>
    <t xml:space="preserve">corpus1\elias\1.4.3\inapplicable\2347a45232c34aa309087ed099f4781cd70b5b1e.html</t>
  </si>
  <si>
    <t xml:space="preserve">308839f424ef1d9dbb5aab0cd9079827ecb00895</t>
  </si>
  <si>
    <t xml:space="preserve">https://www.w3.org/WAI/content-assets/wcag-act-rules/testcases/afw4f7/308839f424ef1d9dbb5aab0cd9079827ecb00895.html</t>
  </si>
  <si>
    <t xml:space="preserve">corpus1\elias\1.4.3\failed\308839f424ef1d9dbb5aab0cd9079827ecb00895.html</t>
  </si>
  <si>
    <t xml:space="preserve">0d1564a1311c77d8693a9f839e1d752df501d441</t>
  </si>
  <si>
    <t xml:space="preserve">efbfc7</t>
  </si>
  <si>
    <t xml:space="preserve">Text content that changes automatically can be paused, stopped or hidden</t>
  </si>
  <si>
    <t xml:space="preserve">https://www.w3.org/WAI/content-assets/wcag-act-rules/testcases/efbfc7/0d1564a1311c77d8693a9f839e1d752df501d441.html</t>
  </si>
  <si>
    <t xml:space="preserve">corpus1\elias\2.2.2\inapplicable\0d1564a1311c77d8693a9f839e1d752df501d441.html</t>
  </si>
  <si>
    <t xml:space="preserve">18adb94ce561c2d1f29dec32d91f3dd39a8e45b2</t>
  </si>
  <si>
    <t xml:space="preserve">https://www.w3.org/WAI/content-assets/wcag-act-rules/testcases/efbfc7/18adb94ce561c2d1f29dec32d91f3dd39a8e45b2.html</t>
  </si>
  <si>
    <t xml:space="preserve">corpus1\elias\2.2.2\passed\18adb94ce561c2d1f29dec32d91f3dd39a8e45b2.html</t>
  </si>
  <si>
    <t xml:space="preserve">337477ac8e969c4d134079babf891b0f1fd33eba</t>
  </si>
  <si>
    <t xml:space="preserve">https://www.w3.org/WAI/content-assets/wcag-act-rules/testcases/efbfc7/337477ac8e969c4d134079babf891b0f1fd33eba.html</t>
  </si>
  <si>
    <t xml:space="preserve">corpus1\elias\2.2.2\passed\337477ac8e969c4d134079babf891b0f1fd33eba.html</t>
  </si>
  <si>
    <t xml:space="preserve">37668beb45f00408309f73569e36e63dc9327620</t>
  </si>
  <si>
    <t xml:space="preserve">https://www.w3.org/WAI/content-assets/wcag-act-rules/testcases/efbfc7/37668beb45f00408309f73569e36e63dc9327620.html</t>
  </si>
  <si>
    <t xml:space="preserve">corpus1\elias\2.2.2\inapplicable\37668beb45f00408309f73569e36e63dc9327620.html</t>
  </si>
  <si>
    <t xml:space="preserve">8f0a05348afb0a218f3934157dad1b4d1673ea6a</t>
  </si>
  <si>
    <t xml:space="preserve">https://www.w3.org/WAI/content-assets/wcag-act-rules/testcases/efbfc7/8f0a05348afb0a218f3934157dad1b4d1673ea6a.html</t>
  </si>
  <si>
    <t xml:space="preserve">corpus1\elias\2.2.2\failed\8f0a05348afb0a218f3934157dad1b4d1673ea6a.html</t>
  </si>
  <si>
    <t xml:space="preserve">axe-blink-failed-01</t>
  </si>
  <si>
    <t xml:space="preserve">axe-core blink failed example</t>
  </si>
  <si>
    <t xml:space="preserve">axe-core integration fixtures</t>
  </si>
  <si>
    <t xml:space="preserve">corpus1\elias\2.2.2\failed\axe-blink-failed-01.html</t>
  </si>
  <si>
    <t xml:space="preserve">[wcag2a, wcag222] Ensures &lt;blink&gt; elements are not used &lt;blink&gt; elements are deprecated and must not be used</t>
  </si>
  <si>
    <t xml:space="preserve">ha-2-4-8-fail-01-deep-page-no-trail</t>
  </si>
  <si>
    <t xml:space="preserve">Deeply nested page with no breadcrumb or location indicator</t>
  </si>
  <si>
    <t xml:space="preserve">corpus1\elias\2.4.8\failed\ha-2-4-8-fail-01-deep-page-no-trail.html</t>
  </si>
  <si>
    <t xml:space="preserve">ha-2-4-8-fail-02-breadcrumb-missing-current</t>
  </si>
  <si>
    <t xml:space="preserve">Breadcrumb omits the current location</t>
  </si>
  <si>
    <t xml:space="preserve">corpus1\elias\2.4.8\failed\ha-2-4-8-fail-02-breadcrumb-missing-current.html</t>
  </si>
  <si>
    <t xml:space="preserve">ha-2-4-8-inap-01-homepage</t>
  </si>
  <si>
    <t xml:space="preserve">Homepage has no parent location to indicate</t>
  </si>
  <si>
    <t xml:space="preserve">corpus1\elias\2.4.8\inapplicable\ha-2-4-8-inap-01-homepage.html</t>
  </si>
  <si>
    <t xml:space="preserve">ha-2-4-8-inap-02-single-page-app</t>
  </si>
  <si>
    <t xml:space="preserve">Single-purpose page with no site hierarchy</t>
  </si>
  <si>
    <t xml:space="preserve">corpus1\elias\2.4.8\inapplicable\ha-2-4-8-inap-02-single-page-app.html</t>
  </si>
  <si>
    <t xml:space="preserve">ha-2-4-8-pass-01-breadcrumb-with-current</t>
  </si>
  <si>
    <t xml:space="preserve">Breadcrumb shows full path and current page</t>
  </si>
  <si>
    <t xml:space="preserve">corpus1\elias\2.4.8\passed\ha-2-4-8-pass-01-breadcrumb-with-current.html</t>
  </si>
  <si>
    <t xml:space="preserve">ha-2-4-8-pass-02-current-link-highlighted</t>
  </si>
  <si>
    <t xml:space="preserve">Navigation marks the current page with aria-current</t>
  </si>
  <si>
    <t xml:space="preserve">corpus1\elias\2.4.8\passed\ha-2-4-8-pass-02-current-link-highlighted.html</t>
  </si>
  <si>
    <t xml:space="preserve">0763ce51664b522eb3ed2c5479e11f4ed91e871c</t>
  </si>
  <si>
    <t xml:space="preserve">bc4a75</t>
  </si>
  <si>
    <t xml:space="preserve">ARIA required owned elements</t>
  </si>
  <si>
    <t xml:space="preserve">https://www.w3.org/WAI/content-assets/wcag-act-rules/testcases/bc4a75/0763ce51664b522eb3ed2c5479e11f4ed91e871c.html</t>
  </si>
  <si>
    <t xml:space="preserve">corpus1\ian\1.3.1\failed\0763ce51664b522eb3ed2c5479e11f4ed91e871c.html</t>
  </si>
  <si>
    <t xml:space="preserve">[wcag2a, wcag131] Ensures elements with an ARIA role that require child roles contain them Certain ARIA roles must contain particular children || [wcag2a, wcag131] Ensures elements with an ARIA role that require parent roles are contained by them Certain ARIA roles must be contained by particular parents</t>
  </si>
  <si>
    <t xml:space="preserve">09d9fb1862a6f579a948259a44e1117af595d937</t>
  </si>
  <si>
    <t xml:space="preserve">a25f45</t>
  </si>
  <si>
    <t xml:space="preserve">Headers attribute specified on a cell refers to cells in the same table element</t>
  </si>
  <si>
    <t xml:space="preserve">https://www.w3.org/WAI/content-assets/wcag-act-rules/testcases/a25f45/09d9fb1862a6f579a948259a44e1117af595d937.html</t>
  </si>
  <si>
    <t xml:space="preserve">corpus1\ian\1.3.1\inapplicable\09d9fb1862a6f579a948259a44e1117af595d937.html</t>
  </si>
  <si>
    <t xml:space="preserve">0c53e1a110f5191e74bd97da2c92c79c40d76eb2</t>
  </si>
  <si>
    <t xml:space="preserve">d0f69e</t>
  </si>
  <si>
    <t xml:space="preserve">Table header cell has assigned cells</t>
  </si>
  <si>
    <t xml:space="preserve">https://www.w3.org/WAI/content-assets/wcag-act-rules/testcases/d0f69e/0c53e1a110f5191e74bd97da2c92c79c40d76eb2.html</t>
  </si>
  <si>
    <t xml:space="preserve">corpus1\ian\1.3.1\inapplicable\0c53e1a110f5191e74bd97da2c92c79c40d76eb2.html</t>
  </si>
  <si>
    <t xml:space="preserve">0fd4574e8dd585f4cb14c20f9966bf94f2139ea9</t>
  </si>
  <si>
    <t xml:space="preserve">Failed Example 3</t>
  </si>
  <si>
    <t xml:space="preserve">https://www.w3.org/WAI/content-assets/wcag-act-rules/testcases/bc4a75/0fd4574e8dd585f4cb14c20f9966bf94f2139ea9.html</t>
  </si>
  <si>
    <t xml:space="preserve">corpus1\ian\1.3.1\failed\0fd4574e8dd585f4cb14c20f9966bf94f2139ea9.html</t>
  </si>
  <si>
    <t xml:space="preserve">[wcag2a, wcag131] Ensures elements with an ARIA role that require child roles contain them Certain ARIA roles must contain particular children</t>
  </si>
  <si>
    <t xml:space="preserve">1400d13aa5a86dbacf71db631f5de1abfc982094</t>
  </si>
  <si>
    <t xml:space="preserve">https://www.w3.org/WAI/content-assets/wcag-act-rules/testcases/a25f45/1400d13aa5a86dbacf71db631f5de1abfc982094.html</t>
  </si>
  <si>
    <t xml:space="preserve">corpus1\ian\1.3.1\passed\1400d13aa5a86dbacf71db631f5de1abfc982094.html</t>
  </si>
  <si>
    <t xml:space="preserve">1acc47f25d4931c25fe3efbb676af6fd4e2ee57e</t>
  </si>
  <si>
    <t xml:space="preserve">ff89c9</t>
  </si>
  <si>
    <t xml:space="preserve">ARIA required context role</t>
  </si>
  <si>
    <t xml:space="preserve">https://www.w3.org/WAI/content-assets/wcag-act-rules/testcases/ff89c9/1acc47f25d4931c25fe3efbb676af6fd4e2ee57e.html</t>
  </si>
  <si>
    <t xml:space="preserve">corpus1\ian\1.3.1\passed\1acc47f25d4931c25fe3efbb676af6fd4e2ee57e.html</t>
  </si>
  <si>
    <t xml:space="preserve">corpus1\ian\2.2.2\inapplicable\0d1564a1311c77d8693a9f839e1d752df501d441.html</t>
  </si>
  <si>
    <t xml:space="preserve">corpus1\ian\2.2.2\passed\18adb94ce561c2d1f29dec32d91f3dd39a8e45b2.html</t>
  </si>
  <si>
    <t xml:space="preserve">corpus1\ian\2.2.2\passed\337477ac8e969c4d134079babf891b0f1fd33eba.html</t>
  </si>
  <si>
    <t xml:space="preserve">corpus1\ian\2.2.2\inapplicable\37668beb45f00408309f73569e36e63dc9327620.html</t>
  </si>
  <si>
    <t xml:space="preserve">corpus1\ian\2.2.2\failed\8f0a05348afb0a218f3934157dad1b4d1673ea6a.html</t>
  </si>
  <si>
    <t xml:space="preserve">corpus1\ian\2.2.2\failed\axe-blink-failed-01.html</t>
  </si>
  <si>
    <t xml:space="preserve">081e784ed9c1c5f96f02cf04c07b7d861cf3f9af</t>
  </si>
  <si>
    <t xml:space="preserve">Passed Example 7</t>
  </si>
  <si>
    <t xml:space="preserve">cc0f0a</t>
  </si>
  <si>
    <t xml:space="preserve">Form field label is descriptive</t>
  </si>
  <si>
    <t xml:space="preserve">https://www.w3.org/WAI/content-assets/wcag-act-rules/testcases/cc0f0a/081e784ed9c1c5f96f02cf04c07b7d861cf3f9af.html</t>
  </si>
  <si>
    <t xml:space="preserve">corpus1\ian\2.4.6\passed\081e784ed9c1c5f96f02cf04c07b7d861cf3f9af.html</t>
  </si>
  <si>
    <t xml:space="preserve">14ecbd9d655c833f5f9c5ee9563c472faee663c4</t>
  </si>
  <si>
    <t xml:space="preserve">b49b2e</t>
  </si>
  <si>
    <t xml:space="preserve">Heading is descriptive</t>
  </si>
  <si>
    <t xml:space="preserve">https://www.w3.org/WAI/content-assets/wcag-act-rules/testcases/b49b2e/14ecbd9d655c833f5f9c5ee9563c472faee663c4.html</t>
  </si>
  <si>
    <t xml:space="preserve">corpus1\ian\2.4.6\passed\14ecbd9d655c833f5f9c5ee9563c472faee663c4.html</t>
  </si>
  <si>
    <t xml:space="preserve">1d7c2f68ba65c3d81cb8a858f52be30d48a296c3</t>
  </si>
  <si>
    <t xml:space="preserve">https://www.w3.org/WAI/content-assets/wcag-act-rules/testcases/cc0f0a/1d7c2f68ba65c3d81cb8a858f52be30d48a296c3.html</t>
  </si>
  <si>
    <t xml:space="preserve">corpus1\ian\2.4.6\inapplicable\1d7c2f68ba65c3d81cb8a858f52be30d48a296c3.html</t>
  </si>
  <si>
    <t xml:space="preserve">1e52060759a535934176a5a981446066aad6b31f</t>
  </si>
  <si>
    <t xml:space="preserve">https://www.w3.org/WAI/content-assets/wcag-act-rules/testcases/cc0f0a/1e52060759a535934176a5a981446066aad6b31f.html</t>
  </si>
  <si>
    <t xml:space="preserve">corpus1\ian\2.4.6\failed\1e52060759a535934176a5a981446066aad6b31f.html</t>
  </si>
  <si>
    <t xml:space="preserve">Found 4 rule violation(s) affecting 5 element(s).</t>
  </si>
  <si>
    <t xml:space="preserve">26d71f03f10bc14b28212699eddafe17adafc6b8</t>
  </si>
  <si>
    <t xml:space="preserve">Inapplicable Example 4</t>
  </si>
  <si>
    <t xml:space="preserve">https://www.w3.org/WAI/content-assets/wcag-act-rules/testcases/b49b2e/26d71f03f10bc14b28212699eddafe17adafc6b8.html</t>
  </si>
  <si>
    <t xml:space="preserve">corpus1\ian\2.4.6\inapplicable\26d71f03f10bc14b28212699eddafe17adafc6b8.html</t>
  </si>
  <si>
    <t xml:space="preserve">2f1d964151ff5269a6027371956ee3b4a4a23fe7</t>
  </si>
  <si>
    <t xml:space="preserve">Failed Example 5</t>
  </si>
  <si>
    <t xml:space="preserve">https://www.w3.org/WAI/content-assets/wcag-act-rules/testcases/cc0f0a/2f1d964151ff5269a6027371956ee3b4a4a23fe7.html</t>
  </si>
  <si>
    <t xml:space="preserve">corpus1\ian\2.4.6\failed\2f1d964151ff5269a6027371956ee3b4a4a23fe7.html</t>
  </si>
  <si>
    <t xml:space="preserve">ha-3-1-4-fail-01-bare-acronyms</t>
  </si>
  <si>
    <t xml:space="preserve">Multiple bare acronyms with no expansion mechanism</t>
  </si>
  <si>
    <t xml:space="preserve">corpus1\ian\3.1.4\failed\ha-3-1-4-fail-01-bare-acronyms.html</t>
  </si>
  <si>
    <t xml:space="preserve">Found 2 rule violation(s) affecting 4 element(s).</t>
  </si>
  <si>
    <t xml:space="preserve">ha-3-1-4-fail-02-empty-abbr-title</t>
  </si>
  <si>
    <t xml:space="preserve">abbr elements with empty or self-referential title</t>
  </si>
  <si>
    <t xml:space="preserve">corpus1\ian\3.1.4\failed\ha-3-1-4-fail-02-empty-abbr-title.html</t>
  </si>
  <si>
    <t xml:space="preserve">Found 2 rule violation(s) affecting 3 element(s).</t>
  </si>
  <si>
    <t xml:space="preserve">ha-3-1-4-inap-01-no-abbreviations</t>
  </si>
  <si>
    <t xml:space="preserve">Page contains no abbreviations</t>
  </si>
  <si>
    <t xml:space="preserve">corpus1\ian\3.1.4\inapplicable\ha-3-1-4-inap-01-no-abbreviations.html</t>
  </si>
  <si>
    <t xml:space="preserve">ha-3-1-4-inap-02-only-common-words</t>
  </si>
  <si>
    <t xml:space="preserve">Only abbreviations that have become common words</t>
  </si>
  <si>
    <t xml:space="preserve">corpus1\ian\3.1.4\inapplicable\ha-3-1-4-inap-02-only-common-words.html</t>
  </si>
  <si>
    <t xml:space="preserve">ha-3-1-4-pass-01-abbr-with-title</t>
  </si>
  <si>
    <t xml:space="preserve">All abbreviations marked with abbr title attribute</t>
  </si>
  <si>
    <t xml:space="preserve">corpus1\ian\3.1.4\passed\ha-3-1-4-pass-01-abbr-with-title.html</t>
  </si>
  <si>
    <t xml:space="preserve">ha-3-1-4-pass-02-first-use-expansion</t>
  </si>
  <si>
    <t xml:space="preserve">First-use expansion before each abbreviation</t>
  </si>
  <si>
    <t xml:space="preserve">corpus1\ian\3.1.4\passed\ha-3-1-4-pass-02-first-use-expansion.html</t>
  </si>
  <si>
    <t xml:space="preserve">ha-3-1-5-fail-01-dense-academic</t>
  </si>
  <si>
    <t xml:space="preserve">Dense academic prose with no simplification offered</t>
  </si>
  <si>
    <t xml:space="preserve">corpus1\ian\3.1.5\failed\ha-3-1-5-fail-01-dense-academic.html</t>
  </si>
  <si>
    <t xml:space="preserve">ha-3-1-5-fail-02-legal-density</t>
  </si>
  <si>
    <t xml:space="preserve">Legal-style disclaimer with no plain-language alternative</t>
  </si>
  <si>
    <t xml:space="preserve">corpus1\ian\3.1.5\failed\ha-3-1-5-fail-02-legal-density.html</t>
  </si>
  <si>
    <t xml:space="preserve">ha-3-1-5-inap-01-minimal-text</t>
  </si>
  <si>
    <t xml:space="preserve">Page contains insufficient prose to evaluate reading level</t>
  </si>
  <si>
    <t xml:space="preserve">corpus1\ian\3.1.5\inapplicable\ha-3-1-5-inap-01-minimal-text.html</t>
  </si>
  <si>
    <t xml:space="preserve">Found 2 rule violation(s) affecting 5 element(s).</t>
  </si>
  <si>
    <t xml:space="preserve">ha-3-1-5-inap-02-proper-names</t>
  </si>
  <si>
    <t xml:space="preserve">Page consists primarily of proper names and lists</t>
  </si>
  <si>
    <t xml:space="preserve">corpus1\ian\3.1.5\inapplicable\ha-3-1-5-inap-02-proper-names.html</t>
  </si>
  <si>
    <t xml:space="preserve">ha-3-1-5-pass-01-with-summary</t>
  </si>
  <si>
    <t xml:space="preserve">Technical text with prominent plain-language summary</t>
  </si>
  <si>
    <t xml:space="preserve">corpus1\ian\3.1.5\passed\ha-3-1-5-pass-01-with-summary.html</t>
  </si>
  <si>
    <t xml:space="preserve">ha-3-1-5-pass-02-simple-prose</t>
  </si>
  <si>
    <t xml:space="preserve">Prose written at lower-secondary reading level throughout</t>
  </si>
  <si>
    <t xml:space="preserve">corpus1\ian\3.1.5\passed\ha-3-1-5-pass-02-simple-prose.html</t>
  </si>
  <si>
    <t xml:space="preserve">04342a3834e0003f3057807937d617e432e83d33</t>
  </si>
  <si>
    <t xml:space="preserve">59796f</t>
  </si>
  <si>
    <t xml:space="preserve">Image button has non-empty accessible name</t>
  </si>
  <si>
    <t xml:space="preserve">https://www.w3.org/WAI/content-assets/wcag-act-rules/testcases/59796f/04342a3834e0003f3057807937d617e432e83d33.html</t>
  </si>
  <si>
    <t xml:space="preserve">corpus1\lakshmi\1.1.1\failed\04342a3834e0003f3057807937d617e432e83d33.html</t>
  </si>
  <si>
    <t xml:space="preserve">[wcag2a, wcag111, wcag412] Ensures &lt;input type="image"&gt; elements have alternate text Image buttons must have alternate text</t>
  </si>
  <si>
    <t xml:space="preserve">0ab8d652533229aae98191a6a43c2168e1959963</t>
  </si>
  <si>
    <t xml:space="preserve">qt1vmo</t>
  </si>
  <si>
    <t xml:space="preserve">Image accessible name is descriptive</t>
  </si>
  <si>
    <t xml:space="preserve">https://www.w3.org/WAI/content-assets/wcag-act-rules/testcases/qt1vmo/0ab8d652533229aae98191a6a43c2168e1959963.html</t>
  </si>
  <si>
    <t xml:space="preserve">corpus1\lakshmi\1.1.1\inapplicable\0ab8d652533229aae98191a6a43c2168e1959963.html</t>
  </si>
  <si>
    <t xml:space="preserve">0bbd55ba8e418361f99f717418206a37d57fd978</t>
  </si>
  <si>
    <t xml:space="preserve">https://www.w3.org/WAI/content-assets/wcag-act-rules/testcases/59796f/0bbd55ba8e418361f99f717418206a37d57fd978.html</t>
  </si>
  <si>
    <t xml:space="preserve">corpus1\lakshmi\1.1.1\failed\0bbd55ba8e418361f99f717418206a37d57fd978.html</t>
  </si>
  <si>
    <t xml:space="preserve">13b8678881fba03e7465f82b5550abc5093f7968</t>
  </si>
  <si>
    <t xml:space="preserve">23a2a8</t>
  </si>
  <si>
    <t xml:space="preserve">Image has non-empty accessible name</t>
  </si>
  <si>
    <t xml:space="preserve">https://www.w3.org/WAI/content-assets/wcag-act-rules/testcases/23a2a8/13b8678881fba03e7465f82b5550abc5093f7968.html</t>
  </si>
  <si>
    <t xml:space="preserve">corpus1\lakshmi\1.1.1\passed\13b8678881fba03e7465f82b5550abc5093f7968.html</t>
  </si>
  <si>
    <t xml:space="preserve">1b172036f8e219ef9b6f591d7f5df26e4ba11327</t>
  </si>
  <si>
    <t xml:space="preserve">8fc3b6</t>
  </si>
  <si>
    <t xml:space="preserve">Object element rendering non-text content has non-empty accessible name</t>
  </si>
  <si>
    <t xml:space="preserve">https://www.w3.org/WAI/content-assets/wcag-act-rules/testcases/8fc3b6/1b172036f8e219ef9b6f591d7f5df26e4ba11327.html</t>
  </si>
  <si>
    <t xml:space="preserve">corpus1\lakshmi\1.1.1\passed\1b172036f8e219ef9b6f591d7f5df26e4ba11327.html</t>
  </si>
  <si>
    <t xml:space="preserve">1f2223805c79c21fade3ebf0d9a29f979c16f581</t>
  </si>
  <si>
    <t xml:space="preserve">7d6734</t>
  </si>
  <si>
    <t xml:space="preserve">SVG element with explicit role has non-empty accessible name</t>
  </si>
  <si>
    <t xml:space="preserve">https://www.w3.org/WAI/content-assets/wcag-act-rules/testcases/7d6734/1f2223805c79c21fade3ebf0d9a29f979c16f581.html</t>
  </si>
  <si>
    <t xml:space="preserve">corpus1\lakshmi\1.1.1\inapplicable\1f2223805c79c21fade3ebf0d9a29f979c16f581.html</t>
  </si>
  <si>
    <t xml:space="preserve">corpus1\lakshmi\1.3.1\failed\0763ce51664b522eb3ed2c5479e11f4ed91e871c.html</t>
  </si>
  <si>
    <t xml:space="preserve">corpus1\lakshmi\1.3.1\inapplicable\09d9fb1862a6f579a948259a44e1117af595d937.html</t>
  </si>
  <si>
    <t xml:space="preserve">corpus1\lakshmi\1.3.1\inapplicable\0c53e1a110f5191e74bd97da2c92c79c40d76eb2.html</t>
  </si>
  <si>
    <t xml:space="preserve">corpus1\lakshmi\1.3.1\failed\0fd4574e8dd585f4cb14c20f9966bf94f2139ea9.html</t>
  </si>
  <si>
    <t xml:space="preserve">corpus1\lakshmi\1.3.1\passed\1400d13aa5a86dbacf71db631f5de1abfc982094.html</t>
  </si>
  <si>
    <t xml:space="preserve">corpus1\lakshmi\1.3.1\passed\1acc47f25d4931c25fe3efbb676af6fd4e2ee57e.html</t>
  </si>
  <si>
    <t xml:space="preserve">corpus1\lakshmi\2.1.1\inapplicable\033e04cced5973596d9aa724feacb027d23b4c53.html</t>
  </si>
  <si>
    <t xml:space="preserve">corpus1\lakshmi\2.1.1\inapplicable\17a371c470316dc29e424101065ebfe9f7b2e990.html</t>
  </si>
  <si>
    <t xml:space="preserve">corpus1\lakshmi\2.1.1\passed\1e3939d9f8e0f78f9c564ec6feb12cc5635c0acb.html</t>
  </si>
  <si>
    <t xml:space="preserve">[wcag2a, wcag412] Ensures &lt;iframe&gt; and &lt;frame&gt; elements have an accessible name Frames must have an accessible name</t>
  </si>
  <si>
    <t xml:space="preserve">corpus1\lakshmi\2.1.1\passed\270a22a8e4ce4d9f073e1484a0d807705207a1d7.html</t>
  </si>
  <si>
    <t xml:space="preserve">corpus1\lakshmi\2.1.1\failed\5fa34d0a7eea03109cd12c0e7c21fce793c268db.html</t>
  </si>
  <si>
    <t xml:space="preserve">corpus1\lakshmi\2.1.1\failed\62673162e22ee1e95e962522b1d1c3b549dbfc49.html</t>
  </si>
  <si>
    <t xml:space="preserve">07c0b535c3c68a3deeb9fde43c4ba5aca09fb94e</t>
  </si>
  <si>
    <t xml:space="preserve">Passed Example 9</t>
  </si>
  <si>
    <t xml:space="preserve">cf77f2</t>
  </si>
  <si>
    <t xml:space="preserve">Bypass Blocks of Repeated Content</t>
  </si>
  <si>
    <t xml:space="preserve">https://www.w3.org/WAI/content-assets/wcag-act-rules/testcases/cf77f2/07c0b535c3c68a3deeb9fde43c4ba5aca09fb94e.html</t>
  </si>
  <si>
    <t xml:space="preserve">corpus1\lakshmi\2.4.1\passed\07c0b535c3c68a3deeb9fde43c4ba5aca09fb94e.html</t>
  </si>
  <si>
    <t xml:space="preserve">1c8d17ef6a69be1bbc5b28f432d2b7192e0f65c9</t>
  </si>
  <si>
    <t xml:space="preserve">https://www.w3.org/WAI/content-assets/wcag-act-rules/testcases/cf77f2/1c8d17ef6a69be1bbc5b28f432d2b7192e0f65c9.html</t>
  </si>
  <si>
    <t xml:space="preserve">corpus1\lakshmi\2.4.1\passed\1c8d17ef6a69be1bbc5b28f432d2b7192e0f65c9.html</t>
  </si>
  <si>
    <t xml:space="preserve">55a6cc3efc35180844d75a9f207b456373b1435c</t>
  </si>
  <si>
    <t xml:space="preserve">https://www.w3.org/WAI/content-assets/wcag-act-rules/testcases/cf77f2/55a6cc3efc35180844d75a9f207b456373b1435c.html</t>
  </si>
  <si>
    <t xml:space="preserve">corpus1\lakshmi\2.4.1\failed\55a6cc3efc35180844d75a9f207b456373b1435c.html</t>
  </si>
  <si>
    <t xml:space="preserve">ecc29b73e37b6a125b3fd9767068dcaa368d467a</t>
  </si>
  <si>
    <t xml:space="preserve">https://www.w3.org/WAI/content-assets/wcag-act-rules/testcases/cf77f2/ecc29b73e37b6a125b3fd9767068dcaa368d467a.svg</t>
  </si>
  <si>
    <t xml:space="preserve">corpus1\lakshmi\2.4.1\inapplicable\ecc29b73e37b6a125b3fd9767068dcaa368d467a.svg</t>
  </si>
  <si>
    <t xml:space="preserve">ha-2-4-1-fail-01-no-skip-mechanism</t>
  </si>
  <si>
    <t xml:space="preserve">Multi-section page with repeated navigation and no bypass</t>
  </si>
  <si>
    <t xml:space="preserve">corpus1\lakshmi\2.4.1\failed\ha-2-4-1-fail-01-no-skip-mechanism.html</t>
  </si>
  <si>
    <t xml:space="preserve">ha-2-4-1-inap-01-no-repeated-blocks</t>
  </si>
  <si>
    <t xml:space="preserve">Single-section page with no repeated blocks of content</t>
  </si>
  <si>
    <t xml:space="preserve">corpus1\lakshmi\2.4.1\inapplicable\ha-2-4-1-inap-01-no-repeated-blocks.html</t>
  </si>
  <si>
    <t xml:space="preserve">004258203c8bf167307b6ed79f765115d16a6357</t>
  </si>
  <si>
    <t xml:space="preserve">e086e5</t>
  </si>
  <si>
    <t xml:space="preserve">Form field has non-empty accessible name</t>
  </si>
  <si>
    <t xml:space="preserve">https://www.w3.org/WAI/content-assets/wcag-act-rules/testcases/e086e5/004258203c8bf167307b6ed79f765115d16a6357.html</t>
  </si>
  <si>
    <t xml:space="preserve">corpus1\lakshmi\4.1.2\failed\004258203c8bf167307b6ed79f765115d16a6357.html</t>
  </si>
  <si>
    <t xml:space="preserve">[wcag2a, wcag412] Ensures every form element has a label Form elements must have labels</t>
  </si>
  <si>
    <t xml:space="preserve">00fe207175e40ddc81a86fb09504e5fa33b7dd0f</t>
  </si>
  <si>
    <t xml:space="preserve">97a4e1</t>
  </si>
  <si>
    <t xml:space="preserve">Button has non-empty accessible name</t>
  </si>
  <si>
    <t xml:space="preserve">https://www.w3.org/WAI/content-assets/wcag-act-rules/testcases/97a4e1/00fe207175e40ddc81a86fb09504e5fa33b7dd0f.html</t>
  </si>
  <si>
    <t xml:space="preserve">corpus1\lakshmi\4.1.2\passed\00fe207175e40ddc81a86fb09504e5fa33b7dd0f.html</t>
  </si>
  <si>
    <t xml:space="preserve">058668cee446d08989bf24d5ce3413dc2cda9975</t>
  </si>
  <si>
    <t xml:space="preserve">cae760</t>
  </si>
  <si>
    <t xml:space="preserve">Iframe element has non-empty accessible name</t>
  </si>
  <si>
    <t xml:space="preserve">https://www.w3.org/WAI/content-assets/wcag-act-rules/testcases/cae760/058668cee446d08989bf24d5ce3413dc2cda9975.html</t>
  </si>
  <si>
    <t xml:space="preserve">corpus1\lakshmi\4.1.2\inapplicable\058668cee446d08989bf24d5ce3413dc2cda9975.html</t>
  </si>
  <si>
    <t xml:space="preserve">0666607827b30150ed0a5be439f58623b3222131</t>
  </si>
  <si>
    <t xml:space="preserve">https://www.w3.org/WAI/content-assets/wcag-act-rules/testcases/97a4e1/0666607827b30150ed0a5be439f58623b3222131.html</t>
  </si>
  <si>
    <t xml:space="preserve">corpus1\lakshmi\4.1.2\inapplicable\0666607827b30150ed0a5be439f58623b3222131.html</t>
  </si>
  <si>
    <t xml:space="preserve">08c5575023e8bf16caabcf01a1c8d40fe6ecaf94</t>
  </si>
  <si>
    <t xml:space="preserve">4b1c6c</t>
  </si>
  <si>
    <t xml:space="preserve">Iframe elements with identical accessible names have equivalent purpose</t>
  </si>
  <si>
    <t xml:space="preserve">https://www.w3.org/WAI/content-assets/wcag-act-rules/testcases/4b1c6c/08c5575023e8bf16caabcf01a1c8d40fe6ecaf94.html</t>
  </si>
  <si>
    <t xml:space="preserve">corpus1\lakshmi\4.1.2\passed\08c5575023e8bf16caabcf01a1c8d40fe6ecaf94.html</t>
  </si>
  <si>
    <t xml:space="preserve">corpus1\sophie\2.2.1\inapplicable\0bf30cdf02ff26dfca5aa705b7023227da221e05.html</t>
  </si>
  <si>
    <t xml:space="preserve">corpus1\sophie\2.2.1\inapplicable\48a600254c0883cd5a72471420b1ac5a532ca6c3.html</t>
  </si>
  <si>
    <t xml:space="preserve">corpus1\sophie\2.2.1\passed\49d79a4e4e4a994a8eb7cf2eaf59c99d2251cac5.html</t>
  </si>
  <si>
    <t xml:space="preserve">corpus1\sophie\2.2.1\failed\56857820788db21498e95a5cbba65d59a9a2b892.html</t>
  </si>
  <si>
    <t xml:space="preserve">corpus1\sophie\2.2.1\failed\5d4d5b214459c8a0779600ab39a5668003271c62.html</t>
  </si>
  <si>
    <t xml:space="preserve">corpus1\sophie\2.2.1\passed\b5ca868de7980f6944142ecdb849f47ad2cdfb5c.html</t>
  </si>
  <si>
    <t xml:space="preserve">corpus1\sophie\2.4.8\failed\ha-2-4-8-fail-01-deep-page-no-trail.html</t>
  </si>
  <si>
    <t xml:space="preserve">corpus1\sophie\2.4.8\failed\ha-2-4-8-fail-02-breadcrumb-missing-current.html</t>
  </si>
  <si>
    <t xml:space="preserve">corpus1\sophie\2.4.8\inapplicable\ha-2-4-8-inap-01-homepage.html</t>
  </si>
  <si>
    <t xml:space="preserve">corpus1\sophie\2.4.8\inapplicable\ha-2-4-8-inap-02-single-page-app.html</t>
  </si>
  <si>
    <t xml:space="preserve">corpus1\sophie\2.4.8\passed\ha-2-4-8-pass-01-breadcrumb-with-current.html</t>
  </si>
  <si>
    <t xml:space="preserve">corpus1\sophie\2.4.8\passed\ha-2-4-8-pass-02-current-link-highlighted.html</t>
  </si>
  <si>
    <t xml:space="preserve">corpus1\sophie\3.1.4\failed\ha-3-1-4-fail-01-bare-acronyms.html</t>
  </si>
  <si>
    <t xml:space="preserve">corpus1\sophie\3.1.4\failed\ha-3-1-4-fail-02-empty-abbr-title.html</t>
  </si>
  <si>
    <t xml:space="preserve">corpus1\sophie\3.1.4\inapplicable\ha-3-1-4-inap-01-no-abbreviations.html</t>
  </si>
  <si>
    <t xml:space="preserve">corpus1\sophie\3.1.4\inapplicable\ha-3-1-4-inap-02-only-common-words.html</t>
  </si>
  <si>
    <t xml:space="preserve">corpus1\sophie\3.1.4\passed\ha-3-1-4-pass-01-abbr-with-title.html</t>
  </si>
  <si>
    <t xml:space="preserve">corpus1\sophie\3.1.4\passed\ha-3-1-4-pass-02-first-use-expansion.html</t>
  </si>
  <si>
    <t xml:space="preserve">34b98eee090db39d3c703d360e3b8c49d9b8acfa</t>
  </si>
  <si>
    <t xml:space="preserve">36b590</t>
  </si>
  <si>
    <t xml:space="preserve">Error message describes invalid form field value</t>
  </si>
  <si>
    <t xml:space="preserve">https://www.w3.org/WAI/content-assets/wcag-act-rules/testcases/36b590/34b98eee090db39d3c703d360e3b8c49d9b8acfa.html</t>
  </si>
  <si>
    <t xml:space="preserve">corpus1\sophie\3.3.1\passed\34b98eee090db39d3c703d360e3b8c49d9b8acfa.html</t>
  </si>
  <si>
    <t xml:space="preserve">3bb6b76d2dd823e02cace7c6be2a7ebe535d1d97</t>
  </si>
  <si>
    <t xml:space="preserve">https://www.w3.org/WAI/content-assets/wcag-act-rules/testcases/36b590/3bb6b76d2dd823e02cace7c6be2a7ebe535d1d97.html</t>
  </si>
  <si>
    <t xml:space="preserve">corpus1\sophie\3.3.1\failed\3bb6b76d2dd823e02cace7c6be2a7ebe535d1d97.html</t>
  </si>
  <si>
    <t xml:space="preserve">Found 3 rule violation(s) affecting 7 element(s).</t>
  </si>
  <si>
    <t xml:space="preserve">a51e05dc7b64d927ff25bc493bb0aa069c963d29</t>
  </si>
  <si>
    <t xml:space="preserve">https://www.w3.org/WAI/content-assets/wcag-act-rules/testcases/36b590/a51e05dc7b64d927ff25bc493bb0aa069c963d29.html</t>
  </si>
  <si>
    <t xml:space="preserve">corpus1\sophie\3.3.1\failed\a51e05dc7b64d927ff25bc493bb0aa069c963d29.html</t>
  </si>
  <si>
    <t xml:space="preserve">ac63f6ffcb1831a5614e525627822e7a6f15343d</t>
  </si>
  <si>
    <t xml:space="preserve">https://www.w3.org/WAI/content-assets/wcag-act-rules/testcases/36b590/ac63f6ffcb1831a5614e525627822e7a6f15343d.html</t>
  </si>
  <si>
    <t xml:space="preserve">corpus1\sophie\3.3.1\inapplicable\ac63f6ffcb1831a5614e525627822e7a6f15343d.html</t>
  </si>
  <si>
    <t xml:space="preserve">baa48e5f5a149f6d4d8038b693477ec94176d5a0</t>
  </si>
  <si>
    <t xml:space="preserve">https://www.w3.org/WAI/content-assets/wcag-act-rules/testcases/36b590/baa48e5f5a149f6d4d8038b693477ec94176d5a0.html</t>
  </si>
  <si>
    <t xml:space="preserve">corpus1\sophie\3.3.1\passed\baa48e5f5a149f6d4d8038b693477ec94176d5a0.html</t>
  </si>
  <si>
    <t xml:space="preserve">ha-3-3-1-inap-01-no-form</t>
  </si>
  <si>
    <t xml:space="preserve">Page has no form fields and no error states</t>
  </si>
  <si>
    <t xml:space="preserve">corpus1\sophie\3.3.1\inapplicable\ha-3-3-1-inap-01-no-form.html</t>
  </si>
  <si>
    <t xml:space="preserve">axe-form-field-multiple-labels-passed-01</t>
  </si>
  <si>
    <t xml:space="preserve">axe-core form-field-multiple-labels passed example</t>
  </si>
  <si>
    <t xml:space="preserve">corpus1\sophie\3.3.2\passed\axe-form-field-multiple-labels-passed-01.html</t>
  </si>
  <si>
    <t xml:space="preserve">axe-form-field-multiple-labels-passed-02</t>
  </si>
  <si>
    <t xml:space="preserve">corpus1\sophie\3.3.2\passed\axe-form-field-multiple-labels-passed-02.html</t>
  </si>
  <si>
    <t xml:space="preserve">ha-3-3-2-fail-01-unlabeled-inputs</t>
  </si>
  <si>
    <t xml:space="preserve">Form inputs have no label, no aria-label, no instructions</t>
  </si>
  <si>
    <t xml:space="preserve">corpus1\sophie\3.3.2\failed\ha-3-3-2-fail-01-unlabeled-inputs.html</t>
  </si>
  <si>
    <t xml:space="preserve">ha-3-3-2-fail-02-required-via-color-only</t>
  </si>
  <si>
    <t xml:space="preserve">Required fields indicated by color alone, no text instructions</t>
  </si>
  <si>
    <t xml:space="preserve">corpus1\sophie\3.3.2\failed\ha-3-3-2-fail-02-required-via-color-only.html</t>
  </si>
  <si>
    <t xml:space="preserve">ha-3-3-2-inap-01-no-inputs</t>
  </si>
  <si>
    <t xml:space="preserve">Page has no user input fields</t>
  </si>
  <si>
    <t xml:space="preserve">corpus1\sophie\3.3.2\inapplicable\ha-3-3-2-inap-01-no-inputs.html</t>
  </si>
  <si>
    <t xml:space="preserve">ha-3-3-2-inap-02-only-hidden-inputs</t>
  </si>
  <si>
    <t xml:space="preserve">Page contains only hidden form inputs not requiring user input</t>
  </si>
  <si>
    <t xml:space="preserve">corpus1\sophie\3.3.2\inapplicable\ha-3-3-2-inap-02-only-hidden-inputs.html</t>
  </si>
  <si>
    <t xml:space="preserve">corpus1\stefan\1.4.12\inapplicable\0128de1beb7862298366680f6920bd3b3874d752.html</t>
  </si>
  <si>
    <t xml:space="preserve">corpus1\stefan\1.4.12\passed\0dcc810409a65f29f559c4826afbaa71bcba6ae0.html</t>
  </si>
  <si>
    <t xml:space="preserve">corpus1\stefan\1.4.12\inapplicable\0f8063a09807c4bf8d5f7c796cbf0f2aa20e7e57.html</t>
  </si>
  <si>
    <t xml:space="preserve">corpus1\stefan\1.4.12\failed\1134eadf72b2a40c03b8bbf486ebfd3bb34cf986.html</t>
  </si>
  <si>
    <t xml:space="preserve">corpus1\stefan\1.4.12\passed\15905a239d6755102be6a60aa152ad963d5b1dbb.html</t>
  </si>
  <si>
    <t xml:space="preserve">corpus1\stefan\1.4.12\failed\31d185e51a8be241f8a75d09deae69d3937f0329.html</t>
  </si>
  <si>
    <t xml:space="preserve">corpus1\stefan\2.2.2\inapplicable\0d1564a1311c77d8693a9f839e1d752df501d441.html</t>
  </si>
  <si>
    <t xml:space="preserve">corpus1\stefan\2.2.2\passed\18adb94ce561c2d1f29dec32d91f3dd39a8e45b2.html</t>
  </si>
  <si>
    <t xml:space="preserve">corpus1\stefan\2.2.2\passed\337477ac8e969c4d134079babf891b0f1fd33eba.html</t>
  </si>
  <si>
    <t xml:space="preserve">corpus1\stefan\2.2.2\inapplicable\37668beb45f00408309f73569e36e63dc9327620.html</t>
  </si>
  <si>
    <t xml:space="preserve">corpus1\stefan\2.2.2\failed\8f0a05348afb0a218f3934157dad1b4d1673ea6a.html</t>
  </si>
  <si>
    <t xml:space="preserve">corpus1\stefan\2.2.2\failed\axe-blink-failed-01.html</t>
  </si>
  <si>
    <t xml:space="preserve">ha-2-4-5-fail-01-nav-only</t>
  </si>
  <si>
    <t xml:space="preserve">Only a navigation menu, no second discovery method</t>
  </si>
  <si>
    <t xml:space="preserve">corpus1\stefan\2.4.5\failed\ha-2-4-5-fail-01-nav-only.html</t>
  </si>
  <si>
    <t xml:space="preserve">ha-2-4-5-fail-02-search-only</t>
  </si>
  <si>
    <t xml:space="preserve">Only a search box, no second discovery method</t>
  </si>
  <si>
    <t xml:space="preserve">corpus1\stefan\2.4.5\failed\ha-2-4-5-fail-02-search-only.html</t>
  </si>
  <si>
    <t xml:space="preserve">ha-2-4-5-inap-01-process-page</t>
  </si>
  <si>
    <t xml:space="preserve">Page is a step in a process and exempt from 2.4.5</t>
  </si>
  <si>
    <t xml:space="preserve">corpus1\stefan\2.4.5\inapplicable\ha-2-4-5-inap-01-process-page.html</t>
  </si>
  <si>
    <t xml:space="preserve">ha-2-4-5-inap-02-login-page</t>
  </si>
  <si>
    <t xml:space="preserve">Standalone authentication page</t>
  </si>
  <si>
    <t xml:space="preserve">corpus1\stefan\2.4.5\inapplicable\ha-2-4-5-inap-02-login-page.html</t>
  </si>
  <si>
    <t xml:space="preserve">ha-2-4-5-pass-01-nav-plus-search</t>
  </si>
  <si>
    <t xml:space="preserve">Navigation menu and search both present</t>
  </si>
  <si>
    <t xml:space="preserve">corpus1\stefan\2.4.5\passed\ha-2-4-5-pass-01-nav-plus-search.html</t>
  </si>
  <si>
    <t xml:space="preserve">ha-2-4-5-pass-02-nav-sitemap-breadcrumb</t>
  </si>
  <si>
    <t xml:space="preserve">Navigation, sitemap link, and breadcrumb</t>
  </si>
  <si>
    <t xml:space="preserve">corpus1\stefan\2.4.5\passed\ha-2-4-5-pass-02-nav-sitemap-breadcrumb.html</t>
  </si>
  <si>
    <t xml:space="preserve">corpus1\stefan\2.4.6\passed\081e784ed9c1c5f96f02cf04c07b7d861cf3f9af.html</t>
  </si>
  <si>
    <t xml:space="preserve">corpus1\stefan\2.4.6\passed\14ecbd9d655c833f5f9c5ee9563c472faee663c4.html</t>
  </si>
  <si>
    <t xml:space="preserve">corpus1\stefan\2.4.6\inapplicable\1d7c2f68ba65c3d81cb8a858f52be30d48a296c3.html</t>
  </si>
  <si>
    <t xml:space="preserve">corpus1\stefan\2.4.6\failed\1e52060759a535934176a5a981446066aad6b31f.html</t>
  </si>
  <si>
    <t xml:space="preserve">corpus1\stefan\2.4.6\inapplicable\26d71f03f10bc14b28212699eddafe17adafc6b8.html</t>
  </si>
  <si>
    <t xml:space="preserve">corpus1\stefan\2.4.6\failed\2f1d964151ff5269a6027371956ee3b4a4a23fe7.html</t>
  </si>
  <si>
    <t xml:space="preserve">corpus1\stefan\3.1.4\failed\ha-3-1-4-fail-01-bare-acronyms.html</t>
  </si>
  <si>
    <t xml:space="preserve">corpus1\stefan\3.1.4\failed\ha-3-1-4-fail-02-empty-abbr-title.html</t>
  </si>
  <si>
    <t xml:space="preserve">corpus1\stefan\3.1.4\inapplicable\ha-3-1-4-inap-01-no-abbreviations.html</t>
  </si>
  <si>
    <t xml:space="preserve">corpus1\stefan\3.1.4\inapplicable\ha-3-1-4-inap-02-only-common-words.html</t>
  </si>
  <si>
    <t xml:space="preserve">corpus1\stefan\3.1.4\passed\ha-3-1-4-pass-01-abbr-with-title.html</t>
  </si>
  <si>
    <t xml:space="preserve">corpus1\stefan\3.1.4\passed\ha-3-1-4-pass-02-first-use-expansion.html</t>
  </si>
  <si>
    <t xml:space="preserve">claude-sonnet-4-6</t>
  </si>
  <si>
    <t xml:space="preserve">This page has no visible interactive elements — the only interactive content is an iframe with tabindex='-1' and the hidden attribute, making it completely unreachable and invisible, so there is nothing here for me to navigate to or interact with.</t>
  </si>
  <si>
    <t xml:space="preserve">This page has no visible interactive elements whatsoever — the only interactive content is an iframe with tabindex='-1' and hidden attributes, making it completely unreachable and invisible, so there is nothing here for me to navigate or interact with.</t>
  </si>
  <si>
    <t xml:space="preserve">This page has no visible interactive elements — the only interactive content is an iframe with tabindex='-1' and the hidden attribute, making it completely unreachable and invisible, so there is nothing here for me to navigate or interact with.</t>
  </si>
  <si>
    <t xml:space="preserve">There are no interactive elements reachable by keyboard on this page — the only element is an iframe with tabindex='-1' and the inert attribute, which removes it and its contents entirely from keyboard interaction, so there is nothing here for me to evaluate.</t>
  </si>
  <si>
    <t xml:space="preserve">This page has no interactive elements reachable by keyboard — the only element is an iframe with tabindex='-1' and the inert attribute, making it and its contents completely removed from the tab order and interaction model, so there is nothing here for me to evaluate.</t>
  </si>
  <si>
    <t xml:space="preserve">This page has no interactive elements reachable by keyboard — the only element is an iframe with tabindex='-1' and the inert attribute, making it completely excluded from interaction, so there's nothing here for me to navigate to or operate.</t>
  </si>
  <si>
    <t xml:space="preserve">The page contains a single iframe with a native anchor link that is fully keyboard accessible, has a logical focus order, and native browser focus indicators apply — nothing here blocks me from navigating with Tab.</t>
  </si>
  <si>
    <t xml:space="preserve">The page contains a single iframe with a standard anchor link that is keyboard focusable, has no timing issues, follows a logical focus order, and while focus visibility depends on the browser default, there are no explicit violations — this page passes all five criteria I evaluate.</t>
  </si>
  <si>
    <t xml:space="preserve">The page contains a single iframe with an anchor link that is keyboard focusable, has no timing issues, follows a logical focus order, and while there is no explicit focus style the browser default should apply — overall this page passes all five criteria I evaluate.</t>
  </si>
  <si>
    <t xml:space="preserve">This page has a single scrollable section with one link and a paragraph — the link is a standard anchor element that I can reach with Tab, focus is handled by the browser natively, there are no time limits, no focus order issues, and while the link may be inline text (exempt from 2.5.5 target size), everything here works fine for me as a keyboard user.</t>
  </si>
  <si>
    <t xml:space="preserve">This page has a single scrollable section with a standard anchor link and paragraph text — the link is keyboard-focusable, there are no time limits, no focus order issues, no missing focus indicators in native rendering, and the link is inline text so target size exceptions apply; everything checks out for me as a keyboard-only user.</t>
  </si>
  <si>
    <t xml:space="preserve">This page has a single scrollable section with one link and a paragraph — the link is a standard native anchor element that I can reach with Tab, focus is handled by the browser's default styles, there are no time limits, no focus order issues, and while the target size of the link may be modest it is inline text so it falls under the native/inline exception — overall this page works fine for me.</t>
  </si>
  <si>
    <t xml:space="preserve">This page has no interactive elements whatsoever — just a scrollable section with a heading and paragraph text — so none of my five keyboard and timing criteria apply here.</t>
  </si>
  <si>
    <t xml:space="preserve">This page fails me completely — there's a scrollable section I can't reach with Tab, so a chunk of the content is locked away and I have no way to read it.</t>
  </si>
  <si>
    <t xml:space="preserve">[2.1.1] As Ade, I cannot reach this scrollable region with Tab at all. The overflowing text is effectively hidden from me — it simply does not exist in my world. Add tabindex="0" to the scrollable &lt;section&gt; element so keyboard users can focus it and scroll with arrow keys.</t>
  </si>
  <si>
    <t xml:space="preserve">This page has a scrollable container that I can't reach with Tab — the content is locked away from me, and since I use the keyboard for everything, that overflow text simply doesn't exist for me.</t>
  </si>
  <si>
    <t xml:space="preserve">[2.1.1] As Ade, I cannot reach this scrollable region with Tab at all — it simply doesn't exist for me. The text is clipped at 100px and I have no way to read the rest of the WCAG abstract without a mouse to scroll it. Add tabindex="0" to the scrollable &lt;section&gt; element so keyboard users can focus it and use arrow keys to scroll: &lt;section tabindex="0" style="height: 100px; width: 500px; overflow-y: scroll"&gt;</t>
  </si>
  <si>
    <t xml:space="preserve">This page is completely broken for me — the only interactive element, a Home link, is locked inside an iframe with tabindex='-1', which means it literally does not exist as far as my keyboard is concerned.</t>
  </si>
  <si>
    <t xml:space="preserve">[2.1.1] As Ade, I use Tab for everything. If the iframe is excluded from the tab order with tabindex='-1', the Home link inside it simply does not exist for me — I can never reach it by keyboard. Remove tabindex='-1' from the iframe so it enters the natural tab order, or restructure the content so the link is in the main document and reachable via Tab without needing to enter an iframe. || [2.4.7] Even if I could somehow reach the link, there is no focus styling defined anywhere in this page, so I would have no visible indicator of where my keyboard focus is. Add a visible :focus style (e.g., outline: 2px solid #005fcc) for all interactive elements, and ensure those elements are actually reachable by keyboard first.</t>
  </si>
  <si>
    <t xml:space="preserve">This page is completely unusable for me — the only interactive element, a link inside an iframe, is locked away behind tabindex='-1' and I can never reach it with my keyboard.</t>
  </si>
  <si>
    <t xml:space="preserve">[2.1.1] As Ade, I use Tab for everything. If the iframe is excluded from the tab order with tabindex='-1', the link inside it simply does not exist for me — I can never reach or activate it. Remove tabindex='-1' from the iframe so it can receive keyboard focus, or restructure the content so the link exists in the main document where it is naturally keyboard-reachable. || [2.4.7] I need to see where focus is at all times. With no focusable elements reachable via Tab, I have no visible focus indicator anywhere on the page, leaving me completely disoriented. Ensure all focusable elements have a clearly visible focus indicator via CSS :focus or :focus-visible styles.</t>
  </si>
  <si>
    <t xml:space="preserve">This page is completely broken for me — the only interactive element is locked behind a tabindex='-1' iframe, so Tab skips it entirely and it simply doesn't exist in my world.</t>
  </si>
  <si>
    <t xml:space="preserve">[2.1.1] As Ade, I use Tab for everything. If the iframe is excluded from the tab order with tabindex='-1', the Home link inside it simply does not exist for me. I cannot reach it, period. Remove tabindex='-1' from the iframe so it enters the natural tab order, or restructure the content so the link is directly in the main document and reachable via Tab. || [2.4.7] Even if I somehow reached the link, there is no stylesheet providing a visible focus ring, and the iframe's tabindex='-1' means keyboard focus never lands there. I would have no visual cue of where I am. Ensure the link is keyboard-reachable and add a clearly visible :focus style (e.g., outline: 3px solid #005fcc) so focus is always visible.</t>
  </si>
  <si>
    <t xml:space="preserve">This page fails immediately because a 5-second forced redirect gives me no time to react with my keyboard or voice control, and there is absolutely no way for me to stop or extend it.</t>
  </si>
  <si>
    <t xml:space="preserve">[2.2.1] Five seconds is nowhere near enough time for me to orient myself using voice control or keyboard navigation. By the time I've even started reading the page, I'm yanked away to a new location with no warning and no way to stop it. Remove the meta refresh redirect entirely, or replace it with a user-initiated link/button. If a timed redirect is truly necessary, provide a visible countdown with keyboard-accessible controls to pause or cancel it, and set the timeout to at least 20 hours per WCAG guidance.</t>
  </si>
  <si>
    <t xml:space="preserve">This page kicks me off to another URL after just 5 seconds with no way to stop it — that's a critical barrier for me because voice control and keyboard navigation simply can't keep up with that kind of time pressure.</t>
  </si>
  <si>
    <t xml:space="preserve">[2.2.1] Five seconds is nowhere near enough time for me to orient myself on a page using keyboard navigation or voice control. By the time I've even found where focus is, the page has already redirected me somewhere else without my consent. Remove the meta refresh redirect entirely, or replace it with a user-initiated control (e.g., a clearly labelled button or link) that lets the user choose when to navigate. If a timed redirect is truly necessary, provide a visible countdown with keyboard-accessible controls to cancel or extend the time limit by at least 10x the original duration.</t>
  </si>
  <si>
    <t xml:space="preserve">This page yanks me away after just 5 seconds with no way to stop it — that's a critical blocker for me because voice control and keyboard navigation simply can't keep up with that kind of time pressure.</t>
  </si>
  <si>
    <t xml:space="preserve">[2.2.1] Five seconds is nowhere near enough time for me to orient myself on a page using keyboard navigation or voice control. By the time I've even found where focus is, the page has already redirected me somewhere else without my consent. Remove the meta refresh redirect entirely, or replace it with a user-initiated control (e.g., a keyboard-focusable button or link) that lets the user choose when to navigate. If a redirect is truly necessary, provide a visible, keyboard-accessible mechanism to cancel or extend the time limit to at least 20 hours, per WCAG 2.2.1 exception criteria.</t>
  </si>
  <si>
    <t xml:space="preserve">This page has no interactive elements and no active time limits, so none of my five keyboard and timing criteria apply here.</t>
  </si>
  <si>
    <t xml:space="preserve">This page has no interactive elements and no active time limit, so none of my five keyboard and timing criteria apply here.</t>
  </si>
  <si>
    <t xml:space="preserve">This page is just an instant meta-refresh redirect with no interactive elements whatsoever, so there is nothing for me to tab to or interact with.</t>
  </si>
  <si>
    <t xml:space="preserve">This page fails immediately because the 30-second auto-refresh gives me no way to stop or extend it — with voice control, 30 seconds vanishes before I can do anything meaningful, and I'm left constantly losing my place.</t>
  </si>
  <si>
    <t xml:space="preserve">[2.2.1] Voice control is slow — 30 seconds is nowhere near enough time for me to complete a task before the page resets and I lose my place entirely. There is no way for me to disable or extend this limit. Remove the meta refresh entirely, or provide a clearly labelled, keyboard-accessible control that lets users turn off, adjust, or extend the time limit before it expires. If the refresh is necessary, the timeout must be at least 20 hours, or the user must be warned and given at least 20 seconds to extend it.</t>
  </si>
  <si>
    <t xml:space="preserve">This page auto-refreshes every 30 seconds with no way to stop it — as someone who relies on voice control and keyboard navigation, that timer will constantly reset my work before I can finish anything.</t>
  </si>
  <si>
    <t xml:space="preserve">[2.2.1] Voice control is slow — 30 seconds is not enough time for me to complete a task before the page resets, losing my place and any progress I've made. There is no way for me to turn this off. Remove the meta refresh entirely, or provide a clearly keyboard-accessible control that allows the user to disable, pause, or extend the time limit to at least 20 times the default (i.e., 10 minutes or more).</t>
  </si>
  <si>
    <t xml:space="preserve">This page is inaccessible to me — a 30-second auto-refresh with no way to stop it means I'll constantly lose my place and any work in progress before I can even finish navigating the page with my keyboard or voice control.</t>
  </si>
  <si>
    <t xml:space="preserve">[2.2.1] Voice control is slow for me. If the page reloads every 30 seconds, I lose my place mid-task — any form I'm filling in, any navigation I'm working through, just vanishes. I cannot complete anything in time. Remove the meta refresh entirely, or provide a user-controlled mechanism to disable, extend, or pause the time limit before it triggers. If the refresh is necessary, the timeout must be at least 20 hours, or the user must be warned and given at least 20 seconds to extend it.</t>
  </si>
  <si>
    <t xml:space="preserve">This page fails because the meta-refresh time limit gives me no way to turn it off or extend it — as someone who works slowly with voice control and keyboard navigation, losing control of when a page redirects is a real barrier I cannot work around.</t>
  </si>
  <si>
    <t xml:space="preserve">[2.2.1] As Ade, voice control is slow and I work at my own pace. Even a 20-hour limit is a problem if there is absolutely no way for me to disable or extend it — I have zero control over when this page will vanish from under me, and no warning or option is provided. Remove the meta-refresh redirect entirely, or provide a clearly keyboard-accessible control that lets the user disable, extend, or adjust the time limit before it expires. If the redirect is essential, display a visible, keyboard-focusable warning well in advance with an option to cancel or postpone.</t>
  </si>
  <si>
    <t xml:space="preserve">This page fails because the meta-refresh timer gives me absolutely no way to stop or extend the automatic redirect — no button, no dialog, nothing I can reach with Tab — and that loss of control is unacceptable when I'm navigating slowly with voice and keyboard.</t>
  </si>
  <si>
    <t xml:space="preserve">[2.2.1] As Ade, I rely on voice control which is slow. Even though 20 hours sounds like a lot, there is absolutely no way for me to disable or extend this timer — it will fire without warning and without my consent, potentially interrupting my work mid-task with no recourse. Remove the meta-refresh redirect entirely, or replace it with a server-side mechanism that provides a visible, keyboard-accessible control allowing users to cancel, extend, or disable the time limit before it expires. If a redirect is truly necessary, provide at minimum a prominent, focusable warning with options to stop or postpone it. || [2.1.1] Not applicable as a failure — there are no interactive controls to reach. However, the meta-refresh itself is an automated action with no keyboard-accessible override control provided. If a redirect or session timeout is needed, provide a keyboard-accessible dialog or control to manage it.</t>
  </si>
  <si>
    <t xml:space="preserve">This page fails because the automatic meta-refresh redirect gives me absolutely no way to stop, extend, or disable it — as someone using slow voice control, losing control of page navigation without warning is unacceptable.</t>
  </si>
  <si>
    <t xml:space="preserve">[2.2.1] As Ade, I rely on voice control which is slow. Even though 20 hours sounds like a lot, there is absolutely no way for me to disable or extend this timer — it will fire without warning and without my consent, potentially interrupting a long working session or an assistive-technology workflow I have open. I have no control whatsoever. Remove the meta-refresh redirect entirely, or replace it with a user-initiated control (e.g., a button or link the user clicks to navigate). If a timed redirect is truly necessary, provide a visible countdown with options to extend or cancel the timer before it fires, per WCAG 2.2.1 Success Criterion. || [2.1.1] Not applicable as a failure — there is nothing to interact with via keyboard. However, the meta-refresh itself is not keyboard-controllable, reinforcing the 2.2.1 issue. N/A for this criterion in isolation; addressed by fixing 2.2.1.</t>
  </si>
  <si>
    <t xml:space="preserve">This page has no interactive elements whatsoever, so there is nothing for me to navigate with my keyboard — all five criteria are inapplicable, though I do note the meta refresh timer of 72001 seconds is well above the 20-hour threshold that would trigger a WCAG 2.2.1 concern.</t>
  </si>
  <si>
    <t xml:space="preserve">This page has no interactive elements whatsoever, so there is nothing for me to navigate or operate — all five criteria are inapplicable, and the meta-refresh timeout of 72001 seconds is well above the 20-hour threshold that would trigger a 2.2.1 concern.</t>
  </si>
  <si>
    <t xml:space="preserve">This form's scrambled tab order — jumping to Question 2, then Question 3, then back up to Question 1 — completely disorients me as a keyboard-only user; I lose my place and can't trust that I've answered questions in the right sequence.</t>
  </si>
  <si>
    <t xml:space="preserve">[2.4.3] As Ade, I Tab through the form expecting to fill in Question 1, then 2, then 3 — but instead I land on Question 2 first, then Question 3, then jump back up to Question 1. This completely disorients me and I lose track of which fields I've already filled in. Remove the explicit tabindex attributes entirely (or set them all to tabindex='0') so the browser uses the natural DOM order: q1 → q2 → q3 → Submit. Only use positive tabindex values when there is a genuine, intentional reason to override visual order.</t>
  </si>
  <si>
    <t xml:space="preserve">The scrambled tabindex values send my keyboard focus jumping out of visual order — q2 before q1 — which disorients me completely and makes this survey unreliable to complete by keyboard.</t>
  </si>
  <si>
    <t xml:space="preserve">[2.4.3] As Ade, I Tab through the form expecting to answer Question 1 first, but focus jumps to Question 2 instead. By the time I reach Question 1 it's the third field — I've lost my place and may fill in answers against the wrong questions without realising it. Remove all explicit tabindex attributes from these form controls (or set them all to tabindex='0'). Native DOM order already provides a logical top-to-bottom sequence: q1 → q2 → q3 → Submit.</t>
  </si>
  <si>
    <t xml:space="preserve">This survey form scrambles my Tab key journey — focus jumps to Question 2, then Question 3, then back up to Question 1, which completely disorients me and makes filling out even a simple three-question form a confusing ordeal.</t>
  </si>
  <si>
    <t xml:space="preserve">[2.4.3] As Ade, I Tab through forms in the order I see them on screen. When focus jumps to Question 2 first, then Question 3, then leaps back up to Question 1, I completely lose my place and have no idea which field I just filled in. This disorientation is exhausting and error-prone when I cannot use a mouse to reorient myself. Remove all explicit tabindex attributes from the form fields and the submit button, or set them all to tabindex='0'. The natural DOM order (q1 → q2 → q3 → Submit) already matches the visual order and will produce a logical, predictable tab sequence without any tabindex manipulation.</t>
  </si>
  <si>
    <t xml:space="preserve">This form breaks my ability to navigate predictably — the CSS flexbox reordering makes the tab sequence jump around the page in a way that completely disconnects what I see from where my keyboard focus actually lands.</t>
  </si>
  <si>
    <t xml:space="preserve">[2.4.3] As Ade, I tab through the form expecting to fill in what I see left-to-right: City, then State, then Street. Instead focus jumps to Street first (invisible to me as the third visual field), then City, then State. I lose my place immediately and have no idea which field I am actually editing. Align DOM order with visual order. Either reorder the HTML elements to match the intended visual sequence (City, State, Street), or remove the CSS `order` overrides so visual and DOM order are identical. Do not use CSS `order` to create a visual sequence that diverges from the tab sequence.</t>
  </si>
  <si>
    <t xml:space="preserve">This form fails because CSS flex `order` makes the visual field sequence (City, State, Street) completely different from the tab order (Street, City, State), which disorients me every time I press Tab.</t>
  </si>
  <si>
    <t xml:space="preserve">[2.4.3] As Ade, I tab through the fields in an order that doesn't match what I see on screen. I press Tab expecting to move to the next visible field but instead jump to a field that appears to be in a completely different position. This disorients me and makes it very hard to know where I am in the form. Align the DOM order with the intended visual order. Either reorder the HTML elements so Street, City, State match the desired visual sequence, or remove the CSS `order` manipulation and use a layout that preserves DOM order. Do not use CSS `order` to create a visual sequence that contradicts the tab sequence.</t>
  </si>
  <si>
    <t xml:space="preserve">This form fails me completely — the CSS flex `order` trick makes my Tab key jump around the screen in the wrong direction, and I lose track of where I am every single keystroke.</t>
  </si>
  <si>
    <t xml:space="preserve">[2.4.3] As Ade, I tab through fields in DOM order (Street → City → State) but the visible layout shows City → State → Street. My focus indicator jumps backwards across the screen with every Tab press, completely disorienting me and making it impossible to reliably fill in the form. Reorder the elements in the DOM to match the intended visual order (City, State, Street), or remove the CSS `order` reordering so visual and DOM order are consistent. Do not rely on CSS `order` to reorder content that has a meaningful sequence for keyboard users.</t>
  </si>
  <si>
    <t xml:space="preserve">This page has no interactive elements whatsoever — just static headings and paragraphs — so none of my keyboard, timing, focus, or target-size criteria apply here.</t>
  </si>
  <si>
    <t xml:space="preserve">This page has no interactive elements whatsoever — no links, buttons, or form controls — so none of my five keyboard and interaction criteria apply here.</t>
  </si>
  <si>
    <t xml:space="preserve">This simple maintenance page has a single native button that is fully keyboard accessible, has no time limits, follows a logical tab order, and renders a visible focus indicator by default — nothing here blocks me from using it.</t>
  </si>
  <si>
    <t xml:space="preserve">This simple maintenance page has a single native button that is fully keyboard accessible, has no time limits, follows a logical tab order, and should display a visible focus indicator by default — nothing here blocks me from using it.</t>
  </si>
  <si>
    <t xml:space="preserve">This straightforward sign-up form uses native HTML inputs and a button — everything is keyboard-reachable, focus order follows the visual layout top-to-bottom, browsers render default focus rings, there are no time limits, and the submit button is a full-width block element well above 44px in most default stylesheets, so I can navigate this page without any barriers.</t>
  </si>
  <si>
    <t xml:space="preserve">This sign-up form is clean and straightforward — all inputs and the submit button are native HTML elements that I can reach with Tab, focus is visible by default, the tab order follows the logical top-to-bottom DOM sequence, there are no time limits, and while the submit button may be on the smaller side it is a standard browser-rendered control exempt from the 44×44 AAA target-size rule.</t>
  </si>
  <si>
    <t xml:space="preserve">This dialog is essentially unreachable for me — there's no focus management to bring me into it, no visible focus indicator, and no focus trap, so as Ade I'd be completely lost the moment this modal opens.</t>
  </si>
  <si>
    <t xml:space="preserve">[2.4.7] As Ade, if focus isn't moved into the dialog when it opens, I have no idea where I am. I can't see a focus ring on the dialog or its buttons, so I've completely lost my place on the page. Add `autofocus` to the Cancel button (or the dialog's first focusable element), and ensure a visible `:focus` outline is defined in CSS for all interactive elements. || [2.1.1] As Ade, I rely entirely on Tab to navigate. If focus isn't placed inside the dialog, I can't reach Cancel or Delete — those buttons effectively don't exist for me. Add a focus management script that moves focus to the first interactive element inside the dialog when it opens, and implement a focus trap so Tab cycles only within the dialog while it is open. || [2.4.3] As Ade, unpredictable Tab behaviour inside a modal disorients me. I need to know Tab will cycle Cancel → Delete → Cancel without escaping the dialog. Implement a focus trap within the dialog: intercept Tab and Shift+Tab keydown events to keep focus cycling between the dialog's focusable children only. || [2.5.5] As Ade, my adaptive pointing device struggles to land on small targets. Unstyled default buttons are often too small for me to activate reliably. Apply CSS to ensure both buttons have a minimum height and width of 44px, e.g. `min-height: 44px; min-width: 44px; padding: 10px 16px;`.</t>
  </si>
  <si>
    <t xml:space="preserve">This dialog is a keyboard trap in the worst sense — no autofocus, no explicit focus styles, and undersized buttons mean I can't reliably reach, see, or activate the controls I need to either cancel or confirm an irreversible action.</t>
  </si>
  <si>
    <t xml:space="preserve">[2.4.7] If the focus ring disappears or is invisible on any of the two buttons, I completely lose my place inside the dialog. With only two focusable elements I could get stuck not knowing which button is active. Add explicit CSS focus styles, e.g. button:focus-visible { outline: 3px solid #005fcc; outline-offset: 2px; } to guarantee a visible indicator in all browsers. || [2.1.1] When the dialog opens I need focus to land inside it automatically. If it doesn't, I'm stuck — Tab won't reach the buttons because the main content is inert and there's nothing else to tab to, leaving me unable to Cancel or Delete. Add autofocus to the Cancel button (&lt;button type="button" autofocus&gt;Cancel&lt;/button&gt;) or use a script to call focus() on the first interactive element when the dialog is rendered. Also ensure focus is trapped within the dialog while it is open. || [2.5.5] My adaptive pointing device needs at least 44×44 px targets. Undersized buttons mean I frequently miss and activate the wrong action — especially dangerous here where 'Delete account' is irreversible. Add CSS: button { min-height: 44px; min-width: 44px; padding: 10px 16px; } to ensure both buttons meet the minimum target size.</t>
  </si>
  <si>
    <t xml:space="preserve">This dialog is inaccessible to me as Ade: focus is never moved into it when it opens, so I'm left stranded with no visible focus indicator and a disorienting tab order, and the unstyled buttons are too small for my adaptive device to reliably hit.</t>
  </si>
  <si>
    <t xml:space="preserve">[2.4.7] As Ade, if focus is not moved into the dialog when it opens, I have no idea where I am on the page. The main content is inert so Tab does nothing there, and I can't see where focus landed — I've completely lost my place. Add focus management: on dialog open, programmatically move focus to the dialog container (add `tabindex="-1"` to the `&lt;div role="dialog"&gt;`) or to the first interactive element (Cancel button). Ensure a visible focus ring is present via CSS (e.g., `outline: 2px solid #005fcc`). || [2.4.3] As Ade, Tab order starts somewhere outside the dialog, then jumps into the Cancel button. That disorienting jump makes me unsure whether I'm interacting with the dialog or something else entirely. On dialog activation, call `document.querySelector('[role="dialog"]').focus()` (with `tabindex="-1"` on the div) or `cancelButton.focus()` to establish a logical, predictable focus entry point inside the dialog. || [2.5.5] As Ade, my adaptive pointing device struggles to land on small targets. A 'Delete account' button that is only as tall as a line of text is very easy to miss, and a misclick here could be catastrophic — it deletes my account. Apply CSS to ensure both buttons meet 44×44 px minimum: e.g., `button { min-height: 44px; min-width: 44px; padding: 10px 16px; }`.</t>
  </si>
  <si>
    <t xml:space="preserve">This page has a single native anchor link with an href, which is fully keyboard accessible, has a visible default focus indicator, follows a trivial tab order, has no time limits, and as a text link is exempt from the 44px target size requirement — nothing here blocks me from using it.</t>
  </si>
  <si>
    <t xml:space="preserve">This page has a single native anchor link with an href, which is fully keyboard accessible, has a visible default focus indicator, follows a trivial tab order, has no time limits, and as a text link is exempt from the 44px target size requirement — I can navigate it without any problems.</t>
  </si>
  <si>
    <t xml:space="preserve">This page has a single native anchor link with an href, which is fully keyboard accessible, has a visible focus indicator from the browser default, has no timing issues, follows a trivial but logical tab order, and as an inline text link is exempt from the 44px target size requirement — I can navigate this without any problems.</t>
  </si>
  <si>
    <t xml:space="preserve">This page has three standard anchor links that are keyboard-reachable via Tab, and the custom focus indicator mechanism (toggling 'solid' class on adjacent span elements via onfocus/onblur) provides visible focus indication, so I can navigate and see where I am without getting lost.</t>
  </si>
  <si>
    <t xml:space="preserve">This page has three standard anchor links that are keyboard-focusable by default, and the onfocus/onblur JavaScript toggles custom visual indicators to show focus state, so I can tab through all links and always see where I am — no barriers for me here.</t>
  </si>
  <si>
    <t xml:space="preserve">This page has three standard anchor links that are keyboard-focusable by default, and the onfocus/onblur handlers toggle visible indicator spans to show focus state, so I can tab through all links and always see where I am — no barriers for me here.</t>
  </si>
  <si>
    <t xml:space="preserve">This page has no interactive elements whatsoever — just a plain text span — so there is nothing for me to tab to, focus on, or interact with, making all five criteria inapplicable.</t>
  </si>
  <si>
    <t xml:space="preserve">There are no interactive elements on this page whatsoever — just a plain text span — so none of my keyboard, timing, focus, or target-size concerns apply here.</t>
  </si>
  <si>
    <t xml:space="preserve">This page has no interactive elements whatsoever — just a plain text span — so there's nothing for me to tab to, focus on, or interact with, making all five criteria inapplicable.</t>
  </si>
  <si>
    <t xml:space="preserve">This page has two links I can see but can never reach — tabindex='-1' has locked me out of both of them, and as someone who relies entirely on keyboard navigation, this page is effectively non-functional for me.</t>
  </si>
  <si>
    <t xml:space="preserve">[2.1.1] As Ade, I use Tab for everything. If it can't be reached with Tab, it doesn't exist for me. Both links on this page are completely invisible to my keyboard navigation — I cannot activate either of them. Remove tabindex='-1' from both anchor elements, or change to tabindex='0' if a custom tab order is needed. Native links should remain in the natural tab order unless there is a specific, justified reason to exclude them. || [2.4.7] As Ade, I need to see where focus is at all times. With tabindex='-1' removing these links from tab order entirely, there is no focus indicator to observe, meaning I have no visual feedback about my position on the page. Restore the links to the tab order and add a clear :focus style (e.g., outline: 3px solid #005fcc) to ensure focus is always visible.</t>
  </si>
  <si>
    <t xml:space="preserve">This page has two links I simply cannot reach — they've been deliberately pulled out of the tab order with tabindex='-1', which means as Ade, who relies entirely on keyboard navigation, these links do not exist for me.</t>
  </si>
  <si>
    <t xml:space="preserve">[2.1.1] As Ade, I use Tab for everything. If it can't be reached with Tab, it doesn't exist for me. Both links on this page are completely unreachable by keyboard navigation — I cannot activate either link at all. Remove the tabindex='-1' attribute from both anchor elements, or change to tabindex='0' if a positive tab order is needed. Native anchor elements with href are keyboard focusable by default and should not be excluded from the tab order unless they are intentionally hidden or decorative. || [2.4.7] Even if I somehow reached these links, there is no focus style defined anywhere in the page, so I would have no visible indicator of where I am. Restore keyboard focusability and add a visible :focus style (e.g., outline: 2px solid #005fcc) to all interactive elements.</t>
  </si>
  <si>
    <t xml:space="preserve">This page is completely broken for me — both links are hidden from the Tab key with tabindex='-1', so I have zero keyboard-accessible interactive elements and no visible focus indicator anywhere on the page.</t>
  </si>
  <si>
    <t xml:space="preserve">[2.1.1] As Ade, I use Tab for everything — if it can't be reached by Tab, it doesn't exist for me. Both links on this page are completely unreachable by keyboard navigation. I cannot activate either link. Remove the tabindex='-1' attribute from both anchor elements, or change it to tabindex='0' if a specific tab order is needed. Native anchor elements with href are keyboard focusable by default and should not be excluded from the tab order. || [2.4.7] I need to see where focus is at all times. Since neither link can receive focus via Tab, there is never a visible focus indicator on any interactive element — I have no visual anchor on this page. Restore these links to the tab order (remove tabindex='-1') and add a visible :focus style, e.g. a:focus { outline: 3px solid #005fcc; }.</t>
  </si>
  <si>
    <t xml:space="preserve">This page fails because the link's focus indicator has been deliberately suppressed via the 'no-focus-default' stylesheet class, meaning I have no way to see where my keyboard focus is — that's a showstopper for me.</t>
  </si>
  <si>
    <t xml:space="preserve">[2.4.7] As Ade, if I Tab to this link I have no visible cue that focus is on it. I completely lose my place on the page — it's as if the keyboard cursor has vanished. I cannot tell where I am or what will activate if I press Enter. Remove any CSS rule that sets `outline: none` or `outline: 0` on this element (or its :focus/:focus-visible pseudo-class). Provide a clearly visible focus indicator, such as `outline: 3px solid #005fcc; outline-offset: 2px;` on `:focus-visible`.</t>
  </si>
  <si>
    <t xml:space="preserve">This page fails me completely — the one interactive element has its focus ring stripped away, so the moment I Tab to it, I'm flying blind with no idea where I am on the page.</t>
  </si>
  <si>
    <t xml:space="preserve">[2.4.7] As Ade, when I Tab to this link I have absolutely no idea where keyboard focus is. The focus indicator disappears entirely, meaning I lose my place on the page and cannot tell whether I've reached the link or moved past it. Remove any CSS rule that sets `outline: none` or `outline: 0` on focused elements. Instead, provide a clearly visible focus style, such as `a:focus { outline: 3px solid #005fcc; outline-offset: 2px; }`, ensuring the indicator meets at least a 3:1 contrast ratio against the surrounding background.</t>
  </si>
  <si>
    <t xml:space="preserve">This page fails because the link's focus indicator appears to be deliberately suppressed via the 'no-focus-default' stylesheet class, meaning I have no visible cue when I Tab to it — I'm navigating blind.</t>
  </si>
  <si>
    <t xml:space="preserve">[2.4.7] As Ade, if the focus indicator is removed from this link I have absolutely no way to tell where I am on the page when I Tab to it. I lose my place completely — it's as if the keyboard cursor vanishes. Remove any CSS rule that sets `outline: none` or `outline: 0` on focused elements, or replace it with a clearly visible custom focus style (e.g., `outline: 3px solid #005fcc; outline-offset: 2px`) that meets the 2.4.11 minimum contrast and area requirements.</t>
  </si>
  <si>
    <t xml:space="preserve">This page is completely unusable for me as Ade — the deliberate removal of every focus indicator means I cannot see where my keyboard focus is at any point, which is a showstopper, and the unstyled controls are likely too small for my adaptive device to hit reliably.</t>
  </si>
  <si>
    <t xml:space="preserve">[2.4.7] As Ade, I rely entirely on the visible focus ring to know where I am on the page. With outline and box-shadow both suppressed and no replacement indicator, focus is completely invisible. When I Tab through the email field, Subscribe button, and Privacy policy link, I have no idea which element is active — I am completely lost. Remove the `outline: none` rules entirely, or replace them with a high-contrast custom focus style, e.g. `outline: 3px solid #005fcc; outline-offset: 2px;` applied to all interactive elements on :focus or :focus-visible. || [2.5.5] My adaptive pointing device struggles to land on small targets. A Subscribe button that is only ~24 px tall is very easy to miss, forcing repeated attempts and increasing fatigue. Add CSS to ensure all interactive controls meet 44×44 px minimum: e.g. `button, input[type='email'] { min-height: 44px; padding: 0 12px; }` and ensure the button is at least 44 px wide.</t>
  </si>
  <si>
    <t xml:space="preserve">This page is a critical failure for me — the CSS deliberately kills every focus indicator, so the moment I press Tab I'm navigating blind with no way to see where I am.</t>
  </si>
  <si>
    <t xml:space="preserve">[2.4.7] As Ade, when I Tab through this form I have absolutely no idea where keyboard focus is. The cursor is invisible. I cannot tell if I'm on the email field, the button, or the link — I've completely lost my place and cannot operate the page reliably. Remove the `outline: none` and `box-shadow: none` declarations from focus styles. Provide a clearly visible focus indicator (e.g., `outline: 3px solid #005fcc; outline-offset: 2px;`) for all interactive elements.</t>
  </si>
  <si>
    <t xml:space="preserve">This page is unusable for me — every focus indicator has been deliberately stripped away, so tabbing through the form is like navigating in the dark with no landmarks.</t>
  </si>
  <si>
    <t xml:space="preserve">[2.4.7] As Ade, I rely entirely on the visible focus ring to know where I am on the page. With outline and box-shadow both suppressed and no replacement indicator, focus is completely invisible. When I Tab through the email field, Subscribe button, and Privacy policy link, I have no idea which element is active — I am completely lost. Remove the `outline: none` and `box-shadow: none` declarations from focus states, or replace them with a clearly visible custom focus indicator (e.g., `outline: 3px solid #005fcc; outline-offset: 2px;`) that meets at least a 3:1 contrast ratio against the surrounding background.</t>
  </si>
  <si>
    <t xml:space="preserve">The gallery controls are keyboard-reachable and focus order looks fine, but every button is a tiny 20×20 px target — my adaptive device can't land on them reliably, making this page effectively unusable for me without pure keyboard-only operation.</t>
  </si>
  <si>
    <t xml:space="preserve">[2.5.5] My adaptive pointing device cannot reliably land on a 20×20 px target. I will constantly mis-click or miss entirely, forcing me to fall back to Tab navigation for every single action — and even then, activating them with a pointer is essentially impossible for me. Increase each button to at least 44×44 CSS pixels (e.g., `width: 44px; height: 44px; padding: 10px;`). If the visual icon must stay small, use padding to expand the clickable area while keeping the icon centred.</t>
  </si>
  <si>
    <t xml:space="preserve">The gallery controls are keyboard-reachable and focus order looks fine, but every button is a tiny 20×20 px target — my adaptive device can't reliably hit them, so this page fails for me.</t>
  </si>
  <si>
    <t xml:space="preserve">[2.5.5] My adaptive pointing device cannot reliably land on a 20×20 px target. I will constantly mis-click or miss entirely, making the gallery unusable without keyboard-only navigation. Increase each button's clickable area to at least 44×44 CSS pixels, e.g. `width: 44px; height: 44px;` with appropriate padding, or use a transparent padding/pseudo-element technique to expand the hit area without changing the visual design.</t>
  </si>
  <si>
    <t xml:space="preserve">The gallery controls are keyboard-reachable and focus order looks fine, but every button is only 20×20 pixels — far too small for my adaptive pointing device to hit reliably, making this page effectively unusable for me.</t>
  </si>
  <si>
    <t xml:space="preserve">[2.5.5] My adaptive pointing device cannot reliably land on a 20×20 pixel target. I will constantly mis-click or miss entirely, making the gallery controls effectively unusable with my device. Increase each button's width and height to at least 44px (e.g., `width: 44px; height: 44px;`). If visual size must stay small, use transparent padding to expand the hit area to 44×44 while keeping the visible icon compact.</t>
  </si>
  <si>
    <t xml:space="preserve">The page is keyboard-accessible and focus order is fine, but all three buttons are only 28px tall — my adaptive device regularly misses targets that small, and one wrong click on 'Discard' could wipe out my work.</t>
  </si>
  <si>
    <t xml:space="preserve">[2.5.5] My adaptive pointing device struggles to land precisely on small targets. At only 28px tall these buttons are easy to miss, causing accidental clicks on the wrong action — like hitting Discard instead of Save and losing my work. Set `min-height: 44px; min-width: 44px;` on the buttons (or increase padding to achieve at least 44px in both dimensions), for example `padding: 10px 16px;` with the existing font size.</t>
  </si>
  <si>
    <t xml:space="preserve">These buttons are too small for my adaptive device to hit reliably, and without explicit focus styles I can't tell where I am on the page — both of which make this form genuinely difficult for me to use.</t>
  </si>
  <si>
    <t xml:space="preserve">[2.4.7] As Ade, if I can't see where keyboard focus is, I lose my place entirely among the three buttons. I have no way to know which button I'm about to activate. Add explicit :focus-visible styles with a high-contrast outline, e.g. button:focus-visible { outline: 3px solid #005fcc; outline-offset: 2px; } || [2.5.5] As Ade, my adaptive pointing device struggles to land on small targets. A 28px-tall button is very easy to miss, causing accidental activations or repeated failed attempts. Increase button height to at least 44px: button { height: 44px; min-width: 44px; padding: 0 16px; }</t>
  </si>
  <si>
    <t xml:space="preserve">The page's buttons are keyboard-reachable but fail me on two fronts: there's no guaranteed visible focus indicator so I lose track of where I am, and at only 28px tall the buttons are too small for my adaptive pointing device to reliably hit.</t>
  </si>
  <si>
    <t xml:space="preserve">[2.4.7] As Ade, I rely entirely on the keyboard focus ring to know where I am. If the default outline is suppressed or inconsistent across browsers, I lose my place the moment I Tab between Save, Discard, and Preview — and I have no way to recover without tabbing blindly. Add an explicit :focus-visible rule, e.g. button:focus-visible { outline: 3px solid #005fcc; outline-offset: 2px; } to guarantee a high-contrast, always-visible focus indicator regardless of browser defaults. || [2.5.5] My adaptive pointing device needs a large landing zone. A 28px-tall button is very easy to miss or activate the wrong one, especially when three buttons are packed close together with only 4px margin between them. Remove the fixed height: 28px and instead set min-height: 44px; min-width: 44px on buttons, and increase padding to ensure the tap/click target meets the 44×44 CSS pixel requirement.</t>
  </si>
  <si>
    <t xml:space="preserve">This page has only a single inline text link and no other interactive elements, so none of my keyboard, timing, focus order, focus visibility, or target size concerns apply here.</t>
  </si>
  <si>
    <t xml:space="preserve">This page has only a single inline text link and no other interactive elements, so none of my keyboard, timing, focus order, focus visibility, or target size concerns are meaningfully triggered — there's simply nothing here that could block me.</t>
  </si>
  <si>
    <t xml:space="preserve">This page is a static notice with no interactive elements whatsoever — no links, buttons, forms, or timed content — so none of my five keyboard and interaction criteria apply here.</t>
  </si>
  <si>
    <t xml:space="preserve">This settings page is clean and straightforward — both buttons are native HTML elements with generous sizing (min 48×48px), no time limits, no focus order issues, and keyboard access works as expected with default browser focus indicators.</t>
  </si>
  <si>
    <t xml:space="preserve">This settings page is clean and straightforward — both buttons are native HTML elements with generous sizing (min 48×48px), no time limits, no focus order issues, and keyboard access works as expected with default browser focus styling intact.</t>
  </si>
  <si>
    <t xml:space="preserve">This simple settings page with two well-sized, keyboard-accessible buttons passes all five criteria — I can Tab to both buttons, see where I am, and the 48×48px targets are easy for my adaptive device to hit.</t>
  </si>
  <si>
    <t xml:space="preserve">Both toolbar buttons are native HTML button elements with proper aria-labels, 48×48px hit targets, no time limits, and no focus order or visibility concerns — this page works well for me as a keyboard-only user.</t>
  </si>
  <si>
    <t xml:space="preserve">Both toolbar buttons are native HTML button elements with proper aria-labels, 48×48px sizing, no time limits, and standard keyboard focusability — this page works well for me as a keyboard-only user.</t>
  </si>
  <si>
    <t xml:space="preserve">Both toolbar buttons are native HTML button elements with proper aria-labels, 48×48px sizing well above the 44px threshold, and no timing or focus-order concerns — this page works cleanly for me as a keyboard-only user.</t>
  </si>
  <si>
    <t xml:space="preserve">This minimal page has a single billing address field with a proper autocomplete attribute, no animations, no contrast issues with default browser text, no complex layout to clip, and no navigation structure requiring breadcrumbs — it passes all applicable criteria.</t>
  </si>
  <si>
    <t xml:space="preserve">This simple single-field page passes all applicable criteria — the autocomplete attribute is properly set, there's no moving content, no contrast issues with default black-on-white text, and as a standalone page breadcrumbs are not needed.</t>
  </si>
  <si>
    <t xml:space="preserve">This minimal single-field page passes all applicable criteria — the input has a proper autocomplete attribute, there's no moving content, no contrast issues with the default black-on-white text, and as a standalone page breadcrumbs are not needed.</t>
  </si>
  <si>
    <t xml:space="preserve">moderate</t>
  </si>
  <si>
    <t xml:space="preserve">This page fails because the email field uses an invalid autocomplete value ('work' alone), which means my browser won't auto-fill it and I'm stuck typing my email address by hand — a real hardship with my tremor.</t>
  </si>
  <si>
    <t xml:space="preserve">[1.3.5] As Elias, typing is exhausting due to my tremor. I depend on autocomplete to pre-fill fields like email. An invalid autocomplete value means the browser won't offer to fill this field automatically, forcing me to type my full email address by hand every time. Change the autocomplete attribute to a valid token: autocomplete="email" or, if a work-specific email is intended, autocomplete="work email".</t>
  </si>
  <si>
    <t xml:space="preserve">This page fails primarily because the autocomplete attribute on the email field uses an invalid token ('work' alone), which means my browser won't auto-fill my email address and I'll have to type it out by hand — a real hardship with my tremor.</t>
  </si>
  <si>
    <t xml:space="preserve">[1.3.5] As Elias, typing is exhausting due to my tremor. I rely on autocomplete to fill in my email address without having to laboriously type every character. An invalid autocomplete value means the browser won't offer to fill in my email, forcing me to type it all out myself. Change the autocomplete attribute to a valid token: autocomplete="email" for a personal email field, or autocomplete="work email" if a work email is specifically required. || [2.4.8] If this form is part of a larger site, I would have no way to know where I am when zoomed in at 200–300%, as there are no breadcrumbs or location indicators visible. If this page is part of a multi-page site, add a breadcrumb navigation element (e.g., &lt;nav aria-label="breadcrumb"&gt;) to help users orient themselves.</t>
  </si>
  <si>
    <t xml:space="preserve">This page fails because the email field uses an invalid autocomplete token ('work' alone is not a recognized purpose token), robbing me of the browser autocomplete assistance I depend on to avoid painful, error-prone typing.</t>
  </si>
  <si>
    <t xml:space="preserve">[1.3.5] My tremor makes typing exhausting. I rely on autocomplete to fill in my email address without having to laboriously type every character. An invalid autocomplete value means the browser cannot offer me the correct suggestion, so I'm forced to type the whole thing myself. Change the autocomplete attribute to a valid value that identifies the field's purpose, e.g., autocomplete="email" or autocomplete="work email".</t>
  </si>
  <si>
    <t xml:space="preserve">This address field uses an incomplete autocomplete value that prevents my browser from autofilling it, which means my tremor forces me to laboriously type out my full address by hand.</t>
  </si>
  <si>
    <t xml:space="preserve">[1.3.5] As Elias, my tremor makes typing exhausting. I depend on autocomplete to fill in address fields automatically. With only 'shipping' as the token, the browser cannot identify what specific data to autofill, so I'm forced to type the full address by hand — character by character, with shaking hands. Add a specific field token after the grouping token, e.g., autocomplete="shipping street-address", so browsers and assistive technologies can correctly identify and autofill the field.</t>
  </si>
  <si>
    <t xml:space="preserve">This address field uses an incomplete autocomplete token that prevents my browser from autofilling it, which means my trembling hands have to type every character of my address manually — a small oversight with a real cost for me.</t>
  </si>
  <si>
    <t xml:space="preserve">[1.3.5] As Elias, my tremor makes typing exhausting. I depend on autocomplete to fill in address fields automatically. With only 'shipping' as the token, the browser cannot identify what specific data to autofill, so I'm forced to type the full address by hand — letter by letter, which is painful and slow. Replace autocomplete="shipping" with a valid combination such as autocomplete="shipping street-address" (or the appropriate named token like 'address-line1') so browsers and assistive technologies can correctly identify and autofill the field.</t>
  </si>
  <si>
    <t xml:space="preserve">This page fails because the autocomplete attribute on the address field uses only the grouping token 'shipping' without a valid field name, which means my browser won't auto-fill it and I'll have to type the whole address myself with my trembling hands.</t>
  </si>
  <si>
    <t xml:space="preserve">[1.3.5] As Elias, my tremor makes typing exhausting. I depend on autocomplete to fill in address fields without having to laboriously type every character. A malformed autocomplete value means the browser won't offer suggestions, so I'm forced to type the full address by hand. Replace autocomplete="shipping" with a valid combination such as autocomplete="shipping street-address" or autocomplete="shipping address-line1" per the HTML specification's list of autofill field names. || [1.4.3] N/A — default contrast is generally adequate for my magnified reading. When styling is added, ensure all text meets at least 4.5:1 contrast ratio. || [1.4.12] N/A — no restrictive spacing rules detected. Continue to avoid fixed-height containers and overflow:hidden when styling is added. || [2.2.2] N/A — no autoplay or moving content to trigger nausea. No action needed for this criterion. || [2.4.8] N/A — page appears standalone; location indicators are inapplicable. If this form is embedded within a larger site, add breadcrumb navigation so I can orient myself when zoomed in.</t>
  </si>
  <si>
    <t xml:space="preserve">This minimal standalone form field uses the correct autocomplete attribute for birthday day, has no animations or moving content, and as a single standalone page with no navigation structure, location indicators are inapplicable — everything checks out for my needs.</t>
  </si>
  <si>
    <t xml:space="preserve">This minimal single-field page passes all applicable criteria — the birthday day input has a proper autocomplete attribute, there's no moving content, no contrast issues with default browser text, and as a standalone page breadcrumbs are inapplicable.</t>
  </si>
  <si>
    <t xml:space="preserve">This minimal single-field page passes all applicable criteria — the birthday day input has a proper autocomplete attribute, there's no moving content, no contrast issues with default text, text spacing won't clip a single input, and as a standalone page breadcrumbs are inapplicable.</t>
  </si>
  <si>
    <t xml:space="preserve">This is a minimal standalone page with a single field for a friend's name — not personal data about me — and no navigation, animations, or meaningful text to evaluate, so none of my five criteria apply in a meaningful way here.</t>
  </si>
  <si>
    <t xml:space="preserve">This bare single-field page collecting a friend's name — not personal data about me — has no animations, no nav structure, no styled text to contrast-check, and no spacing constraints, so none of my five criteria apply in a meaningful way.</t>
  </si>
  <si>
    <t xml:space="preserve">This is a minimal standalone page with a single field for a friend's name — not personal data about the user — so autocomplete rules don't apply, there are no contrast, spacing, animation, or navigation concerns to flag, and the page passes all applicable criteria.</t>
  </si>
  <si>
    <t xml:space="preserve">This page is a bare standalone submit button with no meaningful content, no navigation, no personal data fields, no text, no animations, and no multi-page context — there is simply nothing here that triggers any of my five accessibility concerns.</t>
  </si>
  <si>
    <t xml:space="preserve">This bare-bones page has a single submit button with no meaningful content, no navigation, no text, no form fields collecting personal data, and no animations — there is simply nothing here that triggers any of my five accessibility concerns.</t>
  </si>
  <si>
    <t xml:space="preserve">This page is a bare standalone submit button with no meaningful content, navigation, forms collecting personal data, animations, or text to evaluate — none of my five criteria apply here.</t>
  </si>
  <si>
    <t xml:space="preserve">This page is essentially empty with no text content, no form fields, no navigation, and no media — there is simply nothing here for me to interact with or read, so none of my five criteria apply.</t>
  </si>
  <si>
    <t xml:space="preserve">This page is essentially empty with no text content, no form fields, no navigation, and no media — there is simply nothing here for me to struggle with or benefit from.</t>
  </si>
  <si>
    <t xml:space="preserve">This page is essentially empty with no text content, no form fields, no navigation, and no media — there is simply nothing here for me to struggle with as Elias.</t>
  </si>
  <si>
    <t xml:space="preserve">This simple standalone page with a single paragraph passes all applicable criteria — there are no forms, no animations, no navigation structure, and the text spacing uses !important on line-height which ensures the increased spacing takes effect without clipping, so I can read it comfortably even when zoomed in.</t>
  </si>
  <si>
    <t xml:space="preserve">This simple standalone page with a single paragraph passes all applicable criteria — there are no forms, no animations, no navigation structure, and the text spacing uses a fixed line-height of 2em (the !important declaration wins), which meets the 1.5x line-height requirement, and the default black-on-white text provides sufficient contrast.</t>
  </si>
  <si>
    <t xml:space="preserve">This simple standalone page with a single paragraph passes all applicable criteria — no form fields, no animations, no navigation structure, and the text spacing uses an overridden line-height of 2em via !important which satisfies the 1.5x requirement, with no clipping risk given the static content.</t>
  </si>
  <si>
    <t xml:space="preserve">This page fights my text-spacing adjustments with a hard pixel width and a locked line-height, which means content gets clipped right when I need it most — zoomed in and trying to read.</t>
  </si>
  <si>
    <t xml:space="preserve">[1.4.12] When I increase line spacing to make text readable at high magnification, the fixed 200px container clips the content and I lose words entirely — I can't read what's been cut off. Remove the fixed max-width constraint or replace it with a max-width expressed in relative units that allows reflow; set line-height to at least 1.5 on the paragraph and do not use !important to block user style overrides.</t>
  </si>
  <si>
    <t xml:space="preserve">This page is a standalone fragment with no navigation, no forms, no interactive content, and no animations — none of my five criteria apply here, so there's nothing for me to flag.</t>
  </si>
  <si>
    <t xml:space="preserve">This page is a standalone fragment with no forms, no navigation, no animations, and no multi-page site structure, so none of my five accessibility criteria apply here.</t>
  </si>
  <si>
    <t xml:space="preserve">That !important on word-spacing is a real problem for me — when I try to increase text spacing so I can read comfortably at high zoom, the browser simply cannot override it, leaving text cramped or overlapping in a way I cannot work around.</t>
  </si>
  <si>
    <t xml:space="preserve">[1.4.12] When I increase text spacing to make reading easier at 200-300% zoom, the !important declaration blocks my browser from applying the required spacing. Text can overlap or become unreadable, and I cannot read what gets clipped or crushed together. Remove the !important declaration from word-spacing (and any other spacing properties). Allow user stylesheets and browser settings to override spacing values so content reflows properly under WCAG 1.4.12 conditions. || [1.4.3] Without declared colors I cannot be certain the text will remain readable when I zoom in; some browser or OS themes could render text at insufficient contrast. Explicitly set color and background-color with a contrast ratio of at least 4.5:1, e.g., color:#000000 on background:#ffffff, so contrast is guaranteed regardless of user-agent defaults. || [1.3.5] N/A — no input fields present. No action needed for this criterion on this page. || [2.2.2] N/A — no moving content to trigger nausea. No action needed for this criterion on this page. || [2.4.8] N/A — standalone page, so location indicators are not required. No action needed for this criterion on this page.</t>
  </si>
  <si>
    <t xml:space="preserve">This page fails because the !important lock on word-spacing means I cannot apply the text-spacing adjustments I depend on when zoomed in — that single declaration is enough to make the content inaccessible to me.</t>
  </si>
  <si>
    <t xml:space="preserve">[1.4.12] When I increase text spacing to make reading easier at 200–300% zoom, the !important declaration blocks the reflow. Words stay cramped or content gets clipped, and I lose part of the sentence I was trying to read. Remove the !important declaration from the word-spacing rule (and any other spacing properties). Allow text-spacing overrides to cascade normally so that line-height, letter-spacing, word-spacing, and paragraph-spacing can all be increased by the user without content loss. || [1.4.3] In practice the defaults are fine for me, but this is a signal of minimal styling care; if a browser or OS theme shifts defaults, contrast could degrade without any authored fallback. Explicitly set color and background-color on the body (e.g., color: #000; background-color: #fff;) to guarantee at least 4.5:1 contrast regardless of user-agent defaults.</t>
  </si>
  <si>
    <t xml:space="preserve">This page fails WCAG 1.4.12 because the `!important` lock on word-spacing prevents me from applying the text spacing I need to read comfortably when zoomed in — that kind of override is exactly what makes pages inaccessible for someone like me.</t>
  </si>
  <si>
    <t xml:space="preserve">[1.4.12] When I increase text spacing to help me read at high magnification, the !important lock on word-spacing means my adjustments are ignored. The text can overlap or clip, making it impossible for me to read the sentence even when zoomed in. Remove the `!important` flag from `word-spacing: 2px` (or remove the inline style entirely) so that user stylesheet overrides and browser accessibility settings can apply the required spacing without being blocked. || [1.4.3] As Elias, I need strong contrast when zoomed in. While browser defaults are usually fine, the lack of explicit color declarations is a risk, though not a confirmed failure here. Explicitly declare `color` and `background-color` with a contrast ratio of at least 4.5:1 (e.g., `color: #000; background-color: #fff;`) to guarantee contrast regardless of browser or user-agent defaults. || [2.4.8] Not applicable — this is a standalone page, so I don't need breadcrumbs to orient myself. N/A — inapplicable for a standalone page.</t>
  </si>
  <si>
    <t xml:space="preserve">This page blocks my ability to adjust word spacing because the !important declaration overrides my accessibility settings, making the already tiny 10px text even harder to read when I'm zoomed in.</t>
  </si>
  <si>
    <t xml:space="preserve">[1.4.12] When I increase word spacing to make text readable at 200–300% zoom, the !important declaration fights my settings and the text stays cramped or clips — I simply cannot read it comfortably. Remove the !important flag from word-spacing so user stylesheets can override it. Use relative units (e.g., word-spacing: 0.16em) rather than fixed pixel values, and never use !important on spacing properties that users may need to adjust for accessibility.</t>
  </si>
  <si>
    <t xml:space="preserve">This page fails because the `!important` on word-spacing blocks my ability to increase text spacing, and the 10px font size is far too small for me to read comfortably even when zoomed in.</t>
  </si>
  <si>
    <t xml:space="preserve">[1.4.3] Even at 200–300% zoom, 10px base text is problematic; it starts so small that zoomed rendering can become blurry or pixelated, making it very hard for me to read. Set a minimum font size of at least 16px for body text and ensure explicit foreground/background color pairs meet 4.5:1 contrast ratio. || [1.4.12] When I increase text spacing to make reading easier, the `!important` on word-spacing blocks my override, so the text doesn't reflow as I need it to — content may clip or overlap. Remove `!important` from all text-spacing related CSS properties (word-spacing, letter-spacing, line-height, margin/padding affecting paragraph spacing) so user stylesheets can override them freely. || [1.3.5] N/A — no forms present. N/A || [2.2.2] N/A — no moving content to trigger nausea. N/A || [2.4.8] N/A — this looks like a standalone page, so location indicators are not required. N/A</t>
  </si>
  <si>
    <t xml:space="preserve">This page fails primarily because the `!important` on word-spacing blocks my ability to apply the text-spacing overrides I depend on to read comfortably when zoomed in, and the 10px font size is far too small as a starting point for someone with low vision like me.</t>
  </si>
  <si>
    <t xml:space="preserve">[1.4.3] At 10px, even with my 200–300% screen magnification, the text starts from an already tiny baseline. If the browser or OS rendering introduces any anti-aliasing or subpixel issues at that size, the effective contrast drops and I struggle to read it. Set body text to at least 16px (1rem) and avoid overriding font sizes to values below 12px. Rely on relative units (em/rem) so text scales with user preferences. || [1.4.12] When I apply my custom text-spacing stylesheet to improve readability at high zoom, the `!important` on word-spacing prevents my override from taking effect. I cannot get the spacing I need to read comfortably. Remove `!important` from all text-spacing properties (word-spacing, letter-spacing, line-height, margin/padding related to paragraph spacing) so user stylesheets can override them as required by WCAG 1.4.12. || [2.4.8] As a standalone page with no navigation, I don't need breadcrumbs here — I'm not navigating a site hierarchy. No action needed for this criterion on a standalone page.</t>
  </si>
  <si>
    <t xml:space="preserve">This page actively fights my text-spacing adjustments by locking word-spacing with !important, which means I cannot make the text readable at the zoom level I need.</t>
  </si>
  <si>
    <t xml:space="preserve">[1.4.12] When I increase text spacing to make reading easier at 200–300% zoom, the !important override blocks my adjustments. The text stays cramped and I cannot read it comfortably — words run together and I lose my place in the line. Remove the !important declaration from word-spacing (and any other spacing properties) so that user-defined or assistive-technology-driven spacing overrides can take effect. Set word-spacing to at least 0.16em without !important.</t>
  </si>
  <si>
    <t xml:space="preserve">This page fails because the !important on word-spacing blocks my ability to increase text spacing, which I depend on when zoomed in at 200–300% to make text readable.</t>
  </si>
  <si>
    <t xml:space="preserve">[1.4.12] When I increase text spacing to make reading easier at high magnification, the !important lock on word-spacing means my settings are ignored and the text stays cramped, making it very hard for me to read. Remove the !important flag from word-spacing (and any other spacing properties) so that user stylesheets and browser accessibility settings can override them as required by WCAG 1.4.12.</t>
  </si>
  <si>
    <t xml:space="preserve">This page actively fights my accessibility settings by using !important to lock word-spacing, which means no matter what I do to make text readable at 200–300% zoom, my spacing adjustments are silently ignored.</t>
  </si>
  <si>
    <t xml:space="preserve">[1.4.12] When I increase text spacing to make content readable at high zoom, the !important lock on word-spacing means my settings are ignored and the text stays cramped or potentially overlaps, making it impossible for me to read. Remove the !important flag from word-spacing (and any other spacing properties) so that user stylesheets and browser accessibility settings can override them as required by WCAG 1.4.12.</t>
  </si>
  <si>
    <t xml:space="preserve">This simple standalone page passes all applicable criteria — the large text has sufficient contrast, there are no forms, no animations, no spacing issues, and no navigation structure requiring breadcrumbs.</t>
  </si>
  <si>
    <t xml:space="preserve">This simple standalone page passes all applicable criteria — the large text has sufficient contrast at roughly 5.7:1 (#000 on #666), there are no form fields, no animations, no text-spacing traps, and no navigation structure that would require breadcrumbs.</t>
  </si>
  <si>
    <t xml:space="preserve">This simple standalone page passes all applicable criteria — the large text has sufficient contrast, there's no autoplay media, no form fields, no text spacing issues, and no navigation structure that would require breadcrumbs.</t>
  </si>
  <si>
    <t xml:space="preserve">This page is essentially a standalone single-link page with no forms, no animations, no meaningful text content beyond a single link, and no site navigation structure, so none of my five accessibility concerns apply here.</t>
  </si>
  <si>
    <t xml:space="preserve">This page is essentially a standalone single-link page with no form fields, no animations, no meaningful text content beyond a single link, and no site navigation structure, so none of my five accessibility criteria apply here.</t>
  </si>
  <si>
    <t xml:space="preserve">This page fails because the grey-on-grey button text (#777 on #EEE, ~3.35:1) doesn't meet the 4.5:1 contrast minimum — when I zoom in to read it, that pale text just vanishes into the background and I can't tell what the button says.</t>
  </si>
  <si>
    <t xml:space="preserve">[1.4.3] When I zoom in to 200-300%, pale grey text on a light grey background becomes even harder to distinguish. I simply cannot read this button label — it disappears into the background. Darken the foreground color to at least #595959 on #EEEEEE (which achieves 4.5:1), or use a darker background with sufficient contrast against the text color. || [2.4.8] There is nothing to navigate here, so location indicators are not applicable to this page. No action needed for this criterion on this standalone page.</t>
  </si>
  <si>
    <t xml:space="preserve">This page fails because that grey-on-grey button is completely unreadable to me — at 200% zoom, low-contrast text like #777 on #EEE just vanishes, and I can't interact with what I can't see.</t>
  </si>
  <si>
    <t xml:space="preserve">[1.4.3] When I zoom in to 200-300%, pale grey text on a light grey background becomes even harder to distinguish. I simply cannot read this button label — it disappears into the background. Darken the foreground color to at least #595959 on #EEEEEE (which achieves 4.55:1), or use a darker background with sufficient contrast against the text color. || [2.4.8] Not applicable — this appears to be a standalone page, not part of a multi-page site, so I do not need breadcrumbs here. No action needed for this criterion on a standalone page.</t>
  </si>
  <si>
    <t xml:space="preserve">This page fails because the gray-on-gray button text (#777 on #EEE) doesn't meet the 4.5:1 contrast minimum — when I zoom in with my magnifier, that pale text just disappears on me.</t>
  </si>
  <si>
    <t xml:space="preserve">[1.4.3] When I zoom in to 200-300% and the text is already pale gray on light gray, I simply cannot make out the button label. My low vision means I need strong contrast, and this near-miss still fails me. Darken the foreground color to at least #767676 on white, or better yet use #595959 on #EEEEEE to comfortably exceed 4.5:1. For example: color: #595959; background: #EEE. || [2.4.8] Not applicable here since this appears to be a standalone page with no multi-page site context. No action needed for this criterion on a standalone page.</t>
  </si>
  <si>
    <t xml:space="preserve">This page contains only an image with no text, no forms, no navigation, no animations, and no interactive content, so none of my five accessibility criteria apply here.</t>
  </si>
  <si>
    <t xml:space="preserve">This page contains only an image with no text, no forms, no navigation, no animations, and no multi-page structure, so none of my five accessibility criteria apply here.</t>
  </si>
  <si>
    <t xml:space="preserve">This page contains only an image with no text, no forms, no navigation, and no moving content, so none of my five accessibility criteria apply here.</t>
  </si>
  <si>
    <t xml:space="preserve">This page has no visible content, no forms, no navigation, no animations, and no text — there is simply nothing here that could affect me as Elias, so none of my five criteria apply.</t>
  </si>
  <si>
    <t xml:space="preserve">This page has no visible content, no forms, no navigation, no animations, and no text — there is simply nothing here that could affect me as Elias, so all five criteria are inapplicable.</t>
  </si>
  <si>
    <t xml:space="preserve">This page fails basic contrast requirements — that grey-on-grey second paragraph is invisible to me when I'm zoomed in, and no amount of magnification makes pale text readable against a pale background.</t>
  </si>
  <si>
    <t xml:space="preserve">[1.4.3] When I zoom in to 200-300%, pale grey text on a light grey background becomes even harder to distinguish. I simply cannot read that second paragraph — it fades into the background entirely. Darken the text color to at least #767676 on white (#FFF) for 4.5:1, or on #EEE use a color no lighter than approximately #696969. A safe choice would be #595959 on #EEE, which yields well above 4.5:1.</t>
  </si>
  <si>
    <t xml:space="preserve">This page fails because the second paragraph's grey-on-grey text (#777 on #EEE, ~3.35:1) is far too pale for me to read when zoomed in — I need strong contrast to make out any text at all.</t>
  </si>
  <si>
    <t xml:space="preserve">[1.4.3] When I zoom in to 200-300%, pale grey text on a light grey background becomes even harder to distinguish. I simply cannot read that second paragraph — it fades into the background entirely. Darken the text color to at least #767676 on white (#FFF) or, for this grey background (#EEE), use a color no lighter than approximately #595959 to achieve 4.5:1 contrast.</t>
  </si>
  <si>
    <t xml:space="preserve">This page fails because that second paragraph in grey-on-grey (#777 on #EEE) is simply unreadable to me when I zoom in — the contrast is far too low and I cannot make out the text at all.</t>
  </si>
  <si>
    <t xml:space="preserve">[1.4.3] When I zoom in to 200-300%, pale grey text on a light grey background becomes even harder to distinguish. I simply cannot read that second paragraph — it fades into the background entirely. Darken the text color to at least #767676 on white (#FFF) for minimum compliance, or better yet use #595959 on #EEE to achieve 4.5:1 contrast. For example: color: #595959 on background: #EEE. || [1.3.5] N/A — no forms present. No action needed for this criterion on this page. || [1.4.12] Text spacing adjustments should reflow normally here, so I can increase line spacing without losing content. No action needed; text spacing appears safe. || [2.2.2] No autoplay content to trigger nausea — this page is safe in that regard. No action needed. || [2.4.8] As a standalone page, I don't need breadcrumbs to orient myself. Inapplicable — no breadcrumbs needed for a standalone page.</t>
  </si>
  <si>
    <t xml:space="preserve">This bare single-page document has no form fields, no styled text, no navigation links, no breadcrumbs, and no visible media — there is nothing here that triggers any of my five accessibility concerns, so it passes all applicable criteria by default.</t>
  </si>
  <si>
    <t xml:space="preserve">This bare single-element page has no navigation links, no form fields, no meaningful text content, and no visible animations I can assess, so none of my five criteria apply here.</t>
  </si>
  <si>
    <t xml:space="preserve">This bare single-page document has no navigation links, no form fields, no meaningful text content, and no visible animations or media — there is simply nothing here that triggers any of my five criteria, so it passes by inapplicability across the board.</t>
  </si>
  <si>
    <t xml:space="preserve">This simple page passes all applicable criteria — the auto-updating number has a Pause button right there, there are no form fields to worry about, no nav links so location indicators don't apply, and nothing in the markup suggests contrast, spacing, or autocomplete problems.</t>
  </si>
  <si>
    <t xml:space="preserve">This simple page passes all applicable criteria — the auto-updating number has a Pause button right there, there are no form fields to worry about, no contrast problems in the plain black-on-white text, no complex layout to clip when I increase spacing, and since it appears to be a standalone page with no site navigation I don't need breadcrumbs to find my place.</t>
  </si>
  <si>
    <t xml:space="preserve">This simple page passes all applicable criteria: the auto-updating number has a clearly labelled Pause button giving me control, there are no contrast problems in the plain black-on-white text, no form fields to worry about for autocomplete, no text-spacing clipping risks in this minimal layout, and since there are no site navigation links it reads as a standalone page where breadcrumbs are not expected.</t>
  </si>
  <si>
    <t xml:space="preserve">This simple page passes all applicable criteria — the auto-updating number has a Hide button giving me control, contrast looks solid on plain black-on-white text, there are no form fields needing autocomplete, no text-spacing traps in this minimal layout, and since there's no site navigation it's effectively standalone so breadcrumbs aren't needed.</t>
  </si>
  <si>
    <t xml:space="preserve">This simple page passes all applicable criteria: the auto-updating number has a Hide button giving me control over the motion, there are no form fields so autocomplete and contrast of inputs aren't concerns, the plain text content will reflow fine with increased spacing, and the page appears standalone with no multi-page navigation requiring breadcrumbs.</t>
  </si>
  <si>
    <t xml:space="preserve">This simple page passes all applicable criteria — the auto-updating number has a Hide button to stop it, contrast and spacing look fine with plain black-on-white text, and as a standalone page without site navigation breadcrumbs aren't needed.</t>
  </si>
  <si>
    <t xml:space="preserve">This page is a standalone image with no form fields, no text content rendered on screen, no navigation links, no animations, and no interactive elements — there's simply nothing here that triggers any of my five accessibility criteria.</t>
  </si>
  <si>
    <t xml:space="preserve">This page is a standalone image with no form fields, no text content rendered on screen, no navigation links, and no moving content, so none of my five accessibility criteria apply here.</t>
  </si>
  <si>
    <t xml:space="preserve">This page is a standalone image with a hidden paragraph and no forms, navigation, moving content, or multi-page site structure, so none of my five accessibility criteria apply here.</t>
  </si>
  <si>
    <t xml:space="preserve">This page auto-updates a number with no way for me to pause or stop it — at 200% zoom that kind of constant motion is nauseating and I cannot use the page comfortably.</t>
  </si>
  <si>
    <t xml:space="preserve">[2.2.2] As Elias, auto-updating content while I am reading — especially when zoomed in at 200–300% — is deeply disorienting and can trigger nausea. There is no button or control to stop the updates, so I have no way to make it stop. Provide a visible Pause/Stop button adjacent to the auto-updating region that halts the updates on activation, satisfying WCAG 2.2.2.</t>
  </si>
  <si>
    <t xml:space="preserve">This page auto-updates a number with no way for me to stop it — zoomed in at 300%, that constant motion is nauseating and makes the surrounding text impossible to read calmly.</t>
  </si>
  <si>
    <t xml:space="preserve">[2.2.2] As Elias, auto-updating content while I am zoomed in at 200–300% is deeply disorienting and can trigger nausea, just like autoplay video. There is no way for me to stop the updates so I can read the surrounding text in peace. Provide a visible Pause/Stop button adjacent to the updating region that halts the script-driven updates, satisfying WCAG 2.2.2.</t>
  </si>
  <si>
    <t xml:space="preserve">This page auto-updates a number with no way for me to stop it, which is disorienting and nauseating when I am zoomed in trying to read the surrounding text.</t>
  </si>
  <si>
    <t xml:space="preserve">[2.2.2] As Elias, auto-updating content while I am reading — especially when magnified at 200–300% — is deeply disorienting and can trigger nausea, the same way autoplay video does. There is no button or control I can use to stop it. Provide a visible Pause/Stop/Hide control adjacent to the auto-updating region, or cease the updates after a short interval, so users can halt the motion at will.</t>
  </si>
  <si>
    <t xml:space="preserve">This page fails immediately because of an uncontrollable blinking element — at 200–300% zoom that kind of motion makes me nauseous and I have no way to stop it.</t>
  </si>
  <si>
    <t xml:space="preserve">[2.2.2] As Elias, blinking or flashing content at high magnification is immediately disorienting and nauseating. There is no way for me to stop it, so I cannot safely remain on this page. Remove the &lt;blink&gt; element entirely. If animated emphasis is needed, use a CSS animation with a prefers-reduced-motion media query and provide a visible pause/stop control.</t>
  </si>
  <si>
    <t xml:space="preserve">This page fails immediately for me — that blinking text has no off switch, and at 200% zoom it fills my screen and makes me feel sick within seconds.</t>
  </si>
  <si>
    <t xml:space="preserve">[2.2.2] As Elias, blinking or flashing content at high magnification is deeply disorienting and can trigger nausea, especially when I am zoomed in at 200–300% and the motion fills a large portion of my visible viewport. There is no way for me to stop it. Remove the &lt;blink&gt; element entirely. If animated emphasis is needed, use a CSS animation with a prefers-reduced-motion media query and provide a visible pause/stop control so users can halt the motion.</t>
  </si>
  <si>
    <t xml:space="preserve">This page fails immediately because of an uncontrollable blinking element — at 200–300% zoom that kind of motion right in my field of view makes me feel sick and I have no way to stop it.</t>
  </si>
  <si>
    <t xml:space="preserve">[2.2.2] As Elias, blinking content at high magnification is deeply disorienting and can trigger nausea, especially when I am trying to read nearby text carefully. There is no way for me to stop it. Remove the &lt;blink&gt; element entirely. If animated emphasis is needed, use a CSS animation with a user-controllable pause button, or simply use static styled text.</t>
  </si>
  <si>
    <t xml:space="preserve">This page leaves me completely disoriented — there are site navigation links telling me I'm somewhere inside a larger site, but not a single breadcrumb to tell me where that actually is when I'm zoomed way in.</t>
  </si>
  <si>
    <t xml:space="preserve">[2.4.8] When I'm zoomed in at 200–300%, I can only see a small slice of the page at a time. Without breadcrumbs I have no idea whether 'Lab procedure' is under Courses, a specific course, a module, or somewhere else entirely. I lose my place completely. Add a breadcrumb trail above the &lt;h1&gt;, for example: &lt;nav aria-label='Breadcrumb'&gt;&lt;ol&gt;&lt;li&gt;&lt;a href='/'&gt;Home&lt;/a&gt;&lt;/li&gt;&lt;li&gt;&lt;a href='/courses'&gt;Courses&lt;/a&gt;&lt;/li&gt;&lt;li&gt;&lt;a href='/courses/biology'&gt;Biology&lt;/a&gt;&lt;/li&gt;&lt;li aria-current='page'&gt;Lab procedure&lt;/li&gt;&lt;/ol&gt;&lt;/nav&gt;</t>
  </si>
  <si>
    <t xml:space="preserve">This page fails because there are no breadcrumbs to tell me where I am within the site — when I'm zoomed way in and can only see a fragment of the screen at a time, that missing location trail leaves me completely disoriented.</t>
  </si>
  <si>
    <t xml:space="preserve">[2.4.8] When I'm zoomed in at 200–300%, I can only see a small slice of the page at a time. Without breadcrumbs I have no idea where 'Lab procedure' sits — is it under Courses? A sub-section? I'm completely lost and have to zoom out repeatedly just to orient myself, which is exhausting. Add a breadcrumb navigation element, e.g. &lt;nav aria-label='Breadcrumb'&gt;&lt;ol&gt;&lt;li&gt;&lt;a href='/'&gt;Home&lt;/a&gt;&lt;/li&gt;&lt;li&gt;&lt;a href='/courses'&gt;Courses&lt;/a&gt;&lt;/li&gt;&lt;li&gt;&lt;span aria-current='page'&gt;Photosynthesis Lab Procedure&lt;/span&gt;&lt;/li&gt;&lt;/ol&gt;&lt;/nav&gt;, placed above the main heading.</t>
  </si>
  <si>
    <t xml:space="preserve">This page is part of a multi-page site but provides no breadcrumbs whatsoever, so when I'm zoomed way in I have no way to know where in the course structure I am — that's a serious problem for me.</t>
  </si>
  <si>
    <t xml:space="preserve">[2.4.8] When I'm zoomed in at 200–300%, I can only see a small slice of the page at a time. Without breadcrumbs I have no idea whether 'Lab procedure' is under Courses, a sub-course, a module, or somewhere else entirely. I lose my place completely. Add a breadcrumb trail above the &lt;h1&gt;, for example: &lt;nav aria-label='Breadcrumb'&gt;&lt;ol&gt;&lt;li&gt;&lt;a href='/'&gt;Home&lt;/a&gt;&lt;/li&gt;&lt;li&gt;&lt;a href='/courses'&gt;Courses&lt;/a&gt;&lt;/li&gt;&lt;li&gt;&lt;a href='/courses/biology'&gt;Biology&lt;/a&gt;&lt;/li&gt;&lt;li aria-current='page'&gt;Photosynthesis Lab Procedure&lt;/li&gt;&lt;/ol&gt;&lt;/nav&gt;</t>
  </si>
  <si>
    <t xml:space="preserve">This simple troubleshooting page has clear breadcrumbs to keep me oriented when zoomed in, no forms to worry about autocomplete, no animations to make me nauseous, and plain unstyled text that should reflow and contrast well — it passes everything I care about.</t>
  </si>
  <si>
    <t xml:space="preserve">This simple troubleshooting page has no form fields, no animations, no problematic styling, and includes a clear breadcrumb trail — it gives me everything I need to orient myself without any of the things that make browsing difficult for me.</t>
  </si>
  <si>
    <t xml:space="preserve">This simple, standalone page has no form fields, no animations, no nav links suggesting a multi-page site, and no styling that could cause contrast or text-spacing problems — it passes all five criteria as either compliant or inapplicable.</t>
  </si>
  <si>
    <t xml:space="preserve">This simple, standalone page has no forms, no animations, no nav links suggesting a multi-page site, and no styling that could cause contrast or text-spacing problems — it passes all applicable criteria cleanly.</t>
  </si>
  <si>
    <t xml:space="preserve">This simple standalone unit converter has no personal data fields, no animations, no navigation structure, and uses default browser styling that typically meets contrast — nothing here causes me trouble as Elias.</t>
  </si>
  <si>
    <t xml:space="preserve">This simple standalone unit converter has no personal data fields, no animations, no navigation structure, and uses default browser styling — nothing here trips my accessibility concerns as Elias, and all five criteria are either passing or inapplicable.</t>
  </si>
  <si>
    <t xml:space="preserve">This simple standalone unit converter has no personal data fields requiring autocomplete, no styled text to fail contrast, no spacing constraints, no animations, and no navigation structure that would require breadcrumbs — it passes all five criteria as either compliant or inapplicable.</t>
  </si>
  <si>
    <t xml:space="preserve">This page is clean and straightforward — the breadcrumb trail tells me exactly where I am, there are no forms to worry about, no animations to make me nauseous, and the simple unstyled markup should reflow and contrast just fine when I zoom in.</t>
  </si>
  <si>
    <t xml:space="preserve">This page is clean and straightforward — the breadcrumb trail is clear, there are no forms, no animations, no suspicious inline styles that would clip text, and the plain HTML structure gives me confidence I can navigate and read it without trouble.</t>
  </si>
  <si>
    <t xml:space="preserve">This page is clean and simple — it has clear navigation with aria-current marking my location, no autoplay media, no form fields to worry about, and the plain HTML structure should reflow and contrast well without any stylesheet overrides fighting me.</t>
  </si>
  <si>
    <t xml:space="preserve">This simple admissions page passes all five criteria I check — it has no form fields, no animations, no custom styling that could clip text or fail contrast, and the aria-current='page' attribute on the nav link gives me a clear location indicator so I know exactly where I am even when zoomed in.</t>
  </si>
  <si>
    <t xml:space="preserve">This simple admissions page passes all five criteria I check — it has no form fields, no animations, no custom text styling that could clip, good structural contrast signals, and the aria-current='page' on the nav link tells me clearly where I am even without a breadcrumb trail.</t>
  </si>
  <si>
    <t xml:space="preserve">This page has no headings at all and uses broken ARIA roles that make the content structure impossible for me to understand, which means I cannot find or make sense of anything on it.</t>
  </si>
  <si>
    <t xml:space="preserve">[1.3.1] As Ian, I rely on headings to find what I need on a page. With no headings at all, I have no landmarks to orient myself. The broken role structure also means my screen reader or assistive tool gives me confusing or wrong information about what the list is. Add a proper &lt;h1&gt; heading that describes the page content. Either remove the role='tablist' override so the &lt;ol&gt; keeps its native list semantics, or if a tab widget is intended, use correct ARIA roles: role='tablist' on the container and role='tab' on each child item. || [2.4.6] As Ian, descriptive headings help me find what I need. A page with no headings and a generic title like 'Failed Example 2' gives me no idea what the page is about or where to look. Add at least one descriptive heading (e.g., &lt;h1&gt;) that clearly states the purpose of the page in plain language.</t>
  </si>
  <si>
    <t xml:space="preserve">This page has broken structure — the list is given a wrong ARIA role that conflicts with its content, and there are no headings at all, which makes it very hard for me to understand or navigate.</t>
  </si>
  <si>
    <t xml:space="preserve">[1.3.1] As Ian, I rely on correct page structure to understand what I am reading. When the list is mislabeled as a tab panel but has no tabs, and there are no headings at all, I have no landmarks or structure to help me find or follow content. Remove the conflicting role='tablist' from the &lt;ol&gt; element so it keeps its native list semantics, or if a tab widget is intended, use correct ARIA roles: role='tablist' on the container with role='tab' on each child, not role='listitem'. Also add a descriptive &lt;h1&gt; to give the page a clear title. || [2.4.6] As Ian, I need descriptive headings to find what I need quickly. With no headings at all, I have nothing to guide me through the page. Add at least one descriptive &lt;h1&gt; that clearly explains what the page is about, and use further headings as needed to label each section.</t>
  </si>
  <si>
    <t xml:space="preserve">This page has no headings and uses conflicting ARIA roles that break the structure, so I cannot figure out what the page is about or how to navigate it.</t>
  </si>
  <si>
    <t xml:space="preserve">[1.3.1] As Ian, when I navigate the page there are no headings to help me find what I need, and the mixed-up roles mean assistive technology will announce confusing structure that does not match what I see. Remove the conflicting ARIA roles or use a proper tab widget pattern (&lt;div role='tablist'&gt; with &lt;button role='tab'&gt; children). Add at least one &lt;h1&gt; that describes the page content. Do not override native HTML semantics with mismatched ARIA roles. || [2.4.6] As Ian, I rely on descriptive headings to find what I need quickly. With no headings at all, I have no landmarks to guide me through the page. Add a descriptive &lt;h1&gt; that clearly states the purpose of the page, for example &lt;h1&gt;Tab Navigation Example&lt;/h1&gt;.</t>
  </si>
  <si>
    <t xml:space="preserve">This page has only a presentation table with no headings, no abbreviations, no animations, and very little text, so none of my five criteria apply here.</t>
  </si>
  <si>
    <t xml:space="preserve">This page has almost no content — just a simple time display in a layout table — so none of the five criteria I check actually apply here.</t>
  </si>
  <si>
    <t xml:space="preserve">This page has only a simple presentation table with no headings, no abbreviations, no animations, and no meaningful text content, so none of my five criteria apply here.</t>
  </si>
  <si>
    <t xml:space="preserve">This page fails because it has no headings at all and uses broken list markup, so I have no structure to help me understand or navigate what is here.</t>
  </si>
  <si>
    <t xml:space="preserve">[1.3.1] Without any headings, I have no way to understand what this page is about or navigate to the section I need. I have to read everything from the top, which is exhausting. Add a descriptive &lt;h1&gt; heading that explains the page's purpose. Use proper list markup: a &lt;ul&gt; or &lt;ol&gt; parent containing &lt;li&gt; children, rather than a bare &lt;li&gt; inside a &lt;div&gt;. || [2.4.6] I cannot find what I need because there are no descriptive headings or labels to guide me. Generic text like 'Item 2' tells me nothing about where that link goes. Add descriptive headings that clearly label each section. Replace 'Item 2' with meaningful link text that describes the link destination. || [2.2.2] No impact — nothing starts moving without me asking. No action needed for this criterion. || [3.1.4] No impact — I do not encounter any unexplained abbreviations here. No action needed for this criterion. || [3.1.5] No impact from reading complexity on this page. No action needed for this criterion, but ensure any real content added later uses plain, simple language.</t>
  </si>
  <si>
    <t xml:space="preserve">This page has no headings at all and broken list markup, which means I cannot figure out what the page is about or find anything on it.</t>
  </si>
  <si>
    <t xml:space="preserve">[1.3.1] As Ian, I cannot find any headings to orient myself on the page. There is no structure to tell me what this page is about or how content is organized. I would have no idea where to start reading. Add a descriptive &lt;h1&gt; heading at the top of the page. Replace the bare &lt;li&gt; with a proper &lt;ul&gt; or &lt;ol&gt; list structure. Use a real &lt;a&gt; element instead of &lt;span role='link'&gt; to ensure correct semantics. || [2.4.6] As Ian, I rely on descriptive headings to find what I need quickly. With no headings at all, I have no signposts to guide me through the page content. Add meaningful, descriptive headings that clearly describe the content of each section of the page.</t>
  </si>
  <si>
    <t xml:space="preserve">This page has no headings at all, so I cannot tell what it is about or find anything on it.</t>
  </si>
  <si>
    <t xml:space="preserve">[1.3.1] As Ian, I have no headings to scan to find what this page is about or where to go. I cannot orient myself at all. Add a descriptive &lt;h1&gt; at the top of the page and use proper semantic heading structure to organise the content. || [2.4.6] As Ian, I cannot find what I need because there are no headings or labels to guide me through the page. Add descriptive headings that clearly explain what each section contains, for example &lt;h1&gt;Navigation Links&lt;/h1&gt;.</t>
  </si>
  <si>
    <t xml:space="preserve">This page has only a small data table with no headings, no text content, no animations, and no abbreviations, so none of my five criteria apply here.</t>
  </si>
  <si>
    <t xml:space="preserve">This page fails because it has no headings at all, so I cannot tell what the page or table is about without reading every cell.</t>
  </si>
  <si>
    <t xml:space="preserve">[1.3.1] As Ian, I open this page and have no heading to tell me what it is about. I cannot scan for a title or section label. I have to read everything just to understand the context. Add a descriptive &lt;h1&gt; above the table that explains what the table is about, for example &lt;h1&gt;Grade Breakdown&lt;/h1&gt;. || [2.4.6] As Ian, I rely on descriptive headings to find what I need quickly. With no headings present, I have no landmarks to orient myself. Add at least one descriptive heading that clearly labels the purpose of the page and the table content. || [2.2.2] No impact. Nothing starts moving without me asking. No action needed for this criterion. || [3.1.4] No unexplained abbreviations to confuse me here. No action needed for this criterion. || [3.1.5] The minimal text is simple and clear, so I am not overwhelmed. No action needed for this criterion given the minimal text content.</t>
  </si>
  <si>
    <t xml:space="preserve">This page has no headings, no abbreviations, no animations, and no body text to evaluate, so none of my five criteria apply and nothing fails.</t>
  </si>
  <si>
    <t xml:space="preserve">This page has no headings, no abbreviations, no animations, and no readable body text, so none of my five criteria apply here.</t>
  </si>
  <si>
    <t xml:space="preserve">This page has almost no content — just a single number in a span that updates via a script — so there are no headings, labels, abbreviations, or readable text for me to evaluate, and I cannot confirm whether the animation controls pass or fail without seeing the script.</t>
  </si>
  <si>
    <t xml:space="preserve">This page fails because it has no headings to help me find my way around, and it starts updating content automatically without giving me any way to stop it, which immediately breaks my focus.</t>
  </si>
  <si>
    <t xml:space="preserve">[1.3.1] As Ian, I cannot find any headings to orient myself on the page. There is no structure to help me understand what this page is about. Add a descriptive &lt;h1&gt; heading that clearly states the purpose of the page. || [2.4.6] As Ian, I have no labels or headings to help me find what I need. I would not know what this page is for. Add descriptive headings that clearly explain the page content and purpose. || [2.2.2] As Ian, content that starts changing on its own without me asking immediately breaks my focus. I cannot stop it, which is very disorienting. Provide a visible button or control that lets users pause, stop, or hide the auto-updating content before or as soon as it starts. || [3.1.4] Not applicable here — no abbreviations to confuse me on this page. No action needed for abbreviations on this page. || [3.1.5] Not applicable — there is almost no readable text content on this page. No action needed for reading level given the minimal text content.</t>
  </si>
  <si>
    <t xml:space="preserve">This page auto-updates content the moment it loads with no way for me to stop it, has no headings at all, and gives me no structure or labels to make sense of what I am looking at.</t>
  </si>
  <si>
    <t xml:space="preserve">[1.3.1] Without any headings, I have no structure to follow. I cannot scan the page to find what I need, so I get lost immediately. Add a descriptive &lt;h1&gt; heading that clearly states what this page is about. || [2.4.6] I rely on descriptive headings to orient myself. With none present, I have no idea what this page is for. Add meaningful, descriptive headings that explain the purpose and sections of the page. || [2.2.2] When content starts changing on its own without me asking, I lose focus immediately. I cannot stop it, which is very distressing and makes the page unusable for me. Provide a visible button that lets the user pause, stop, or hide the auto-updating content before or as soon as it starts.</t>
  </si>
  <si>
    <t xml:space="preserve">This page passes all five criteria I check: the auto-updating number has a Pause button I can use, the abbreviation 'WAI' is expanded inline as 'Web Accessibility Initiative', the text is short and plain, and while there are no headings at all the page is a single minimal paragraph so there is no heading structure to break.</t>
  </si>
  <si>
    <t xml:space="preserve">This page fails mainly because it has no headings at all, uses unexpanded abbreviations like W3C, and its one sentence is too complex for me to read comfortably.</t>
  </si>
  <si>
    <t xml:space="preserve">[1.3.1] As Ian, I cannot scan the page for sections or understand its structure. Without headings, I have no landmarks to orient myself. Add a descriptive &lt;h1&gt; at the top of the page to establish a heading hierarchy, and use further heading levels (h2, h3) if the page has subsections. || [2.4.6] As Ian, I rely on descriptive headings to find what I need quickly. With no headings at all, I have nothing to guide me through the content. Add meaningful, descriptive headings that clearly label each section of content. || [2.2.2] As Ian, auto-updating content without my asking immediately breaks my focus. However, the Pause button is present and visible, so I can stop it. The pause control is present and this criterion appears to PASS, but consider whether the updates start before the user has a chance to interact — if so, provide a way to prevent auto-start entirely. || [3.1.4] As Ian, when I see 'W3C' without an explanation, I lose track of what I am reading. I need abbreviations spelled out or marked up with &lt;abbr title="..."&gt;. Wrap W3C in &lt;abbr title="World Wide Web Consortium"&gt;W3C&lt;/abbr&gt; and similarly wrap WAI in &lt;abbr title="Web Accessibility Initiative"&gt;WAI&lt;/abbr&gt; even though it is expanded in text. || [3.1.5] As Ian, long sentences with technical jargon like 'implement accessibility' make me want to give up. Shorter, plainer sentences would help me understand. Break the sentence into two shorter sentences and use simpler words where possible, e.g., 'The W3C Web Accessibility Initiative (WAI) creates standards and guides. These help you learn about and use accessibility.'</t>
  </si>
  <si>
    <t xml:space="preserve">This page fails mainly because it has no headings at all, 'W3C' is not explained, and the single sentence uses technical language that is hard for me to follow, though the auto-updating number does have a Pause button which helps.</t>
  </si>
  <si>
    <t xml:space="preserve">[1.3.1] As Ian, I cannot scan the page by headings to find what I need. Without headings, I have to read every word, which is exhausting and disorienting. Add a descriptive &lt;h1&gt; at the top of the page that clearly states the page topic, for example &lt;h1&gt;Web Accessibility Initiative Updates&lt;/h1&gt;. || [2.4.6] As Ian, I have no descriptive headings to guide me to the content I want. I cannot tell what this page is about without reading everything. Add descriptive headings that clearly label each section of content. || [2.2.2] As Ian, the number changing automatically without me asking would immediately break my focus. However, the Pause button is present and visible, so I can stop it. The pause control is present, which is good. Ensure the button is keyboard-accessible and clearly labelled, which it appears to be. This criterion appears to PASS given the pause control. || [3.1.4] As Ian, seeing 'W3C' without an explanation makes me lose track of what I am reading. I do not know what W3C stands for just from this page. Wrap W3C in an &lt;abbr&gt; element with a title attribute: &lt;abbr title="World Wide Web Consortium"&gt;W3C&lt;/abbr&gt;. Do the same for WAI: &lt;abbr title="Web Accessibility Initiative"&gt;WAI&lt;/abbr&gt;. || [3.1.5] As Ian, technical words like 'implement' and 'standards' in the same sentence slow me down. Short plain sentences would be much easier for me to follow. Break the sentence into shorter, simpler sentences. For example: 'The World Wide Web Consortium (W3C) runs the Web Accessibility Initiative (WAI). WAI creates rules and guides to help people make websites accessible to everyone.'</t>
  </si>
  <si>
    <t xml:space="preserve">This page fails because it has no headings at all and uses unexpanded abbreviations like W3C, which means I cannot find my way around or understand the content without extra effort.</t>
  </si>
  <si>
    <t xml:space="preserve">[1.3.1] As Ian, I cannot scan the page for sections or understand its structure. Without headings, I have to read every word to find what I need, which is exhausting. Add a descriptive &lt;h1&gt; at the top of the page (e.g., &lt;h1&gt;Web Accessibility Initiative Updates&lt;/h1&gt;) and use lower-level headings to organise any subsections. || [2.4.6] As Ian, I cannot tell what this page is about from its headings because there are none. I have to guess the topic from body text alone. Add meaningful, descriptive headings that clearly state the purpose of each section of content. || [3.1.4] As Ian, when I see 'W3C' with no explanation, I lose track of what I am reading. Even 'WAI' is only expanded once in running text with no programmatic &lt;abbr&gt; markup to help assistive tools. Wrap abbreviations with &lt;abbr&gt; elements: e.g., &lt;abbr title="World Wide Web Consortium"&gt;W3C&lt;/abbr&gt; and &lt;abbr title="Web Accessibility Initiative"&gt;WAI&lt;/abbr&gt;. || [2.2.2] As Ian, auto-updating numbers grab my attention and break my focus immediately. The hide button does provide control, so this is a pass for 2.2.2, but the auto-start is still disruptive. Consider not starting updates automatically; instead provide a 'Show live updates' button so the user opts in. This goes beyond the minimum WCAG 2.2.2 requirement but better serves users like Ian.</t>
  </si>
  <si>
    <t xml:space="preserve">This page fails on multiple points that matter to me as Ian: there are no headings to help me find my way, 'W3C' is never explained, the text is harder to read than it needs to be, and content starts changing automatically when the page loads.</t>
  </si>
  <si>
    <t xml:space="preserve">[1.3.1] As Ian, I cannot scan the page structure because there are no headings at all. I have no way to quickly understand what the page is about or navigate to sections. Add a descriptive &lt;h1&gt; heading at the top of the page that clearly states the page's purpose, for example &lt;h1&gt;Web Accessibility Initiative Updates&lt;/h1&gt;. || [2.4.6] As Ian, without any headings or labels I cannot find what I need on the page. Everything blends together with no clear structure. Add descriptive headings that clearly explain each section of content, avoiding generic text like 'Section' or 'More'. || [2.2.2] As Ian, content that changes automatically without me asking immediately breaks my focus. However, a hide button is present, so I can stop it if I notice it in time. The hide button is a valid control, but consider also providing a pause or stop button that is clearly labelled and easy to find before the auto-updating content starts. || [3.1.4] As Ian, when I see 'W3C' and do not know what it means, I lose track of what I am reading. Only WAI is explained; W3C is not. Wrap 'W3C' in an &lt;abbr title="World Wide Web Consortium"&gt;W3C&lt;/abbr&gt; element so its meaning is always available. || [3.1.5] As Ian, long sentences with technical words like 'implement' and 'accessibility standards' are hard for me to follow. I may give up reading. Break the sentence into shorter, simpler sentences. For example: 'The W3C (World Wide Web Consortium) runs the Web Accessibility Initiative (WAI). WAI creates rules and guides to help people make websites accessible.'</t>
  </si>
  <si>
    <t xml:space="preserve">error</t>
  </si>
  <si>
    <t xml:space="preserve">Missing field: severity</t>
  </si>
  <si>
    <t xml:space="preserve">This page has almost no visible content — just a logo image and a hidden paragraph — so none of my five criteria apply here.</t>
  </si>
  <si>
    <t xml:space="preserve">This page has almost no visible content — just a logo image and a hidden paragraph — so none of my five criteria apply in a meaningful way.</t>
  </si>
  <si>
    <t xml:space="preserve">This page has almost no visible content — just a logo image and a hidden paragraph — so none of the five criteria I check actually apply here.</t>
  </si>
  <si>
    <t xml:space="preserve">This page fails on multiple counts that matter to me: there are no headings to orient me, a random number keeps updating without any way to stop it, and abbreviations like W3C are not explained anywhere.</t>
  </si>
  <si>
    <t xml:space="preserve">[1.3.1] As Ian, I cannot scan the page for structure. There are no headings to tell me what the page is about or where to find things. Add a descriptive &lt;h1&gt; at the top of the page, and use lower-level headings (h2, h3) to organise any sections below it. || [2.4.6] As Ian, I have no labels to guide me. I cannot tell what this page is for without reading every word. Add a clear, descriptive heading such as &lt;h1&gt;Web Accessibility Initiative Overview&lt;/h1&gt; so the page purpose is immediately obvious. || [2.2.2] As Ian, content that keeps changing without me asking for it immediately breaks my focus. I cannot read the paragraph next to it because my eye keeps being pulled to the moving number. Add a visible button that lets the user pause or stop the auto-updating content, for example: &lt;button onclick="stopUpdates()"&gt;Stop updates&lt;/button&gt;. || [3.1.4] As Ian, when I see W3C and WAI without an expansion I can hover over, I lose track of what I am reading and have to go look them up somewhere else. Wrap abbreviations with &lt;abbr title="World Wide Web Consortium"&gt;W3C&lt;/abbr&gt; and &lt;abbr title="Web Accessibility Initiative"&gt;WAI&lt;/abbr&gt; so the full form is always available. || [3.1.5] As Ian, a single long sentence packed with multi-syllable words is hard to follow. Short sentences and plain words work better for me. Break the sentence into two or three shorter sentences and replace or explain technical terms, for example: 'The W3C WAI makes rules for web accessibility. These rules help you build websites that everyone can use.'</t>
  </si>
  <si>
    <t xml:space="preserve">This page fails in several ways that make it very hard for me to use: auto-updating content I cannot stop breaks my focus, there are no headings to guide me, and abbreviations like W3C have no explanation.</t>
  </si>
  <si>
    <t xml:space="preserve">[1.3.1] As Ian, I cannot find sections or understand the structure of the page because there are no headings to guide me through the content. Add a descriptive &lt;h1&gt; heading at the top of the page to identify the page topic, and use further heading levels (h2, h3) to organise any sub-sections. || [2.4.6] As Ian, I have no signposts to help me find what I need on this page. I cannot scan headings to locate relevant content. Add descriptive headings that clearly state what each section is about, for example 'About WAI Accessibility Standards'. || [2.2.2] As Ian, content that changes on its own without me asking immediately breaks my focus. There is no way for me to stop or pause the updating number, which is very distracting. Provide a visible button that lets the user pause, stop, or hide the auto-updating content, for example a 'Pause updates' button that halts the script when clicked. || [3.1.4] As Ian, when I see 'W3C' with no explanation and no &lt;abbr&gt; title I can hover over, I lose track of what I am reading and have to go look it up elsewhere. Wrap abbreviations in &lt;abbr title=""&gt; elements: for example &lt;abbr title="World Wide Web Consortium"&gt;W3C&lt;/abbr&gt; and &lt;abbr title="Web Accessibility Initiative"&gt;WAI&lt;/abbr&gt;. || [3.1.5] As Ian, long sentences packed with technical words make me want to give up. Breaking this into shorter, simpler sentences would help me understand it more easily. Rewrite as shorter sentences using plain language, for example: 'The W3C Web Accessibility Initiative (WAI) makes accessibility standards. These standards help you understand and use accessibility on the web.'</t>
  </si>
  <si>
    <t xml:space="preserve">This page fails mainly because content updates automatically with no way for me to stop it, there are no headings to help me find my way around, and the abbreviation W3C is never explained.</t>
  </si>
  <si>
    <t xml:space="preserve">[1.3.1] Without any headings, I cannot scan the page to find what I need. Everything looks like one flat block of text with no structure. Add a descriptive &lt;h1&gt; heading at the top of the page, and use &lt;h2&gt;, &lt;h3&gt; etc. to organise any sub-sections. || [2.4.6] I have no labels to tell me what each section is about, so I cannot find what I need without reading everything. Add descriptive headings that clearly state the topic of each section, for example 'About WAI Accessibility Standards'. || [2.2.2] Content that changes on its own without me asking immediately breaks my focus. I lose track of what I was reading and feel overwhelmed. Add a visible button that lets the user pause, stop, or hide the auto-updating content before or as soon as it starts. || [3.1.4] When I see 'W3C' and do not know what it stands for, I lose track of what I am reading and have to go look it up somewhere else. Wrap 'W3C' in &lt;abbr title="World Wide Web Consortium"&gt;W3C&lt;/abbr&gt; and also wrap 'WAI' in &lt;abbr title="Web Accessibility Initiative"&gt;WAI&lt;/abbr&gt; even though it is expanded in text. || [3.1.5] The text is short and mostly clear, so this is not a problem for me here. No change needed for reading level; continue using short, plain sentences.</t>
  </si>
  <si>
    <t xml:space="preserve">This page fails because it uses a &lt;blink&gt; element I cannot stop, which immediately breaks my focus, and the only heading is a generic label that does not tell me what the page is for.</t>
  </si>
  <si>
    <t xml:space="preserve">[2.2.2] As Ian, blinking text immediately pulls my attention away from whatever I am trying to read. I cannot stop it, so I lose focus and cannot use the page. Remove the &lt;blink&gt; element entirely. If emphasis is needed, use static styling such as bold or a highlighted background instead. || [2.4.6] As Ian, a heading like 'Test page for WCAG 2.2.2' tells me nothing about what the page is actually about. I rely on descriptive headings to find what I need. Replace the heading with a clear, descriptive title that explains the purpose of the page content, for example 'Blinking Text Demonstration'.</t>
  </si>
  <si>
    <t xml:space="preserve">This page fails because the &lt;blink&gt; element makes text blink without any way for me to stop it, which immediately breaks my focus and makes the page unusable for me.</t>
  </si>
  <si>
    <t xml:space="preserve">[2.2.2] As Ian, blinking text pulls my attention away from what I am trying to read. I cannot stop it, so I lose focus and cannot use the page. Remove the &lt;blink&gt; element entirely. If emphasis is needed, use static styling such as bold or a highlighted background color instead. || [2.4.6] As Ian, I rely on descriptive headings to find what I need quickly. With only one heading and no structure below it, I cannot orient myself on the page. Add descriptive sub-headings for each content section so I can scan and find information without reading everything.</t>
  </si>
  <si>
    <t xml:space="preserve">This page fails because the &lt;blink&gt; element makes text blink with no way for me to stop it, which immediately breaks my focus, and the abbreviation WCAG is never explained.</t>
  </si>
  <si>
    <t xml:space="preserve">[2.2.2] As Ian, blinking text immediately pulls my attention away from what I am reading. I cannot stop it, so I lose focus and cannot use the page. Remove the &lt;blink&gt; element entirely. If moving or flashing text is needed, replace it with a CSS animation that includes a user-controlled pause button, or use prefers-reduced-motion to disable it by default. || [1.3.1] N/A — the single heading is correctly structured. No change needed for this criterion. || [2.4.6] N/A — the heading tells me clearly what the page is about. No change needed for this criterion. || [3.1.4] As Ian, when I see 'WCAG' with no explanation, I lose track of what I am reading because I do not know what those letters mean. Wrap the abbreviation in an &lt;abbr&gt; element with a title attribute: &lt;abbr title="Web Content Accessibility Guidelines"&gt;WCAG&lt;/abbr&gt;. || [3.1.5] N/A — there is not enough body text to assess reading level. No change needed for this criterion on this minimal page.</t>
  </si>
  <si>
    <t xml:space="preserve">This page is a very simple form with a single labeled date input, no animations, no abbreviations, and no complex text, so it passes all five criteria I check.</t>
  </si>
  <si>
    <t xml:space="preserve">This page is a minimal form with a single labeled date input — no heading structure problems, no animations, no abbreviations, and the content is simple enough for me to read without trouble.</t>
  </si>
  <si>
    <t xml:space="preserve">This page is a very simple form with a single labeled date input, and it passes all five criteria I check — there are no headings to worry about, no animations, no abbreviations, and the tiny amount of text is easy to read.</t>
  </si>
  <si>
    <t xml:space="preserve">This page fails mainly because the only heading is a single letter 'A', which tells me nothing about what I am reading, and the page is missing proper document structure like &lt;head&gt; and &lt;body&gt; elements.</t>
  </si>
  <si>
    <t xml:space="preserve">[1.3.1] As Ian, I cannot tell what section I am in or what the list of words is about. There is no labelled structure to guide me through the page. Add a descriptive heading above the definition list, for example &lt;h2&gt;Glossary: Words Starting With A&lt;/h2&gt;, and include proper &lt;head&gt; and &lt;body&gt; elements. || [2.4.6] As Ian, a heading that just says 'A' tells me nothing. I cannot figure out what this page is for without reading everything on it. Replace &lt;h1&gt;A&lt;/h1&gt; with a descriptive heading such as &lt;h1&gt;Glossary: Words Starting With A&lt;/h1&gt;. || [2.2.2] No impact. There is nothing that would unexpectedly grab my attention. No action needed for this criterion. || [3.1.4] No impact. I can read all the words without needing to look anything up. No action needed for this criterion. || [3.1.5] The definitions are easy for me to read. Short sentences and common words help me understand without getting lost. No action needed for this criterion.</t>
  </si>
  <si>
    <t xml:space="preserve">This page fails because the only heading is the single letter 'A', which tells me nothing about what I am reading, and that breaks both the heading structure rule and the descriptive headings rule.</t>
  </si>
  <si>
    <t xml:space="preserve">[1.3.1] As Ian, I need headings to tell me what a section is about. A heading that just says 'A' gives me no information about what I am reading. Give the heading a meaningful title such as 'Dictionary: Words Starting with A' and ensure the page has proper &lt;html&gt;, &lt;head&gt;, and &lt;body&gt; structure. || [2.4.6] As Ian, a heading that is just the letter 'A' tells me nothing. I cannot tell if this is a dictionary, a list, or something else entirely. Replace 'A' with a descriptive heading like 'Words Beginning with A' so I know immediately what the page contains. || [2.2.2] No impact. There is nothing that moves or plays without me asking. No action needed for this criterion. || [3.1.4] No abbreviations are used, so I am not left wondering what a short form means. No action needed for this criterion. || [3.1.5] As Ian, I can read these definitions without difficulty. The sentences are short and use common words. No action needed for this criterion.</t>
  </si>
  <si>
    <t xml:space="preserve">This page fails mainly because the only heading is a single letter 'A', which tells me nothing about what I am reading, and the document is missing basic HTML structure like &lt;head&gt; and &lt;body&gt; that I rely on for predictable navigation.</t>
  </si>
  <si>
    <t xml:space="preserve">[1.3.1] As Ian, a broken document structure means my screen reader or browser may not reliably expose the heading hierarchy, making it hard for me to navigate predictably. Add a proper &lt;head&gt; and &lt;body&gt; element. Ensure headings are inside &lt;body&gt; and form a logical hierarchy. || [2.4.6] As Ian, when I see a heading that just says 'A', I have no idea what the page or section is about. I need descriptive headings to know where I am. Change the heading to something descriptive, such as &lt;h1&gt;Dictionary: Words Starting with A&lt;/h1&gt;. || [2.2.2] No impact — there is nothing that would unexpectedly grab my attention or break my focus. No action needed for this criterion. || [3.1.4] No impact — I can read the content without hitting any unexplained short forms. No action needed for this criterion. || [3.1.5] The language is mostly plain and I can follow it without too much effort. No action needed, but consider simplifying 'weight greater than that of the air it displaces' to something like 'heavier than air' for easier reading.</t>
  </si>
  <si>
    <t xml:space="preserve">This page fails badly — it has no headings, broken document structure, and a label pointing to the wrong element, so I cannot figure out what it is for or how to use it.</t>
  </si>
  <si>
    <t xml:space="preserve">[1.3.1] As Ian, I have no headings to help me understand what this page is about or navigate its sections. I am immediately lost. Add a proper document structure with &lt;head&gt; and &lt;body&gt;, and include at least one descriptive &lt;h1&gt; heading that describes the page's purpose. || [2.4.6] As Ian, I cannot find what I need because there are no headings to guide me. The label is also not connected to a real input, so I cannot tell what I am supposed to do on this page. Add descriptive headings and fix the &lt;label&gt; so it points to an &lt;input&gt; element, not a &lt;p&gt; element. || [2.2.2] No impact for Ian on this criterion. No action needed for this criterion. || [3.1.4] No impact for Ian on this criterion. No action needed for this criterion. || [3.1.5] As Ian, there is almost no content here, so I cannot tell what this page is for. Add meaningful page content with plain language and short sentences so the purpose of the page is clear.</t>
  </si>
  <si>
    <t xml:space="preserve">This page fails because it has no headings at all and a broken label-to-input association, which means I cannot understand the structure or purpose of the page.</t>
  </si>
  <si>
    <t xml:space="preserve">[1.3.1] As Ian, I have no headings to orient me or help me find what I need on this page. I cannot scan the structure at all. Add a descriptive &lt;h1&gt; heading at the top of the page, and use a proper heading hierarchy (&lt;h1&gt;, &lt;h2&gt;, etc.) to organise content sections. || [1.3.1] As Ian, the label 'First name:' is not connected to any real input field, so assistive technology cannot tell me what the field is for. This is confusing and I may not know what to do. Replace &lt;p id='fname'&gt;&lt;/p&gt; with &lt;input type='text' id='fname' name='fname'&gt; so the label is correctly associated with a form control. || [2.4.6] As Ian, I rely on descriptive headings to find what I need. With no headings at all, I have no signposts to guide me through the page. Add meaningful, descriptive headings that clearly describe each section of content. || [2.2.2] No unexpected motion to distract me here. No action needed for this criterion. || [3.1.4] No unexplained abbreviations to confuse me on this page. No action needed for this criterion. || [3.1.5] As Ian, there is barely any content here. I cannot tell what this page is for or what I am supposed to do. Add plain-language instructions and content so users understand the purpose of the page.</t>
  </si>
  <si>
    <t xml:space="preserve">This page fails basic structure requirements — it has no headings, no body element, and almost no content, so I cannot tell what it is for or how to use it.</t>
  </si>
  <si>
    <t xml:space="preserve">[1.3.1] As Ian, I have no headings to scan to understand what this page is about or to navigate its sections. I am immediately lost. Add a proper &lt;body&gt; element and at least one &lt;h1&gt; that clearly describes the page's purpose. Build a logical heading hierarchy from there. || [2.4.6] As Ian, I cannot find what I need because there are no descriptive labels or headings to guide me through the content. Add descriptive headings that clearly state what each section contains, for example &lt;h1&gt;Personal Information Form&lt;/h1&gt;. || [2.2.2] No impact from motion or animation on this page. No action needed for this criterion. || [3.1.4] No unexpanded abbreviations to confuse me on this page. No action needed for this criterion. || [3.1.5] There is almost no content here for me to read, which means I cannot understand what this page is for. Add meaningful plain-language content that explains the page's purpose, keeping sentences short and avoiding jargon.</t>
  </si>
  <si>
    <t xml:space="preserve">This page is missing almost all structure — no headings, no body, no meaningful content — so I cannot tell what it is for or how to use it.</t>
  </si>
  <si>
    <t xml:space="preserve">[1.3.1] As Ian, I have no headings to orient me on the page. I cannot tell what this page is about or find any section I need. Add a proper page structure with &lt;head&gt;, &lt;body&gt;, at least one &lt;h1&gt; describing the page purpose, and use semantic HTML to convey information and relationships. || [2.4.6] As Ian, I cannot find what I need because there are no descriptive headings to guide me through the page. Add descriptive headings that clearly explain the purpose of each section of the page. || [2.2.2] No animation issue affects me here. No action needed for this criterion. || [3.1.4] No abbreviation issue affects me here. No action needed for this criterion. || [3.1.5] As Ian, there is almost no content here, so I cannot understand what this page is for or what I am supposed to do. Add meaningful, plain-language content that explains the page purpose and guides the user through tasks.</t>
  </si>
  <si>
    <t xml:space="preserve">This page fails badly for me — there are no headings, the only label says 'Menu' which tells me nothing, and there is almost no content at all, so I have no idea what this page is or what I am supposed to do.</t>
  </si>
  <si>
    <t xml:space="preserve">[1.3.1] As Ian, I open this page and have no idea what it is about. There are no headings to tell me where I am or what the page does. I cannot find anything. Add a proper &lt;head&gt; and &lt;body&gt;, then add at least one descriptive &lt;h1&gt; that clearly states the page purpose. Build a logical heading hierarchy from there. || [2.4.6] As Ian, I see a text box labelled 'Menu' and I do not know what to put in it. That label is not descriptive enough for me to understand what is expected. Replace the generic label text 'Menu' with a clear, descriptive label such as 'Your first name' or whatever the field actually collects. Add descriptive headings throughout the page. || [2.2.2] No autoplay or motion issues affect me here. No action needed for this criterion. || [3.1.4] No unexpanded abbreviations to confuse me on this page. No action needed for this criterion. || [3.1.5] As Ian, a single word gives me no context about what this page is or what I should do. That is worse than a high reading level — it is no content at all. Add plain-language instructions and descriptive text so I understand what the page is for and what I need to do.</t>
  </si>
  <si>
    <t xml:space="preserve">This page fails because it has no headings at all and a generic label that tells me nothing about what the page is for or what I should do.</t>
  </si>
  <si>
    <t xml:space="preserve">[1.3.1] As Ian, I open this page and have no idea what it is about. There are no headings to tell me where I am or what this page does. I cannot find anything because there is nothing to navigate. Add a proper page structure with &lt;head&gt; and &lt;body&gt;, include at least one &lt;h1&gt; that describes the page purpose, and use heading levels (h1, h2, h3) in a logical order. || [2.4.6] As Ian, I see a text box labelled 'Menu' and I do not know what to put in it. Is it a food menu? A navigation menu? I give up because the label does not help me. Replace the generic label text 'Menu' with a descriptive label that clearly states what the input field is for, for example 'Your First Name' or 'Search the Menu'. || [2.2.2] No autoplay or motion content is present, so this does not affect me here. No action needed for this criterion. || [3.1.4] No abbreviations are present, so I am not confused by unexplained short forms on this page. No action needed for this criterion. || [3.1.5] There is almost no text on this page, so reading level is not a concern right now. No action needed for this criterion at this time, but ensure any future content is written at a clear, plain-language level.</t>
  </si>
  <si>
    <t xml:space="preserve">This page is essentially empty — the only element is a blank, improperly coded heading, which means I cannot find any information, orient myself, or understand what the page is for.</t>
  </si>
  <si>
    <t xml:space="preserve">[1.3.1] As Ian, I need descriptive headings to orient myself on a page. An empty heading gives me nothing to hold onto — I have no idea what this page is about or where to start reading. Replace the empty &lt;p role='heading' aria-level='1'&gt; with a proper &lt;h1&gt; element that contains a clear, descriptive page title. Build a logical heading hierarchy (h1 → h2 → h3) from there. || [2.4.6] As Ian, I rely on headings like signposts. A blank heading is worse than a generic one — it tells me absolutely nothing and leaves me lost on the page. Add meaningful, descriptive text to the heading so it clearly communicates the topic or purpose of the page or section. || [2.2.2] No autoplay or motion issues detected — this is not a problem for me here. No action needed for this criterion. || [3.1.4] No abbreviations present — not an issue on this page. No action needed for this criterion on this page, but ensure any future content expands abbreviations using &lt;abbr title='...'&gt; elements. || [3.1.5] There is nothing to read, which means I cannot get any information from this page at all. Add actual content to the page. When you do, aim for short sentences and plain language at or below a grade 9 reading level.</t>
  </si>
  <si>
    <t xml:space="preserve">This page has a single empty heading and no other content, which means I cannot tell what it is about, where I am, or what to do — it fails the most basic structure requirements I depend on.</t>
  </si>
  <si>
    <t xml:space="preserve">[1.3.1] As Ian, I need descriptive headings to orient myself on a page. An empty heading gives me nothing to hold onto — I have no idea what the page is about or where I am. Replace the empty &lt;p role='heading' aria-level='1'&gt; with a proper &lt;h1&gt; element that contains a clear, descriptive page title. || [2.4.6] As Ian, I rely on headings to tell me what a section is about. An empty heading label is worse than a generic one — it tells me absolutely nothing. Add meaningful, plain-language text inside the heading element that clearly describes the page or section topic. || [2.2.2] No impact — there is nothing moving on this page to distract me. No action needed for this criterion. || [3.1.4] No abbreviations to confuse me, but only because the page has no content at all. No action needed for this criterion specifically, but the page needs real content added. || [3.1.5] As Ian, a page with no content leaves me completely lost — I cannot tell what this page is for or what I should do. Add plain-language content written at or below a grade 9 reading level.</t>
  </si>
  <si>
    <t xml:space="preserve">This page fails badly for me as Ian — the only heading is empty, so I have no idea what the page is about or how to navigate it.</t>
  </si>
  <si>
    <t xml:space="preserve">[1.3.1] As Ian, I need descriptive headings to orient myself on a page. An empty heading gives me nothing to hold onto — I have no idea what the page is about or where I am. Replace the empty &lt;p role='heading' aria-level='1'&gt; with a proper &lt;h1&gt; element that contains a clear, descriptive page title. || [2.4.6] As Ian, I rely on headings to find what I need quickly. A blank heading is worse than a generic one — it tells me absolutely nothing. Add meaningful, descriptive text inside the heading element so I can immediately understand the page topic. || [2.2.2] No impact — there is nothing moving or blinking to distract me. No action needed for this criterion. || [3.1.4] No abbreviations to confuse me, but only because the page has no content at all. When content is added, ensure all abbreviations use &lt;abbr title='...'&gt;. || [3.1.5] There is nothing to read, which is its own problem — the page is essentially blank. When content is added, aim for plain language at or below a grade 9 reading level.</t>
  </si>
  <si>
    <t xml:space="preserve">This page fails because it has no headings at all and uses a vague button label, which means I cannot figure out what the page is for or where anything is.</t>
  </si>
  <si>
    <t xml:space="preserve">[1.3.1] I cannot scan the page for sections or find what I need because there are no headings to guide me. Add a meaningful &lt;h1&gt; and any necessary sub-headings to give the page a clear, navigable structure. || [2.4.6] With no descriptive headings and a vague button label like 'Go', I have no idea what this page is for or what the button will do. Add descriptive headings throughout the page and change the button label to something clear like 'Search' or 'Submit Search'. || [2.2.2] No impact — nothing starts moving without me asking. No action needed for this criterion. || [3.1.4] No abbreviations to confuse me here. No action needed for this criterion. || [3.1.5] There is almost no text to read, so reading level is not a concern here. No action needed for this criterion given the minimal text content.</t>
  </si>
  <si>
    <t xml:space="preserve">This page fails because it has no headings at all and uses a vague button label 'Go', which means I cannot tell what the page is for or what pressing that button will do.</t>
  </si>
  <si>
    <t xml:space="preserve">[1.3.1] As Ian, I have no descriptive headings to orient me or tell me what this page is for. I cannot find what I need without structure. Add a visible &lt;h1&gt; that describes the page purpose, and use proper heading hierarchy (&lt;h1&gt;, &lt;h2&gt;, etc.) to organise content. || [2.4.6] As Ian, 'Go' tells me nothing about what will happen. I need clear, descriptive labels to understand what a control does before I use it. Change the button text to something descriptive like 'Search' or 'Submit Search', and add descriptive headings throughout the page. || [2.2.2] No impact — there is nothing moving or blinking on this page. No action needed for this criterion. || [3.1.4] No abbreviations to confuse me here. No action needed for this criterion. || [3.1.5] There is almost no text on this page, so reading level is not a concern right now — but the lack of content itself is a problem. No action needed for this criterion specifically, but add meaningful page content with plain language.</t>
  </si>
  <si>
    <t xml:space="preserve">This page fails because it has no headings at all and uses a vague button label 'Go', which means I cannot figure out where I am or what the button will do.</t>
  </si>
  <si>
    <t xml:space="preserve">[1.3.1] I cannot scan the page for sections or find what I need because there are no headings to guide me. Add a meaningful &lt;h1&gt; and any necessary sub-headings to give the page a clear, navigable structure. || [2.4.6] The button just says 'Go' with no context. I do not know what it does or where it leads, which makes me anxious and confused. Replace or supplement 'Go' with a descriptive label such as 'Search the site'. Add descriptive headings to the page. || [2.2.2] No impact — nothing starts moving without me asking. No action needed for this criterion. || [3.1.4] No abbreviations to confuse me here. No action needed for this criterion. || [3.1.5] There is not enough content to read, so reading level is not an issue here. No action needed for this criterion, but ensure any future content is written at a clear, plain-language level.</t>
  </si>
  <si>
    <t xml:space="preserve">This page fails because every sentence is packed with unexplained abbreviations and technical words that make me lose track of what I am reading.</t>
  </si>
  <si>
    <t xml:space="preserve">[1.3.1] The single h1 is fine for me, and no levels are skipped, so navigation by heading works at the top level. This criterion passes. No change needed for 1.3.1, but adding descriptive sub-headings would help overall navigation. || [2.4.6] The heading tells me what the page is about, so I can orient myself. This criterion passes. No change needed, though adding more descriptive sub-headings for each paragraph topic would help me find specific content. || [2.2.2] Nothing starts moving without me asking, so I can stay focused. This criterion is inapplicable. No action needed. || [3.1.4] When I hit REST, CRUD, ORM, ETL, ANSI, CLI, and CI all in two short paragraphs with no expansions, I lose track of what I am reading. I have to stop and look each one up, which breaks my concentration completely. Wrap each abbreviation in an &lt;abbr title='...'&gt;  element. For example: &lt;abbr title='Representational State Transfer'&gt;REST&lt;/abbr&gt;, &lt;abbr title='Create Read Update Delete'&gt;CRUD&lt;/abbr&gt;, &lt;abbr title='Object-Relational Mapper'&gt;ORM&lt;/abbr&gt;, &lt;abbr title='Extract Transform Load'&gt;ETL&lt;/abbr&gt;, &lt;abbr title='American National Standards Institute'&gt;ANSI&lt;/abbr&gt;, &lt;abbr title='Command-Line Interface'&gt;CLI&lt;/abbr&gt;, &lt;abbr title='Continuous Integration'&gt;CI&lt;/abbr&gt;. || [3.1.5] These sentences are hard for me to follow. There are too many long technical words packed together. I give up before I finish the paragraph. Break sentences into shorter ones. Replace or explain jargon. For example: 'We store data in PostgreSQL. We use an ORM to talk to the database. Every night, an ETL pipeline loads new data.' Aim for a grade 6-8 reading level.</t>
  </si>
  <si>
    <t xml:space="preserve">This page fails because it is packed with unexplained abbreviations and technical jargon that I cannot follow, with no &lt;abbr&gt; expansions and reading difficulty far above the level I need.</t>
  </si>
  <si>
    <t xml:space="preserve">[1.3.1] The single heading is present and correct, so I can at least identify the page topic. No change needed for 1.3.1, but adding sub-headings would help navigation. || [2.4.6] The heading tells me what the page is about, which is helpful. No change needed. || [2.2.2] No unexpected motion to distract me. No change needed. || [3.1.4] When I hit REST, CRUD, ETL, ANSI, CLI, and CI all in a row with no explanations, I lose track of what I am reading. I do not know what all of these mean and there is nothing to help me. Wrap each abbreviation in an &lt;abbr&gt; element with a title attribute, for example: &lt;abbr title='Representational State Transfer'&gt;REST&lt;/abbr&gt;, &lt;abbr title='Create Read Update Delete'&gt;CRUD&lt;/abbr&gt;, &lt;abbr title='Extract Transform Load'&gt;ETL&lt;/abbr&gt;, &lt;abbr title='Command Line Interface'&gt;CLI&lt;/abbr&gt;, &lt;abbr title='Continuous Integration'&gt;CI&lt;/abbr&gt;, &lt;abbr title='Object-Relational Mapper'&gt;ORM&lt;/abbr&gt;, &lt;abbr title='JavaScript Object Notation'&gt;JSON&lt;/abbr&gt;, &lt;abbr title='American National Standards Institute'&gt;ANSI&lt;/abbr&gt;. || [3.1.5] This is a wall of technical terms with no plain-language explanations. I would give up reading after the first sentence because I cannot follow what is being said. Rewrite in plain language with short sentences. Define technical terms when first used. Break content into labelled sections. For example, instead of 'The persistence layer uses an ORM backed by PostgreSQL', write 'We store data in a PostgreSQL database. We use a tool called an ORM to talk to it.'</t>
  </si>
  <si>
    <t xml:space="preserve">This page fails because it throws abbreviation after abbreviation at me with no explanations, and the sentences are long and full of jargon that is hard for me to follow.</t>
  </si>
  <si>
    <t xml:space="preserve">[1.3.1] The single heading is fine for a short page; I can tell what the page is about. No change needed for this criterion. || [2.4.6] The heading tells me clearly what the page covers. No change needed for this criterion. || [2.2.2] Nothing moves without me asking, so I can stay focused. No change needed. || [3.1.4] As Ian, when I hit 'CRUD' or 'ETL' or 'ANSI' and I don't know what they mean, I lose track of what I am reading and may give up entirely. This page is dense with abbreviations I have to already know. Wrap each abbreviation in an &lt;abbr title='...'&gt;  element, e.g. &lt;abbr title='Representational State Transfer'&gt;REST&lt;/abbr&gt;, &lt;abbr title='JavaScript Object Notation'&gt;JSON&lt;/abbr&gt;, &lt;abbr title='Create Read Update Delete'&gt;CRUD&lt;/abbr&gt;, &lt;abbr title='Hypertext Transfer Protocol'&gt;HTTP&lt;/abbr&gt;, &lt;abbr title='Object-Relational Mapper'&gt;ORM&lt;/abbr&gt;, &lt;abbr title='Extract Transform Load'&gt;ETL&lt;/abbr&gt;, &lt;abbr title='American National Standards Institute'&gt;ANSI&lt;/abbr&gt;, &lt;abbr title='Command-Line Interface'&gt;CLI&lt;/abbr&gt;, &lt;abbr title='Continuous Integration'&gt;CI&lt;/abbr&gt;. || [3.1.5] As Ian, dense technical sentences with no plain-language alternatives are overwhelming. I would struggle to understand what action, if any, I need to take. Break each idea into its own short sentence. Use plain words where possible, e.g. 'The new endpoint uses REST and returns JSON data. You can create, read, update, and delete records using standard HTTP methods. Data is stored in a PostgreSQL database using an ORM. Every night, an ETL pipeline imports new data.' Add a glossary or inline expansions for all technical terms.</t>
  </si>
  <si>
    <t xml:space="preserve">This page fails because two abbreviations, PCR and SOP, have no expansion, which means I get stuck and cannot understand the content.</t>
  </si>
  <si>
    <t xml:space="preserve">[3.1.4] When I see PCR and SOP with no explanation, I lose track of what I am reading. I do not know what these stand for and I cannot keep going. Add a meaningful title attribute to every abbr element. For example: &lt;abbr title="Polymerase Chain Reaction"&gt;PCR&lt;/abbr&gt; and &lt;abbr title="Standard Operating Procedure"&gt;SOP&lt;/abbr&gt;.</t>
  </si>
  <si>
    <t xml:space="preserve">This page fails because two abbreviations — PCR and SOP — have no expansion, which means I get stuck right away and cannot understand what the procedure is asking me to do.</t>
  </si>
  <si>
    <t xml:space="preserve">[3.1.4] When I see 'PCR' and 'SOP' with no explanation, I lose track of what I am reading. I do not know what these stand for and I cannot continue confidently. Add meaningful title attributes: &lt;abbr title="Polymerase Chain Reaction"&gt;PCR&lt;/abbr&gt; and &lt;abbr title="Standard Operating Procedure"&gt;SOP&lt;/abbr&gt;. Every abbreviation must have a non-empty title that spells out the full term.</t>
  </si>
  <si>
    <t xml:space="preserve">This page fails because two abbreviations — PCR and SOP — have no expansion, which means I am left guessing what they mean and I lose focus on the content.</t>
  </si>
  <si>
    <t xml:space="preserve">This page is simple and clear — one heading, short plain sentences, no animations, and no abbreviations, so I can read it without any trouble.</t>
  </si>
  <si>
    <t xml:space="preserve">This page is simple and clear — one plain heading, short sentences, no abbreviations, and nothing moving on screen, so I can read it without any trouble.</t>
  </si>
  <si>
    <t xml:space="preserve">This page is simple and clear — one plain heading, short sentences, no animations, and no confusing abbreviations, so I can read it without any trouble.</t>
  </si>
  <si>
    <t xml:space="preserve">This page is simple and clear — one heading, short sentences, no abbreviations I need to look up, and nothing moving on screen without my permission.</t>
  </si>
  <si>
    <t xml:space="preserve">This page is simple and clear — one descriptive heading, short plain sentences, no abbreviations I need to look up, and nothing moving or flashing to break my focus.</t>
  </si>
  <si>
    <t xml:space="preserve">This page is simple and clear — one descriptive heading, short plain sentences, no abbreviations I need to look up, and nothing moving or flashing to distract me.</t>
  </si>
  <si>
    <t xml:space="preserve">This page is simple and well-structured — one clear heading, short text, and every abbreviation has a title expansion, so I can read it without losing track.</t>
  </si>
  <si>
    <t xml:space="preserve">This page is simple and well-structured — it has one clear heading, all abbreviations are expanded with title attributes, and the text is short and easy to read.</t>
  </si>
  <si>
    <t xml:space="preserve">This page is simple and well-structured — one clear h1, short paragraphs, and every abbreviation like W3C, WCAG, AG WG, and HTTP has a title expansion, so I can read it without losing track.</t>
  </si>
  <si>
    <t xml:space="preserve">This page passes all five criteria I check, which is a relief — the heading is clear, abbreviations like LMS, FAQ, and PR are all spelled out the first time they appear, and the sentences are short and plain enough for me to follow without losing my place.</t>
  </si>
  <si>
    <t xml:space="preserve">This page has a clear heading and a simple structure, which I appreciate, but the unexpanded 'PRs' abbreviation and overly technical phrasing make it harder for me to follow than it needs to be.</t>
  </si>
  <si>
    <t xml:space="preserve">[3.1.4] When I see 'PRs' by itself in the second paragraph, I have already lost the context from the first sentence. I lose track of what I am reading and have to scroll back up. Without &lt;abbr&gt; markup, screen readers and other tools cannot help me either. Wrap every abbreviation in an &lt;abbr title='Full Expansion'&gt; element, for example: &lt;abbr title='Pull Request'&gt;PR&lt;/abbr&gt; and &lt;abbr title='Pull Requests'&gt;PRs&lt;/abbr&gt;. Do this for LMS and FAQ as well, even where the expansion is given inline. || [3.1.5] Dense technical phrases like 'file a Pull Request against the documentation repository' are hard for me to parse quickly. I have to re-read sentences, which is tiring and makes me want to give up. Simplify sentences. For example: 'If you have a problem, go to the documentation repository and open a Pull Request (PR). Someone will review your PR within three business days.' Use shorter words where possible and keep sentences to one idea each.</t>
  </si>
  <si>
    <t xml:space="preserve">The page has a clear heading, short paragraphs, and expands every abbreviation on first use, so I can follow it without getting lost — but the reading level and heading structure look fine to me too.</t>
  </si>
  <si>
    <t xml:space="preserve">This page is very hard for me to use because the sentences are extremely long, the words are unfamiliar and unexplained, and there are no subheadings to help me find my way through the content.</t>
  </si>
  <si>
    <t xml:space="preserve">[3.1.5] As Ian, I would give up almost immediately. These sentences are enormous and full of words I do not know. I cannot follow what the page is trying to tell me. Break content into short sentences of 15–20 words. Replace or define specialist terms like 'epoche' and 'noetic' in plain language. Use subheadings to separate ideas. || [3.1.4] As Ian, when I see 'epoche' with no explanation, I lose track of what I am reading. I do not know if it is an abbreviation or a foreign word, and there is nothing to help me find out. Wrap 'epoche' and other unexplained specialist terms in &lt;abbr title='suspension of judgment about the external world'&gt;epoche&lt;/abbr&gt; or provide an inline plain-language explanation immediately after the term. || [2.4.6] As Ian, I need descriptive headings to find what I need. Without subheadings, I have to read every word of a dense wall of text to know what each section is about. Add descriptive &lt;h2&gt; headings before each paragraph, for example: 'What is the phenomenological reduction?' and 'How did Merleau-Ponty change this idea?'</t>
  </si>
  <si>
    <t xml:space="preserve">This page is very hard for me to use because the sentences are extremely long and full of unexplained technical words that I cannot follow.</t>
  </si>
  <si>
    <t xml:space="preserve">[3.1.5] As Ian, I would give up almost immediately. These sentences are so long and dense that I lose the thread before I reach the end. Words like 'epoche' and 'noetic' mean nothing to me and there is no explanation anywhere on the page. Rewrite content using short sentences (under 20 words each). Break complex ideas into separate paragraphs. Aim for a Flesch-Kincaid grade of 9 or below. || [3.1.4] As Ian, when I hit 'epoche' with no explanation, I lose track of what I am reading. I do not know if it is a typo, a foreign word, or an abbreviation, and there is nothing to help me. Wrap abbreviations and unexplained technical terms in &lt;abbr title="full expansion here"&gt; elements. For example: &lt;abbr title="methodological bracketing of assumptions"&gt;epoche&lt;/abbr&gt;.</t>
  </si>
  <si>
    <t xml:space="preserve">This page uses extremely long sentences and unexplained specialist terms that make it very hard for me to read and understand.</t>
  </si>
  <si>
    <t xml:space="preserve">[3.1.5] As Ian, I would give up almost immediately. These sentences go on and on with no clear stopping point. I cannot follow what is being said, and I lose the thread before I reach the end of a single sentence. Break each long sentence into two or three short sentences. Use plain words: for example, replace 'methodological suspension' with 'deliberate pause' and explain the concept step by step. || [3.1.4] As Ian, when I hit 'epoche' or 'noetic' I have no idea what they mean and there is nothing to click or hover on to find out. I lose track of what I was reading and feel frustrated. Wrap specialist terms in &lt;abbr title='...'&gt;epoche&lt;/abbr&gt; with a plain-language expansion, or add a short definition immediately after the term in parentheses.</t>
  </si>
  <si>
    <t xml:space="preserve">This page is a single wall of very long legal sentences with no sub-headings and no plain language, which makes it impossible for me to read or understand what I am agreeing to.</t>
  </si>
  <si>
    <t xml:space="preserve">[3.1.5] As Ian, I hit that wall of legal text and immediately lose track. The sentence never ends and the words are not plain English. I cannot tell what I am agreeing to, so I either give up or click away. Rewrite using short sentences and plain words. For example: 'By using this site you agree to these terms. If you break the rules, we may remove your access.' Break the content into labelled sections with descriptive headings. || [3.1.4] As Ian, when I read 'Party of the Second Part' or 'choice-of-law provisions' I do not know what those mean. There is no expansion or tooltip to help me. I lose track of what I am reading. Replace legal shorthand with plain names (e.g., 'you' instead of 'Party of the Second Part'). Where technical or legal terms must stay, wrap them in &lt;abbr title='full explanation'&gt;term&lt;/abbr&gt;. || [2.4.6] As Ian, I need descriptive headings to find what I need. With no sub-headings I have to read the whole dense paragraph just to locate one piece of information, which is overwhelming. Add descriptive &lt;h2&gt; headings for each topic, for example: 'Limits on our liability', 'Your responsibilities', 'Which law applies'. This lets me scan and jump to the part I need.</t>
  </si>
  <si>
    <t xml:space="preserve">This page fails because the single giant sentence is written in dense legal language that I cannot follow, and there are no plain-language definitions or abbreviation expansions to help me understand what I am agreeing to.</t>
  </si>
  <si>
    <t xml:space="preserve">[3.1.5] As Ian, I hit that wall of legal text and immediately lose track. The sentence never ends and the words like 'hereinafter', 'enumerated', and 'indemnification' are not words I use every day. I would give up before I understood what I was agreeing to. Rewrite the paragraph as several short sentences using plain language. For example: 'By using this site, you agree to these terms. If you break any rule, we may remove your access.' Aim for a grade 6 to 8 reading level. || [3.1.4] As Ian, when I see a term I do not know and there is no tooltip or expansion, I lose track of what I am reading. 'Party of the Second Part' is used without ever being clearly defined in plain language. Use &lt;abbr title='...'&gt;...&lt;/abbr&gt; for any abbreviations. Replace legal shorthand labels like 'Party of the Second Part' with plain words like 'you' or 'the user'. Define any unavoidable technical terms inline on first use.</t>
  </si>
  <si>
    <t xml:space="preserve">This page fails badly for me because one enormous legal sentence with no subheadings and no plain language makes it impossible for me to understand what I am agreeing to.</t>
  </si>
  <si>
    <t xml:space="preserve">[3.1.5] As Ian, I hit that wall of legal text and immediately lose track. The sentence never ends and the words like 'indemnification' and 'hereinafter' mean nothing to me. I would close the page without understanding what I agreed to. Rewrite using short sentences and plain words. For example: 'By using this site, you agree to these rules. If you break a rule, we may remove your access.' Aim for a grade 6-8 reading level. || [3.1.4] As Ian, when I read 'Party of the Second Part' I do not know if that means me, the website, or someone else. It breaks my reading flow every time it appears. Replace with plain words like 'you' and 'we', or at minimum use &lt;abbr title='you, the user'&gt;Party of the Second Part&lt;/abbr&gt; on first use. || [2.4.6] As Ian, I cannot scan the page to find the part about termination or liability. There are no labels to guide me, so I have to read the whole dense paragraph to find anything. Add descriptive subheadings such as &lt;h2&gt;Liability limits&lt;/h2&gt;, &lt;h2&gt;Indemnification&lt;/h2&gt;, and &lt;h2&gt;Termination of access&lt;/h2&gt; to break up the content.</t>
  </si>
  <si>
    <t xml:space="preserve">This page is simple and clean — one clear heading, plain labels, no animations, no abbreviations, and very short text, so I can use it without any trouble.</t>
  </si>
  <si>
    <t xml:space="preserve">This page is simple and clean — one clear heading, plain labels, no animations, no abbreviations, and short straightforward text, so I can use it without any trouble.</t>
  </si>
  <si>
    <t xml:space="preserve">This contact page is simple and clear — one h1, plain labels, no animations, no abbreviations, and short straightforward text, so I can use it without any trouble.</t>
  </si>
  <si>
    <t xml:space="preserve">This page is simple and clear — one heading, a short list, no animations, no abbreviations, and plain language that I can read without any trouble.</t>
  </si>
  <si>
    <t xml:space="preserve">The plain language summary is great and easy for me to read, but the Detail section is full of long technical words with no explanations, which makes it impossible for me to follow.</t>
  </si>
  <si>
    <t xml:space="preserve">[3.1.5] As Ian, I can read the plain language summary fine, but when I hit the Detail section I immediately lose track. Words like 'matrilineally', 'ubiquitin tagging', and 'non-Mendelian' are not words I know, and the sentences are very long. I would stop reading. Rewrite the Detail section in plain language. Break long sentences into short ones. Replace or explain technical terms inline, for example: 'ubiquitin tagging (a process that marks and removes unwanted material)'. || [3.1.4] As Ian, when I see 'non-Mendelian' I have no idea what Mendelian means. There is no tooltip or explanation. I lose track of the sentence and feel confused. Wrap the term in an &lt;abbr&gt; element or add an inline explanation, for example: 'non-Mendelian (not following the usual rules of inheritance discovered by Gregor Mendel)'.</t>
  </si>
  <si>
    <t xml:space="preserve">The plain language summary is helpful, but the Detail section uses very long, jargon-heavy sentences and an unexpanded abbreviation that would make me stop reading and feel lost.</t>
  </si>
  <si>
    <t xml:space="preserve">[3.1.5] As Ian, I hit that second paragraph and immediately lose track. Words like 'matrilineally', 'ubiquitin tagging', and 'non-Mendelian' are not plain language. I would stop reading and feel like this page is not for me. Rewrite the 'Detail' section in plain language, the same way the summary section does it. Break long sentences into short ones. Replace or explain technical terms inline, for example: 'ubiquitin tagging (a process that marks and removes unwanted material)'. || [3.1.4] As Ian, when I see 'DNA' without an explanation, I have to stop and wonder if I know what it means. Even if I do, the interruption breaks my focus and makes reading harder. Wrap 'DNA' in an &lt;abbr&gt; element with a title attribute: &lt;abbr title="deoxyribonucleic acid"&gt;DNA&lt;/abbr&gt;. Do the same for any other abbreviations added in future edits.</t>
  </si>
  <si>
    <t xml:space="preserve">The plain language summary is great and I appreciate it, but the Detail section is full of long technical words and an unexpanded abbreviation that make it impossible for me to follow.</t>
  </si>
  <si>
    <t xml:space="preserve">[3.1.5] As Ian, I hit words like 'matrilineally', 'ubiquitin tagging', and 'non-Mendelian' and I lose track completely. I already read the plain summary and understood it, but then this section makes me feel like I am reading a different language. I give up. Rewrite the Detail section in plain language, or at minimum add a plain-language version alongside the technical text. Break long sentences into shorter ones. Aim for a Flesch-Kincaid grade of 9 or below. || [3.1.4] As Ian, when I see 'DNA' I probably know it, but the page gives me no help. If I did not already know it, I would lose track of the whole paragraph. The page should not assume I know every abbreviation. Wrap 'DNA' in an &lt;abbr title="deoxyribonucleic acid"&gt;DNA&lt;/abbr&gt; element on first use. Consider also explaining 'non-Mendelian' inline, for example: 'non-Mendelian (not following the usual rules of inheritance)'.</t>
  </si>
  <si>
    <t xml:space="preserve">This page is easy for me to use: it has one clear heading, short sentences, no abbreviations, no animations, and the reading level feels simple and calm.</t>
  </si>
  <si>
    <t xml:space="preserve">This page is easy for me to use: it has one clear heading, short plain sentences, no abbreviations, no animations, and the reading level feels simple and comfortable.</t>
  </si>
  <si>
    <t xml:space="preserve">This page fails critically because the only interactive element — an image input used as a search button — has no alt attribute, so NVDA gives me no name or role information and I cannot determine what the button does before activating it.</t>
  </si>
  <si>
    <t xml:space="preserve">[1.1.1] NVDA will announce this as 'graphic' or simply read the filename of the SVG, giving me no indication that this is a search button. I cannot know what activating it will do before I press it, which is essential to how I navigate. Add a descriptive alt attribute to the image input, e.g. alt="Search", so that NVDA announces it as 'Search button' and I understand its purpose before activating it. || [4.1.2] Because the control has no programmatic name, NVDA cannot announce what this button does. I would have no way to know this is a search action, making the control effectively unusable for me. Add alt="Search" to the input element. This simultaneously satisfies 1.1.1 and 4.1.2 by providing both a text alternative and an accessible name for the control.</t>
  </si>
  <si>
    <t xml:space="preserve">This page fails immediately because the only interactive element — an image input — has no accessible name, so when I land on it with NVDA I hear nothing meaningful and cannot safely activate it.</t>
  </si>
  <si>
    <t xml:space="preserve">[1.1.1] When I tab to this button, NVDA will announce something like 'graphic' or just the filename of the SVG, giving me no idea that this is a search button. I cannot know what it does before I activate it, which is exactly the problem I face every day with unlabelled images. Add a descriptive alt attribute to the image input, e.g. alt="Search". This will cause NVDA to announce 'Search button' when I focus it. || [4.1.2] NVDA exposes the role as 'button' but announces no name, so I hear 'button' with no context. I have no way to know what action will be triggered if I press Enter or Space. Add alt="Search" to supply the accessible name. Alternatively, aria-label="Search" would also satisfy the name requirement.</t>
  </si>
  <si>
    <t xml:space="preserve">This page fails immediately because the sole interactive element — an image input used as a search button — has no alt attribute, so NVDA gives me no meaningful name for it and I cannot know what it does before I activate it.</t>
  </si>
  <si>
    <t xml:space="preserve">[1.1.1] When I tab to this input button, NVDA will announce something like 'graphic' or read the filename of the SVG rather than telling me it is a search button. I have no idea what activating it will do, which violates my core need to know what every button does before I press it. Add a descriptive alt attribute to the image input, e.g., alt="Search", so NVDA announces 'Search button' when I focus it. || [4.1.2] NVDA cannot announce a meaningful name for this control. I cannot determine its role or purpose, making it effectively unusable for me as a screen reader user. Provide an accessible name via alt="Search" on the image input. This simultaneously satisfies 1.1.1 and 4.1.2 for this element.</t>
  </si>
  <si>
    <t xml:space="preserve">This page contains a single decorative image with a proper empty alt attribute, no headings, no interactive elements, and no repeated navigation blocks, so there are no accessibility barriers for me as Lakshmi using NVDA.</t>
  </si>
  <si>
    <t xml:space="preserve">This page has a single decorative image with a proper empty alt attribute, no headings or interactive elements to evaluate, and NVDA will correctly skip the image and read only 'PDF document' — so there is nothing here that blocks my access.</t>
  </si>
  <si>
    <t xml:space="preserve">This page contains a single decorative image with an empty alt attribute, which is correct — NVDA will skip it silently, there are no headings or interactive elements to worry about, and the visible text 'PDF document' conveys the meaning without needing the image.</t>
  </si>
  <si>
    <t xml:space="preserve">This page fails because the image button's aria-labelledby points to a non-existent element, leaving me with no accessible name for the only interactive control on the page — I cannot know what it does before I press it.</t>
  </si>
  <si>
    <t xml:space="preserve">[1.1.1] NVDA will announce this as 'graphic' or simply read the filename/URL with no meaningful label. I have no idea what this button does before I activate it, which is exactly the problem my persona describes — I need to know what every button does before pressing it. Either add a valid alt attribute (e.g., alt='Search') directly on the input, or replace aria-labelledby with aria-label='Search', or ensure the referenced element ID actually exists in the DOM with descriptive text. || [4.1.2] NVDA will announce this interactive control without a name, so I cannot determine its purpose. I might accidentally activate an unlabelled button with no idea of the consequence. Provide a valid accessible name via alt='Search' (the most appropriate mechanism for input type=image) or a working aria-label/aria-labelledby reference.</t>
  </si>
  <si>
    <t xml:space="preserve">This page fails because the image input's aria-labelledby points to a non-existent element, leaving me with no accessible name for the only interactive control on the page — I simply cannot know what this button does or use it safely.</t>
  </si>
  <si>
    <t xml:space="preserve">[1.1.1] NVDA would announce this as 'graphic' or simply read the filename/URL, giving me no meaningful information about what this button does. I cannot tell it is a search button, so I cannot use it effectively. Either add a valid alt attribute (e.g., alt='Search') directly on the input element, or ensure the aria-labelledby value references an existing element ID that contains descriptive text. The simplest fix is: alt='Search'. || [4.1.2] As Lakshmi, I need to know what every button does before I activate it. With no accessible name resolved, NVDA cannot tell me this is a 'Search button', so I have no idea what will happen if I press Enter on it. Fix the broken aria-labelledby reference by pointing it to an existing element ID, or replace it with a direct alt='Search' attribute on the image input, ensuring the widget has a programmatically determinable name.</t>
  </si>
  <si>
    <t xml:space="preserve">This page fails critically because the only interactive element — an image input button — has a broken aria-labelledby reference pointing to a non-existent ID, leaving me with no accessible name for the control and no way to know what it does before I press it.</t>
  </si>
  <si>
    <t xml:space="preserve">[1.1.1] NVDA will announce this as 'graphic' or simply read the filename/URL with no meaningful label. I have no idea what this button does before I activate it, which is exactly the problem my persona describes. Either add a valid alt attribute (e.g., alt='Search') directly on the input, or ensure the element referenced by aria-labelledby actually exists in the DOM with descriptive text. || [4.1.2] As Lakshmi, I need to know what every button does before I activate it. NVDA will either announce nothing or an unhelpful filename, leaving me unable to understand or confidently use this control. Add alt='Search' (or appropriate label) to the input element, or fix the aria-labelledby reference to point to an existing element with descriptive text.</t>
  </si>
  <si>
    <t xml:space="preserve">This page contains a single decorative image marked with role='none', no interactive elements, no headings, and no repeated navigation blocks, so there are no accessibility barriers for me as Lakshmi using NVDA.</t>
  </si>
  <si>
    <t xml:space="preserve">This page contains only a single decorative image marked with role='none', no interactive elements, no headings, and no repeated navigation blocks, so there are no accessibility barriers for me as Lakshmi using NVDA.</t>
  </si>
  <si>
    <t xml:space="preserve">This page uses aria-labelledby on the object element to reference a visible text label, so NVDA will announce 'W3C logo' for the image object, there are no heading structure issues since there are no headings needed, no interactive elements are present, and the single meaningful non-text content item is properly labelled.</t>
  </si>
  <si>
    <t xml:space="preserve">This page uses aria-labelledby on the object element to reference a visible text label, so NVDA will announce 'W3C logo' correctly, there are no heading hierarchy problems since there are no headings and no repeated navigation blocks, and the single non-interactive object element does not require keyboard access, making this page accessible for my needs.</t>
  </si>
  <si>
    <t xml:space="preserve">As Lakshmi, I find this page accessible for its single purpose: the object element is properly labelled via aria-labelledby pointing to a visible span, so NVDA will read 'W3C logo' rather than leaving me stuck with just 'graphic'.</t>
  </si>
  <si>
    <t xml:space="preserve">This page contains only a bare SVG graphic with no interactive elements, no headings, and no form controls, so none of my five WCAG criteria have anything meaningful to trigger on — though I'd note the SVG lacks a role or title, which could be a concern on a richer page.</t>
  </si>
  <si>
    <t xml:space="preserve">This page contains only a bare SVG graphic with no headings, no interactive elements, no form controls, and no navigation blocks, so none of my five WCAG criteria have anything meaningful to latch onto — though I would note that the SVG circle has no role or title to tell me what it represents, which would matter if this page had any real content around it.</t>
  </si>
  <si>
    <t xml:space="preserve">This page contains only a bare SVG graphic with no interactive elements, no headings, and no form controls, so none of the five WCAG criteria I evaluate are meaningfully triggered — though I would note that as Lakshmi, if this SVG were intended to convey information, the absence of a title or aria-label inside the SVG element would be a concern worth revisiting.</t>
  </si>
  <si>
    <t xml:space="preserve">This page fails because the mismatched ARIA roles on the tablist widget give me completely wrong information about how to interact with it, and the total absence of headings leaves me with no structural landmarks to navigate by.</t>
  </si>
  <si>
    <t xml:space="preserve">[1.3.1] When I press H to jump between headings, NVDA finds nothing. I have no way to understand the page structure or navigate efficiently. Add a meaningful &lt;h1&gt; heading to establish the page's primary topic and provide a navigable heading hierarchy. || [4.1.2] NVDA will announce this as a tablist but the items inside are announced as list items, not tabs. I cannot determine what this widget is or how to interact with it — I don't know if I should be pressing arrow keys to switch tabs or something else entirely. Change &lt;li role="listitem"&gt; to &lt;li role="tab"&gt; so the child roles are valid within the tablist context, and ensure each tab has an associated tabpanel with aria-controls or aria-labelledby wiring.</t>
  </si>
  <si>
    <t xml:space="preserve">This page fails because the broken ARIA role pairing — a tablist containing listitem children instead of tab children — would leave me completely confused about the widget's purpose, and the total absence of headings means I have no structural landmarks to navigate by.</t>
  </si>
  <si>
    <t xml:space="preserve">[1.3.1] When I press H to jump between headings, NVDA finds nothing. I have no way to understand the page structure or navigate efficiently. Add a descriptive h1 element to establish the page's primary heading and build a logical heading hierarchy from there. || [4.1.2] NVDA will announce this as a tablist but find no valid tab children. I will hear confusing or incorrect role announcements and will not be able to interact with the widget as expected. I cannot know what the element does before activating it, which is essential to how I work. Either remove role="tablist" from the ol and role="listitem" from the li to restore native list semantics, or if a tab widget is intended, restructure so that each tab item uses role="tab" as a direct child of the role="tablist" element, and add associated role="tabpanel" elements with proper aria-controls and aria-labelledby relationships.</t>
  </si>
  <si>
    <t xml:space="preserve">This page fails on heading structure and ARIA role misuse — as Lakshmi, I would have no headings to navigate by and NVDA would announce a semantically broken widget that I cannot make sense of.</t>
  </si>
  <si>
    <t xml:space="preserve">[1.3.1] When I press H to jump between headings, NVDA finds nothing. I have no way to understand the page structure or navigate efficiently. Add a meaningful &lt;h1&gt; heading that describes the page content, followed by appropriate subheadings as needed. || [4.1.2] NVDA will announce this element with confused or incorrect role information. I cannot determine what this widget is or how to interact with it, since the roles are semantically contradictory — it is neither a proper list nor a proper tab interface. If this is intended to be a tab list, use &lt;div role='tablist'&gt; containing &lt;button role='tab'&gt; elements. If it is a plain list, remove the role='tablist' and use the native &lt;ol&gt;/&lt;li&gt; semantics without overriding roles.</t>
  </si>
  <si>
    <t xml:space="preserve">This page contains only a presentation table with no images, no headings, no interactive elements, and no repeated navigation blocks, so none of my five WCAG criteria apply here.</t>
  </si>
  <si>
    <t xml:space="preserve">This page contains only a presentation table with no images, no heading structure, no interactive elements, no repeated navigation blocks, and no widgets, so none of my five WCAG criteria apply here.</t>
  </si>
  <si>
    <t xml:space="preserve">This page contains only a presentation table with no images, no headings, no interactive elements, and no repeated navigation blocks, so none of my five WCAG criteria have anything meaningful to evaluate.</t>
  </si>
  <si>
    <t xml:space="preserve">This page contains only a presentation table with no images, no headings, no interactive elements, and no repeated navigation blocks, so none of the five WCAG criteria I evaluate are triggered.</t>
  </si>
  <si>
    <t xml:space="preserve">This page fails on multiple fronts: there are no headings for me to navigate by, a fake link I cannot reach or activate with my keyboard, and broken list semantics that NVDA will misreport — it is essentially unusable for me.</t>
  </si>
  <si>
    <t xml:space="preserve">[1.3.1] When I press H to jump between headings, NVDA finds nothing. I have no way to understand the page structure or navigate efficiently. Add a meaningful &lt;h1&gt; heading that describes the page content, and use subsequent heading levels (h2, h3) as needed to convey structure. || [4.1.2] NVDA will announce 'link' for the span but I cannot activate it with Enter or Tab to it reliably, and I have no idea what it links to because there is no accessible name. I need to know what every link does before I activate it — this gives me nothing. Replace &lt;span role='link'&gt; with a proper &lt;a href='...'&gt; element with descriptive text. Replace the bare &lt;li&gt; with a &lt;ul&gt;&lt;li&gt; structure, or use &lt;div role='listitem'&gt; children inside &lt;div role='list'&gt; consistently. || [2.1.1] I navigate entirely by keyboard. This 'link' is completely unreachable for me — I cannot Tab to it, so I cannot activate it at all. Add tabindex='0' and a keydown event handler (Enter/Space) to the span, or better yet replace it with a native &lt;a href='...'&gt; element which is keyboard-focusable by default.</t>
  </si>
  <si>
    <t xml:space="preserve">This page fails on multiple fronts — there are no headings for me to navigate by, a fake link I can hear but cannot reach with my keyboard, and broken semantic markup that will confuse NVDA about the structure of the content.</t>
  </si>
  <si>
    <t xml:space="preserve">[1.3.1] When I press H to jump between headings, NVDA finds nothing. I have no way to understand the page structure or navigate efficiently. Add a meaningful &lt;h1&gt; heading that describes the page content, and use subsequent heading levels (h2, h3, etc.) to structure the content hierarchy. || [4.1.2] NVDA will announce 'Item 2 link' but I cannot Tab to it or activate it with Enter. I hear a control that appears interactive but is completely unreachable, which is deeply frustrating and misleading. Replace &lt;span role="link"&gt; with a proper &lt;a href="..."&gt; element, or at minimum add tabindex="0" and keyboard event listeners. Replace the bare &lt;li&gt; with a proper &lt;li&gt; inside the &lt;div role="list"&gt; and ensure the list markup is semantically valid. || [2.1.1] I navigate entirely by keyboard. If I cannot Tab to this link, I cannot activate it — the element is effectively invisible to me in terms of interaction. Add tabindex="0" to the span and wire up keydown handlers for Enter and Space, or better yet replace it with a native &lt;a&gt; element.</t>
  </si>
  <si>
    <t xml:space="preserve">This page fails on multiple fronts: the fake link built with a &lt;span&gt; is announced by NVDA as interactive but I cannot Tab to it or activate it, there are no headings for me to navigate by, and the broken semantic structure means I cannot trust anything this page tells me about its content.</t>
  </si>
  <si>
    <t xml:space="preserve">[1.3.1] When I press H to jump between headings, NVDA finds nothing. I have no structural landmarks to orient myself on this page. Add a meaningful &lt;h1&gt; heading to establish page structure and provide navigational anchors for screen reader users. || [4.1.2] NVDA will announce 'Item 2 link' giving me the expectation that I can activate it, but I cannot Tab to it or press Enter to follow it. This is a broken interactive control that misleads me and wastes my time. Replace &lt;span role='link'&gt; with a proper &lt;a href='...'&gt; element, or at minimum add tabindex='0' and keyboard event handlers (keydown Enter/Space). Replace the orphaned &lt;li&gt; with a &lt;div role='listitem'&gt; or restructure as a proper &lt;ul&gt;/&lt;ol&gt; list. || [2.1.1] I navigate entirely by keyboard. I cannot reach or activate this link using Tab or any other key, so the interactive element is completely inaccessible to me. Add tabindex='0' to the &lt;span role='link'&gt; and wire up keydown handlers for Enter and Space, or replace it with a native &lt;a&gt; element. || [2.4.1] Although this page is minimal, the absence of any landmark structure means that on a real site built this way I would have no way to skip past repeated navigation blocks. Add landmark elements such as &lt;main&gt; and &lt;nav&gt;, and provide a skip-to-main-content link at the top of the page.</t>
  </si>
  <si>
    <t xml:space="preserve">This page contains only a simple data table with proper header associations using id and headers attributes, no images, no interactive elements, and no repeated navigation blocks, so there are no accessibility barriers for me as Lakshmi using NVDA.</t>
  </si>
  <si>
    <t xml:space="preserve">This page contains only a simple data table with proper header associations using id and headers attributes, no images, no interactive elements, and no repeated navigation blocks, so there is nothing here that would trip me up with NVDA.</t>
  </si>
  <si>
    <t xml:space="preserve">This page contains only a simple data table with proper header associations using id and headers attributes, no images, no interactive elements, and no repeated navigation blocks, so none of my five WCAG criteria surface any violations here.</t>
  </si>
  <si>
    <t xml:space="preserve">This page contains only a shadow DOM list with proper ARIA roles (list and listitem) and no images, headings, or interactive elements that could create accessibility barriers for me as a screen reader user.</t>
  </si>
  <si>
    <t xml:space="preserve">This page contains only a shadow DOM list with no images, no headings, and no interactive elements, so none of my five WCAG criteria apply here.</t>
  </si>
  <si>
    <t xml:space="preserve">This page contains no meaningful content — no visible images, no headings, no interactive elements accessible to me, and no repeated navigation blocks — so none of my five WCAG criteria apply here.</t>
  </si>
  <si>
    <t xml:space="preserve">This page contains no visible content, no images, no headings, and no interactive elements accessible to me — the only element is a hidden iframe with tabindex='-1', so none of the five WCAG criteria I evaluate are applicable here.</t>
  </si>
  <si>
    <t xml:space="preserve">This page contains no visible content, no images, no headings, and no interactive elements accessible to me — the only element present is a hidden iframe with tabindex='-1', so none of the five WCAG criteria I evaluate are applicable here.</t>
  </si>
  <si>
    <t xml:space="preserve">This page contains only an inert iframe with tabindex='-1', meaning there are no meaningful images, no headings, and no accessible interactive elements for me to navigate with NVDA, making all five WCAG criteria inapplicable here.</t>
  </si>
  <si>
    <t xml:space="preserve">This page contains only an inert iframe with tabindex='-1', meaning there are no meaningful images, no headings, and no accessible interactive elements for me to navigate with NVDA — the WCAG criteria I evaluate simply do not apply here.</t>
  </si>
  <si>
    <t xml:space="preserve">This minimal page contains only an iframe with a single link inside it, and while it lacks headings and skip links, there are no meaningful images without alt text, no broken widget roles, and the link inside the iframe is keyboard-reachable, so all five criteria are effectively satisfied or inapplicable for this content.</t>
  </si>
  <si>
    <t xml:space="preserve">This minimal page contains only an iframe with a single link inside it, and all five WCAG criteria I evaluate are either satisfied or inapplicable: the iframe has no meaningful images missing alt text, there are no heading hierarchy problems (no headings at all, but no content requiring them), the link inside the iframe is a native anchor element reachable by keyboard, there is no repeated navigation block requiring a skip link, and the link exposes its role and name correctly to NVDA without any custom widget concerns.</t>
  </si>
  <si>
    <t xml:space="preserve">This minimal page contains only an iframe with a single link inside it, and all five WCAG criteria I evaluate are either satisfied or inapplicable: the iframe has no meaningful images missing alt text, there are no heading hierarchy problems to speak of (no headings at all, but no content requiring them), the link inside the iframe is keyboard-focusable, there are no repeated navigation blocks requiring a skip link, and the link exposes its name and role correctly to NVDA.</t>
  </si>
  <si>
    <t xml:space="preserve">This page has a proper H1 heading, a descriptive link with visible text, no images requiring alt text, and no interactive widgets beyond a standard link — everything I need to navigate it confidently with NVDA is in place.</t>
  </si>
  <si>
    <t xml:space="preserve">This page has a single, well-structured H1 with a descriptive link, no images requiring alt text, a keyboard-reachable link, and no repeated navigation blocks requiring a skip link, so it presents no barriers for me navigating with NVDA.</t>
  </si>
  <si>
    <t xml:space="preserve">This page traps its main content inside a keyboard-inaccessible scrollable container, which means I, as Lakshmi relying entirely on keyboard navigation with NVDA, cannot read the full text of the section.</t>
  </si>
  <si>
    <t xml:space="preserve">[2.1.1] As Lakshmi, I cannot reach the full text of this section using my keyboard. The paragraph is clipped inside a 100px scrollable container, and since the section has no tabindex, I cannot focus it and scroll through the content. NVDA may read only the visible portion or behave unpredictably, leaving me unable to access the complete WCAG abstract. Add tabindex="0" to the scrollable section element so keyboard users can focus it and scroll with arrow keys, or better yet, remove the artificial height/overflow constraint and allow content to reflow naturally on the page.</t>
  </si>
  <si>
    <t xml:space="preserve">This page traps content behind a CSS scroll container that I cannot reach or scroll with my keyboard, meaning I lose access to the full paragraph text — a serious barrier for me as a keyboard-only NVDA user.</t>
  </si>
  <si>
    <t xml:space="preserve">[2.1.1] As Lakshmi, I navigate entirely by keyboard. The overflowed text inside this section is visually hidden behind a scroll boundary that I cannot scroll using Tab, arrow keys, or any standard keyboard interaction because the container has no tabindex and contains no focusable child elements. I would only hear the portion of the paragraph that NVDA reads before the container clips, and I cannot access the rest of the content. Add tabindex="0" to the scrollable &lt;section&gt; element so keyboard users can focus it and then use arrow keys to scroll through the content. Alternatively, remove the fixed height and overflow constraint so all content is visible without scrolling.</t>
  </si>
  <si>
    <t xml:space="preserve">As Lakshmi, this page traps its main content inside a tiny scrollable box I cannot operate with my keyboard, meaning I can only access a fraction of the text NVDA announces to me.</t>
  </si>
  <si>
    <t xml:space="preserve">[2.1.1] As Lakshmi, I navigate entirely by keyboard. The text inside this scrollable section is clipped to 100px and I have no way to scroll through it using my keyboard because the container has no focusable context. NVDA may read some of the text, but the scrollable region itself is not reachable or operable via keyboard, so I cannot access the full content. Add tabindex="0" to the scrollable section element so keyboard users can focus it and use arrow keys to scroll. Alternatively, remove the artificial height constraint and let the content reflow naturally so no scrolling container is needed.</t>
  </si>
  <si>
    <t xml:space="preserve">This page is completely inaccessible to me as Lakshmi: the only interactive content is buried inside an iframe that is deliberately excluded from keyboard focus, there are no headings to navigate by, no landmarks, no skip links, and the iframe itself has no accessible name — I would be entirely lost using NVDA.</t>
  </si>
  <si>
    <t xml:space="preserve">[1.1.1] NVDA would announce this as 'frame' with no descriptive label, giving me no idea what content is inside. I am stuck with no context. Add a descriptive title attribute to the iframe, e.g., title='Site navigation'. || [1.3.1] I navigate pages by pressing H to jump between headings. With no headings at all, I have no structural landmarks to orient myself and must read the entire page linearly. Add a meaningful h1 heading that describes the page's primary topic or purpose. || [2.1.1] As a keyboard-only user, I cannot tab into the iframe at all. The only interactive element on the page — the Home link — is completely inaccessible to me. Remove tabindex='-1' from the iframe, or restructure the navigation link outside the iframe so it is reachable via keyboard. || [2.4.1] Without any bypass mechanism or landmarks, I have no way to skip past repeated navigation blocks on subsequent pages. Every page load forces me to traverse all content from the top. Add a skip link as the first focusable element (e.g., &lt;a href='#main'&gt;Skip to main content&lt;/a&gt;) and wrap content in appropriate landmark elements like &lt;main&gt; and &lt;nav&gt;. || [4.1.2] NVDA would announce the iframe without any name, leaving me unable to understand its purpose before deciding whether to interact with it. I need to know what every element does before I activate it. Add title='Site navigation' (or equivalent) to the iframe so NVDA can announce its purpose correctly.</t>
  </si>
  <si>
    <t xml:space="preserve">This page is deeply inaccessible to me as a blind keyboard user: the iframe is locked out of tab order so I can never reach the Home link, there are no headings for me to navigate by, no landmarks to orient me, and the iframe itself has no accessible name — it is essentially an invisible trap.</t>
  </si>
  <si>
    <t xml:space="preserve">[1.1.1] NVDA would announce this as 'frame' with no descriptive label, giving me no idea what content is inside. I am stuck with no context. Add a descriptive title attribute to the iframe, e.g., title='Site navigation with home link'. || [1.3.1] I navigate pages by pressing H to jump between headings. With no headings at all, I have no structural landmarks to orient myself and must read the entire page linearly. Add a meaningful h1 heading that describes the page's primary topic or purpose. || [2.1.1] As a keyboard-only user, I cannot Tab into this iframe at all. The Home link inside is completely inaccessible to me — I cannot activate it without a mouse. Remove tabindex='-1' from the iframe, or restructure the navigation as a standard &lt;nav&gt; element with links directly in the document rather than inside an iframe. || [2.4.1] Without any bypass mechanism or landmark structure, I have no way to skip past repeated blocks of content on subsequent pages that follow this pattern. Add a skip link at the top of the page (e.g., &lt;a href='#main'&gt;Skip to main content&lt;/a&gt;) and wrap navigation in a &lt;nav&gt; element and main content in a &lt;main&gt; element. || [4.1.2] NVDA will announce 'frame' with no name, leaving me completely uninformed about the purpose of this embedded region before I attempt to interact with it — and I cannot even enter it due to tabindex='-1'. Add title='Navigation' (or a similarly descriptive value) to the iframe so NVDA can announce its name and role correctly.</t>
  </si>
  <si>
    <t xml:space="preserve">This page is completely inaccessible to me: the only interactive element is locked behind a keyboard-excluded, unlabelled iframe, there are no headings for me to navigate by, and there is no skip mechanism or landmark structure whatsoever.</t>
  </si>
  <si>
    <t xml:space="preserve">[1.1.1] NVDA would announce 'frame' with no meaningful label, leaving me with no idea what content is embedded inside. Add a descriptive title attribute to the iframe, e.g., title='Site navigation'. || [1.3.1] I navigate pages by pressing H to jump between headings. With no headings at all, I have no structural landmarks to orient myself and must read the entire page linearly. Add at least one meaningful h1 heading that describes the page's primary topic or purpose. || [2.1.1] As a keyboard-only user, I cannot tab into the iframe or reach the Home link inside it. That interactive element is completely inaccessible to me. Remove tabindex='-1' from the iframe, or restructure the content so the link is in the main document and reachable via keyboard. || [2.4.1] Without a skip link or landmarks, I would have to tab through all repeated navigation on every page load with no way to jump to the main content. Add a skip-to-main-content link as the first focusable element, and use semantic landmarks such as &lt;main&gt; and &lt;nav&gt;. || [4.1.2] NVDA will announce 'frame' with no name, giving me no information about the widget's purpose before I attempt to interact with it — and I cannot even reach it because of tabindex='-1'. Add title='Home navigation' (or equivalent) to the iframe so its accessible name is properly exposed to assistive technology.</t>
  </si>
  <si>
    <t xml:space="preserve">This page fails me as a keyboard and screen reader user primarily because there are no headings whatsoever — I cannot press H to navigate between the three translations I came here to compare — and the skip navigation links are partially broken, with the first one looping back to the navigation rather than helping me bypass it.</t>
  </si>
  <si>
    <t xml:space="preserve">[1.3.1] I press H to jump between headings to navigate a page efficiently. With no headings at all, pressing H does nothing and I am forced to read through every paragraph linearly with NVDA, making it extremely difficult to locate and compare the three translations. Mark the page title as &lt;h1&gt;, and each translation section title (Brewitt-Taylor, Roberts, Yu) as &lt;h2&gt; elements so the heading hierarchy is programmatically determinable and I can jump between them with H. || [2.4.1] The skip link that should let me bypass the navigation block instead loops me back to the navigation. I cannot efficiently skip past repeated navigation to reach the main content, which wastes my time on every page load. Add a &lt;main&gt; element wrapping the primary content div, add a skip link &lt;a href='#main'&gt;Skip to main content&lt;/a&gt; as the first focusable element, and correct the broken self-referential skip link. Use proper landmark roles (&lt;nav&gt;, &lt;main&gt;, &lt;aside&gt;) to support landmark navigation.</t>
  </si>
  <si>
    <t xml:space="preserve">This page fails because it uses no heading elements whatsoever — as someone who relies on pressing H to navigate, I have no way to jump between the three translations or understand the page structure, making this comparison page essentially unusable for me.</t>
  </si>
  <si>
    <t xml:space="preserve">[1.3.1] I navigate by pressing H to jump between headings. With no headings on this page, I cannot jump between the three translations or understand the page structure. I would have to read every paragraph linearly with no way to skim or orient myself — this is a serious barrier for a comparison page with multiple distinct sections. Add an &lt;h1&gt; for the page title (e.g., 'Comparing translations of the Romance of the Three Kingdoms, Chapter One'), and mark each translation title as an &lt;h2&gt; element so I can press H to jump directly between Brewitt-Taylor, Roberts, and Yu's translations.</t>
  </si>
  <si>
    <t xml:space="preserve">This page fails me as a screen reader user primarily because there are no headings whatsoever — I cannot use H to navigate between the three translations — and the skip navigation is broken, with a self-referential link and no skip to main content.</t>
  </si>
  <si>
    <t xml:space="preserve">[1.3.1] I press H to jump between headings to navigate a page efficiently. On this page, pressing H does nothing — NVDA finds no headings. I cannot distinguish the three translation sections from each other or from the surrounding content without reading every word linearly. Add an &lt;h1&gt; for the page title and use &lt;h2&gt; elements for each translation section heading (e.g., wrap 'Three Heroes Swear Brotherhood in the Peach Garden (Translation by Charles Henry Brewitt-Taylor)' in &lt;h2 id='brewitt-taylor'&gt;). Also add an &lt;h2&gt; for the aside content if appropriate. || [2.4.1] Every time I load a page I have to tab through the navigation links before reaching content. The skip links here are misleading — 'Skip to local navigation' sends me back to where I already am, and there is no way to jump directly to the main content block. I am forced to tab through all nav links on every page load. Add a 'Skip to main content' link as the very first focusable element, pointing to a &lt;main id='main-content'&gt; landmark. Replace the self-referential 'Skip to local navigation' link with something meaningful, or remove it. Use semantic landmarks (&lt;main&gt;, &lt;nav&gt;, &lt;aside&gt;) so NVDA's landmark navigation also works.</t>
  </si>
  <si>
    <t xml:space="preserve">This page fails on heading structure and has a broken skip link implementation — as Lakshmi, I cannot navigate by headings at all, and the skip-to-main button won't actually move my screen reader focus where it needs to go.</t>
  </si>
  <si>
    <t xml:space="preserve">[1.3.1] I navigate by pressing H to jump between headings. With no headings on this page, I cannot orient myself or jump to any section. I have to read through everything linearly with no structural landmarks to guide me. Add an h1 element identifying the page content (e.g., 'The Three Kingdoms, Chapter 1') and use appropriate subheadings (h2, h3) to structure sections like the book description in the aside. || [2.4.1] The skip link appears to exist, but because the target div has no tabindex='-1' and is not a natively focusable element, activating the button via keyboard will scroll the page but not actually move my NVDA focus to the main content. I would still have to tab through repeated navigation. Also, without a &lt;main&gt; landmark, I cannot use NVDA's landmark navigation to jump directly to the main content. Change the target div to a &lt;main&gt; element (which provides a landmark) and add tabindex='-1' to it so that programmatic focus actually lands there when the skip link is activated. Alternatively, use a standard anchor skip link: &lt;a href='#main'&gt;Skip to main content&lt;/a&gt; with the target having tabindex='-1'.</t>
  </si>
  <si>
    <t xml:space="preserve">This page fails primarily because it has no heading structure whatsoever — pressing H gives me nothing — and the skip link does not actually move my keyboard focus to the main content, leaving me without any reliable way to orient or navigate the page efficiently.</t>
  </si>
  <si>
    <t xml:space="preserve">[1.3.1] As Lakshmi, I navigate by pressing H to jump between headings. With no headings on this page, I cannot orient myself or jump to any section. I have no programmatic structure to understand the page layout. Add a meaningful h1 heading inside the main content area, for example &lt;h1&gt;The Three Kingdoms, Chapter 1&lt;/h1&gt;, and use appropriate heading levels for any subsections. || [2.4.1] As Lakshmi, I rely on skip links to jump past repeated navigation. When I activate this skip button, my keyboard focus does not actually move to the main content — I am still stuck at the top of the page and must tab through everything manually. Replace the button with a proper anchor tag &lt;a href='#main'&gt;Skip to main content&lt;/a&gt;, add tabindex='-1' to the target element &lt;div id='main' tabindex='-1'&gt;, and consider adding role='main' or replacing the div with a &lt;main&gt; element to provide landmark navigation as a complementary bypass mechanism. || [4.1.2] The button and link are natively semantic, so NVDA would announce them correctly. This criterion passes. No changes needed for 4.1.2. || [1.1.1] No images means no risk of NVDA announcing 'graphic' with no context. Not a concern here. No changes needed for 1.1.1. || [2.1.1] I can Tab to the skip button and the chapter 2 link without issue. Keyboard access is not blocked. No changes needed for 2.1.1.</t>
  </si>
  <si>
    <t xml:space="preserve">This page fails primarily because there are no headings whatsoever, which leaves me completely unable to navigate by structure using the H key, and the main content area is a plain div rather than a proper landmark, weakening both bypass-block support and overall page orientation.</t>
  </si>
  <si>
    <t xml:space="preserve">[1.3.1] I navigate by pressing H to jump between headings. With no headings on this page, I cannot orient myself or jump to any section. I have no way to know the page structure or quickly find the main content. Add a meaningful h1 (e.g., 'The Three Kingdoms, Chapter 1') at the top of the page, and consider adding h2 elements for the aside and main content sections to create a proper hierarchy. || [2.4.1] The skip link is present and keyboard-activatable, which helps me bypass the aside. However, the lack of landmark regions means I cannot use NVDA's landmark navigation (Insert+F7) to jump between page regions efficiently. The div target also may not reliably receive focus in all screen reader/browser combinations. Replace &lt;div id="main"&gt; with &lt;main id="main"&gt; to create a proper landmark. This ensures the skip link target is a meaningful landmark and enables landmark-based navigation in NVDA.</t>
  </si>
  <si>
    <t xml:space="preserve">This page fails because its main title is styled text rather than a real heading, meaning I cannot use H to navigate at all, and there is no skip link or landmark structure to help me bypass content — two fundamental barriers that make reading this chapter unnecessarily difficult with NVDA.</t>
  </si>
  <si>
    <t xml:space="preserve">[1.3.1] As Lakshmi, I navigate by pressing H to jump between headings. With no headings on this page, pressing H does nothing — I cannot orient myself or jump to the main content. NVDA will not announce the visually prominent title as a heading, so I have no structural landmark to work from. Replace &lt;strong style='font-size: 18pt'&gt;...&lt;/strong&gt; with &lt;h1&gt;Three Heroes Swear Brotherhood at a Feast in the Peach Garden&lt;/h1&gt; so the title is programmatically exposed as the page's primary heading. || [2.4.1] As Lakshmi, without a skip link or landmark structure I cannot bypass any repeated navigation or sidebar content. On every page load I would have to tab through everything sequentially with no shortcut to the main reading content. Wrap the main content in a &lt;main&gt; element (or add role='main') and add a skip link at the top of the page: &lt;a href='#main'&gt;Skip to main content&lt;/a&gt;. Also consider wrapping the aside in &lt;aside&gt; with an accessible label. || [1.1.1] Not applicable — no images to evaluate. No action needed for this criterion on this page. || [2.1.1] The link is reachable via Tab key and NVDA will announce it. No keyboard trap or inaccessible control is present. No action needed for this criterion on this page. || [4.1.2] NVDA will correctly announce 'Read Chapter 2 link' when focused. No widgets are missing accessible names. No action needed for this criterion on this page.</t>
  </si>
  <si>
    <t xml:space="preserve">This page fails on heading structure and bypass blocks — as Lakshmi, I cannot press H to navigate to the chapter title because it is styled text rather than a real heading, and there is no skip link or proper main landmark to help me bypass the repeated navigation link.</t>
  </si>
  <si>
    <t xml:space="preserve">[1.3.1] I press H to jump between headings to navigate efficiently. With no headings at all, I cannot jump to the chapter title or any section. I must read the entire page linearly from the top, which is slow and disorienting. Replace &lt;strong style="font-size: 18pt"&gt; with &lt;h1&gt; for the chapter title. If the aside content warrants a heading, add an appropriate &lt;h2&gt;. This creates a proper, programmatically determinable hierarchy. || [2.4.1] Without a skip link or proper landmark structure including a &lt;main&gt; element, I must tab through the navigation link on every page load before reaching the actual chapter content. Over many pages this is tedious and inefficient. Add a skip link as the first element (e.g., &lt;a href="#main"&gt;Skip to main content&lt;/a&gt;) and change &lt;div id="main"&gt; to &lt;main id="main"&gt;. Also wrap the navigation link in a &lt;nav&gt; element.</t>
  </si>
  <si>
    <t xml:space="preserve">As Lakshmi, this page fails me on the basics I rely on most: there are no headings for me to navigate with H, and no skip link or main landmark to let me bypass prefatory content and jump straight to the chapter text.</t>
  </si>
  <si>
    <t xml:space="preserve">[1.3.1] I press H to jump between headings to navigate pages efficiently. With no headings at all, pressing H does nothing and NVDA announces 'no next heading'. I cannot orient myself on the page or jump to the main content — I must read linearly from the very first element. Replace &lt;strong style='font-size: 18pt'&gt;...&lt;/strong&gt; with an &lt;h1&gt; element for the chapter title. If the page title 'The Three Kingdoms, Chapter 1' warrants a separate heading, add it as an &lt;h1&gt; and make the chapter subtitle an &lt;h2&gt;. || [2.4.1] Every time I load this page I must tab through the 'Read Chapter 2' link and listen to the aside content before reaching the chapter text. Without a skip link or a &lt;main&gt; landmark I cannot jump past repeated or prefatory blocks. On a longer page with real navigation this would be severely disruptive. Wrap the primary content in a &lt;main&gt; element (replacing or augmenting &lt;div id='main'&gt;). Optionally add a visually hidden skip link as the first focusable element: &lt;a class='skip-link' href='#main'&gt;Skip to main content&lt;/a&gt;. || [4.1.2] NVDA will announce 'Read Chapter 2, link' which tells me exactly what the link does before I activate it. No issue here. No action needed for this criterion. || [1.1.1] Not applicable — no images to evaluate. No action needed for this criterion. || [2.1.1] I can Tab to the link and activate it with Enter. No keyboard trap or inaccessible control is present. No action needed for this criterion.</t>
  </si>
  <si>
    <t xml:space="preserve">This page contains only a titled SVG element with no headings, interactive elements, or repeated navigation blocks, so none of my five WCAG criteria apply here.</t>
  </si>
  <si>
    <t xml:space="preserve">This page contains only a titled SVG element with no headings, interactive elements, or repeated navigation blocks, so none of my five WCAG criteria have anything meaningful to evaluate here.</t>
  </si>
  <si>
    <t xml:space="preserve">This page contains only a titled SVG element with no headings, no interactive elements, and no repeated navigation blocks, so none of my five WCAG criteria have anything meaningful to evaluate against.</t>
  </si>
  <si>
    <t xml:space="preserve">This page fails accessibility for me as Lakshmi because it has no headings whatsoever — pressing H gives me nothing — and no skip link or landmark regions, meaning I must wade through eight navigation links every single time just to reach three short paragraphs of content.</t>
  </si>
  <si>
    <t xml:space="preserve">[1.3.1] I press H to jump between headings to orient myself on a page. With zero headings here, pressing H does nothing — NVDA will tell me 'no next heading' and I have no way to understand the page structure or navigate efficiently. I am forced to read every element linearly from top to bottom. Add a meaningful &lt;h1&gt; such as 'Course Listings' at the top of the main content area. Wrap the navigation links in a &lt;nav&gt; element and consider adding a visible heading or aria-label to it. Use appropriate heading levels for any subsections. || [2.4.1] Every time I land on this page or any page on this site, NVDA will read through all eight navigation links before I reach any content. Without a skip link or landmark regions I can jump to with NVDA's quick navigation keys, I must tab through every nav link on every page visit. This is exhausting and time-consuming. Add a skip link as the very first focusable element: &lt;a href='#main-content' class='skip-link'&gt;Skip to main content&lt;/a&gt;, and add id='main-content' to the main content &lt;div&gt;. Also wrap the nav links in &lt;nav&gt; and the content in &lt;main&gt; to provide landmark-based navigation. || [4.1.2] The links themselves are announced correctly by NVDA with their text labels and link role, so I know what each one does before I activate it. No issue here. No action needed for the existing links. If interactive widgets are added in future, ensure they have appropriate ARIA roles, names, and values. || [1.1.1] Not applicable — no images to evaluate. No action needed. Ensure any images added in future include meaningful alt text or alt='' for decorative images. || [2.1.1] I can tab through all eight navigation links without issue. Keyboard access is intact for the elements present. No action needed for current elements. Maintain native HTML elements for any future interactive components.</t>
  </si>
  <si>
    <t xml:space="preserve">This page fails primarily because it has no heading structure for me to navigate with H and no skip link or landmarks to let me bypass the eight repeated navigation links — two fundamental barriers that make every page visit slower and more disorienting for me as a screen reader user.</t>
  </si>
  <si>
    <t xml:space="preserve">[1.3.1] I press H to jump between headings to orient myself on a page. With no headings whatsoever, I cannot navigate the page structure at all. I also cannot distinguish the navigation area from the main content because neither uses semantic landmarks — NVDA will just read everything as undifferentiated text. Add an &lt;h1&gt; for the page title (e.g., 'Course Listings'), wrap the navigation links in a &lt;nav&gt; element, and wrap the main content in a &lt;main&gt; element. Use appropriate heading levels to structure the content hierarchy. || [2.4.1] Every time I load a new page, NVDA will read through all eight navigation links before I reach any content. Without a skip link or landmark structure, I have no way to jump past this repeated block. This is exhausting and slows me down significantly on every page visit. Add a visible-on-focus skip link as the first element in the body: &lt;a href='#main-content' class='skip-link'&gt;Skip to main content&lt;/a&gt;, and add id='main-content' to the &lt;main&gt; element. Alternatively or additionally, wrap navigation in &lt;nav&gt; and content in &lt;main&gt; so screen reader users can navigate by landmarks. || [4.1.2] The links themselves are announced correctly by NVDA with their text labels and link role, so I can understand what each one does before activating it. No issue here. No changes needed for this criterion given the current HTML. || [1.1.1] Not applicable — no images to evaluate. No changes needed for this criterion given the current HTML. || [2.1.1] I can Tab through all eight navigation links without issue. No keyboard traps or inaccessible controls are present. No changes needed for this criterion given the current HTML.</t>
  </si>
  <si>
    <t xml:space="preserve">This page is inaccessible to me as a blind NVDA user — there are no headings for me to navigate by, no skip link to bypass the eight repeated navigation links, and no landmark regions to give me any sense of the page's structure.</t>
  </si>
  <si>
    <t xml:space="preserve">[1.3.1] I press H to jump between headings to orient myself on a page. With zero headings, I land on the page and have no way to understand its structure or skip to the content I need. I am forced to read every element linearly from the top. Add a meaningful &lt;h1&gt; (e.g., 'Course Listings') at the top of the main content area. Wrap the navigation links in a &lt;nav&gt; element and consider adding a &lt;main&gt; landmark around the primary content. || [2.4.1] Every time I load this page, NVDA will read through all eight navigation links before I reach any content. Without a skip link or landmarks, I cannot bypass this repeated block, which is exhausting and time-consuming across every page visit. Add a visually hidden skip link as the first focusable element: &lt;a href='#main-content' class='skip-link'&gt;Skip to main content&lt;/a&gt;, and add id='main-content' to the &lt;main&gt; element wrapping the page content. Also replace the navigation &lt;div&gt; with &lt;nav&gt; and the content &lt;div&gt; with &lt;main&gt;. || [4.1.2] NVDA cannot announce a meaningful region name when I enter the navigation area. I cannot use NVDA's landmark navigation (Insert+F7) to jump between page regions because none are defined, leaving me without structural cues about where I am on the page. Replace the navigation &lt;div&gt; with &lt;nav aria-label='Main navigation'&gt; and the content &lt;div&gt; with &lt;main&gt;. This exposes correct roles and names to assistive technology.</t>
  </si>
  <si>
    <t xml:space="preserve">This simple maintenance page has a clear H1 heading I can jump to immediately, no images to worry about, no interactive elements that could trap me, and no repeated navigation blocks requiring a skip link — it is fully accessible to me as a NVDA user.</t>
  </si>
  <si>
    <t xml:space="preserve">This maintenance page is clean and accessible — a single clear H1, plain paragraph text, no images, no interactive elements, and no repeated navigation blocks, so there is nothing here that would trip me up with NVDA.</t>
  </si>
  <si>
    <t xml:space="preserve">This simple maintenance page has a clear H1 heading I can jump to immediately, no images to worry about, no interactive elements that could trap me, and no repeated navigation blocks requiring a skip link — it's fully accessible for my needs as a keyboard and screen reader user.</t>
  </si>
  <si>
    <t xml:space="preserve">This page is inaccessible to me as a blind NVDA user: the input field announces itself with no name so I cannot tell what to type, the visible label text is in an unsemantic div that NVDA cannot associate with the field, and there are no headings or landmarks for me to orient myself on the page.</t>
  </si>
  <si>
    <t xml:space="preserve">[1.3.1] When I press H to jump between headings, nothing happens — there are no headings for me to navigate. The page has no programmatic structure whatsoever, so NVDA cannot convey any meaningful hierarchy or relationships to me. Wrap the label text in a &lt;label&gt; element and associate it with the input using a matching 'for' and 'id' attribute pair, e.g. &lt;label for="lastname"&gt;Last name&lt;/label&gt;&lt;input id="lastname" /&gt;. Also add a proper page heading with &lt;h1&gt;. || [4.1.2] NVDA will announce this field as simply 'edit' with no name. I have no idea what information I am supposed to type into it before I activate it, which is a fundamental barrier to completing any form task. Associate a visible &lt;label&gt; element with the input using matching 'for'/'id' attributes, or add an aria-label attribute directly on the input, e.g. &lt;input id="lastname" aria-label="Last name" /&gt;. || [2.4.1] Although this page is minimal, the complete absence of any landmark or skip mechanism means that as pages grow or navigation is added, I would have no way to bypass repeated blocks of content. Add ARIA landmark roles or HTML5 sectioning elements such as &lt;main&gt; and &lt;nav&gt;, and consider a skip-to-main-content link at the top of the page.</t>
  </si>
  <si>
    <t xml:space="preserve">This page is completely inaccessible to me as a blind NVDA user — the unlabelled input field means I cannot determine what to type, and the lack of any semantic structure leaves me with no headings to navigate and no landmarks to orient myself.</t>
  </si>
  <si>
    <t xml:space="preserve">[1.3.1] When I tab to the input field, NVDA announces nothing meaningful — no label, no role context. I have no idea what I am supposed to type into this field. I also cannot use H to navigate headings because there are none. Wrap the label text in a &lt;label&gt; element and associate it with the input using a matching 'for' and 'id' attribute pair, e.g. &lt;label for="lastname"&gt;Last name&lt;/label&gt;&lt;input id="lastname" /&gt;. Also add a proper page heading with &lt;h1&gt;. || [4.1.2] NVDA will announce this as 'edit blank' with no label whatsoever. I cannot determine what information is being requested, which makes the form completely unusable for me. Associate a visible &lt;label&gt; element with the input using for/id, or at minimum add aria-label="Last name" to the input element. || [2.4.1] Although this page is minimal, the absence of any landmark structure means I have no way to orient myself or jump to the main content area using NVDA's landmark navigation shortcuts. Wrap the page content in a &lt;main&gt; element and add a skip link at the top of the page pointing to the main content anchor.</t>
  </si>
  <si>
    <t xml:space="preserve">This page is inaccessible to me as a blind NVDA user — the input field has no programmatic label so I cannot tell what I am supposed to type, there are no headings for me to navigate by, and there are no landmarks or skip links to help me orient within the page.</t>
  </si>
  <si>
    <t xml:space="preserve">[1.3.1] When I navigate by pressing H to jump between headings, there are none to find. The page has no structural hierarchy at all, so I have no way to orient myself or understand the page's purpose. Wrap the label text in a &lt;label&gt; element and associate it with the input using a matching 'for' and 'id' attribute pair: &lt;label for='lastName'&gt;last name&lt;/label&gt;&lt;input id='lastName' /&gt;. Add at least an H1 heading to give the page a meaningful structure. || [4.1.2] I need to know what every input does before I interact with it. When NVDA reads this field, it will say something like 'edit blank' with no indication that it is for a last name. I cannot fill in a form field I cannot identify. Associate a visible label using &lt;label for='lastName'&gt;last name&lt;/label&gt; and &lt;input id='lastName' /&gt;, or at minimum add aria-label='last name' to the input element. || [2.4.1] Without landmarks or a skip link, I have no mechanism to bypass any repeated blocks of content if this page were part of a larger site. I am forced to tab through everything sequentially with no shortcuts. Wrap the main content in a &lt;main&gt; element and add a skip link at the top of the page: &lt;a href='#main-content'&gt;Skip to main content&lt;/a&gt;.</t>
  </si>
  <si>
    <t xml:space="preserve">This page fails on keyboard accessibility and heading structure — the only interactive element is visually hidden in a way that makes it unreliable for keyboard users like me, and there are no headings at all for me to navigate by.</t>
  </si>
  <si>
    <t xml:space="preserve">[2.1.1] As Lakshmi, if I Tab to this button I cannot see it on screen and its context is unclear — it appears in my focus order as a ghost element I cannot interact with meaningfully. If it is not reachable at all, then a Save action is completely inaccessible to me via keyboard. If the Save button is meant to be hidden, use display:none or visibility:hidden so it is properly removed from the accessibility tree and focus order. If it is meant to be a skip link or visually hidden but accessible element, use a proper visually-hidden technique that still allows focus (e.g., clip-based hiding) and ensure it appears on focus. || [1.3.1] As Lakshmi, I navigate pages by pressing H to jump between headings. With no headings at all, I have no way to understand the structure of this page or jump to relevant sections. I am forced to read linearly through the entire page. Add a meaningful &lt;h1&gt; heading that describes the page's purpose, and use a logical heading hierarchy to structure content.</t>
  </si>
  <si>
    <t xml:space="preserve">This page fails on keyboard accessibility and heading structure — the only interactive element is hidden off-screen with no way for me to reach it as a keyboard user, and there are no headings for me to navigate by.</t>
  </si>
  <si>
    <t xml:space="preserve">[2.1.1] As Lakshmi, I need to know what every button does before I activate it. If this Save button is off-screen and not reachable through normal keyboard navigation flow, I cannot find or activate it with Tab. I would never know a Save action exists on this page. Do not use large negative position offsets to hide interactive elements. If the button should be hidden, use the 'hidden' attribute or 'display:none' intentionally, or if it is a skip link, use the standard focus-visible skip-link pattern (position offscreen only until :focus, then restore to visible position). || [1.3.1] I navigate pages by pressing H to jump between headings. With no headings at all, I have no way to understand the page structure or orient myself within the content. Add at least one &lt;h1&gt; that describes the page's primary purpose, and use a logical heading hierarchy to structure any additional content.</t>
  </si>
  <si>
    <t xml:space="preserve">This page fails me as a blind keyboard user — the only interactive element is deliberately hidden off-screen with no accessible alternative, and there is no heading structure for me to orient myself within the page.</t>
  </si>
  <si>
    <t xml:space="preserve">[2.1.1] As Lakshmi, I need to be able to Tab to every interactive element. A Save button that is intentionally pushed off-screen with no mechanism to bring it into focus context means I cannot activate it in any meaningful workflow — I would never know a Save action is available. If the Save button is meant to be accessible, remove the off-screen positioning and place it in the normal document flow. If it is meant to be hidden, use the 'hidden' attribute or 'display: none' so it is consistently inaccessible to all users, and provide an alternative accessible Save mechanism. || [1.3.1] As Lakshmi, I navigate pages by pressing H to jump between headings. With no headings at all, I have no way to understand the structure or purpose of this page and cannot navigate efficiently. Add at least one &lt;h1&gt; that describes the page's purpose, and use a logical heading hierarchy to structure any content sections.</t>
  </si>
  <si>
    <t xml:space="preserve">This page contains only an iframe with role='none', no meaningful images, no headings, and no interactive elements directly in the document, so none of the five WCAG criteria I evaluate are triggered.</t>
  </si>
  <si>
    <t xml:space="preserve">This page contains only an iframe with role='none' and no headings, meaningful images, interactive elements, or other content that would trigger any of the five WCAG criteria I evaluate, so there is nothing here that affects my ability to navigate as Lakshmi using NVDA.</t>
  </si>
  <si>
    <t xml:space="preserve">This page contains only an iframe with role='none', no meaningful interactive elements, headings, or images that I as Lakshmi could navigate to or interact with, making all five WCAG criteria inapplicable here.</t>
  </si>
  <si>
    <t xml:space="preserve">This page contains a single image input button with a proper alt attribute of 'Download', which NVDA will announce correctly, and there are no heading structure, keyboard navigation, bypass block, or name/role/value issues to speak of given the minimal content.</t>
  </si>
  <si>
    <t xml:space="preserve">This minimal page contains a single image input with a proper alt attribute ('Download'), no heading structure to evaluate, and the input is a standard keyboard-focusable element, so all applicable WCAG criteria pass without issue.</t>
  </si>
  <si>
    <t xml:space="preserve">This page fails on multiple accessibility fronts — duplicate iframe titles leave me unable to distinguish between embedded frames, the complete absence of headings means I cannot navigate by structure, and there is no skip mechanism or landmark to help me orient myself efficiently using NVDA.</t>
  </si>
  <si>
    <t xml:space="preserve">[4.1.2] When NVDA announces both iframes as 'List of Contributors frame', I have no way to know whether they are the same content or different content. I cannot make an informed decision about which one to enter, violating my need to know what every element does before I activate it. If both iframes serve the same purpose and contain identical content, remove one. If they serve different purposes, give each a unique, descriptive title attribute that clearly distinguishes their content and role on the page. || [1.3.1] I navigate pages by pressing H to jump between headings. With no headings present, I cannot orient myself within the page or understand its structure. I am forced to read linearly through all content. Add at least one &lt;h1&gt; element to establish the page's primary topic, and use subsequent heading levels to create a logical, navigable hierarchy. || [2.4.1] Without a skip link or landmark regions, I must tab through every iframe on every page load before reaching any main content. There is no way for me to bypass repeated or embedded blocks efficiently. Add a &lt;main&gt; landmark wrapping the primary content area and consider adding a skip link at the top of the page pointing to the main content anchor.</t>
  </si>
  <si>
    <t xml:space="preserve">This page fails on multiple fronts — duplicate iframes with identical names leave me unable to distinguish them with NVDA, there are no headings for me to navigate by, and no landmark structure or skip links to help me orient myself on the page.</t>
  </si>
  <si>
    <t xml:space="preserve">[1.1.1] No impact from missing alt text in this page. No action needed for images on this page. || [1.3.1] As Lakshmi, I navigate by pressing H to jump between headings. With no headings at all, I have no way to understand the structure or purpose of this page. I am completely disoriented. Add a meaningful &lt;h1&gt; heading that describes the page purpose, and use appropriate heading hierarchy to structure content. || [2.1.1] I can Tab to the iframes, but without meaningful context around them I may not understand what I am navigating into. Ensure the page has a proper &lt;body&gt; element and that iframe content is also fully keyboard accessible. || [2.4.1] As Lakshmi, I have no skip link to bypass repeated content, and NVDA will announce two identically named iframes with no way to distinguish them. I cannot tell if these are intentionally duplicated or an error. Remove the duplicate iframe or give each a unique, descriptive title. Add landmark regions and a skip link if the page has repeated navigation blocks. || [4.1.2] NVDA will announce both iframes as 'List of Contributors frame'. I cannot determine whether these are the same content repeated or two distinct embedded documents. I need to know what every element does before I activate it, and identical names make that impossible. Either remove the duplicate iframe entirely, or if both are intentional, assign each a unique, descriptive title attribute that accurately reflects its distinct content or purpose.</t>
  </si>
  <si>
    <t xml:space="preserve">This page fails on multiple fronts: the two identically-named iframes make it impossible for me to distinguish between them using NVDA, there are no headings for me to navigate by, and there is no landmark or skip-link structure to help me orient myself.</t>
  </si>
  <si>
    <t xml:space="preserve">[4.1.2] When NVDA reads the frame list or I Tab to each iframe, both are announced as 'List of Contributors frame'. I have no way to know whether these are the same content or two distinct embedded regions, which is disorienting and forces me to enter each frame to investigate. If the two iframes serve different purposes or contain different content, give each a unique, descriptive title attribute. If they are truly identical and redundant, remove the duplicate iframe entirely. If both are intentionally present, differentiate their titles, e.g. 'List of Contributors – Part 1' and 'List of Contributors – Part 2'. || [1.3.1] I navigate pages by pressing H to jump between headings. With no headings present, I cannot orient myself within the page or understand its structure. I am forced to read linearly through every element, which is inefficient and frustrating. Add at least one &lt;h1&gt; heading that describes the page's purpose before the iframes, and use appropriate subheadings if the iframes represent distinct sections. || [2.4.1] Without a skip link or landmarks, if this page had repeated navigation blocks I would have no way to jump past them. Even as a minimal page, the absence of any landmark structure means NVDA's landmark navigation (Insert+F7) yields nothing useful. Wrap the meaningful content in appropriate landmark elements such as &lt;main&gt;. If the page has navigation repeated across pages, add a skip link as the first focusable element.</t>
  </si>
  <si>
    <t xml:space="preserve">This page scares me — it's going to yank me away in 5 seconds with no way to stop it, and there are no breadcrumbs to even tell me where I am before it does.</t>
  </si>
  <si>
    <t xml:space="preserve">[2.2.1] Five seconds is nowhere near enough time for me to read and understand what's on the page. I process things slower, and I get really anxious when I know a timer is running and I can't stop it. I'd feel rushed and panicked, and then the page would just disappear on me before I could do anything. Remove the meta refresh redirect entirely, or replace it with a user-initiated link/button. If a timed redirect is truly necessary, provide a visible countdown with controls to pause or extend the time limit by at least 10x the original duration (e.g., 50 seconds), per WCAG 2.2.1. || [2.4.8] Without breadcrumbs I have no idea where I am on the website. I can't tell if this is a top-level page or buried somewhere deep. Breadcrumbs help me feel oriented and confident — without them I feel lost. Add a breadcrumb navigation element (e.g., &lt;nav aria-label="Breadcrumb"&gt;&lt;ol&gt;&lt;li&gt;&lt;a href="/"&gt;Home&lt;/a&gt;&lt;/li&gt;&lt;li&gt;Current Page&lt;/li&gt;&lt;/ol&gt;&lt;/nav&gt;) so I can always see where I am within the site structure.</t>
  </si>
  <si>
    <t xml:space="preserve">This page scares me — it gives me only 5 seconds before dragging me somewhere else with no way to stop it, and there are no breadcrumbs to even tell me where I am to begin with.</t>
  </si>
  <si>
    <t xml:space="preserve">[2.2.1] I process things slower than other people, and 5 seconds is nowhere near enough time for me to read or do anything on the page before it whisks me away somewhere else. I get really anxious when I can't control time limits, and there's no way for me to pause or extend this one at all. Remove the meta-refresh redirect entirely, or replace it with a user-initiated link/button. If a timed redirect is truly necessary, provide a visible countdown with controls to pause or extend the time limit by at least 10x the original duration (e.g., a 'Give me more time' button), per WCAG 2.2.1. || [2.4.8] Breadcrumbs help me see where I am on a website. Without them I have no idea if this page is part of a bigger site or where it fits, and that makes me feel lost and confused. Add a breadcrumb trail (e.g., &lt;nav aria-label="Breadcrumb"&gt;&lt;ol&gt;&lt;li&gt;&lt;a href="/"&gt;Home&lt;/a&gt;&lt;/li&gt;&lt;li&gt;Current Page&lt;/li&gt;&lt;/ol&gt;&lt;/nav&gt;) so I can always tell where I am.</t>
  </si>
  <si>
    <t xml:space="preserve">This page scares me — it's going to yank me away to another page in just 5 seconds with no way to stop it, and there are no breadcrumbs to even tell me where I am to begin with.</t>
  </si>
  <si>
    <t xml:space="preserve">[2.2.1] Five seconds is nowhere near enough time for me to read and understand what's on the page. I get anxious when I feel rushed, and I have no way to pause or extend this timer — I'll just get swept away to another page before I'm ready. Remove the meta-refresh redirect entirely, or replace it with a user-initiated link/button. If a timed redirect is truly necessary, provide a visible countdown with controls to pause or extend the time limit to at least 20 seconds, per WCAG 2.2.1. || [2.4.8] I rely on breadcrumbs to know where I am on a website. Without them I feel lost and don't know how to get back to where I started or find related pages. Add a breadcrumb navigation element (e.g., &lt;nav aria-label="Breadcrumb"&gt;&lt;ol&gt;...&lt;/ol&gt;&lt;/nav&gt;) showing the page's location within the site hierarchy.</t>
  </si>
  <si>
    <t xml:space="preserve">This page has no forms, no breadcrumbs context, no abbreviations, and no active time limit, so there is nothing here that would cause me trouble as Sophie.</t>
  </si>
  <si>
    <t xml:space="preserve">This page has no forms, no breadcrumbs needed, no abbreviations, and no active time limit, so there is nothing that would cause me trouble as Sophie.</t>
  </si>
  <si>
    <t xml:space="preserve">This page has no forms, no breadcrumbs context, no abbreviations, no error messages, and no active time limits, so there is nothing here that would cause me trouble as Sophie.</t>
  </si>
  <si>
    <t xml:space="preserve">This page instantly redirects me somewhere else before I can even see it, and I have no way to stop it or ask for more time, which is really scary and confusing for me.</t>
  </si>
  <si>
    <t xml:space="preserve">[2.2.1] As Sophie, I would have zero seconds to read anything or ask for more time before being whisked away to another page. Even a 0-second redirect is a time-controlled action I cannot stop or extend, which makes me anxious and disoriented. Remove the meta refresh redirect entirely. If a redirect is necessary, use a server-side 301/302 HTTP redirect so the browser handles it transparently, or provide a visible link and give the user at least 20 seconds with an option to extend.</t>
  </si>
  <si>
    <t xml:space="preserve">This page just grabs me and throws me somewhere else with zero warning and zero time to react — that instant redirect with no way to stop it is really scary and confusing for me.</t>
  </si>
  <si>
    <t xml:space="preserve">[2.2.1] As Sophie, I never even get a chance to read the page before I'm whisked away somewhere else. I can't stop it, I can't slow it down, and I have no idea what just happened or where I ended up. Remove the meta-refresh redirect entirely. If a redirect is necessary, use a server-side HTTP 301/302 redirect instead, or provide a visible link with enough time (at least 20 seconds) and a clear mechanism to cancel or extend the timeout. || [2.4.8] As Sophie, I have no breadcrumbs or any other indicator to tell me where I am. I'd feel completely lost. Add a breadcrumb navigation element (e.g., &lt;nav aria-label="Breadcrumb"&gt;) with structured links showing the current location within the site hierarchy. || [3.1.4] No abbreviations to confuse me here, but only because there's no content at all. N/A — no content present. || [3.3.1] No forms to fill out, so no error confusion for me here. N/A — no forms present. || [3.3.2] No fields to label, so no confusion about what to type. N/A — no forms present.</t>
  </si>
  <si>
    <t xml:space="preserve">This page instantly redirects me somewhere else before I can even see it, and there's no way for me to slow it down or stop it — that's really scary and I can't use it at all.</t>
  </si>
  <si>
    <t xml:space="preserve">[2.2.1] As Sophie, I process things slower than other people. Even a 0-second redirect gives me no chance to read, orient myself, or ask for more time. I can't extend or turn off the timer — it just happens before I can do anything. Remove the meta-refresh redirect entirely and replace it with a server-side HTTP 301/302 redirect, or if a page-level redirect is truly needed, provide a user-controlled link and at minimum a 20-hour timeout per WCAG guidance so users can request more time.</t>
  </si>
  <si>
    <t xml:space="preserve">This page really scares me — it refreshes in just 30 seconds and I can't stop it, and there are no breadcrumbs to help me know where I even am.</t>
  </si>
  <si>
    <t xml:space="preserve">[2.2.1] I process things slower, so 30 seconds is not enough time for me to read or fill out anything on a page. When it refreshes without warning, I lose my place and get really anxious. There is no way for me to stop it or ask for more time. Remove the meta refresh entirely, or provide a clearly visible control that lets users turn off, pause, or extend the time limit to at least 20 times the default (10 minutes or more). || [2.4.8] Without breadcrumbs I have no idea where I am on the website. I can't tell if this is a home page, a sub-page, or something else, and that makes me feel lost. Add a breadcrumb trail (e.g., Home &gt; Section &gt; This Page) using a &lt;nav aria-label="Breadcrumb"&gt; with an ordered list so I always know where I am.</t>
  </si>
  <si>
    <t xml:space="preserve">This page is really hard for me to use because it keeps refreshing before I can finish reading, and there are no breadcrumbs to help me know where I am on the site.</t>
  </si>
  <si>
    <t xml:space="preserve">[2.2.1] I process things slower, so 30 seconds is not enough time for me to read or fill out anything on a page. When it suddenly refreshes, I lose my place and get really anxious. There is no way for me to stop it or ask for more time. Remove the meta refresh entirely, or provide a clearly visible control that lets users disable, pause, or extend the time limit to at least 20 times the default (10 minutes in this case), per WCAG 2.2.1. || [2.4.8] Without breadcrumbs I have no idea where I am on the website. I can't find my way back to where I started or figure out how this page fits into the rest of the site. Add a breadcrumb trail (e.g., Home &gt; Section &gt; This Page) using a &lt;nav aria-label="Breadcrumb"&gt; with an ordered list so I can always see where I am.</t>
  </si>
  <si>
    <t xml:space="preserve">This page really scares me — it refreshes itself after just 30 seconds and I can't stop it, and there are no breadcrumbs to help me know where I even am on the site.</t>
  </si>
  <si>
    <t xml:space="preserve">[2.2.1] I process things slower and 30 seconds is not enough time for me to read and understand a page. When it suddenly refreshes I lose my place and get really anxious because I can't stop it from happening. Remove the meta refresh entirely, or provide a clearly visible control that lets users disable or extend the time limit before it expires, and ensure any extension gives at least 10 times the original time limit. || [2.4.8] Without breadcrumbs I have no idea where I am on the website. I can't tell if this is a home page, a sub-page, or how to get back to where I was. Add a breadcrumb navigation element (e.g., &lt;nav aria-label="Breadcrumb"&gt;) showing the user's current location within the site hierarchy.</t>
  </si>
  <si>
    <t xml:space="preserve">This page fails because the automatic redirect gives me no way to stop the clock, and that makes me anxious — I need to be in control of my own time.</t>
  </si>
  <si>
    <t xml:space="preserve">[2.2.1] Even though 20 hours feels long, there is absolutely no way for me to stop or extend this timer. If I leave a page open overnight while I work slowly through something, I could come back and find myself suddenly redirected with no warning and no way to get back to where I was. That would be really upsetting and confusing for me. Remove the meta-refresh redirect entirely, or provide a clearly labeled control that lets the user disable or extend the time limit before it expires, as required by WCAG 2.2.1.</t>
  </si>
  <si>
    <t xml:space="preserve">This page scares me because it will suddenly whisk me away somewhere else and I have no way to stop it, and I can't even tell where I am on the site to begin with.</t>
  </si>
  <si>
    <t xml:space="preserve">[2.2.1] Even though 20 hours feels long, there is absolutely no way for me to stop or extend this timer. If I walk away, come back, and the page has redirected, I lose my place and have no idea what happened or where I went. That kind of surprise is really upsetting and disorienting for me. Remove the meta-refresh redirect entirely, or provide a clearly labeled control that lets the user disable or extend the time limit before it expires, as required by WCAG 2.2.1. || [2.4.8] I can't tell where I am on this website at all. There are no breadcrumbs to show me my path, so I feel lost and don't know how to get back to where I started. Add a breadcrumb navigation element (e.g., &lt;nav aria-label="Breadcrumb"&gt;) that shows the user's current location within the site hierarchy. || [3.3.1] N/A — no forms present. No action needed for this criterion on this page. || [3.3.2] N/A — no forms present. No action needed for this criterion on this page. || [3.1.4] No abbreviations to confuse me here. No action needed for this criterion on this page.</t>
  </si>
  <si>
    <t xml:space="preserve">This page scares me because it will suddenly take me somewhere else and I have no way to stop it, and I also have no breadcrumbs to know where I even am on the site.</t>
  </si>
  <si>
    <t xml:space="preserve">[2.2.1] Even though 20 hours feels long, there is absolutely no way for me to stop or extend this timer. If I walk away, come back, or just take my time reading, the page could suddenly redirect me somewhere else with no warning and no way to get back. That makes me really anxious because I have no control. Remove the meta-refresh redirect entirely, or provide a clearly labeled mechanism (button or link) that lets the user disable or extend the time limit before it expires, as required by WCAG 2.2.1. || [2.4.8] I can't tell where I am on this website at all. There are no breadcrumbs to show me my path, so I feel lost and don't know how to get back to where I started. Add a breadcrumb navigation element (e.g., &lt;nav aria-label="Breadcrumb"&gt;) showing the page's location within the site hierarchy. || [3.3.1] N/A — no forms means no error messages to worry about here. N/A || [3.3.2] N/A — no forms means no labels or instructions to evaluate. N/A || [3.1.4] No abbreviations to confuse me here. N/A</t>
  </si>
  <si>
    <t xml:space="preserve">This page has almost nothing on it — no forms, no breadcrumbs, no abbreviations, and the meta refresh timeout is set to 72,001 seconds (about 20 hours), which is so long it doesn't create a real time pressure problem for me.</t>
  </si>
  <si>
    <t xml:space="preserve">This page has almost nothing on it — no forms, no breadcrumbs, no abbreviations, and the meta refresh timeout is set to 72001 seconds (about 20 hours), which is so long it doesn't create a real time pressure problem for me.</t>
  </si>
  <si>
    <t xml:space="preserve">This page has almost nothing on it — no forms, no breadcrumbs, no abbreviations, and the timer resets after 20 hours which is way more than enough time for me — so there's nothing here that would cause me trouble.</t>
  </si>
  <si>
    <t xml:space="preserve">This page left me feeling lost because there are no breadcrumbs to show me where I am — I can see the main menu but I don't know which course or section this lab belongs to, and that really stresses me out.</t>
  </si>
  <si>
    <t xml:space="preserve">[2.4.8] As Sophie, I can see the main nav links but I have no idea where 'Lab procedure' sits within the site. Am I inside Courses? A sub-section? Without breadcrumbs I feel lost and don't know how to get back to where I came from. Add a breadcrumb navigation element, for example: &lt;nav aria-label='Breadcrumb'&gt;&lt;ol&gt;&lt;li&gt;&lt;a href='/'&gt;Home&lt;/a&gt;&lt;/li&gt;&lt;li&gt;&lt;a href='/courses'&gt;Courses&lt;/a&gt;&lt;/li&gt;&lt;li&gt;&lt;span aria-current='page'&gt;Lab procedure&lt;/span&gt;&lt;/li&gt;&lt;/ol&gt;&lt;/nav&gt;</t>
  </si>
  <si>
    <t xml:space="preserve">This page leaves me lost because there are no breadcrumbs to show me where I am in the site, and that really worries me when I'm trying to find my way around.</t>
  </si>
  <si>
    <t xml:space="preserve">[2.4.8] As Sophie, I can't tell where 'Lab procedure' fits in the site. Am I inside a course? Which one? Without breadcrumbs I feel lost and don't know how to get back to where I was. Add a breadcrumb navigation element, e.g. &lt;nav aria-label='Breadcrumb'&gt;&lt;ol&gt;&lt;li&gt;&lt;a href='/'&gt;Home&lt;/a&gt;&lt;/li&gt;&lt;li&gt;&lt;a href='/courses'&gt;Courses&lt;/a&gt;&lt;/li&gt;&lt;li&gt;&lt;a href='/courses/biology'&gt;Biology&lt;/a&gt;&lt;/li&gt;&lt;li aria-current='page'&gt;Lab Procedure&lt;/li&gt;&lt;/ol&gt;&lt;/nav&gt; above the main heading.</t>
  </si>
  <si>
    <t xml:space="preserve">This page leaves me lost because there are no breadcrumbs to show me where 'Lab procedure' fits in the site, and without that I don't know where I am or how to find my way back.</t>
  </si>
  <si>
    <t xml:space="preserve">[2.4.8] As Sophie, I can't tell where 'Lab procedure' sits within the site. Is it under Courses? A sub-page? Without breadcrumbs I feel lost and don't know how to get back to where I came from. Add a breadcrumb trail above the h1, for example: &lt;nav aria-label='Breadcrumb'&gt;&lt;ol&gt;&lt;li&gt;&lt;a href='/'&gt;Home&lt;/a&gt;&lt;/li&gt;&lt;li&gt;&lt;a href='/courses'&gt;Courses&lt;/a&gt;&lt;/li&gt;&lt;li aria-current='page'&gt;Lab procedure&lt;/li&gt;&lt;/ol&gt;&lt;/nav&gt;</t>
  </si>
  <si>
    <t xml:space="preserve">This page is easy for me to use — it shows me where I am with breadcrumbs, has no confusing forms or time limits, and no abbreviations to trip me up.</t>
  </si>
  <si>
    <t xml:space="preserve">This page is easy for me to use — it shows me where I am with breadcrumbs, has no confusing forms or time limits, and no unexplained abbreviations to trip me up.</t>
  </si>
  <si>
    <t xml:space="preserve">This page is just a simple welcome message with no forms, no time limits, no abbreviations, and no multi-page navigation, so everything is fine for me to read!</t>
  </si>
  <si>
    <t xml:space="preserve">This simple welcome page has no forms, no time limits, no abbreviations, and no multi-page navigation, so everything checks out fine for me!</t>
  </si>
  <si>
    <t xml:space="preserve">This simple unit converter page has clear labels for both fields, no time limits, no abbreviations, no errors to identify, and no navigation structure that would need breadcrumbs, so everything works fine for me.</t>
  </si>
  <si>
    <t xml:space="preserve">This simple unit converter page has clear labels on every field, no time limits, no abbreviations, no errors to worry about, and it's just one page so I don't need breadcrumbs — I can use it without any trouble!</t>
  </si>
  <si>
    <t xml:space="preserve">This simple unit converter page has clear labels on every field, no time limits, no abbreviations, no errors to worry about, and it's a single standalone page so I don't need breadcrumbs — I can just use it without any trouble!</t>
  </si>
  <si>
    <t xml:space="preserve">This page is easy for me to use — the breadcrumb trail shows me exactly where I am, there are no confusing forms or time limits, and the text is short and clear.</t>
  </si>
  <si>
    <t xml:space="preserve">This page is easy for me to use — the breadcrumbs show me exactly where I am, there are no confusing forms or time limits, and the text is short and clear.</t>
  </si>
  <si>
    <t xml:space="preserve">This page is just a simple info page with no forms, no time limits, no abbreviations, and no breadcrumbs needed since it's a top-level nav page, so everything checks out fine for me.</t>
  </si>
  <si>
    <t xml:space="preserve">This page is full of tech abbreviations like ETL, ORM, and CI that nobody explains, so I get confused and stop reading pretty quickly.</t>
  </si>
  <si>
    <t xml:space="preserve">[3.1.4] As Sophie, when I hit words like ETL, ORM, or CI with no explanation, I lose track of what I'm reading and give up. Dense jargon with no hints makes me feel like the page isn't for me. Wrap each abbreviation in an &lt;abbr&gt; element with a descriptive title attribute, e.g. &lt;abbr title='Extract, Transform, Load'&gt;ETL&lt;/abbr&gt;, &lt;abbr title='Continuous Integration'&gt;CI&lt;/abbr&gt;, &lt;abbr title='Command-Line Interface'&gt;CLI&lt;/abbr&gt;, etc.</t>
  </si>
  <si>
    <t xml:space="preserve">This page is full of tech abbreviations with no explanations, and as Sophie that means I get lost and stop reading pretty quickly.</t>
  </si>
  <si>
    <t xml:space="preserve">[3.1.4] As Sophie, when I hit words like ETL, ORM, or CRUD I have no idea what they mean and there's nothing to click or hover to find out. I just give up reading. Wrap each abbreviation in an &lt;abbr&gt; element with a descriptive title attribute, e.g. &lt;abbr title='Extract, Transform, Load'&gt;ETL&lt;/abbr&gt;, &lt;abbr title='Create, Read, Update, Delete'&gt;CRUD&lt;/abbr&gt;, etc.</t>
  </si>
  <si>
    <t xml:space="preserve">[3.1.4] As Sophie, when I hit words like ETL, ORM, or CI with no explanation, I stop understanding what I'm reading and give up. Dense jargon with no hints makes me feel lost. Wrap each abbreviation in an &lt;abbr&gt; element with a descriptive title attribute, e.g. &lt;abbr title='Extract, Transform, Load'&gt;ETL&lt;/abbr&gt;, &lt;abbr title='Continuous Integration'&gt;CI&lt;/abbr&gt;, &lt;abbr title='Command-Line Interface'&gt;CLI&lt;/abbr&gt;, etc.</t>
  </si>
  <si>
    <t xml:space="preserve">This page has three broken or missing abbreviation expansions that leave me completely lost with the science words, and I'd just stop reading.</t>
  </si>
  <si>
    <t xml:space="preserve">[3.1.4] As Sophie, I see 'PCR', 'DNA', and 'SOP' and I have no idea what they mean. When I hover or use a screen reader, nothing helpful comes up. Dense science jargon with no explanations makes me give up reading the page entirely. Provide meaningful, non-empty title attributes for every &lt;abbr&gt; element: e.g., &lt;abbr title="Polymerase Chain Reaction"&gt;PCR&lt;/abbr&gt;, &lt;abbr title="Deoxyribonucleic Acid"&gt;DNA&lt;/abbr&gt;, and &lt;abbr title="Standard Operating Procedure"&gt;SOP&lt;/abbr&gt;.</t>
  </si>
  <si>
    <t xml:space="preserve">This page leaves me stuck because the science abbreviations have no real explanations and there are no breadcrumbs to help me know where I am on the site.</t>
  </si>
  <si>
    <t xml:space="preserve">[3.1.4] As Sophie, I don't know what PCR, DNA, or SOP mean when they're not explained. Dense science words with no plain-language help make me give up reading. I'd stop here and not finish the page. Provide meaningful expansions in the title attribute for every abbreviation: &lt;abbr title="Polymerase Chain Reaction"&gt;PCR&lt;/abbr&gt;, &lt;abbr title="Deoxyribonucleic Acid"&gt;DNA&lt;/abbr&gt;, and &lt;abbr title="Standard Operating Procedure"&gt;SOP&lt;/abbr&gt;. Consider also spelling them out in plain text on first use. || [2.4.8] As Sophie, breadcrumbs help me see where I am on the website. Without them I feel lost and don't know how to get back to where I started or find related pages. Add a breadcrumb trail near the top of the page, for example: &lt;nav aria-label="Breadcrumb"&gt;&lt;ol&gt;&lt;li&gt;&lt;a href="/"&gt;Home&lt;/a&gt;&lt;/li&gt;&lt;li&gt;&lt;a href="/lab"&gt;Lab&lt;/a&gt;&lt;/li&gt;&lt;li aria-current="page"&gt;Lab procedures&lt;/li&gt;&lt;/ol&gt;&lt;/nav&gt;.</t>
  </si>
  <si>
    <t xml:space="preserve">This page uses three abbreviations but none of them are properly explained, which means I can't understand what I'm reading and I just stop trying.</t>
  </si>
  <si>
    <t xml:space="preserve">[3.1.4] As Sophie, I read about lab stuff and I see words like PCR and SOP and I have no idea what they mean. When I hover or use a screen reader, nothing helpful comes up. I lose track of what I'm reading and I just give up. Provide meaningful expansions: &lt;abbr title="Polymerase Chain Reaction"&gt;PCR&lt;/abbr&gt;, &lt;abbr title="Deoxyribonucleic Acid"&gt;DNA&lt;/abbr&gt;, and &lt;abbr title="Standard Operating Procedure"&gt;SOP&lt;/abbr&gt;. Each title attribute must contain the full expansion, not a repetition of the abbreviation.</t>
  </si>
  <si>
    <t xml:space="preserve">This page is just a simple welcome message with no forms, no time limits, no abbreviations, and no navigation structure, so there's nothing here that would cause me any trouble.</t>
  </si>
  <si>
    <t xml:space="preserve">This page is just a simple welcome message about the community garden — no forms, no time limits, no abbreviations, and it's a single standalone page, so none of my five accessibility checks apply here.</t>
  </si>
  <si>
    <t xml:space="preserve">This page is just a short paragraph with no forms, no time limits, no breadcrumbs needed, and the words like 'radar,' 'scuba,' and 'laser' are common enough that I can follow along — so there's nothing here that would trip me up.</t>
  </si>
  <si>
    <t xml:space="preserve">This page is just a short paragraph with no forms, no time limits, no navigation structure, and no abbreviations that need expanding, so there's nothing here that would trip me up as Sophie.</t>
  </si>
  <si>
    <t xml:space="preserve">This page is easy for me to use — all the abbreviations like W3C, WCAG, AG WG, and HTTP have their full words shown when I hover over them, there are no forms to confuse me, no timers making me rush, and it's a simple single page so I don't need breadcrumbs.</t>
  </si>
  <si>
    <t xml:space="preserve">This page is easy for me to read because every abbreviation like W3C, WCAG, AG WG, and HTTP has a title explanation, there are no forms to confuse me, no timers to stress me out, and it's a single simple page so I don't need breadcrumbs.</t>
  </si>
  <si>
    <t xml:space="preserve">This page is just a short article with no forms, no time limits, and all the abbreviations like W3C, WCAG, AG WG, and HTTP have their full names shown in title attributes, so I can hover or use my screen reader to understand what they mean — nothing here trips me up!</t>
  </si>
  <si>
    <t xml:space="preserve">This page leaves me confused because the abbreviations like LMS and PRs aren't explained where I need them, and there are no breadcrumbs to help me know where I am on the site.</t>
  </si>
  <si>
    <t xml:space="preserve">[3.1.4] When I see 'LMS' or 'PRs' on their own, I don't remember what they stand for and there's no way for me to look them up on the page. I lose track of what I'm reading and give up. Wrap every abbreviation in &lt;abbr title='Full Expansion'&gt;ABBR&lt;/abbr&gt; on first use and on standalone subsequent uses, e.g. &lt;abbr title='Learning Management System'&gt;LMS&lt;/abbr&gt;. This lets screen readers and pointer users access the expansion at any point. || [2.4.8] Without breadcrumbs I don't know if I'm in the right section of the site or how to get back to where I started. That makes me anxious and I might leave the page entirely. Add a breadcrumb trail near the top of the page, e.g. Home &gt; Academics &gt; Course Registration, marked up with &lt;nav aria-label='Breadcrumb'&gt; and an ordered list so I always know where I am.</t>
  </si>
  <si>
    <t xml:space="preserve">This page trips me up because abbreviations like LMS, FAQ, and PRs are thrown around without any way for me to look up what they mean when I forget, and that makes me lose track of what I'm supposed to do.</t>
  </si>
  <si>
    <t xml:space="preserve">[3.1.4] When I see 'LMS' or 'PRs' on their own, I can't hover or click anything to remind me what they mean. I already process text slowly, and having to scroll back up to find the definition — or just giving up — is really frustrating for me. Wrap every abbreviation in &lt;abbr title='full expansion'&gt;ABBR&lt;/abbr&gt; on first and subsequent use, e.g. &lt;abbr title='Learning Management System'&gt;LMS&lt;/abbr&gt;, &lt;abbr title='Pull Request'&gt;PR&lt;/abbr&gt;, &lt;abbr title='Frequently Asked Questions'&gt;FAQ&lt;/abbr&gt;. This gives screen readers and pointer users an accessible expansion at every occurrence.</t>
  </si>
  <si>
    <t xml:space="preserve">This page leaves me confused because the abbreviations aren't properly marked up so I can look them up when I forget what they mean, and there are no breadcrumbs to tell me where I am on the site.</t>
  </si>
  <si>
    <t xml:space="preserve">[3.1.4] When I see 'LMS' or 'PRs' on their own later in the paragraph, I can't hover or click anything to remind me what they mean. I already process text slowly, and having to scroll back up to find the first mention — or just guess — makes me lose my place and give up reading. Wrap every abbreviation in an &lt;abbr&gt; element with a title attribute, e.g. &lt;abbr title='Learning Management System'&gt;LMS&lt;/abbr&gt;, including the pluralised form &lt;abbr title='Pull Requests'&gt;PRs&lt;/abbr&gt;. This gives all users an on-demand expansion without changing the visual text. || [2.4.8] I can't tell if this is a standalone page or one step in a multi-page registration process. Without breadcrumbs I don't know where I am or how to get back if I click away by mistake. Add a breadcrumb trail near the top of the page, e.g. Home &gt; Academics &gt; Course Registration, using a &lt;nav aria-label='Breadcrumb'&gt; with an ordered list so I always know where I am.</t>
  </si>
  <si>
    <t xml:space="preserve">This page leaves me stuck because the error message isn't connected to the fields that need fixing, and there are no breadcrumbs to help me know where I am on the site.</t>
  </si>
  <si>
    <t xml:space="preserve">[3.3.1] As Sophie, I see there's an error but I can't tell which field caused it from the page structure — the error message isn't connected to the actual inputs, so my screen reader or assistive tech won't announce it when I land on the Name field or the color group. I'm stuck not knowing exactly what to fix. Add aria-describedby='error' to the &lt;input id='name'&gt; field and to each radio input (or the fieldset) so the error message is programmatically tied to the fields in error, not just the Submit button. || [2.4.8] As Sophie, I can't tell where I am on the website. Without breadcrumbs I feel lost and don't know how to get back to where I started or how many steps are left. Add a breadcrumb navigation element, for example &lt;nav aria-label='breadcrumb'&gt;&lt;ol&gt;&lt;li&gt;&lt;a href='/'&gt;Home&lt;/a&gt;&lt;/li&gt;&lt;li&gt;Checkout&lt;/li&gt;&lt;/ol&gt;&lt;/nav&gt;, near the top of the page.</t>
  </si>
  <si>
    <t xml:space="preserve">This form tells me something went wrong but doesn't connect the error message directly to the broken fields, so I'm left guessing which input to fix — and that's really frustrating for me.</t>
  </si>
  <si>
    <t xml:space="preserve">[3.3.1] As Sophie, I see a general error message but I can't tell which specific field is broken. The message says 'Name and color' but if I already filled in my name and missed the color, I'm confused about what's still wrong. I need the error tied directly to the field so I know exactly where to go fix it. Add aria-describedby='error' to the #name input and to the color fieldset (or use aria-invalid='true' on the fields in error), so assistive technology and the page itself clearly link each error to its specific field. || [2.2.1] N/A — no time limit found, so this is not a concern for me here. No action needed for this criterion. || [2.4.8] As Sophie, I can't tell where this form sits within the website. If this is part of a multi-step checkout or a larger site, I have no way to know where I am or how to go back to a previous section. Add a breadcrumb navigation element, for example &lt;nav aria-label='Breadcrumb'&gt;&lt;ol&gt;&lt;li&gt;&lt;a href='/'&gt;Home&lt;/a&gt;&lt;/li&gt;&lt;li&gt;Checkout&lt;/li&gt;&lt;/ol&gt;&lt;/nav&gt;, so I always know where I am. || [3.1.4] No abbreviation confusion for me on this page. No action needed for this criterion. || [3.3.2] I can see which fields are required and what each field is for. The labels are clear and the radio buttons are grouped with a legend. This part works well for me. No action needed for this criterion — labels and instructions are adequate.</t>
  </si>
  <si>
    <t xml:space="preserve">This form page leaves me stuck because the error message isn't connected to the actual fields that need fixing, and there are no breadcrumbs to help me know where I am on the site.</t>
  </si>
  <si>
    <t xml:space="preserve">[3.3.1] When I get an error, I need to know exactly which field to fix and what to do. The error message tells me 'name and color' but it's not connected to those fields in a way assistive technology can announce. I'd be stuck not knowing where to go. Add aria-describedby='error' to the &lt;input id='name'&gt; field and to the radio inputs (or their fieldset), so the error is programmatically linked to the fields in error. Alternatively, wrap the error in an aria-live='assertive' region so it is announced when it appears. || [2.4.8] Breadcrumbs help me see where I am on the website. Without them I lose track of where this form fits in the site and I can't easily go back to where I came from. Add a breadcrumb navigation element, e.g. &lt;nav aria-label='Breadcrumb'&gt;&lt;ol&gt;&lt;li&gt;&lt;a href='/'&gt;Home&lt;/a&gt;&lt;/li&gt;&lt;li&gt;Checkout&lt;/li&gt;&lt;/ol&gt;&lt;/nav&gt;, near the top of the page.</t>
  </si>
  <si>
    <t xml:space="preserve">This form really scares me — the error message doesn't tell me which field I got wrong or how to fix it, and there's nothing showing me which fields I have to fill in or how.</t>
  </si>
  <si>
    <t xml:space="preserve">[3.3.1] When I see 'Please fill the field correctly,' I have no idea which field is wrong or what I did wrong. I just freeze and don't know what to do next. I might give up entirely. Identify the specific field in error by name (e.g., 'Age is required and must be a number'), and link the error to the field using aria-describedby='error' on the relevant input, or use an aria-live region so screen readers announce it. || [3.3.2] I don't know if Age means my whole number age, or something else, and I can't tell which fields I must fill in. Without a 'required' marker I might skip a field and get an error I don't understand. Add visible required indicators (e.g., asterisk with a legend explaining it means required), add aria-required='true' to required fields, and provide format hints or constraints for the Age field (e.g., 'Enter a whole number between 1 and 120').</t>
  </si>
  <si>
    <t xml:space="preserve">This form really scares me — the error message doesn't tell me which field I got wrong or how to fix it, and there are no hints to help me fill things in correctly.</t>
  </si>
  <si>
    <t xml:space="preserve">[3.3.1] When I see 'Please fill the field correctly,' I have no idea which field is wrong or what I did wrong. I just freeze and don't know what to do next. I might give up on the whole form. Identify the specific field in error by name (e.g., 'Age is required and must be a number'), link the error to the field using aria-describedby='error' on the input, and add role='alert' or aria-live='assertive' to the error div so it is announced automatically. || [3.3.2] I don't know if I should type '35' or '035' or if there's a minimum or maximum age. And I can't tell which fields I must fill in because nothing is marked as required. That makes me nervous I'll get it wrong again. Add a visible format example or hint text (e.g., 'Enter a number between 1 and 120') linked via aria-describedby. Mark required fields with a visible asterisk and a legend explaining it (e.g., '* Required'). Use the required attribute on mandatory inputs.</t>
  </si>
  <si>
    <t xml:space="preserve">This form really scares me — the error message doesn't tell me what I did wrong or which box to fix, there's no example showing me how to type my age, and I have no idea where I am on the website.</t>
  </si>
  <si>
    <t xml:space="preserve">[3.3.1] When I see 'Please fill the field correctly,' I have no idea which field is wrong or what I did wrong. I just freeze and don't know what to do next. I might give up entirely. Identify the specific field in error by name (e.g., 'Age: Please enter a number between 1 and 120'), and link the error to the field using aria-describedby='error' on the relevant input, or use an aria-live region so screen readers announce it. || [3.3.2] I don't know if I should type '34' or '34 years' or something else. Without an example, I second-guess myself and often type the wrong thing, which then triggers that confusing error message. Add a visible format hint beneath each format-sensitive field (e.g., &lt;span id='age-hint'&gt;Enter a whole number, e.g. 34&lt;/span&gt;) and link it with aria-describedby. Mark required fields visibly with an asterisk and a legend explaining it. || [2.4.8] I can't tell if this form is step 1 of 5 or a standalone page. Without breadcrumbs I feel lost and don't know how to get back to where I started. Add a breadcrumb trail such as &lt;nav aria-label='Breadcrumb'&gt;&lt;ol&gt;&lt;li&gt;&lt;a href='/'&gt;Home&lt;/a&gt;&lt;/li&gt;&lt;li&gt;Registration Form&lt;/li&gt;&lt;/ol&gt;&lt;/nav&gt; at the top of the page.</t>
  </si>
  <si>
    <t xml:space="preserve">This form really frustrates me because when I make a mistake it just says 'Invalid value for age' and I have no idea what I did wrong or how to fix it — I need the error to tell me exactly what to type.</t>
  </si>
  <si>
    <t xml:space="preserve">[3.3.1] When I get an error like 'Invalid value for age' I have no idea what I did wrong or what to type instead. Is it too big a number? Did I leave it blank? I just get stuck and give up. Add aria-describedby='error' to the &lt;input&gt; element so the error is programmatically linked to the field. Also rewrite the error message to be specific, for example: 'Please enter your age as a whole number between 1 and 120.' || [3.3.2] I can see the label says 'Age (years)' but I'm not sure if I should type just a number or something else. A small example would really help me feel confident before I submit. Add a format hint near the field, such as a placeholder='e.g. 35' or a visible hint text like &lt;span&gt;Enter a whole number, e.g. 35&lt;/span&gt; linked via aria-describedby. || [2.2.1] No time pressure here, which is a relief for me. N/A — no timing issues found. || [2.4.8] There are no breadcrumbs, but this looks like just one page on its own, so I'm not lost between pages. If this form is part of a larger site, add a breadcrumb trail so I always know where I am. || [3.1.4] No confusing abbreviations here — I can read everything fine. N/A — no abbreviations found.</t>
  </si>
  <si>
    <t xml:space="preserve">This form leaves me stuck because the error message doesn't tell me what to fix and isn't even connected to the field, and there are no breadcrumbs to help me know where I am on the site.</t>
  </si>
  <si>
    <t xml:space="preserve">[3.3.1] When I get an error like 'Invalid value for age,' I don't know what to do next. Did I type letters instead of numbers? Is my age too high or too low? Is the field even required? I just sit there stuck and anxious because nobody told me what to fix. Add aria-describedby='error' to the input element so the error is programmatically linked to the field. Rewrite the error message to be specific, e.g., 'Please enter your age as a whole number between 1 and 120.' Consider adding role='alert' to the error span so screen readers announce it automatically. || [2.4.8] Without breadcrumbs I don't know if this form is step 1 of 5 or a standalone page. I can get lost and not know how to go back or where I am, which makes me more anxious. Add a breadcrumb navigation element, e.g., &lt;nav aria-label='breadcrumb'&gt;&lt;ol&gt;&lt;li&gt;&lt;a href='/'&gt;Home&lt;/a&gt;&lt;/li&gt;&lt;li&gt;Age Form&lt;/li&gt;&lt;/ol&gt;&lt;/nav&gt;, so I always know where I am on the site.</t>
  </si>
  <si>
    <t xml:space="preserve">This form really frustrates me because when I type something wrong it just says 'Invalid value for age' and I have no idea what I did wrong or what I'm supposed to type instead — I need the error to tell me exactly what to fix.</t>
  </si>
  <si>
    <t xml:space="preserve">[3.3.1] When I get an error like 'Invalid value for age,' I don't know what to fix. Do I need a whole number? Is my number too big or too small? I just sit there feeling stuck and frustrated because nobody told me what went wrong. Add aria-describedby='error' to the input element so screen readers announce the error with the field. Also rewrite the error message to be specific, for example: 'Please enter your age as a whole number between 1 and 120.' || [3.3.2] I can see the label says 'Age (years)' which helps, but I don't know if I should type 25 or 025 or if there's a range I have to stay in. Without a hint like 'Enter a number between 1 and 120,' I might keep guessing and keep getting errors. Add a visible hint below the label, such as 'Enter a whole number between 1 and 120,' and link it to the input with aria-describedby so it is also available to assistive technology. || [2.2.1] No time pressure here, so I don't feel anxious about a ticking clock on this page. No action needed for this criterion. || [2.4.8] This appears to be a single standalone page with no multi-page site structure evident, so breadcrumbs may not be applicable here. If this form is part of a multi-step or multi-page site, add breadcrumb navigation so I can see where I am. || [3.1.4] Everything is written out clearly, so I don't get confused by mystery letters. No action needed for this criterion.</t>
  </si>
  <si>
    <t xml:space="preserve">This page is just a single paragraph with no forms, no navigation, no abbreviations, and no time limits, so there is nothing here that affects me as Sophie.</t>
  </si>
  <si>
    <t xml:space="preserve">This simple filter form has a clear label, no time limits, no confusing abbreviations, no error messages to worry about, and no format-sensitive fields — I can use it without any trouble.</t>
  </si>
  <si>
    <t xml:space="preserve">This simple filter form has a clear label, no time limits, no confusing abbreviations, no error messages to worry about, and no format-sensitive fields — it works fine for me as Sophie.</t>
  </si>
  <si>
    <t xml:space="preserve">This simple reading list page has no forms, no time limits, no abbreviations, and no multi-page navigation, so none of my five accessibility criteria apply here.</t>
  </si>
  <si>
    <t xml:space="preserve">This page is just a simple reading list with no forms, no time limits, no abbreviations, and no breadcrumbs needed since it's a single standalone page, so everything is fine for me.</t>
  </si>
  <si>
    <t xml:space="preserve">This page has a text field with no label at all, so I honestly don't know what I'm supposed to type in there — that's really confusing and I'd probably just give up.</t>
  </si>
  <si>
    <t xml:space="preserve">[3.3.2] I see a blank text box and I have no idea what I'm supposed to type into it. There's no label telling me what it's for, and no example showing me the format. I'd just stare at it and not know what to do. Add a &lt;label for="pass1"&gt; element with descriptive text. If the field expects a specific format (like a date or phone number), include a visible format example such as 'MM/DD/YYYY' or '(555) 555-5555' in the label or as hint text linked via aria-describedby.</t>
  </si>
  <si>
    <t xml:space="preserve">This page has a text box with no label at all, so I have no idea what I'm supposed to type in it, which makes me feel lost and frustrated.</t>
  </si>
  <si>
    <t xml:space="preserve">[3.3.2] I see a blank text box and have no idea what I'm supposed to type into it. There's no label telling me what it's for, and no example showing me the format. I'd just stare at it and not know what to do. Add a &lt;label for="pass1"&gt; element with descriptive text. If the field expects a specific format (like a date or phone number), include a visible format example such as 'MM/DD/YYYY' or '(555) 555-5555'.</t>
  </si>
  <si>
    <t xml:space="preserve">This page has a text input with absolutely no label or instructions, so I have no idea what I'm supposed to type in it, which makes me feel lost and frustrated.</t>
  </si>
  <si>
    <t xml:space="preserve">[3.3.2] I see a blank text box and have no idea what I'm supposed to type into it. There's no label telling me what it's for, and no example showing me the format. I'd just stare at it and not know what to do. Add a &lt;label for="pass1"&gt; element with descriptive text. If the field expects a specific format (like a date or phone number), include a format example such as 'MM/DD/YYYY' in the label or as hint text linked via aria-describedby.</t>
  </si>
  <si>
    <t xml:space="preserve">This page has a simple textarea with a title attribute that labels it clearly, no time limits, no breadcrumb issues on a single page, no abbreviations, and no form errors to worry about, so everything looks okay to me.</t>
  </si>
  <si>
    <t xml:space="preserve">This page has a simple textarea with a title attribute that labels it clearly, no time limits, no breadcrumb issues, no abbreviations, and no form errors to worry about, so everything looks okay to me.</t>
  </si>
  <si>
    <t xml:space="preserve">This page has a simple textarea with a title attribute that labels it clearly, no time limits, no abbreviations, no breadcrumbs needed, and no error messages, so everything checks out fine for me.</t>
  </si>
  <si>
    <t xml:space="preserve">This search form is really hard for me to use because there are no proper labels that stay visible when I type, the date fields don't show me what format to use, and there are no breadcrumbs to help me know where I am on the site.</t>
  </si>
  <si>
    <t xml:space="preserve">[2.4.8] I can't tell where this search page fits in the website. Am I in a library section? A shop? I feel lost and don't know how to get back to where I started. Add a breadcrumb navigation element, e.g., &lt;nav aria-label='Breadcrumb'&gt;&lt;ol&gt;&lt;li&gt;&lt;a href='/'&gt;Home&lt;/a&gt;&lt;/li&gt;&lt;li&gt;Search&lt;/li&gt;&lt;/ol&gt;&lt;/nav&gt;, so I can see where I am. || [3.3.2] The placeholder text disappears the moment I start typing, so I forget what the field was for. The date fields say 'From date' and 'To date' but don't show me how to type the date — do I write 01/15/2024 or January 15 or 2024-01-15? I get confused and anxious and I might just give up. Replace placeholders with persistent &lt;label&gt; elements associated via 'for'/'id'. For date fields, add a visible format hint such as 'From date (MM/DD/YYYY)' and use a &lt;span&gt; or hint text below the field. Add a &lt;label&gt; for the &lt;select&gt; element.</t>
  </si>
  <si>
    <t xml:space="preserve">This search form is really hard for me to use — there are no labels that stay visible when I type, the date fields don't show me what format to use, and I have no breadcrumbs to know where I am on the site.</t>
  </si>
  <si>
    <t xml:space="preserve">[2.4.8] I can't tell where this search page fits in the website. Am I in a library section? A shop? I feel lost and don't know how to get back to where I started. Add a breadcrumb navigation element, e.g. &lt;nav aria-label="Breadcrumb"&gt;&lt;ol&gt;&lt;li&gt;&lt;a href="/"&gt;Home&lt;/a&gt;&lt;/li&gt;&lt;li&gt;Search&lt;/li&gt;&lt;/ol&gt;&lt;/nav&gt;, so I can see where I am. || [3.3.2] Placeholders disappear the moment I start typing, so I forget what the field is for. The date fields don't show me how to type the date — do I use slashes? Dashes? Numbers? I'll get it wrong and not know why. The dropdown has no label so I don't know what I'm filtering. Add a visible &lt;label&gt; for every control linked via 'for'/'id'. For the date fields add a format hint, e.g. &lt;label for="from-date"&gt;From date (MM/DD/YYYY)&lt;/label&gt; and &lt;input id="from-date" type="text" aria-describedby="from-date-hint"&gt; with &lt;span id="from-date-hint"&gt;Example: 01/15/2024&lt;/span&gt;. Add a &lt;label&gt; or aria-label to the &lt;select&gt;.</t>
  </si>
  <si>
    <t xml:space="preserve">This search form is really hard for me to use — there are no proper labels so I forget what each box is for, the date fields don't show me how to type the date, I'd have no idea what went wrong if I made a mistake, and I can't tell where I am on the website because there are no breadcrumbs.</t>
  </si>
  <si>
    <t xml:space="preserve">[2.4.8] I can't tell where this search page fits in the website. Am I in a library section? A shop? I feel lost and don't know how to get back to where I started. Add a breadcrumb navigation element, e.g. &lt;nav aria-label='breadcrumb'&gt;&lt;ol&gt;&lt;li&gt;&lt;a href='/'&gt;Home&lt;/a&gt;&lt;/li&gt;&lt;li&gt;Search&lt;/li&gt;&lt;/ol&gt;&lt;/nav&gt;, above the main content. || [3.3.1] If I type something wrong, I won't get any message telling me what to fix. I'll just be stuck, not knowing what went wrong or what to do next. Add visible, programmatically associated error messages using aria-describedby on each input linked to an error &lt;span&gt;, and use a role='alert' live region to announce errors on submission. || [3.3.2] Placeholders disappear the moment I start typing, so I forget what the field is for. The date fields don't show me how to type the date — do I use slashes? Dashes? I get confused and give up. Add explicit &lt;label for='...'&gt; elements for every input. For date fields, add visible format hints like 'MM/DD/YYYY' using a &lt;span&gt; linked via aria-describedby. Replace placeholder-only labelling throughout. || [3.1.4] No abbreviations to worry about on this page. No action needed for abbreviations on this page.</t>
  </si>
  <si>
    <t xml:space="preserve">This registration form leaves me stuck because I don't know how to type my date of birth or phone number, and I can't tell where I am on the website — I really need format examples and breadcrumbs to feel confident filling this out.</t>
  </si>
  <si>
    <t xml:space="preserve">[3.3.2] As Sophie, I would stare at the Date of birth box and not know if I should type 01/15/1985 or January 15 1985 or something else. I would probably type it wrong and get an error. Same with the phone number — I don't know if I need dashes or parentheses. And I wouldn't even know the Name and Date fields are required because a pink background doesn't tell me anything — I might think it's just a design choice. Add a visible format hint beneath or within each format-sensitive field, for example: 'Format: MM/DD/YYYY' under the date field and 'Format: (555) 555-5555' under the phone field. Use a &lt;span&gt; with descriptive text and link it via aria-describedby. Mark required fields with a visible asterisk (*) and a legend explaining 'Fields marked with * are required', plus add aria-required='true' to those inputs. || [2.4.8] As Sophie, I can't tell if this is step 1 of 3, or if I came from a 'Create Account' section, or how to get back to where I was. Breadcrumbs help me feel oriented and not lost. Without them I feel confused about where I am. Add a breadcrumb navigation element above the heading, for example: &lt;nav aria-label='Breadcrumb'&gt;&lt;ol&gt;&lt;li&gt;&lt;a href='/'&gt;Home&lt;/a&gt;&lt;/li&gt;&lt;li&gt;&lt;a href='/account'&gt;Account&lt;/a&gt;&lt;/li&gt;&lt;li aria-current='page'&gt;Register&lt;/li&gt;&lt;/ol&gt;&lt;/nav&gt;</t>
  </si>
  <si>
    <t xml:space="preserve">This registration form is really hard for me — I don't know how to type my birthday or phone number because there are no examples shown, I can't tell which fields I have to fill in, and if I make a mistake I won't know what to fix or where I went wrong.</t>
  </si>
  <si>
    <t xml:space="preserve">[3.3.2] I see the date of birth box and I don't know if I should type 01/15/1985 or January 15 1985 or something else. I'll probably type it wrong and get an error. And I can't tell which fields I have to fill in — the pink color doesn't tell me anything, I just see a colored box. Add a visible format hint next to the date field, for example: &lt;span&gt;MM/DD/YYYY&lt;/span&gt; or use a placeholder="MM/DD/YYYY" attribute. Add a similar hint for the phone field (e.g., "555-555-5555"). Replace the color-only required indicator with visible text such as an asterisk (*) and a legend explaining "* Required field", plus add aria-required="true" to required inputs. || [2.4.8] I don't know if this Register page is part of a multi-step process or where I am on the website. Breadcrumbs help me feel less lost, and without them I get confused and anxious about whether I'm in the right place. Add a breadcrumb navigation above the heading, for example: &lt;nav aria-label="Breadcrumb"&gt;&lt;ol&gt;&lt;li&gt;&lt;a href="/"&gt;Home&lt;/a&gt;&lt;/li&gt;&lt;li&gt;Register&lt;/li&gt;&lt;/ol&gt;&lt;/nav&gt; so I can always see where I am. || [3.3.1] If I get something wrong and submit, I won't know what to fix. A message like 'Invalid input' with no explanation leaves me completely stuck — I need to know exactly which field is wrong and what the right format is. Add inline error messages programmatically associated with each field using aria-describedby, for example: &lt;span id="dob-error" role="alert"&gt;Please enter your date of birth in MM/DD/YYYY format.&lt;/span&gt; and &lt;input id="r-dob" aria-describedby="dob-error" ...&gt;. Use an aria-live="assertive" region so screen readers announce errors immediately.</t>
  </si>
  <si>
    <t xml:space="preserve">This registration form is really hard for me to use — I don't know how to type my birthday or phone number because there are no examples shown, I can't tell which fields are required just from a color I wasn't told about, and if I make a mistake I won't know exactly what to fix or where I even am on the site.</t>
  </si>
  <si>
    <t xml:space="preserve">[3.3.2] As Sophie, I stare at the Date of birth box and have no idea if I should type 01/15/1985 or 1-15-1985 or January 15 1985. I will probably type it wrong and get an error, or just give up. Same with the phone number — I don't know if I need dashes or parentheses. Add a visible format hint directly beneath each format-sensitive field, for example: &lt;span id="dob-hint"&gt;Format: MM/DD/YYYY&lt;/span&gt; and link it with aria-describedby="dob-hint" on the input. Do the same for the phone field with an example like (555) 555-5555. || [3.3.2] As Sophie, I can't tell which fields I must fill in. The pink background might mean something but nobody told me what it means. I might skip the name or date of birth and then get a confusing error. Add a visible asterisk (*) next to required field labels and include a note at the top of the form such as '* Required field'. Also add aria-required="true" to each required input so assistive technology announces it. || [3.3.1] As Sophie, if I submit the form wrong and get back a vague message like 'Invalid input' with no indication of which field is wrong, I am completely stuck. I need to know exactly what to fix. Add an aria-live="assertive" region for a form-level error summary, and for each field add an error message container linked via aria-describedby. Error text must specifically name the problem, e.g. 'Date of birth: Please enter a date in MM/DD/YYYY format'. || [2.4.8] As Sophie, I can't tell where I am on the website. If I got to this page by clicking through several steps, I have no way to go back or understand where registration fits in the overall site. Add a breadcrumb navigation element above the main heading, for example: &lt;nav aria-label="Breadcrumb"&gt;&lt;ol&gt;&lt;li&gt;&lt;a href="/"&gt;Home&lt;/a&gt;&lt;/li&gt;&lt;li&gt;Register&lt;/li&gt;&lt;/ol&gt;&lt;/nav&gt;.</t>
  </si>
  <si>
    <t xml:space="preserve">This page is just a simple news article with no forms, no time limits, no abbreviations, and no navigation structure that needs breadcrumbs, so everything is fine for me to read.</t>
  </si>
  <si>
    <t xml:space="preserve">This page is just a simple news article with no forms, no time limits, no abbreviations, and no navigation structure that needs breadcrumbs, so everything is fine for me to read!</t>
  </si>
  <si>
    <t xml:space="preserve">This simple logout page has no timing issues, no confusing abbreviations, no form fields that need labels or format hints, and no errors to worry about — it's easy for me to use!</t>
  </si>
  <si>
    <t xml:space="preserve">This simple logout page has no timing pressures, no confusing abbreviations, no tricky form fields to fill out, and no errors to worry about — it's just one clear button, so I feel totally fine using it.</t>
  </si>
  <si>
    <t xml:space="preserve">This page is basically empty — there's no real content, no headings, no navigation, no text, no animations, nothing for me to interact with or get lost in, so none of my five criteria even apply here.</t>
  </si>
  <si>
    <t xml:space="preserve">This page is basically empty — there's no real content, no headings, no navigation, no abbreviations, and no animations, so nothing here actually fails any of my criteria, though I'd never find anything useful on it anyway.</t>
  </si>
  <si>
    <t xml:space="preserve">This page is basically empty — there's no real content, no headings, no navigation, no abbreviations, and no animations, so nothing here actually fails any of my criteria, though a real page with that line-height style crammed onto actual text would destroy me.</t>
  </si>
  <si>
    <t xml:space="preserve">This bare-bones single paragraph page has no animations, no acronyms, adequate spacing (the !important line-height of 2em overrides the 1em fallback), and no navigation concerns since it's a standalone page — nothing here trips me up as Stefan.</t>
  </si>
  <si>
    <t xml:space="preserve">This bare-bones single paragraph page has no animations, no acronyms, adequate spacing (the !important line-height of 2em overrides the conflicting 1em declaration), and no navigation concerns since it's a standalone page — nothing here trips me up as Stefan.</t>
  </si>
  <si>
    <t xml:space="preserve">This tiny single-paragraph page has no animations, no acronyms, adequate heading structure for its minimal content, and the inline style uses '!important' on the 2em line-height so the WCAG 1.4.12 spacing requirement is met; nothing here trips me up as Stefan.</t>
  </si>
  <si>
    <t xml:space="preserve">This page is basically a single sentence with no navigation, no headings, no abbreviations, and no animations — there's nothing here to evaluate in any meaningful way, so none of my five criteria actually apply.</t>
  </si>
  <si>
    <t xml:space="preserve">This page is basically a single sentence with no navigation, no headings, no abbreviations, and no animations — there's nothing here that applies to any of my five criteria in a meaningful way, so I can't really fail it on anything.</t>
  </si>
  <si>
    <t xml:space="preserve">This page fails because the `!important` on word-spacing locks out my ability to adjust text spacing, which means I'm stuck with cramped text that makes me lose my place — that's a real problem for me.</t>
  </si>
  <si>
    <t xml:space="preserve">[1.4.12] When I use my browser or TTS software to adjust text spacing so lines don't blur together, this `!important` block stops that from working. The text stays cramped no matter what I do, and I end up losing my place or skipping words. Remove the `!important` flag from `word-spacing` (and any other spacing properties) so that user stylesheets can override spacing to WCAG 1.4.12 minimums. Better yet, set spacing to at least the WCAG-specified values natively: word-spacing ≥ 0.16em. || [2.2.2] No distraction from motion on this page. No action needed. || [2.4.5] Not applicable here since this appears to be a standalone example page, not part of a multi-page site. N/A for standalone page. || [2.4.6] Inapplicable — there is no content structure requiring headings on this minimal single-paragraph page. N/A for this minimal example page. || [3.1.4] No unexpanded acronyms to trip me up here. No action needed.</t>
  </si>
  <si>
    <t xml:space="preserve">This page fails because the `!important` lock on word-spacing means I literally cannot adjust the text spacing to the wider spacing I need to stop the words from blurring together — my accessibility settings get ignored.</t>
  </si>
  <si>
    <t xml:space="preserve">[1.4.12] When I try to increase word spacing through my browser or accessibility settings to make the text easier to read, the `!important` lock means nothing changes. The words stay cramped together and blur into each other, which is exactly the problem I have with tight spacing. Remove the `!important` flag from the word-spacing declaration (and ideally remove the inline style entirely, setting spacing in a regular stylesheet) so that user-defined spacing overrides can take effect. || [2.2.2] No motion to hijack my attention here. No action needed. || [2.4.5] N/A for a standalone page. N/A || [2.4.6] No headings to navigate by, but the page is so short it doesn't matter here. N/A for this minimal example. || [3.1.4] Nothing to stop me cold here. No action needed.</t>
  </si>
  <si>
    <t xml:space="preserve">This page fails because the `word-spacing: 2px !important` declaration locks out my ability to apply the wider spacing I need to read without losing my place — that !important is a wall between me and accessible text.</t>
  </si>
  <si>
    <t xml:space="preserve">[1.4.12] When I try to increase word spacing to make text easier to read, the !important lock blocks my settings from taking effect — the words stay crammed together and I lose my place constantly. Remove the `!important` declaration from `word-spacing` (and any other text spacing properties) so that user stylesheets can override spacing to meet WCAG 1.4.12 minimums without content breaking. || [2.2.2] No motion to hijack my attention here — that's fine. No action needed. || [2.4.5] N/A for a standalone page. N/A || [2.4.6] N/A — there's only one sentence, so headings aren't expected. N/A || [3.1.4] Nothing to trip me up here. No action needed.</t>
  </si>
  <si>
    <t xml:space="preserve">This tiny demo page is basically just one sentence with no animations, no acronyms, no navigation needed, and spacing that looks fine — nothing here trips me up as Stefan.</t>
  </si>
  <si>
    <t xml:space="preserve">This bare-bones page has no animations, no acronyms, no headings to worry about, and the simple inline text spacing looks fine — nothing here trips me up as Stefan.</t>
  </si>
  <si>
    <t xml:space="preserve">This page fails because the !important on word-spacing blocks my ability to apply the wider spacing I need to keep words from running together — that override is a real barrier for me.</t>
  </si>
  <si>
    <t xml:space="preserve">[1.4.12] When I try to increase text spacing so words don't blur together, the !important override blocks my settings from taking effect, making the text harder for me to read. Remove the !important flag from word-spacing (and any other text-spacing properties) so user stylesheets can apply WCAG 1.4.12 minimum spacing values without being overridden. || [2.2.2] No animations to hijack my attention here — this criterion passes. No action needed. || [2.4.5] N/A — this is a standalone page with no site context. N/A || [2.4.6] N/A — with only one sentence there is nothing to navigate between. N/A — inapplicable for a single-sentence page. || [3.1.4] No unexpanded acronyms to stop me cold here. No action needed.</t>
  </si>
  <si>
    <t xml:space="preserve">This page fails because the !important on word-spacing locks out the spacing overrides I depend on to keep words from blurring together — that one declaration is enough to make the text inaccessible for me.</t>
  </si>
  <si>
    <t xml:space="preserve">[1.4.12] When my browser or extension tries to increase word spacing so the words don't blur together for me, the !important declaration blocks that override completely. The text stays cramped and I lose my place mid-sentence. Remove the !important flag and do not use inline styles to constrain spacing below WCAG minimums. Allow word-spacing to be overridden by user stylesheets, or set it to at least 0.16em. || [2.2.2] No motion to hijack my attention here — this part is fine. No action needed. || [2.4.5] Not applicable — this is a standalone page, not part of a navigable site. No action needed for this criterion in isolation. || [2.4.6] With only one short paragraph there are no landmarks to find my place, but the criterion is inapplicable at this scale. No action needed for this minimal example, but any real page should use descriptive headings. || [3.1.4] Nothing to trip me up here — no unexpanded acronyms to derail my reading. No action needed.</t>
  </si>
  <si>
    <t xml:space="preserve">This page fails because the `!important` on word-spacing locks me out of the spacing adjustments I need to keep lines from blurring together — that override is exactly what kills readability for me.</t>
  </si>
  <si>
    <t xml:space="preserve">[1.4.12] When I try to increase text spacing so lines don't blur together, the !important declaration blocks my override and I'm stuck with cramped spacing that makes me skip words or lose my place. Remove the `!important` flag and avoid hardcoding spacing values below WCAG minimums; allow user stylesheets to override spacing properties. || [2.2.2] No animations to hijack my attention here. No action needed. || [2.4.5] N/A for a standalone page. N/A || [2.4.6] N/A — the page is too minimal to require heading landmarks. N/A || [3.1.4] Nothing to stop me cold here. No action needed.</t>
  </si>
  <si>
    <t xml:space="preserve">This page auto-updates content with no way to pause or stop it, which is a showstopper for me — the moment something starts moving or changing, I can't focus on anything else and my text-to-speech workflow falls apart completely.</t>
  </si>
  <si>
    <t xml:space="preserve">[2.2.2] As Stefan, any auto-updating content on the page immediately hijacks my attention. I cannot read or follow along with my text-to-speech software while something is changing on screen — my focus snaps to the motion and I lose my place completely. Provide a visible button or control that lets users pause, stop, or hide the auto-updating content in the #target span before it starts, or at minimum immediately after it begins updating. || [2.4.6] As Stefan, I rely on headings as landmarks to find my place when I return to a page or lose focus. With no headings at all, there is nothing to orient me on this page. Add at least one descriptive heading (e.g., &lt;h1&gt;) that clearly describes the purpose or topic of the page content. || [2.4.5] As Stefan, I need both a menu and a search box because I don't always remember which category my topic falls under. A page with no navigation at all leaves me stranded. If this page is part of a larger site, add at least two navigation methods (e.g., a site menu plus a search field). If it is truly a standalone page, this criterion is inapplicable.</t>
  </si>
  <si>
    <t xml:space="preserve">This page auto-updates content with no way to stop it, has zero headings to help me find my place, and gives me no navigation options at all — it's basically unusable for me as Stefan.</t>
  </si>
  <si>
    <t xml:space="preserve">[2.2.2] As Stefan, any auto-updating content on the page immediately hijacks my attention — I cannot stay focused on what I was reading, and there is no button or control to stop it Provide a visible pause, stop, or hide mechanism adjacent to the auto-updating content, or ensure the update is user-initiated rather than automatic || [2.4.6] As Stefan, I rely on headings as landmarks to find my place when I come back to a page or lose my spot; with no headings at all I have no waypoints to navigate by Add descriptive headings that label the topic or purpose of each section of content || [2.4.5] As Stefan, I need both a menu and a search box because I don't always remember which category my topic is under; this page offers neither Add at least two navigation mechanisms such as a site-wide navigation menu and a search field</t>
  </si>
  <si>
    <t xml:space="preserve">This page auto-updates content with no way to pause it and zero headings to orient me — as Stefan, I'd be completely unable to focus or find my place, making this page essentially unusable for me.</t>
  </si>
  <si>
    <t xml:space="preserve">[2.2.2] As Stefan, any auto-updating content on the page immediately hijacks my attention. I cannot read or follow along with my text-to-speech software while something is changing on screen — I lose my place completely and have to start over. Provide a visible button or control that lets users pause, stop, or hide the auto-updating content in the #target span before it starts, or ensure updates only happen on user request. || [2.4.6] As Stefan, I rely on clear headings as landmarks to find my place when I return to a page or lose focus. With zero headings, there is nothing to orient me — I am completely lost. Add at least one descriptive heading (e.g., &lt;h1&gt;) that clearly describes the purpose of the page and its content. || [2.4.5] As Stefan, I need both a menu and a search box because I don't always remember which category my topic is under. This page offers neither. If this page is part of a larger site, add at least two navigation methods such as a site-wide navigation menu and a search function.</t>
  </si>
  <si>
    <t xml:space="preserve">This page passes all the checks I care about: the moving content has a pause control, text spacing should reflow fine, the WAI acronym is spelled out right there in the text, and since it's basically a standalone demo page the navigation criterion doesn't really apply.</t>
  </si>
  <si>
    <t xml:space="preserve">Parse error: Extra data: line 9 column 1 (char 635)</t>
  </si>
  <si>
    <t xml:space="preserve">This page actually works for me — the auto-updating number has a Pause button right there, there's enough spacing flexibility, and even the acronym 'WAI' is expanded inline as 'Web Accessibility Initiative', so nothing trips me up here.</t>
  </si>
  <si>
    <t xml:space="preserve">This page passes all applicable checks — the auto-updating number has a Hide button so I can stop it, headings are absent but the page is a single short snippet so that's fine, spacing should reflow okay with no tight CSS, there's only one nav method but this looks like a standalone example page so that's inapplicable, and 'WAI' is expanded inline as 'Web Accessibility Initiative' which means I won't get stuck on an unexpanded acronym.</t>
  </si>
  <si>
    <t xml:space="preserve">This page actually works okay for me — the auto-updating number has a Hide button I can use to stop it, there's no crazy animation hijacking my attention, and while it's a bare-bones single page with no navigation or headings to worry about, nothing here is going to make me lose my place or break my focus.</t>
  </si>
  <si>
    <t xml:space="preserve">As Stefan, this page actually works okay for me — the auto-updating number can be hidden with the button, 'WAI' is spelled out right there in the text, and there's nothing flashing or animating that would steal my focus while I'm trying to read.</t>
  </si>
  <si>
    <t xml:space="preserve">This page is basically just a logo image and a hidden paragraph, so there's nothing here that trips me up — no animations, no walls of text, no confusing acronyms, and navigation applicability is moot on a standalone single-element page like this.</t>
  </si>
  <si>
    <t xml:space="preserve">This page is basically just a logo image with a hidden paragraph, so there's nothing here that trips me up — no animations, no walls of text, no mystery acronyms, and navigation applicability is moot on a standalone single-element page like this.</t>
  </si>
  <si>
    <t xml:space="preserve">This page is basically just a logo image and a hidden paragraph, so there's nothing here that trips me up — no animations, no walls of text, no mystery acronyms, and navigation applicability is moot on a single standalone page like this.</t>
  </si>
  <si>
    <t xml:space="preserve">This page is a mess for me — the auto-updating number is going to steal my attention every few seconds and I can't stop it, there are no headings to help me find my place, no way to navigate the site, and acronyms left unexplained.</t>
  </si>
  <si>
    <t xml:space="preserve">[2.2.2] As Stefan, the constantly changing number in the middle of the page would immediately hijack my attention — I literally cannot ignore motion or updating content. I'd lose my place in the surrounding text every single time the number changes, making it impossible to follow along even with my text-to-speech software. Provide a visible button to pause, stop, or hide the auto-updating content, as required by WCAG 2.2.2. For example, add a 'Pause updates' button that calls clearInterval() on the update loop. || [2.4.6] As Stefan, I rely on headings as landmarks to find my place when I return to a page or lose focus. With no headings at all, there are no waypoints — I'm just adrift in a wall of text. Add descriptive headings (e.g., an &lt;h1&gt; identifying the page topic) to give the page structure and help users re-orient themselves. || [2.4.5] As Stefan, I need both a menu and a search box because I don't always remember which category my topic is under. This page offers neither, leaving me with no way to find related content. Add at least two navigation mechanisms, such as a site-wide navigation menu and a search field, so users have multiple ways to locate pages within the site. || [3.1.4] As Stefan, unexpanded acronyms stop me cold. Seeing 'W3C' without any expansion means I have to stop, try to figure out what it stands for, and then I've lost my place in the sentence. Wrap abbreviations in &lt;abbr title="World Wide Web Consortium"&gt;W3C&lt;/abbr&gt; (and similarly for WAI) so the expansion is always available on hover or via assistive technology.</t>
  </si>
  <si>
    <t xml:space="preserve">This page is a mess for me — the auto-updating number is going to steal my attention the whole time I'm trying to read, there are no headings to help me find my place, and abbreviations like W3C aren't properly marked up, so I keep getting tripped up before I even get to the content.</t>
  </si>
  <si>
    <t xml:space="preserve">[2.2.2] As Stefan, the constantly changing number in the middle of the page would immediately hijack my attention — I literally cannot ignore motion or updating content. My text-to-speech would be disrupted and I'd lose my place in the surrounding paragraph every single time the number changes. Provide a visible button to pause, stop, or hide the auto-updating content, or eliminate the auto-update entirely if it is not essential. || [2.4.6] As Stefan, I rely on headings as landmarks to find my place when I come back to a page or lose focus. With no headings at all, there are no waypoints — I'm completely lost if I drift away. Add descriptive headings (e.g., &lt;h1&gt; for the page topic) to give the page structure and wayfinding landmarks. || [3.1.4] As Stefan, hitting 'W3C' without any expansion mechanism stops me cold. I have to break out of reading to figure out what it means, and by the time I do, I've lost my place in the sentence. Wrap abbreviations in &lt;abbr&gt; elements with descriptive title attributes, e.g., &lt;abbr title="World Wide Web Consortium"&gt;W3C&lt;/abbr&gt; and &lt;abbr title="Web Accessibility Initiative"&gt;WAI&lt;/abbr&gt;.</t>
  </si>
  <si>
    <t xml:space="preserve">This page is a nightmare for me — the auto-updating number with no way to stop it kills my focus instantly, and on top of that W3C isn't properly expanded so I'd already be stumbling before the distraction even hits.</t>
  </si>
  <si>
    <t xml:space="preserve">[2.2.2] As Stefan, the constantly changing number in the middle of the paragraph would immediately hijack my attention — I literally cannot ignore motion on a page. My text-to-speech loses context and I lose my place entirely. I'd have to leave the page. Provide a visible button to pause, stop, or hide the auto-updating content, or ensure updates only occur on user request. || [3.1.4] As Stefan, hitting 'W3C' without a marked-up expansion makes me stop and puzzle it out, losing my place in the sentence — exactly the kind of interruption that derails my reading flow. Wrap W3C in an &lt;abbr title="World Wide Web Consortium"&gt;W3C&lt;/abbr&gt; element so the expansion is programmatically available.</t>
  </si>
  <si>
    <t xml:space="preserve">This page is a nightmare for me — that &lt;blink&gt; tag makes the text flash non-stop with zero way to pause or stop it, so I can't focus on anything at all, which is exactly the kind of motion that makes reading impossible for someone with ADHD like me.</t>
  </si>
  <si>
    <t xml:space="preserve">[2.2.2] As Stefan, the moment that blinking text starts, my attention is completely hijacked. I literally cannot read anything else on the page — my eyes keep snapping back to the flashing element. My TTS software can read the words, but I can't follow along visually or stay oriented on the page at all. Remove the &lt;blink&gt; element entirely and use static styled text instead. If animation is truly needed for emphasis, use a CSS animation with a user-controlled toggle (pause/stop button) and ensure it stops after 5 seconds or fewer. || [2.4.5] As Stefan, I rely on a search box in addition to menus because I don't always remember which category my topic falls under. On a standalone test page this doesn't apply, but worth noting there are zero navigation aids. Criterion is inapplicable for a standalone example page; no fix required for 2.4.5 specifically.</t>
  </si>
  <si>
    <t xml:space="preserve">This page is a nightmare for me — that blinking text means I can't focus on anything, and there's zero way to make it stop.</t>
  </si>
  <si>
    <t xml:space="preserve">[2.2.2] As Stefan, blinking text on the page immediately hijacks my attention. I literally cannot read anything else on the page while something is blinking — my eyes keep snapping back to it, and my TTS loses its place because I've lost mine. Remove the &lt;blink&gt; element entirely. If emphasis is needed, use static CSS styling (e.g., font-weight, color, or border). If animation is truly required, provide a visible pause/stop control and ensure the animation stops after 5 seconds per WCAG 2.2.2.</t>
  </si>
  <si>
    <t xml:space="preserve">This page is a nightmare for me — that blinking text grabs my attention and won't let go, making it impossible to focus on anything else, and there's zero way to turn it off.</t>
  </si>
  <si>
    <t xml:space="preserve">[2.2.2] As Stefan, blinking text on the page immediately hijacks my attention. I literally cannot read anything else on the page while something is blinking — my eyes keep snapping back to it. Even with my text-to-speech software running, I lose my place and can't follow along. Remove the &lt;blink&gt; element entirely. If emphasis is needed, use static CSS styling such as font-weight, color contrast, or a border. If animation is truly required, provide a visible pause/stop control and ensure the animation stops after 5 seconds.</t>
  </si>
  <si>
    <t xml:space="preserve">This page fails because there's only one way to navigate the site — a menu — and no search box, which means I'm stuck guessing where things are when I can't remember the right category.</t>
  </si>
  <si>
    <t xml:space="preserve">[2.4.5] As Stefan, I don't always remember which category my topic falls under, so I rely on a search box as a backup. Without one, I'm stuck guessing which nav link to click, and if I guess wrong I lose my place entirely. Add at least one additional navigation method — a site search input is the most helpful for me, but a sitemap or breadcrumb trail would also satisfy WCAG 2.4.5. || [3.1.4] No unexpanded acronyms on this page, so I won't get stuck trying to decode anything. No action needed for abbreviations on this page.</t>
  </si>
  <si>
    <t xml:space="preserve">This page only gives me one way to navigate — a menu — and with no search box I'm going to get lost the moment I can't remember which section my topic lives under, which happens to me all the time.</t>
  </si>
  <si>
    <t xml:space="preserve">[2.4.5] As Stefan, I don't always remember which category my topic falls under, so I rely on a search box as a backup. With only a menu and no search, I'm stuck guessing which nav link to click — and if I pick wrong, I've lost my place entirely. Add at least one additional navigation method, such as a site search input (&lt;input type='search'&gt;) in the header, a sitemap link in the footer, or breadcrumb navigation on interior pages. || [3.1.4] No impact — no acronyms to trip me up on this page. No action needed for abbreviations on this page.</t>
  </si>
  <si>
    <t xml:space="preserve">This page only gives me one way to find anything — a nav menu — and without a search box I'm going to get lost the moment I can't remember which section my topic lives under.</t>
  </si>
  <si>
    <t xml:space="preserve">[2.4.5] As Stefan, I don't always remember which category my topic falls under, so I rely on a search box as a backup. Without one, I'm stuck guessing which nav link to click, and if I guess wrong I lose my place entirely. Add at least one additional navigation method — a site search input is the most helpful for me, but a sitemap or breadcrumb trail would also satisfy WCAG 2.4.5.</t>
  </si>
  <si>
    <t xml:space="preserve">This knowledge base page leaves me stranded — there's only a search box and no menu or category links to fall back on when I can't think of the right keyword, and the single generic heading gives me no landmarks to navigate by.</t>
  </si>
  <si>
    <t xml:space="preserve">[2.4.5] As Stefan, I rely on both search AND a menu because I don't always remember which category my topic lives under. If search is the only way in and I can't recall the right keyword, I'm completely stuck with no fallback. Add at least one additional navigation method — a top-level nav menu linking to knowledge base categories, a sitemap link, or a browsable category index — so users have two independent ways to locate content. || [2.4.6] As Stefan, I use headings as landmarks to find my place when I drift or come back to a page. A single generic h1 gives me nothing to navigate by — if I lose my place, I have no signposts to reorient myself. Add descriptive sub-headings for any content sections (e.g., 'Popular Articles', 'Browse by Category', 'Recently Updated'). Ensure every heading clearly describes the topic of the section beneath it.</t>
  </si>
  <si>
    <t xml:space="preserve">This page leaves me stranded — if my search keyword doesn't work, there's no menu or sitemap to fall back on, and with only one vague heading I have zero landmarks to find my place when my attention drifts.</t>
  </si>
  <si>
    <t xml:space="preserve">[2.4.5] As Stefan, if I blank on the right search keyword — which happens a lot with ADHD — I have absolutely no fallback. No menu to browse, no sitemap to scan. I'm just stuck. Add at least one additional navigation method, such as a site-wide navigation menu (&lt;nav&gt;) with category links, a sitemap link, or breadcrumb trail, so there are at least two ways to locate content. || [2.4.6] As Stefan, when I come back to a page after losing focus — which is constant for me — I rely on headings as landmarks to find my place. A single generic top-level heading gives me nothing to navigate by. Add descriptive sub-headings (h2, h3) for each logical section of the knowledge base (e.g., 'Browse by Category', 'Popular Articles', 'Recent Updates') so I can orient myself quickly. || [1.4.12] No spacing restrictions detected, so this criterion appears to pass by default. When CSS is added in future, ensure line-height is at least 1.5, letter-spacing at least 0.12em, and word-spacing at least 0.16em without content clipping. || [2.2.2] No moving content to hijack my attention — this is a relief. No action needed for this criterion. || [3.1.4] Nothing to trip me up here — no unexpanded acronyms to derail my reading. No action needed for this criterion.</t>
  </si>
  <si>
    <t xml:space="preserve">This knowledge base page leaves me stranded — there's no menu to browse when my keyword search fails, and the only heading is a generic label that tells me nothing about where I am or what I can do here.</t>
  </si>
  <si>
    <t xml:space="preserve">[2.4.5] As Stefan, I rely on both a search box AND a menu because I don't always remember which category my topic is under. With only search available, if I can't think of the right keyword I'm completely stuck — there's no menu to browse as a fallback. Add at least one additional navigation method, such as a category/topic navigation menu (`&lt;nav&gt;`) linking to knowledge base sections, a sitemap link, or a browsable table of contents. || [2.4.6] As Stefan, I use headings as landmarks to find my place when I return to a page or lose focus. A single generic heading like 'Knowledge base' gives me no landmarks to navigate by — I can't tell what's on this page or jump to a specific section. Add descriptive sub-headings that reflect the actual content sections (e.g., 'Search Articles', 'Browse by Category'). Ensure heading text is specific and meaningful rather than mirroring the site name.</t>
  </si>
  <si>
    <t xml:space="preserve">This simple order confirmation page has no animations to hijack my focus, no clipping issues, clear heading, no weird acronyms I can't figure out, and since it's a standalone confirmation page the multiple-navigation-methods rule doesn't even apply — honestly one of the cleanest pages I've seen.</t>
  </si>
  <si>
    <t xml:space="preserve">This simple order confirmation page is clean and minimal — no animations to hijack my focus, no weird spacing, no mystery acronyms, and the single heading tells me exactly where I am, so I'm good here.</t>
  </si>
  <si>
    <t xml:space="preserve">This simple order confirmation page has no animations to hijack my focus, no spacing issues, no mystery acronyms, and since it's a standalone confirmation page the navigation and heading rules don't really apply — honestly one of the cleanest pages I've seen.</t>
  </si>
  <si>
    <t xml:space="preserve">This simple sign-in page has no animations, no acronyms, clean structure, and since it's a standalone login page the navigation and heading rules don't really apply — nothing here would trip me up.</t>
  </si>
  <si>
    <t xml:space="preserve">This simple sign-in page has no animations to hijack my focus, no weird spacing issues, no confusing acronyms, and since it's a standalone login page the navigation and heading rules don't really apply — it's about as clean and distraction-free as a page can get for me.</t>
  </si>
  <si>
    <t xml:space="preserve">This simple sign-in page has no animations, no acronyms, clear labels, and nothing that would trip me up — it's about as clean and distraction-free as a page can get.</t>
  </si>
  <si>
    <t xml:space="preserve">This library page is clean and simple — it has a real nav menu plus a search box so I can find my way around, the single heading is descriptive, there's no animation to hijack my attention, no cramped spacing hacks in the CSS, and no mystery acronyms to trip me up.</t>
  </si>
  <si>
    <t xml:space="preserve">This library page is clean and simple — it has a real nav menu plus a search box so I can find my way around, the heading tells me exactly where I am, there's no animation hijacking my focus, and the plain HTML layout won't fight my text-spacing settings.</t>
  </si>
  <si>
    <t xml:space="preserve">This library page is clean and simple — it has a nav menu plus a search box so I can find my way around, the heading tells me exactly where I am, there's no animation to hijack my attention, and I didn't spot any unexpanded acronyms or text-spacing traps.</t>
  </si>
  <si>
    <t xml:space="preserve">This page is clean and simple — no animations to hijack my focus, clear headings to anchor me, multiple ways to navigate (primary nav plus breadcrumb plus sitemap link), no cramped text spacing issues, and no unexpanded acronyms to trip me up.</t>
  </si>
  <si>
    <t xml:space="preserve">This page is clean and simple — clear heading, no animations, multiple navigation methods including a nav menu, sitemap link, and breadcrumb trail, no unexpanded acronyms, and nothing that would trip me up with tight spacing or motion hijacking my focus.</t>
  </si>
  <si>
    <t xml:space="preserve">This page is just a single date-of-birth input field with no navigation, no headings, no animations, and no abbreviations to worry about, so none of my five criteria actually apply here.</t>
  </si>
  <si>
    <t xml:space="preserve">This page is just a single date-of-birth input field with no navigation, no headings, no animations, and no abbreviations — there's nothing here that trips up any of my five criteria, so it's a clean pass on everything that applies.</t>
  </si>
  <si>
    <t xml:space="preserve">This page is just a single date-of-birth input field with no real content, navigation, headings, animations, or abbreviations to evaluate — none of my five criteria meaningfully apply here.</t>
  </si>
  <si>
    <t xml:space="preserve">This simple glossary page is clean and minimal — no animations to hijack my focus, no acronyms to trip me up, clear descriptive heading, and nothing that would clip or overlap if I bump up my text spacing.</t>
  </si>
  <si>
    <t xml:space="preserve">This simple glossary page has no animations, no spacing issues, descriptive structure, no acronyms, and — being a standalone single page — the multiple-ways criterion doesn't apply, so there's nothing here that would trip me up as Stefan.</t>
  </si>
  <si>
    <t xml:space="preserve">This simple glossary page is clean and minimal — no animations to hijack my focus, a clear descriptive heading, no mystery acronyms, and nothing that would clip or overlap if I bump up my text spacing.</t>
  </si>
  <si>
    <t xml:space="preserve">This page is basically an empty shell with just a label and an empty paragraph — there's nothing here for me to read, navigate, or interact with, so none of my five criteria even apply.</t>
  </si>
  <si>
    <t xml:space="preserve">This page is basically just a bare label and text input with no real content, headings, navigation, animations, or abbreviations — there's nothing here for me to get lost in or struggle with, so none of my usual barriers apply.</t>
  </si>
  <si>
    <t xml:space="preserve">This page is basically empty — just a label and a text input with no real content, no headings, no navigation, no animations, and no abbreviations, so none of my five criteria even apply here.</t>
  </si>
  <si>
    <t xml:space="preserve">This page is basically just a single label and text input with no real content, headings, navigation, animations, or abbreviations — there's nothing here for me to get lost in or struggle with, so none of my usual barriers apply.</t>
  </si>
  <si>
    <t xml:space="preserve">This page is basically empty — there's no real content, no animations, no abbreviations, and the single heading-role element has no text but also no generic label, so there's nothing here that would trip me up as Stefan.</t>
  </si>
  <si>
    <t xml:space="preserve">This page is basically empty — just a heading with no content — so there's nothing here that trips me up as Stefan, but there's also nothing useful for me to navigate or read.</t>
  </si>
  <si>
    <t xml:space="preserve">This page is basically empty — there's no real content, no animations, no abbreviations, and the single heading-role element has no text but also nothing harmful, so as Stefan I have nothing to struggle with here.</t>
  </si>
  <si>
    <t xml:space="preserve">This page fails because it only offers one navigation method — search — with no menu, sitemap, or breadcrumbs, which leaves me stranded when I can't remember where things are categorised.</t>
  </si>
  <si>
    <t xml:space="preserve">[1.4.12] No text blocks to reflow, so this doesn't hurt me here. No action needed for this criterion on this page. || [2.2.2] Nothing moving to hijack my attention — good. No action needed. || [2.4.5] If this were a real page I landed on, I'd have no menu to fall back on when I forget which category my topic is under — search alone isn't enough for me. Add a navigation menu, sitemap link, or breadcrumb trail alongside the search box so there are at least two ways to locate content. || [2.4.6] No headings means I have no landmarks to find my place if I get distracted — but the page has almost no content to navigate anyway. If content is added, use descriptive headings. For this fragment, add at least an &lt;h1&gt; describing the page purpose. || [3.1.4] No unexpanded acronyms to stop me cold here. No action needed.</t>
  </si>
  <si>
    <t xml:space="preserve">This page fails mainly because there's only one navigation method and zero headings — I'd have no landmarks to find my place and no menu backup when my search words don't come to me.</t>
  </si>
  <si>
    <t xml:space="preserve">[1.4.12] Text spacing reflow is unlikely to break anything here since there is almost no content, so this is not a concern for me. No action needed for this criterion given the minimal content. || [2.2.2] No moving content to hijack my attention, so I can focus without distraction. No action needed. || [2.4.5] I rely on both a search box AND a menu because I don't always remember which category my topic is under. With only a bare search field and no menu or other navigation, I have no fallback when I can't think of the right search term. Add at least one additional navigation method such as a site-wide navigation menu, a sitemap link, or breadcrumb trail alongside the search box. || [2.4.6] Without any headings I have no landmarks to orient myself or return to my place after losing focus — a real problem for me with ADHD. Add a descriptive heading (e.g., &lt;h1&gt;Site Search&lt;/h1&gt;) to give the page a clear purpose and wayfinding anchor. || [3.1.4] No unexpanded acronyms to stop me cold here. No action needed.</t>
  </si>
  <si>
    <t xml:space="preserve">This page fragment fails WCAG 2.4.5 because it offers only a bare search input with no secondary navigation method — as Stefan, I'd be completely lost if search didn't return what I needed, with no menu or sitemap to fall back on.</t>
  </si>
  <si>
    <t xml:space="preserve">[1.4.12] Text spacing adjustments should work fine for me — nothing here would cause lines to blur together or get cut off. No action needed for this criterion given the minimal markup. || [2.2.2] No moving content to hijack my attention — I can focus without distraction. No action needed. || [2.4.5] If this were a real page, I'd have no menu to fall back on when I forget which category my topic lives under — just a search box with no other way to orient myself. Add at least one additional navigation method such as a site menu, breadcrumb trail, or sitemap link alongside the search input. || [2.4.6] This criterion is inapplicable because there are no headings at all to evaluate for descriptiveness. N/A for this criterion; however, any real page built around this fragment should include descriptive headings. || [3.1.4] No unexpanded acronyms to stop me cold here. No action needed for abbreviations, though 'Go' as a button label is vague and could be improved for clarity.</t>
  </si>
  <si>
    <t xml:space="preserve">This page is drowning in unexpanded acronyms — REST, CRUD, ORM, ETL, ANSI, CLI, CI — and my TTS just spells them out while I sit there trying to remember what they mean, completely losing my place in the sentence.</t>
  </si>
  <si>
    <t xml:space="preserve">[1.4.12] Text spacing appears safe for me to adjust without content disappearing. No action needed; continue to avoid fixed-height containers with overflow hidden around text blocks. || [2.2.2] Nothing is moving on the page, so my attention won't get hijacked mid-sentence. No action needed. || [2.4.5] As a standalone document this doesn't hurt me directly, but if it's part of a site I'd have no way to find it again without a search box. If this page is part of a larger site, add at least a second navigation method (e.g., a site search box or sitemap link). If it is truly standalone, the criterion is inapplicable. || [2.4.6] With only one heading I have no waypoints to return to if I lose my place. The content is short enough that this is minor, but any expansion of this page would leave me stranded. Add descriptive sub-headings (e.g., `&lt;h2&gt;Endpoint and Data Format&lt;/h2&gt;`, `&lt;h2&gt;CLI and CI Integration&lt;/h2&gt;`) to give each topic its own landmark. || [3.1.4] Every one of these stops me cold. I know some of them, but when I hit an unfamiliar one like ETL or ORM mid-sentence I lose my place trying to decode it, and my TTS just reads the letters without explaining them. Wrap each abbreviation in `&lt;abbr title="full expansion"&gt;ABBR&lt;/abbr&gt;`, e.g., `&lt;abbr title="Representational State Transfer"&gt;REST&lt;/abbr&gt;`, `&lt;abbr title="Extract, Transform, Load"&gt;ETL&lt;/abbr&gt;`, `&lt;abbr title="Object-Relational Mapper"&gt;ORM&lt;/abbr&gt;`, etc. At minimum expand each on first use in plain text.</t>
  </si>
  <si>
    <t xml:space="preserve">This page is a wall of unexpanded acronyms with no sub-headings to help me find my place — as Stefan, I'd be constantly stopping to decode REST, ETL, ORM, ANSI, and CI while my TTS ploughs on without me.</t>
  </si>
  <si>
    <t xml:space="preserve">[1.4.12] Default spacing is usually fine for me with TTS, and nothing would clip when I force wider spacing through my browser settings. No action needed; absence of restrictive CSS means spacing overrides will not break layout. || [2.2.2] Nothing on the page will hijack my attention or make it impossible to focus while my TTS reads. No action needed. || [2.4.5] If this is part of a larger site I would have no way to find it again other than remembering the URL — I definitely can't rely on memory. If this page belongs to a site, add at least a second navigation method such as a site-wide search box or a sitemap link alongside a navigation menu. || [2.4.6] There's only one heading so if I lose my place I have no landmark to return to. The single heading 'API design notes' is descriptive enough, but I can't jump to the CLI section separately. Add descriptive sub-headings such as &lt;h2&gt;Endpoint and Data Layer&lt;/h2&gt; and &lt;h2&gt;CLI Output and CI Logs&lt;/h2&gt; to give me waypoints. || [3.1.4] Every one of these stops me cold. REST, ETL, ANSI, ORM — I have to pause and try to decode each one, losing my place in the surrounding text. With TTS it just reads the letters and I'm left guessing. Wrap each abbreviation in &lt;abbr title='full expansion'&gt;ABBR&lt;/abbr&gt;, e.g. &lt;abbr title='Representational State Transfer'&gt;REST&lt;/abbr&gt;, &lt;abbr title='Extract, Transform, Load'&gt;ETL&lt;/abbr&gt;, &lt;abbr title='Command-Line Interface'&gt;CLI&lt;/abbr&gt;, etc.</t>
  </si>
  <si>
    <t xml:space="preserve">This page absolutely wrecks me with nine bare acronyms and zero sub-headings — I'm constantly stopping to decode abbreviations and I have no landmarks to find my place when I get lost.</t>
  </si>
  <si>
    <t xml:space="preserve">[1.4.12] No clipping risk detected; my TTS and zoom usage should be fine here. No action needed, but explicitly set generous line-height (≥1.5) and letter-spacing in CSS to ensure spacing remains accessible across browsers. || [2.2.2] Nothing moving on the page means I can actually focus and follow along with my TTS without losing my place. No action needed. || [2.4.5] If this is part of a larger site, I'd have no way to find related pages — I can't always remember which category something lives under, so I need at least a search box or a nav menu. If this page is part of a site, add at least two navigation mechanisms (e.g., a site nav menu plus a search box). || [2.4.6] There's only one heading, so if I lose my place I have nowhere to jump back to. The two paragraphs cover completely different topics but look identical — I can't skim to find where I was. Add descriptive sub-headings for each topic, e.g., &lt;h2&gt;Endpoint and Persistence&lt;/h2&gt; and &lt;h2&gt;CLI Output and CI Logging&lt;/h2&gt;. || [3.1.4] Every one of these stops me cold. I hit 'REST' and I'm already wondering if it means Representational State Transfer or something else, and by the time I figure it out I've lost the thread of the sentence. Nine unexpanded acronyms in two paragraphs is brutal. Wrap each acronym in &lt;abbr title="Full Expansion"&gt;ACRONYM&lt;/abbr&gt;, e.g., &lt;abbr title="Representational State Transfer"&gt;REST&lt;/abbr&gt;, at least on first use.</t>
  </si>
  <si>
    <t xml:space="preserve">This page trips me up immediately — three abbreviations and not one of them gives me a real expansion, so I'm stuck guessing what PCR and SOP even mean before I can understand anything else on the page.</t>
  </si>
  <si>
    <t xml:space="preserve">[3.1.4] As Stefan, hitting 'PCR' with no expansion stops me cold — I have to leave the page to look it up, and then I've lost my place entirely. Same with 'SOP'. Even with my TTS software, an empty or self-referential title gives me nothing useful. Provide meaningful expansions: &lt;abbr title="Polymerase Chain Reaction"&gt;PCR&lt;/abbr&gt;, &lt;abbr title="Deoxyribonucleic Acid"&gt;DNA&lt;/abbr&gt;, and &lt;abbr title="Standard Operating Procedure"&gt;SOP&lt;/abbr&gt;. Every abbreviation needs a non-empty, genuinely descriptive title attribute.</t>
  </si>
  <si>
    <t xml:space="preserve">This page stops me cold three times in a single paragraph because PCR has an empty expansion, DNA is just repeated back at me, and SOP has no title at all — as someone with ADHD and dyslexia, those interruptions completely derail my reading flow.</t>
  </si>
  <si>
    <t xml:space="preserve">[3.1.4] As Stefan, I hit PCR and my brain locks up trying to figure out if it means Polymerase Chain Reaction or something else — I lose my place in the sentence. Then SOP stops me cold again. Two full stops on a three-sentence page is brutal. Provide meaningful title attributes for all three: &lt;abbr title="Polymerase Chain Reaction"&gt;PCR&lt;/abbr&gt;, &lt;abbr title="Deoxyribonucleic Acid"&gt;DNA&lt;/abbr&gt;, and &lt;abbr title="Standard Operating Procedure"&gt;SOP&lt;/abbr&gt;. || [2.4.5] If this is part of a lab procedures site, I'd have no search box to find a specific procedure — I never remember which category things are filed under. If this page is part of a multi-page site, add at least a second navigation method such as a search box or sitemap alongside any existing menu.</t>
  </si>
  <si>
    <t xml:space="preserve">This page trips me up right away because 'PCR' has an empty expansion and 'SOP' has none at all — as someone with ADHD and dyslexia I lose my place every time I hit an unexplained acronym, and this page has two of them back-to-back.</t>
  </si>
  <si>
    <t xml:space="preserve">[3.1.4] As Stefan, hitting 'PCR' and 'SOP' with no expansion stops me cold — I have to break out of the text and try to figure out what they mean on my own, and by the time I do I've completely lost my place in the paragraph. Provide meaningful title attributes for every abbreviation: e.g., &lt;abbr title="Polymerase Chain Reaction"&gt;PCR&lt;/abbr&gt;, &lt;abbr title="Standard Operating Procedure"&gt;SOP&lt;/abbr&gt;, and fix &lt;abbr title="Deoxyribonucleic Acid"&gt;DNA&lt;/abbr&gt; so the expansion is actually informative.</t>
  </si>
  <si>
    <t xml:space="preserve">This simple garden page has no animations to hijack my focus, no cramped spacing issues, no mystery acronyms, and while it only has one heading it's a standalone page so navigation rules don't apply — honestly it's a clean, calm read.</t>
  </si>
  <si>
    <t xml:space="preserve">This simple garden page has no animations to hijack my focus, no cramped spacing overrides, clear enough structure for its short length, no confusing acronyms, and since it's a standalone page the multiple-navigation-methods rule doesn't apply — honestly one of the cleanest pages I've seen.</t>
  </si>
  <si>
    <t xml:space="preserve">This simple page has no animations, no acronyms, clear heading structure, and nothing that would trip me up as Stefan — it's a rare clean pass across all five criteria.</t>
  </si>
  <si>
    <t xml:space="preserve">This simple page has no animations, no acronyms, clear heading structure, and nothing that would trip me up as Stefan — it's about as clean as a page can get.</t>
  </si>
  <si>
    <t xml:space="preserve">This page is clean and simple — all the acronyms like W3C, WCAG, AG WG, and HTTP have proper title expansions so my TTS software can explain them, there's no animation to hijack my focus, the single-page structure makes navigation inapplicable, and the lone h1 heading clearly describes what the page is about.</t>
  </si>
  <si>
    <t xml:space="preserve">Wait — actually re-examining: 1.4.12 passes (no clipping risk), 2.2.2 passes, 2.4.5 is inapplicable, 2.4.6 passes, 3.1.4 passes — this page actually passes all applicable criteria, so the label should be 'passed'.</t>
  </si>
  <si>
    <t xml:space="preserve">[1.4.12] Tight default browser spacing can blur lines together for me, but without restrictive CSS there is no clipping risk here. Explicitly set line-height: 1.5, letter-spacing: 0.12em, and word-spacing: 0.16em in CSS to ensure comfortable reading and WCAG-conformant spacing by default. || [2.2.2] No animations means nothing will hijack my attention — I can actually read this page. No action needed for this criterion. || [2.4.5] There is nowhere to get lost because this is a single page with no site context. If this page is part of a larger site, add at least two navigation methods (e.g., a site menu plus a search box). || [2.4.6] The single heading is clear and tells me exactly what the page is about. The page is short enough that I don't need intermediate headings to find my place. No action needed for this criterion on this short page. || [3.1.4] Every acronym is expanded — I won't get stuck trying to decode W3C or WCAG mid-sentence. No action needed; abbreviation handling is exemplary.</t>
  </si>
  <si>
    <t xml:space="preserve">This page is clean and simple — all the acronyms like W3C, WCAG, AG WG, and HTTP have proper title expansions so my TTS software can explain them, there's no animation to hijack my focus, the single-page structure makes navigation inapplicable, and the lone h1 heading is descriptive rather than generic.</t>
  </si>
  <si>
    <t xml:space="preserve">This page trips me up as Stefan mainly because 'PRs' appears without any expansion or &lt;abbr&gt; markup in the second paragraph — I'd stop dead trying to remember what it means — and the lack of sub-headings leaves me with no landmarks to find my place if I get distracted.</t>
  </si>
  <si>
    <t xml:space="preserve">[1.4.12] As Stefan, tight spacing makes lines blur together, but the absence of restrictive CSS means this likely passes — text should remain readable when I override spacing in my browser. No action needed; continue to avoid fixed-height containers or overflow:hidden on text blocks. || [2.2.2] As Stefan, there is nothing moving on this page to hijack my attention — I can actually focus on reading. No action needed. || [2.4.5] As Stefan, I need a search box in addition to a menu because I don't always remember which category my topic is under. If this is part of a larger site, the absence of both is a serious problem for me. If this page is part of a multi-page site, add at least two navigation mechanisms (e.g., a site-wide nav menu plus a search box). If it is truly a standalone page, the criterion is inapplicable. || [2.4.6] As Stefan, I use clear headings to find my place when I come back to a page. With only one heading for the whole page, if I lose my place I have no landmark to navigate back to the right paragraph. Add descriptive sub-headings such as 'How to Register' and 'Reporting Documentation Problems' to give each topic its own landmark. || [3.1.4] As Stefan, when I hit 'PRs' in the second paragraph with no prior context visible on screen (because I may have scrolled past the first mention), I stop cold trying to remember what it stands for, losing my place entirely. Wrap every abbreviation in &lt;abbr title='expansion'&gt;ABBR&lt;/abbr&gt; on first use, e.g., &lt;abbr title='Learning Management System'&gt;LMS&lt;/abbr&gt;. For 'PRs', either re-expand it or mark it up with &lt;abbr title='Pull Requests'&gt;PRs&lt;/abbr&gt;.</t>
  </si>
  <si>
    <t xml:space="preserve">This page trips me up on abbreviations — 'PRs' appears with no expansion at all, and none of the acronyms use proper &lt;abbr&gt; markup, so when I lose my place I'm stuck guessing what they mean.</t>
  </si>
  <si>
    <t xml:space="preserve">[1.4.12] Tight default spacing can blur lines together for me, but without restrictive CSS this is unlikely to clip or overlap content. No fix needed; confirm with actual spacing override test that content remains visible. || [2.2.2] No moving content to hijack my attention — I can focus on reading. No fix needed. || [2.4.5] If this is part of a site, I have no search box and no menu to find related pages — I get lost without those landmarks. Add at minimum a site navigation menu and a search box so I can find my way around the broader site. || [2.4.6] The single heading is descriptive, and the page is short enough that I can navigate it, so this passes for now. No immediate fix required, but consider adding subheadings (e.g., 'How to Register', 'Reporting Problems') as the page grows. || [3.1.4] Even though LMS and FAQ are spelled out once in parentheses, when my TTS jumps around or I lose my place, I hit 'PRs' cold with no title attribute to fall back on. I stop and try to decode it, losing my place entirely. Wrap every abbreviation in &lt;abbr title='...'&gt; elements, e.g., &lt;abbr title='Learning Management System'&gt;LMS&lt;/abbr&gt;, &lt;abbr title='Frequently Asked Questions'&gt;FAQ&lt;/abbr&gt;, and &lt;abbr title='Pull Request'&gt;PR&lt;/abbr&gt; (including the plural 'PRs').</t>
  </si>
  <si>
    <t xml:space="preserve">The page fails because 'PRs' appears without any programmatic expansion — my TTS just reads it as letters and I have to stop and puzzle it out, which totally breaks my flow.</t>
  </si>
  <si>
    <t xml:space="preserve">[1.4.12] Default spacing is fine for me; nothing would clip when I force wider spacing in my browser. No action needed; continue to avoid fixed-height containers that could clip reflowed text. || [2.2.2] No moving content to hijack my attention — I can focus on reading. No action needed. || [2.4.5] As a standalone page I don't need multiple navigation methods, but if this is part of a larger site the absence of a search box or nav menu would make it hard for me to find related pages. If this page is part of a site, add a site-wide navigation menu and a search box. || [2.4.6] The single h1 is descriptive and the content is short enough that I won't lose my place. No action needed for this page length, but add descriptive sub-headings if content grows. || [3.1.4] When my TTS software hits 'PRs' in the second paragraph, it won't know to say 'Pull Requests' — it'll just say 'PRs' and I'll have to stop and figure out what that means, losing my place in the text. Wrap every abbreviation in &lt;abbr title='Full Expansion'&gt;ABBR&lt;/abbr&gt;, e.g. &lt;abbr title='Pull Requests'&gt;PRs&lt;/abbr&gt;, in addition to or instead of relying on parenthetical prose expansions.</t>
  </si>
  <si>
    <t xml:space="preserve">check_keyboard_focusables, detect_keyboard_violations, check_timing_and_timeouts, validate_focus_order, validate_focus_visible, validate_target_size</t>
  </si>
  <si>
    <t xml:space="preserve">This page has no interactive elements I can actually reach — the only thing here is a hidden iframe with tabindex='-1', so there's nothing for me to keyboard-navigate, focus, or interact with, making all five WCAG criteria inapplicable.</t>
  </si>
  <si>
    <t xml:space="preserve">This page has no visible or keyboard-reachable interactive elements whatsoever — the only link is buried inside a hidden, tabindex=-1 iframe, so none of my five WCAG criteria even apply here.</t>
  </si>
  <si>
    <t xml:space="preserve">There's nothing on this page I can interact with — the only element is a hidden iframe with tabindex='-1', so its embedded link is completely invisible to me and to every accessibility check; all five WCAG criteria are inapplicable.</t>
  </si>
  <si>
    <t xml:space="preserve">This page has no keyboard-reachable interactive elements — the only content is an iframe with tabindex='-1' and the inert attribute, which removes both it and its inner link from the tab sequence entirely, so there's nothing here for me to navigate to or interact with.</t>
  </si>
  <si>
    <t xml:space="preserve">This page has no keyboard-reachable interactive elements — the only thing here is an iframe that's explicitly excluded from tab order with tabindex='-1' and made fully inert, so none of my five WCAG criteria even apply.</t>
  </si>
  <si>
    <t xml:space="preserve">There's nothing on this page I can interact with — the only element is an iframe that's been explicitly removed from the tab order with tabindex='-1' and made fully inert, so none of my five WCAG criteria even apply here.</t>
  </si>
  <si>
    <t xml:space="preserve">This page contains only an iframe with an embedded link inside a sandboxed srcdoc — no directly interactive elements were detected in the outer document, so none of my five WCAG criteria apply here, and there's nothing blocking me from navigating what little is present.</t>
  </si>
  <si>
    <t xml:space="preserve">This page contains only an iframe with an embedded link inside its srcdoc — no interactive elements are detectable at the top-level DOM, so none of my five WCAG criteria apply here, and there's nothing blocking me from navigating what little is present.</t>
  </si>
  <si>
    <t xml:space="preserve">This page contains only an iframe with an embedded link inside its srcdoc — no interactive elements are detectable in the outer document's DOM, so none of my five WCAG criteria apply here, and there's nothing blocking me from navigating what little is present.</t>
  </si>
  <si>
    <t xml:space="preserve">The page is mostly solid for keyboard navigation — the link is reachable, focus is visible, tab order is logical, and there are no time limits — but that link target is too short at 36px tall, and my adaptive device will have a hard time hitting it reliably.</t>
  </si>
  <si>
    <t xml:space="preserve">[2.5.5] My adaptive pointing device struggles to land precisely on short link targets. At only 36px tall, this link is a real miss risk for me — I'd likely overshoot or undershoot it repeatedly. Increase the link's clickable height to at least 44px by adding padding (e.g., padding-top: 4px; padding-bottom: 4px) or setting a min-height: 44px with display: inline-block on the &lt;a&gt; element.</t>
  </si>
  <si>
    <t xml:space="preserve">The page is mostly keyboard-friendly — I can Tab to the link, see where focus is, and there are no time limits or ordering surprises — but that link is too short for my adaptive device to reliably hit, which is a real daily friction point for me.</t>
  </si>
  <si>
    <t xml:space="preserve">[2.5.5] That link is only 36px tall — my adaptive pointing device struggles to land precisely on targets that thin. I'll likely overshoot or undershoot it, which means repeated attempts and frustration just to activate a single link. Increase the link's clickable height to at least 44px by adding padding (e.g., `padding-top: 4px; padding-bottom: 4px;`) or setting `min-height: 44px; display: inline-block;` on the anchor element. Note: since this is a heading link and not an inline text link within running prose, the inline-text exemption does not apply.</t>
  </si>
  <si>
    <t xml:space="preserve">The page is mostly solid for keyboard users like me — the link is reachable, focus is visible, tab order is logical, and there are no time limits — but that link's 36px height is too short for my adaptive pointing device to reliably hit.</t>
  </si>
  <si>
    <t xml:space="preserve">[2.5.5] That link is only 36px tall — my adaptive pointing device struggles to land precisely on targets that short. I'll likely miss it or accidentally activate something nearby, and I'll have to retry multiple times. Increase the link's clickable height to at least 44px by adding padding (e.g., `padding-top: 4px; padding-bottom: 4px;`) or setting `min-height: 44px` with `display: inline-block` on the anchor element. Note: the containing section is only 100px tall with overflow:scroll, so ensure the layout accommodates the taller target.</t>
  </si>
  <si>
    <t xml:space="preserve">This page fails hard for me — there's a scrollable content region I can never reach because it has no tabindex, so the majority of the text is permanently hidden from any keyboard user.</t>
  </si>
  <si>
    <t xml:space="preserve">[2.1.1] As Ade, I cannot reach or scroll that section at all. The text is clipped inside a 100px box and I have no way to Tab into it or use arrow keys to read the rest of the content — it simply doesn't exist for me. Add tabindex="0" to the &lt;section&gt; element so it enters the tab sequence and can be scrolled with arrow keys. For example: &lt;section tabindex="0" style="height: 100px; width: 500px; overflow-y: scroll"&gt;. This makes the scrollable region keyboard-operable per WCAG 2.1.1.</t>
  </si>
  <si>
    <t xml:space="preserve">This page fails me completely — there's a scrollable content region I can never reach with my keyboard, which means a chunk of the page's text is simply inaccessible to me.</t>
  </si>
  <si>
    <t xml:space="preserve">[2.1.1] As Ade, I cannot scroll that section at all. It doesn't exist for me — Tab skips right over it and I have no way to read the overflowed content. The information is completely locked away from me. Add tabindex="0" to the scrollable &lt;section&gt; element so keyboard users can focus it and scroll its content using the arrow keys: &lt;section tabindex="0" style="height: 100px; width: 500px; overflow-y: scroll"&gt;. Also consider providing a visible focus indicator for it.</t>
  </si>
  <si>
    <t xml:space="preserve">This page traps its own content behind a scrollable box I can never reach — no tabindex means no keyboard access to the overflow, and that's a hard blocker for me.</t>
  </si>
  <si>
    <t xml:space="preserve">[2.1.1] As Ade, I cannot scroll that section at all — it doesn't exist for me. The content is clipped to 100px and I have no keyboard path to reach the rest of it. Tab skips right over it, and I'm left reading only the first few lines of the WCAG abstract with no way to get to the rest. Add tabindex="0" to the &lt;section&gt; element so it enters the tab sequence and can be scrolled with the arrow keys: &lt;section tabindex="0" style="height: 100px; width: 500px; overflow-y: scroll"&gt;. Also consider adding a descriptive aria-label (e.g., aria-label="WCAG 2.1 Abstract, scrollable") so screen readers announce it as a scrollable region.</t>
  </si>
  <si>
    <t xml:space="preserve">This page fails immediately — a 'Home' link is buried inside an iframe that's been deliberately yanked out of the tab order with tabindex='-1', making it completely unreachable for someone like me who relies entirely on the keyboard.</t>
  </si>
  <si>
    <t xml:space="preserve">[2.1.1] As Ade, that 'Home' link simply does not exist for me. No matter how many times I press Tab, I will never land on it. It's invisible to my keyboard and my voice control can't activate what focus can't reach. Remove tabindex="-1" from the &lt;iframe&gt; so it participates in the natural tab sequence (or set tabindex="0" explicitly). Alternatively, move the link out of the iframe into the main document where it is natively keyboard-accessible.</t>
  </si>
  <si>
    <t xml:space="preserve">This page has a 'Home' link that is completely invisible to me — the iframe carrying it has been deliberately pulled out of the tab order with tabindex='-1', so no amount of Tab-pressing will ever get me there.</t>
  </si>
  <si>
    <t xml:space="preserve">[2.1.1] As Ade, I press Tab and nothing happens. The 'Home' link simply does not exist for me. I cannot navigate to it, activate it, or even discover it exists. It is completely invisible to my keyboard workflow. Remove the tabindex='-1' attribute from the &lt;iframe&gt; so it participates in the natural tab sequence (or set tabindex='0' explicitly). Once the iframe is focusable, keyboard users can Tab into it and then Tab again to reach the embedded link. If the iframe content is purely decorative and the link is not meant to be interactive, remove the link from the srcdoc entirely.</t>
  </si>
  <si>
    <t xml:space="preserve">This page is a keyboard trap in reverse — the only link is locked away behind an iframe that's been deliberately pulled out of the tab order with tabindex='-1', meaning I can never reach it no matter how many times I press Tab.</t>
  </si>
  <si>
    <t xml:space="preserve">[2.1.1] As Ade, I press Tab and nothing happens. The 'Home' link simply does not exist for me — I cannot reach it, activate it, or even know it's there. This is a total keyboard block. Remove tabindex="-1" from the &lt;iframe&gt; so it participates in the natural tab order, allowing keyboard users to tab into it and then navigate to the link inside. Alternatively, move the link out of the iframe into the main document where it is natively focusable.</t>
  </si>
  <si>
    <t xml:space="preserve">This page fails hard on timing — a 5-second meta refresh with no way to stop it means I get forcibly redirected before I can even begin to use voice control, and that's a critical blocker for me.</t>
  </si>
  <si>
    <t xml:space="preserve">[2.2.1] Five seconds is nowhere near enough time for me. Voice control is slow — by the time I've even oriented myself on the page, I'm already being whisked away to a different URL with no way to stop it. I have zero control over this. Remove the &lt;meta http-equiv="refresh"&gt; tag entirely, or provide a clearly labelled, keyboard-accessible control (e.g., a 'Cancel redirect' or 'Stay on this page' button) that allows users to stop, extend, or disable the time limit before it expires. Per WCAG 2.2.1, the user must be able to turn off, adjust, or extend any time limit.</t>
  </si>
  <si>
    <t xml:space="preserve">This page fails hard on timing — a 5-second meta refresh redirect with no way to stop it means I'm gone before I've even had a chance to read the page, let alone interact with it.</t>
  </si>
  <si>
    <t xml:space="preserve">[2.2.1] Five seconds is nowhere near enough time for me. Voice control is slow — by the time I've even oriented myself on the page, it's already whisked me away to a different URL with no way to stop it. I have zero control over this. Remove the meta refresh redirect entirely, or provide a clearly labelled, keyboard-accessible control (e.g., a 'Stay on this page' button) that allows users to cancel or extend the time limit before the redirect fires. Per WCAG 2.2.1, users must be able to turn off, adjust, or extend any time limit.</t>
  </si>
  <si>
    <t xml:space="preserve">This page fails hard on timing — a 5-second meta refresh fires with no way for me to stop it, and voice control simply isn't fast enough to do anything before I'm redirected against my will.</t>
  </si>
  <si>
    <t xml:space="preserve">[2.2.1] Five seconds is nowhere near enough time for me. Voice control is slow — by the time I've even oriented myself on the page, it's already whisked me away to a different URL with no way to stop it. I have zero control over this. Remove the &lt;meta http-equiv="refresh"&gt; tag entirely. If a redirect is genuinely necessary, replace it with a user-initiated mechanism (e.g., a clearly labelled link or button the user activates themselves), or provide a visible, keyboard-accessible control to cancel, pause, or extend the time limit to at least 20 hours per WCAG 2.2.1.</t>
  </si>
  <si>
    <t xml:space="preserve">This page is essentially a blank static document — no interactive elements, no active time limits, and nothing for me to tab through or click, so none of my five WCAG criteria apply here.</t>
  </si>
  <si>
    <t xml:space="preserve">This page is essentially a static text-only page with no interactive elements and no active time limits, so there's nothing here that blocks my keyboard navigation or causes me any accessibility problems.</t>
  </si>
  <si>
    <t xml:space="preserve">This page is essentially a static text-only document with no interactive elements whatsoever — nothing for me to Tab to, no time limits firing, no focus indicators needed — so none of my five WCAG criteria apply here.</t>
  </si>
  <si>
    <t xml:space="preserve">detect_keyboard_violations, check_keyboard_focusables, check_timing_and_timeouts, validate_focus_order, validate_focus_visible, validate_target_size</t>
  </si>
  <si>
    <t xml:space="preserve">This page is a complete blocker for me — a zero-second meta refresh fires before I can press a single key, ripping me away to another site with no warning, no countdown, and absolutely no way to stop it.</t>
  </si>
  <si>
    <t xml:space="preserve">[2.2.1] As Ade, I have zero time to react — the page vanishes instantly before I can even orient myself, let alone use voice control or keyboard navigation. There is no 'Extend', 'Cancel', or 'Stay' control anywhere. I am forcibly ejected from the page with no recourse. Remove the instant meta refresh redirect entirely. If a redirect is necessary, replace it with a server-side HTTP 301/302 redirect. If a client-side redirect must be used, set a delay of at least 20 seconds AND provide a visible, keyboard-focusable control (e.g., a 'Cancel redirect' button) that allows users to stop or extend the timer, satisfying WCAG 2.2.1.</t>
  </si>
  <si>
    <t xml:space="preserve">This page is a keyboard accessibility disaster — an instant meta refresh rips the page away before I can do anything, the only focusable element is unreachable by Tab, and focus indicators are actively suppressed by CSS, leaving me with no idea where I am.</t>
  </si>
  <si>
    <t xml:space="preserve">[2.2.1] Voice control is slow. An instant redirect with zero delay gives me absolutely no time to react, read, or do anything. The page is gone before I can even orient myself. This is a hard blocker. Remove the meta refresh redirect entirely. If a redirect is necessary, use a server-side HTTP 301/302 redirect instead. If a timed redirect must remain, set a delay of at least 20 seconds AND provide a visible, keyboard-focusable control (e.g., a 'Stay on this page' button) that lets users cancel or extend the timer. || [2.4.3] When Tab jumps around or elements I expect to reach are unreachable, I get completely disoriented. If the only focusable element on the page is unreachable, the tab order is broken from the very first keystroke. Ensure the 'Skip to content' link is genuinely reachable via Tab. Verify it is not hidden with display:none or visibility:hidden, and that no positive tabindex values or focus traps are preventing access to it. || [2.4.7] If focus disappears visually, I lose my place entirely. I have no idea where I am on the page. These outline:none rules make keyboard navigation effectively invisible for anchor links and SelectMenu items. Remove outline:none and outline:0 from all :focus rules. Replace them with a clearly visible focus indicator — at minimum a 2px solid outline with sufficient contrast. Use :focus-visible if you want to suppress the indicator only for mouse users while keeping it for keyboard users.</t>
  </si>
  <si>
    <t xml:space="preserve">This page is a keyboard trap before it even loads — a zero-second meta refresh gives me no time to react, and the destination it dumps me into then hides keyboard focus indicators, leaving me completely lost.</t>
  </si>
  <si>
    <t xml:space="preserve">[2.2.1] As Ade, I have zero seconds to react before the page yanks me away. Voice control is slow — I can't even begin to issue a command before I'm gone. There is no 'Stay on page' or 'Cancel redirect' control I can reach. Remove the meta refresh redirect entirely and replace it with a server-side HTTP 301/302 redirect. If a client-side redirect is unavoidable, set a delay of at least 20 seconds AND provide a visible, keyboard-focusable 'Cancel' or 'Stay on this page' button that stops the timer. || [2.4.7] As Ade, if I somehow survive the redirect, I immediately lose track of where my keyboard focus is. When the focus ring disappears, I'm completely disoriented — I don't know which element I'm on. Remove all bare 'outline: none' / 'outline: 0' rules on :focus selectors. Replace them with a clearly visible alternative — a minimum 2px solid outline with sufficient contrast, or a strong box-shadow equivalent.</t>
  </si>
  <si>
    <t xml:space="preserve">This page fails hard on timing — a 30-second forced refresh with zero way to stop it is a critical blocker for me; by the time I've spoken my next command, the page has already reset and I'm back to square one.</t>
  </si>
  <si>
    <t xml:space="preserve">[2.2.1] Voice control is slow by nature. 30 seconds is nowhere near enough time for me to dictate a command, navigate to where I need to be, or finish reading. The page just yanks the rug out from under me — I lose my place, my focus resets, and I have to start all over again with no way to stop it. Remove the &lt;meta http-equiv='refresh'&gt; tag entirely, or provide a clearly labelled, keyboard-accessible control (e.g., a 'Pause auto-refresh' button) that allows users to turn off, extend, or adjust the time limit before it triggers. Per WCAG 2.2.1, users must be able to turn off, adjust, or extend any time limit.</t>
  </si>
  <si>
    <t xml:space="preserve">This page fails hard on timing: a 30-second forced refresh with zero controls to stop it is a critical blocker for me — voice control is too slow to race a countdown I can't even pause.</t>
  </si>
  <si>
    <t xml:space="preserve">[2.2.1] Voice control is slow by nature. 30 seconds is nowhere near enough time for me to dictate a command, navigate to where I need to be, or finish reading. The page yanks me back to the top before I can do anything meaningful — and there's no way for me to stop it. Remove the &lt;meta http-equiv='refresh'&gt; tag entirely. If auto-refresh is genuinely required (e.g., for live data), provide a clearly labelled, keyboard-accessible control — such as a button — that lets users pause, stop, or extend the refresh interval, satisfying WCAG 2.2.1.</t>
  </si>
  <si>
    <t xml:space="preserve">This page fails hard on timing — a 30-second forced refresh with zero controls to stop or extend it means voice control users like me will be constantly interrupted and reset, making the page effectively unusable.</t>
  </si>
  <si>
    <t xml:space="preserve">[2.2.1] Voice control is slow by nature — 30 seconds is nowhere near enough time for me to dictate commands, navigate, and complete what I'm doing. Every time the page reloads, I lose my place entirely and have to start over. This is a hard blocker for me. Remove the &lt;meta http-equiv='refresh'&gt; tag entirely, or provide a clearly labelled, keyboard-accessible control (e.g., a button) that lets users stop, extend, or disable the auto-refresh before it triggers. Per WCAG 2.2.1, users must be able to turn off, adjust, or extend any time limit.</t>
  </si>
  <si>
    <t xml:space="preserve">This page fails on a critical timing issue — it silently redirects me after 20 hours with zero controls to stop it, which strips away my autonomy as a keyboard and voice user.</t>
  </si>
  <si>
    <t xml:space="preserve">[2.2.1] Even though 20 hours sounds like a long time, I have no way to turn off or extend this redirect. Voice control is slow and unpredictable — if I'm in the middle of a long task and the page suddenly whisks me away to a new URL, I lose all my context and have no way to get back. I need to be in control of when I navigate, not the page. Remove the &lt;meta http-equiv='refresh'&gt; tag entirely, or provide a clearly labelled, keyboard-accessible control (e.g., a button labelled 'Stay on this page' or 'Disable auto-redirect') that lets users turn off or extend the time limit before it fires.</t>
  </si>
  <si>
    <t xml:space="preserve">This page fails on WCAG 2.2.1 — there's a forced redirect baked into the meta tag with absolutely no way for me to stop or extend it, and that's a hard blocker regardless of how generous the timer is.</t>
  </si>
  <si>
    <t xml:space="preserve">[2.2.1] Even though 20 hours sounds like a long time, this is a hard, uncontrollable redirect with zero warning and zero way for me to intervene. Voice control is slow — if I'm mid-task and this fires, I'm yanked away with no recourse. I can't extend it, pause it, or turn it off. Remove the &lt;meta http-equiv='refresh'&gt; tag entirely, or provide a clearly labelled, keyboard-accessible control (e.g., a button labelled 'Stay on this page' or 'Disable auto-redirect') that lets users turn off or extend the time limit before it expires. If a redirect is truly necessary, use a server-side redirect instead of a client-side meta refresh.</t>
  </si>
  <si>
    <t xml:space="preserve">This page fails on timing: a hard-coded meta refresh will redirect me without any way to stop it, and for someone like me who relies on voice control and works at my own pace, losing control of navigation is a critical blocker.</t>
  </si>
  <si>
    <t xml:space="preserve">[2.2.1] Even though 20 hours sounds like a long time, I have no way to turn off or extend this redirect. If I'm working slowly with voice control, or I leave the page open and return to it, it will silently whisk me away to a different URL with zero warning and zero recourse. I lose my place entirely. Remove the &lt;meta http-equiv='refresh'&gt; tag entirely, or provide a clearly labelled, keyboard-accessible control (e.g., a button) that lets users cancel, extend, or disable the redirect before it fires. If the redirect is essential, display a visible countdown and offer an 'Extend' or 'Cancel redirect' button reachable by Tab.</t>
  </si>
  <si>
    <t xml:space="preserve">This page fails on timing: that meta refresh will boot me off without any way to stop it, and with voice control I simply can't react fast enough if I'm mid-task — fix it or give me a control to dismiss it.</t>
  </si>
  <si>
    <t xml:space="preserve">[2.2.1] Voice control is slow — if this page redirects me without warning and I have no way to stop, extend, or disable it, I lose my entire context and have to start over. Even a 20-hour timer is a problem if I can't control it. Remove the meta refresh entirely, or provide clearly labelled controls (e.g., 'Stay on this page' / 'Extend session' buttons) that allow users to turn off, adjust, or extend the time limit before it triggers. Per WCAG 2.2.1, the only exceptions are when the time limit is essential or exceeds 20 hours — note that 72,001 seconds is just over 20 hours (72,000s = exactly 20h), so this is borderline and should be reviewed carefully.</t>
  </si>
  <si>
    <t xml:space="preserve">This page fails on timing: that meta refresh will boot me off the page with zero warning and zero controls to stop it — and with voice control, I'd never react fast enough even if there were a warning.</t>
  </si>
  <si>
    <t xml:space="preserve">[2.2.1] Voice control is slow — if this page ever redirects mid-task, I have no way to stop it or buy more time. Even a very long timer is a problem because there are zero controls provided to manage it, and I'd lose all my work without warning. Remove the meta refresh entirely, or provide clearly labelled controls (e.g., 'Stay on page' / 'Extend session' buttons) that allow users to turn off, extend, or adjust the time limit before it triggers. Per WCAG 2.2.1, the user must be in control.</t>
  </si>
  <si>
    <t xml:space="preserve">This page fails on timing — there's a forced redirect baked into the meta tag with absolutely no way for me to stop or delay it, which is a critical blocker for anyone using voice control or a slow adaptive input device.</t>
  </si>
  <si>
    <t xml:space="preserve">[2.2.1] This page will forcibly redirect me without any warning or way to stop it. Voice control is slow — I can't race a timer, and with no 'Extend Session' or 'Stay on Page' control anywhere, I'm completely at the mercy of this countdown. I'll lose whatever I was working on. Remove the &lt;meta http-equiv='refresh'&gt; tag entirely, or provide visible, keyboard-accessible controls that allow the user to turn off, extend, or adjust the time limit before it expires (e.g., a clearly labelled 'Cancel redirect' or 'Extend time' button).</t>
  </si>
  <si>
    <t xml:space="preserve">This survey form has two real problems for me: the scrambled tab order caused by unnecessary positive tabindex values sends me jumping around the form out of sequence, and every single interactive element is only 21 px tall — far too small for my adaptive device to reliably hit.</t>
  </si>
  <si>
    <t xml:space="preserve">[2.4.3] When I Tab through this form, I land on Question 2 first, then Question 3, then jump back up to Question 1. I completely lose my place — I have no idea which field I'm supposed to be filling in or where I am in the form. Remove all explicit tabindex attributes from the form fields and the Submit button. Native DOM order (q1 → q2 → q3 → Submit) already produces the correct, logical tab sequence without any tabindex needed. || [2.5.5] Every single target on this form is only 21 px tall. My adaptive pointing device struggles to land precisely on such a thin strip — I frequently miss the input or the Submit button, which means I have to retry repeatedly just to fill out a basic survey. Increase the height of all inputs and the button to at least 44 px via CSS (e.g., `input, button { min-height: 44px; padding: 10px; }`). The inputs are already wide enough (177 px), so only the height needs fixing.</t>
  </si>
  <si>
    <t xml:space="preserve">This survey form fails on two fronts that hit me directly: the positive tabindex values scramble the tab order so badly that I'm jumping backwards through questions, and every single interactive element is only 21px tall — half the minimum my adaptive device needs to land on reliably.</t>
  </si>
  <si>
    <t xml:space="preserve">[2.4.3] When I Tab through this form, focus jumps backwards — I land on Question 2, then Question 3, then suddenly shoots back up to Question 1. I completely lose my place and have no idea which field I'm filling in relative to the labels I just read. Remove all explicit tabindex attributes from the form fields and the Submit button. Native form elements follow DOM order by default, which already matches the correct visual reading order (q1 → q2 → q3 → Submit). Positive tabindex values almost always cause more harm than good. || [2.5.5] Every single target on this form is only 21px tall. My adaptive pointing device needs at least 44px of height to land reliably. I'll be fighting to click into each field and the Submit button, and I'll likely miss and activate something unintended. Add CSS to increase the height of inputs and the button to at least 44px: e.g., `input, button { min-height: 44px; padding: 10px 12px; box-sizing: border-box; }`. This also improves usability for touch and motor-impaired users broadly.</t>
  </si>
  <si>
    <t xml:space="preserve">This survey form fails on two fronts that hit me directly: the scrambled tab order caused by misused positive tabindex values sends my focus jumping backwards up the page, and every single interactive element is only 21 px tall — half the height my adaptive device needs to land accurately.</t>
  </si>
  <si>
    <t xml:space="preserve">[2.4.3] When I Tab through this form, focus jumps from Question 2 to Question 3 and then snaps back UP to Question 1 before landing on Submit. That random backward leap completely disorients me — I lose track of where I am and which field I've already filled in. Remove all explicit tabindex attributes from the form controls and the Submit button. Native DOM order (q1 → q2 → q3 → Submit) already matches the visual and logical reading order, so the browser's default tab sequence will be correct without any tabindex at all. || [2.5.5] Every single target on this form is only 21 px tall. My adaptive pointing device needs at least 44 px of height to land reliably — at 21 px I'm constantly missing the field or the button and clicking the wrong thing, which is exhausting and error-prone. Add CSS to give all inputs and the submit button a minimum height of 44 px and sufficient padding (e.g., `input, button { min-height: 44px; padding: 10px 12px; box-sizing: border-box; }`). This satisfies the 44×44 px AAA target-size requirement without changing the layout structure.</t>
  </si>
  <si>
    <t xml:space="preserve">This address form fails on two fronts that directly hurt me: Tab order jumps right-to-left across the screen because CSS `order` flips the visual layout without touching the DOM, leaving me completely disoriented, and all three inputs are only 21px tall — far too small for my adaptive device to reliably land on.</t>
  </si>
  <si>
    <t xml:space="preserve">[2.4.3] When I Tab through this form, focus starts on the field that appears on the far right of the screen (Street), then jumps all the way back to the left (City), then to the middle (State). That's completely disorienting — I lose track of where I am and which field I'm filling in. Align DOM source order with visual order. Either reorder the HTML elements to match the intended visual sequence (City, State, Street), or remove the CSS `order` overrides so visual and DOM order are consistent. Never use CSS `order` to create a visual sequence that contradicts the DOM sequence for interactive elements. || [2.5.5] At only 21px tall, these input fields are tiny targets for my adaptive pointing device. I frequently miss them and accidentally click outside the field, which means I have to reposition and try again — it's slow and frustrating. Increase the height of each `&lt;input&gt;` to at least 44px via CSS (e.g., `input { min-height: 44px; padding: 10px; box-sizing: border-box; }`). The width is already sufficient at 177px, so only the height needs correction.</t>
  </si>
  <si>
    <t xml:space="preserve">This address form fails on two fronts that directly hurt me: the CSS flexbox reordering makes my Tab key jump backwards across the screen, and all three inputs are too short for my adaptive device to reliably hit.</t>
  </si>
  <si>
    <t xml:space="preserve">[2.4.3] When Tab jumps around the page randomly, I get completely disoriented. I'm tabbing through what looks like City → State → Street on screen, but my keyboard is actually visiting Street → City → State. I lose track of where I am and which field I'm filling in. Align DOM source order with the intended visual order. Reorder the HTML elements so Street, City, State appear in the same sequence as the visual layout (City, State, Street), or restructure the layout so CSS `order` is not needed. Never use CSS `order` to create a visual sequence that diverges from DOM order when focusable elements are involved. || [2.5.5] My adaptive pointing device already struggles with small targets. At only 21px tall, these inputs are less than half the required height — I'll be clicking around trying to land on them, which is exhausting and error-prone. Increase the height of each input to at least 44px via CSS (e.g., `input { min-height: 44px; padding: 10px 8px; }`). This ensures the clickable/tappable area meets the AAA threshold for all users with motor impairments.</t>
  </si>
  <si>
    <t xml:space="preserve">This address form fails on two fronts that directly hurt me: the CSS flexbox reordering makes Tab jump around the fields in a sequence that doesn't match what I see on screen, and all three inputs are only 21px tall — far too small for my adaptive device to reliably hit.</t>
  </si>
  <si>
    <t xml:space="preserve">[2.4.3] When I Tab through the form, focus jumps to a field that visually appears to the left of where I just was — the sequence I see on screen (City, State, Street) doesn't match where Tab takes me. I lose my place and have to mentally re-map the form every time I use it. Remove the CSS 'order' reordering and instead change the DOM source order to match the intended visual order (City, State, Street — or whatever the correct sequence is). Never use CSS flexbox/grid 'order' to resequence content that users Tab through, because Tab follows DOM order, not visual order. || [2.5.5] All three input fields are only 21px tall — my adaptive pointing device has a very hard time landing precisely on targets that thin. I frequently miss and click the wrong element or nothing at all, forcing me to retry repeatedly. Increase the height of each input to at least 44px via CSS (e.g., `input { min-height: 44px; padding: 10px 8px; box-sizing: border-box; }`). Width is already sufficient at 177px, so only height needs to be addressed.</t>
  </si>
  <si>
    <t xml:space="preserve">This is a pure static content page with no interactive elements whatsoever — nothing to Tab to, no time limits, no focus indicators to break, no targets to miss — so none of my five keyboard and accessibility criteria even apply here.</t>
  </si>
  <si>
    <t xml:space="preserve">This is a pure static content page with no interactive elements whatsoever — no links, buttons, forms, or widgets — so none of my five keyboard/timing/focus criteria have anything to latch onto, and the page passes by inapplicability across the board.</t>
  </si>
  <si>
    <t xml:space="preserve">This page is pure static content — a heading and a paragraph, nothing to click, tab to, or interact with — so none of my five keyboard and timing criteria even apply here.</t>
  </si>
  <si>
    <t xml:space="preserve">The page is clean and simple — the one button is keyboard-reachable, focus is visible, tab order is logical, and there are no time limits — but that 'Refresh' button is far too small for my adaptive device to reliably hit, and that alone fails the page.</t>
  </si>
  <si>
    <t xml:space="preserve">[2.5.5] My adaptive pointing device struggles to land precisely on small targets. A button that's only 21px tall is genuinely hard for me to hit — I'll overshoot or miss it entirely, forcing repeated attempts. Apply a minimum height and padding to the button so it reaches at least 44×44 CSS pixels, e.g. `min-height: 44px; min-width: 44px; padding: 10px 16px;` in CSS.</t>
  </si>
  <si>
    <t xml:space="preserve">The page is almost there — the single 'Refresh' button is keyboard-reachable, focus is visible, tab order is logical, and there are no time limits — but that button is far too small at 63×21px for my adaptive device to hit consistently.</t>
  </si>
  <si>
    <t xml:space="preserve">[2.5.5] My adaptive pointing device struggles to land precisely on small targets. A button that's only 21px tall is genuinely hard for me to hit reliably — I'll overshoot or miss it entirely. Apply a minimum height and padding to the button so it reaches at least 44×44 CSS pixels, e.g. `min-height: 44px; min-width: 44px; padding: 10px 16px;` in CSS.</t>
  </si>
  <si>
    <t xml:space="preserve">The page is clean and simple — the one button is keyboard-reachable, focus is visible, tab order is logical, and there are no time limits — but that 'Refresh' button is far too small at only 21px tall, which makes it genuinely hard for me to hit with my adaptive device.</t>
  </si>
  <si>
    <t xml:space="preserve">[2.5.5] My adaptive pointing device struggles to land precisely on small targets. A button that is only 21px tall is very easy to miss or accidentally skip, forcing repeated attempts that are slow and frustrating. Add explicit CSS to the button — e.g., `min-height: 44px; min-width: 44px; padding: 10px 16px;` — so it meets the 44×44px AAA target size threshold.</t>
  </si>
  <si>
    <t xml:space="preserve">The keyboard path and focus order are clean — I can Tab through every field in the right sequence and always see where I am — but every single interactive element on this sign-up form is only 21px tall, which is a real problem for my adaptive pointing device and makes this page fail for me.</t>
  </si>
  <si>
    <t xml:space="preserve">[2.5.5] My adaptive pointing device struggles to land precisely on thin 21px-tall targets. I'll overshoot or undershoot the fields and button repeatedly, making sign-up genuinely painful. Add CSS to set a minimum height of 44px on all inputs and the submit button, e.g. input, button { min-height: 44px; padding: 10px 12px; }. This satisfies the 44×44px AAA threshold without changing the visual layout significantly.</t>
  </si>
  <si>
    <t xml:space="preserve">The sign-up form is keyboard-navigable with a clean tab order and visible focus, but every single interactive element is only 21px tall — my adaptive device will miss those targets every time, so I can't reliably fill in or submit this form.</t>
  </si>
  <si>
    <t xml:space="preserve">[2.5.5] My adaptive pointing device struggles to land on thin 21px-tall targets. I'll overshoot or undershoot the inputs and the submit button repeatedly, making sign-up genuinely painful. Add CSS to give all form inputs and the submit button a minimum height of 44px (e.g., `input, button { min-height: 44px; padding: 10px; }`). This satisfies the AAA target-size requirement and benefits all pointer users.</t>
  </si>
  <si>
    <t xml:space="preserve">The form's keyboard access, focus order, focus visibility, and timing are all solid — but every single interactive element is only 21px tall, which makes this form a real struggle for my adaptive pointing device and means I'd be fighting to hit each field just to sign up.</t>
  </si>
  <si>
    <t xml:space="preserve">[2.5.5] Every single target on this form is only 21px tall — less than half the required height. My adaptive pointing device consistently misses targets that thin, so I'd be fighting to land on each field and the submit button every time I try to sign up. Add CSS to set a minimum height of 44px on all inputs and the button, e.g. `input, button { min-height: 44px; padding: 10px 12px; box-sizing: border-box; }`. This also improves usability for all users.</t>
  </si>
  <si>
    <t xml:space="preserve">This dialog is a keyboard dead-end for me — I can Tab to the buttons but neither one actually fires, Escape doesn't close the dialog, and both targets are dangerously thin for my adaptive device on a page where clicking the wrong button deletes my account.</t>
  </si>
  <si>
    <t xml:space="preserve">[2.1.1] As Ade, I can Tab to both buttons but pressing Space or Enter does nothing — they are completely inoperable by keyboard. I also cannot dismiss this dialog with Escape, which is the standard keyboard escape hatch. I am effectively trapped with no way to act. Ensure both buttons have functional click/keydown handlers that fire on Enter and Space. Implement an Escape key listener on the dialog that triggers the Cancel action and closes the dialog. Verify that JavaScript is wired up to the button elements and not silently failing. || [2.5.5] As Ade, my adaptive pointing device struggles to land precisely on targets only 21px tall. On a destructive confirmation dialog like this, a missed click on 'Delete account' when I meant 'Cancel' could have irreversible consequences. Add sufficient padding or explicit height to both buttons so they reach at least 44px tall — e.g., set `min-height: 44px; padding: 10px 16px;` in CSS. This is especially critical on a destructive-action dialog.</t>
  </si>
  <si>
    <t xml:space="preserve">This dialog is a dead end for me — I can Tab to the buttons but neither one actually fires when I press Space or Enter, Escape doesn't close the dialog, and the buttons are far too short for my adaptive device to reliably hit.</t>
  </si>
  <si>
    <t xml:space="preserve">[2.1.1] As Ade, I can Tab to these buttons but pressing Space or Enter does nothing — I am completely trapped in a dialog I cannot dismiss or confirm. The Escape key doesn't work either, so I have no keyboard exit path whatsoever. Ensure both buttons have functional click/keydown handlers that respond to Space and Enter. Implement an Escape key listener on the dialog that triggers the Cancel action and closes the modal. || [2.5.5] As Ade, my adaptive pointing device struggles to land precisely on targets only 21px tall. On a destructive action like 'Delete account', a missed click is a serious risk — I could accidentally trigger the wrong button. Add padding or explicit min-height: 44px to both buttons so each meets the 44×44px minimum touch/click target size. For a destructive confirmation dialog, generous target sizing is especially important.</t>
  </si>
  <si>
    <t xml:space="preserve">This dialog is broken for me as a keyboard user — the buttons are completely unresponsive to keyboard activation and there's no Escape key support, and even if they worked, they're far too small for my adaptive device to reliably hit.</t>
  </si>
  <si>
    <t xml:space="preserve">[2.1.1] I can Tab to both buttons, but pressing Space or Enter does nothing — they're completely inoperable by keyboard. I'm also trapped in the dialog with no Escape route, which is disorienting and blocks me from doing anything else on the page. Ensure both buttons have functional click/keydown handlers that respond to Space and Enter. Implement an Escape key listener on the dialog that closes it (e.g., returning focus to the trigger element). Verify that JavaScript event handlers are actually wired up and not silently failing. || [2.5.5] Both buttons are only 21px tall — my adaptive pointing device struggles to land on targets that thin, especially on a high-stakes destructive action like 'Delete account' where a miss could be catastrophic. Add sufficient padding or explicit height/min-height (e.g., min-height: 44px; padding: 10px 16px;) to both buttons so they meet the 44×44px minimum. This is especially critical for the destructive 'Delete account' action.</t>
  </si>
  <si>
    <t xml:space="preserve">The page has only one interactive element and it's keyboard-reachable with a visible focus indicator and no timing issues — but that link is far too small at just 17px tall for my adaptive device to reliably hit.</t>
  </si>
  <si>
    <t xml:space="preserve">[2.5.5] As Ade, my adaptive pointing device struggles to land on small targets. A link that is only 17px tall is extremely easy to miss, forcing repeated attempts and causing frustration. Increase the link's clickable area to at least 44×44 CSS pixels by adding padding (e.g., `padding: 12px 0;` or `display: inline-block; padding: 12px 8px;`) so the target height reaches the 44px minimum without altering the visual text size.</t>
  </si>
  <si>
    <t xml:space="preserve">The page has only one interactive element and it's keyboard-reachable with a visible focus indicator and logical tab order — but that 'ACT rules' link is far too small at 17px tall for my adaptive device to reliably hit.</t>
  </si>
  <si>
    <t xml:space="preserve">[2.5.5] My adaptive pointing device struggles to land precisely on small targets. A link that's only 17px tall is nearly impossible for me to activate reliably — I'll overshoot or miss it entirely. Increase the link's clickable area to at least 44x44 CSS pixels by adding padding (e.g., `padding: 12px 0;` or `display: inline-block; padding: 12px;`) so the touch/click target meets the minimum size without changing the visual text size.</t>
  </si>
  <si>
    <t xml:space="preserve">The page is mostly keyboard-friendly — the single link is reachable, focus is visible, and tab order is logical — but that link's tap/click target is far too small at just 17px tall, which is a real problem for my adaptive pointing device.</t>
  </si>
  <si>
    <t xml:space="preserve">[2.5.5] My adaptive pointing device struggles to land precisely on small targets. At only 17px tall, this link is less than half the required height — I'll likely miss it or accidentally activate something nearby. Increase the link's clickable area to at least 44×44 CSS pixels by adding padding (e.g., `padding: 12px;`) and ensuring the element's display mode allows it (e.g., `display: inline-block`). Avoid using fixed height/width that constrains the target below 44px.</t>
  </si>
  <si>
    <t xml:space="preserve">The keyboard path, focus order, focus visibility, and timing are all solid — but every single link on this page is a tiny 17px-tall strip that my adaptive device simply can't reliably land on.</t>
  </si>
  <si>
    <t xml:space="preserve">[2.5.5] All three links are only 17px tall. My adaptive pointing device has to land on a tiny strip — I miss these constantly and end up activating the wrong thing or nothing at all. Add padding or min-height to each anchor so the clickable/tappable area reaches at least 44x44 CSS pixels, e.g. `display: inline-block; padding: 13px 0; min-width: 44px` on the `.no-focus-default` links.</t>
  </si>
  <si>
    <t xml:space="preserve">The keyboard mechanics here are actually solid — all three links are reachable by Tab in logical DOM order with a visible custom focus indicator — but every single link is only 17px tall, which makes them genuinely hard for my adaptive device to hit reliably.</t>
  </si>
  <si>
    <t xml:space="preserve">[2.5.5] All three links are only 17px tall — my adaptive pointing device can barely land on a target that thin. I'll be clicking the wrong thing or missing entirely, which slows me down and causes errors. Add sufficient padding or explicit height/line-height to each anchor so the clickable area reaches at least 44x44 CSS pixels. For example: `a { display: inline-block; padding: 12px 8px; min-height: 44px; }` to bring all three links up to the threshold.</t>
  </si>
  <si>
    <t xml:space="preserve">The keyboard mechanics here are actually solid — all three links are reachable by Tab in logical DOM order, focus indicators are visible via the custom span-based indicator system, and there are no time limits or mouse-only traps — but every single link is only 17px tall, which makes them nearly impossible for my adaptive pointing device to hit reliably.</t>
  </si>
  <si>
    <t xml:space="preserve">[2.5.5] All three links are only 17px tall — my adaptive pointing device simply cannot land on targets that thin. I'll be clicking around them, missing repeatedly, and getting frustrated before I even get to the content. Add padding or explicit height/line-height to each anchor so the clickable area reaches at least 44x44 CSS pixels. For example: `a { display: inline-block; padding: 13px 0; min-width: 44px; }` would bring the 17px-tall links up to the required 44px height.</t>
  </si>
  <si>
    <t xml:space="preserve">This page is just a static text label — no buttons, links, inputs, or any interactive elements whatsoever, so there's nothing for me to navigate to, tab through, or interact with, making all five WCAG criteria inapplicable.</t>
  </si>
  <si>
    <t xml:space="preserve">This page is just a plain text label in a &lt;span&gt; — there's nothing for me to interact with, no buttons, no links, no inputs, so none of my five WCAG criteria even apply here.</t>
  </si>
  <si>
    <t xml:space="preserve">This page fails on two fronts: both links are deliberately excluded from keyboard navigation via tabindex='-1' — making them completely unreachable for me — and even if that were fixed, their 17px height makes them far too small for my adaptive device to reliably activate.</t>
  </si>
  <si>
    <t xml:space="preserve">[2.4.3] As Ade, I press Tab and nothing happens — both links are completely invisible to my keyboard. They literally do not exist for me, which means I cannot navigate to either resource no matter how many times I press Tab. Remove the tabindex='-1' attributes from both &lt;a&gt; elements. Standard anchor tags are natively focusable and should not be excluded from the tab order unless there is a deliberate, justified reason (e.g., a hidden/off-screen element). If these links are meant to be reachable, simply omit the tabindex attribute entirely. || [2.5.5] As Ade, my adaptive pointing device already struggles to land on small targets. At only 17px tall, these links are far too small — even if I could reach them by keyboard, activating them with my device would be extremely difficult and error-prone. Increase the clickable area of both links to at least 44×44 CSS pixels. This can be achieved via CSS padding (e.g., padding: 12px 8px), setting an explicit min-height: 44px and min-width: 44px, or using display: inline-block with appropriate sizing. Avoid relying solely on font size to grow the target.</t>
  </si>
  <si>
    <t xml:space="preserve">This page is a keyboard dead-end for me — both links are deliberately hidden from Tab navigation with tabindex='-1', and even if I could reach them, their tiny 17px height would make them nearly impossible to activate with my adaptive device.</t>
  </si>
  <si>
    <t xml:space="preserve">[2.4.3] As Ade, I press Tab and nothing happens — both links are completely invisible to my keyboard. They literally do not exist for me, even though I can see them on screen. Remove the tabindex='-1' attributes from both anchor elements, or set them to tabindex='0' if a specific order is needed. Standard &lt;a href&gt; links are keyboard-focusable by default and should not be excluded from the tab sequence. || [2.5.5] Even if I could reach these links with my adaptive pointing device, their 17px height makes them extremely difficult to land on precisely — I'd likely miss and activate the wrong thing. Increase the clickable area of both links to at least 44×44px using padding (e.g., padding: 12px 8px) or by setting an explicit min-height: 44px and min-width: 44px on the anchor elements.</t>
  </si>
  <si>
    <t xml:space="preserve">This page fails on two fronts: both links are yanked out of my tab sequence by tabindex='-1' so I can't reach them at all with the keyboard, and even if I could, they're far too small for my adaptive device to reliably hit.</t>
  </si>
  <si>
    <t xml:space="preserve">[2.4.3] As Ade, I press Tab and nothing happens — both links are completely invisible to my keyboard. They literally do not exist for me, even though I can see them on screen. Remove the tabindex='-1' attributes from both &lt;a&gt; elements, or change them to tabindex='0'. Links should be in the natural tab order unless there is a deliberate, accessible reason to exclude them. || [2.5.5] As Ade, my adaptive pointing device struggles to land precisely on targets this small. At only 17px tall, both links are easy to miss, forcing repeated attempts. Increase the clickable area of both links to at least 44×44px using padding (e.g., padding: 12px 0) or by setting an explicit min-height of 44px, without necessarily changing the visual text size.</t>
  </si>
  <si>
    <t xml:space="preserve">This page fails on target size — that 'ACT rules' link is a tiny 17px-tall sliver that my adaptive device simply cannot reliably hit, and while the class name 'no-focus-default' raised a red flag for me, the focus visibility check surprisingly passed.</t>
  </si>
  <si>
    <t xml:space="preserve">[2.5.5] My adaptive pointing device struggles to land on tiny targets like this. At only 17px tall, this link is nearly impossible for me to activate reliably — I'll overshoot or miss it entirely. Increase the link's clickable area to at least 44x44 CSS pixels using padding, min-height/min-width, or by wrapping it in a larger block-level element. For example: `display: inline-block; padding: 12px 0;` would bring the height up to the required threshold.</t>
  </si>
  <si>
    <t xml:space="preserve">This page fails on target size — that 'ACT rules' link is a tiny 67×17px sliver that my adaptive device simply can't reliably hit, and while the keyboard and focus order are fine, that undersized target is a real blocker for me.</t>
  </si>
  <si>
    <t xml:space="preserve">[2.5.5] My adaptive pointing device struggles to land precisely on tiny targets. A link that's only 17px tall is nearly impossible for me to activate reliably — I'll overshoot or miss it entirely. Increase the link's clickable area to at least 44x44 CSS pixels by adding padding (e.g., `padding: 12px 0`) and ensuring the element's computed height reaches 44px. Avoid relying solely on line-height.</t>
  </si>
  <si>
    <t xml:space="preserve">This page fails on target size — that 'ACT rules' link is a tiny 67×17px sliver that my adaptive device simply cannot reliably hit, and while the focus visibility tool reported a pass, the class name 'no-focus-default' strongly suggests the external stylesheet is suppressing the focus outline, which I'd flag for manual verification.</t>
  </si>
  <si>
    <t xml:space="preserve">[2.5.5] My adaptive pointing device struggles to land on tiny targets like this. At only 17px tall, this link is less than half the required height — I'll almost certainly miss it or accidentally activate something nearby. Increase the link's clickable area to at least 44x44 CSS pixels using padding, min-height/min-width, or by wrapping it in a block-level container with sufficient dimensions.</t>
  </si>
  <si>
    <t xml:space="preserve">This newsletter form is effectively unusable for me — the CSS deliberately destroys all focus visibility so I can't see where I am, the Subscribe button is a dead end that won't activate by keyboard, and every target is less than half the height my adaptive device needs to land on reliably.</t>
  </si>
  <si>
    <t xml:space="preserve">[2.4.7] This is the worst possible outcome for me. When I Tab through this form I have absolutely no idea where I am — the email field and Subscribe button are completely invisible to keyboard focus. I lose my place immediately and cannot complete the signup. Remove the blanket 'outline: none' and 'box-shadow: none' rules from :focus states. Replace them with a clearly visible custom indicator, e.g. 'outline: 3px solid #005fcc; outline-offset: 2px;' on all interactive elements. Never suppress focus styles without providing a stronger alternative. || [2.1.1] Even if I can Tab to the Subscribe button, pressing Enter or Space does nothing. I literally cannot submit this form from the keyboard — the page's primary action is inaccessible to me. Ensure the submit button responds to keyboard activation. Do not suppress default browser behaviour with CSS or JS. Test by Tabbing to the button and pressing Enter — the form must submit. || [2.5.5] My adaptive pointing device already struggles with small targets. Every single interactive element on this page is less than half the required height. Landing on the Subscribe button or the Privacy link is genuinely difficult and error-prone for me. Increase the height of all interactive elements to at least 44px using CSS padding or min-height. For example: 'input[type=email], button { min-height: 44px; padding: 10px 16px; }' and 'a { display: inline-block; padding: 12px 0; }'.</t>
  </si>
  <si>
    <t xml:space="preserve">This page is essentially unusable for me — the CSS deliberately kills every focus indicator so I can't see where I am when tabbing, the Subscribe button may not even fire on keyboard activation, and every single interactive element is too small for my adaptive device to reliably hit.</t>
  </si>
  <si>
    <t xml:space="preserve">[2.4.7] This is the worst thing a page can do to me. When I Tab into the email field or onto the Subscribe button, the focus ring vanishes completely. I have absolutely no idea where I am on the page — I'm navigating blind. Remove the blanket 'outline: none' rules entirely. If custom styling is needed, replace them with a high-contrast visible focus style, e.g. ':focus-visible { outline: 3px solid #005fcc; outline-offset: 2px; }' — never suppress focus indicators without providing a stronger alternative. || [2.1.1] If I Tab to Subscribe and press Enter and nothing happens, the form is broken for me. I cannot sign up for the newsletter at all without a mouse. Ensure the submit button functions correctly via keyboard. Remove any CSS or JS that may be suppressing its activation behavior. Test by tabbing to the button and pressing Enter/Space to confirm form submission fires. || [2.5.5] My adaptive pointing device already struggles with small targets. Every single interactive element on this page is too short to reliably land on — especially the Privacy policy link at only 17px tall. I'll be clicking around it repeatedly. Increase the height of all interactive elements to at least 44px using CSS: set 'min-height: 44px' on inputs and buttons, and add 'padding: 12px 16px' to links and buttons to expand their tap/click area without changing visual layout significantly.</t>
  </si>
  <si>
    <t xml:space="preserve">This newsletter form is essentially unusable for me — the CSS deliberately kills every focus indicator so I can't see where I am while tabbing, and every target is too small for my adaptive device to hit accurately.</t>
  </si>
  <si>
    <t xml:space="preserve">[2.4.7] This is the worst possible outcome for me. When I Tab through this form I have absolutely no idea where I am — the email field and Subscribe button are completely invisible to keyboard focus. I lose my place entirely and cannot reliably fill in or submit the form. Remove the blanket 'outline: none' and 'box-shadow: none' rules from :focus states. Replace them with a clearly visible focus indicator, e.g. 'outline: 3px solid #005fcc; outline-offset: 2px' on all interactive elements. Never suppress focus styles without providing a stronger custom alternative. || [2.5.5] Every single target on this page is too small for my adaptive pointing device to land on reliably. The Subscribe button and Privacy policy link are especially bad at only 17–21px tall — I'll routinely miss them and accidentally activate something else or nothing at all. Set a minimum height of 44px on all interactive elements via CSS: 'input[type=email], button, a { min-height: 44px; min-width: 44px; display: inline-flex; align-items: center; }'. For the email input, padding can achieve this without changing its visual width.</t>
  </si>
  <si>
    <t xml:space="preserve">The gallery controls are keyboard-reachable and focus is visible, but those four icon buttons are a postage-stamp 20x20px — my adaptive device simply can't reliably hit targets that small, so this page fails for me.</t>
  </si>
  <si>
    <t xml:space="preserve">[2.5.5] These tiny 20x20px buttons are nearly impossible for my adaptive pointing device to land on accurately. I'll constantly misfire and trigger the wrong action — or miss entirely. Increase each button's width and height to at least 44px. Update .icon-btn to set width: 44px; height: 44px; and adjust padding accordingly (e.g., padding: 10px). The visual icon can remain small inside a larger hit area.</t>
  </si>
  <si>
    <t xml:space="preserve">The gallery buttons are reachable by keyboard and focus is visible, but all four controls are dangerously undersized at 20×20px — less than half the 44×44px target I need to reliably activate them with my adaptive device.</t>
  </si>
  <si>
    <t xml:space="preserve">[2.5.5] My adaptive pointing device already struggles to land precisely. These tiny 20x20px buttons are half the minimum size — I'll constantly misfire and trigger the wrong control or miss entirely. Set `.icon-btn` to `width: 44px; height: 44px` (minimum). If the visual icon must stay small, use padding to expand the clickable/tappable area to 44×44px while keeping the icon visually compact.</t>
  </si>
  <si>
    <t xml:space="preserve">The gallery buttons are keyboard-reachable with a sensible tab order and visible focus, but all four controls are a dangerously tiny 20×20px — less than half the required size — which makes them nearly impossible for my adaptive pointing device to land on reliably.</t>
  </si>
  <si>
    <t xml:space="preserve">[2.5.5] These tiny 20x20px buttons are a real problem for my adaptive pointing device. I'll be stabbing at a postage-stamp-sized target repeatedly just to navigate a photo gallery — I'll miss constantly and activate the wrong button. Set `.icon-btn` to `width: 44px; height: 44px; padding: 12px;` (or equivalent) so every button meets the 44×44 CSS pixel minimum. The icon/text inside can remain small while the clickable area grows.</t>
  </si>
  <si>
    <t xml:space="preserve">The tab order is clean and focus is visible, which I appreciate — but those 28px-tall buttons are a real problem for my adaptive device, and I'll be fighting to hit them every single time I use this form.</t>
  </si>
  <si>
    <t xml:space="preserve">[2.5.5] My adaptive pointing device already struggles to land on small targets. These buttons are barely 28px tall — I'll be fighting to hit them accurately, and I'll likely misfire and trigger the wrong action. Increase button height to at least 44px. Replace `height: 28px` with `min-height: 44px` in the button style rule. Width is already sufficient for Save (58px) and more than sufficient for Discard and Preview, so only the height needs fixing.</t>
  </si>
  <si>
    <t xml:space="preserve">The keyboard and focus behaviour is actually solid — Tab order is logical, focus is visible, no timing traps — but those three 28px-tall buttons are a real problem for my adaptive pointing device, and I'll be fighting to hit them every single time.</t>
  </si>
  <si>
    <t xml:space="preserve">[2.5.5] My adaptive pointing device already struggles to land on small targets. These buttons are only 28px tall — I'll be fighting to hit them accurately, and I'll likely misfire and trigger the wrong action. Increase button height to at least 44px. Change the CSS rule to `button { height: 44px; padding: 0 12px; }`. Width is already sufficient for Save (58px) and more than enough for Discard and Preview, so only height needs fixing.</t>
  </si>
  <si>
    <t xml:space="preserve">The page's three buttons are keyboard-reachable and logically ordered, but their 28px height is far too small for my adaptive pointing device — I need every target to be at least 44px tall or I'm going to keep missing them.</t>
  </si>
  <si>
    <t xml:space="preserve">[2.5.5] My adaptive pointing device already struggles to land precisely. These buttons are barely half the required height — I'll be misfiring constantly, accidentally hitting the wrong action or missing entirely. Hitting 'Discard' instead of 'Save' because the targets are too small is a real risk for me. Set button height to at least 44px (e.g., `height: 44px` or `min-height: 44px; padding: 10px 12px`) so all three buttons meet the 44×44 CSS pixel threshold.</t>
  </si>
  <si>
    <t xml:space="preserve">This page is clean — one keyboard-reachable link, no time limits, a logical tab order, a visible focus indicator, and the link is correctly exempt from the 44px target-size rule because it sits inside running text; nothing here blocks me.</t>
  </si>
  <si>
    <t xml:space="preserve">This page is clean — one keyboard-reachable link, no time limits, a logical tab order, a visible focus indicator, and the link is correctly exempt from the 44px target-size rule because it sits inside running text; nothing here blocks me as a keyboard-only user.</t>
  </si>
  <si>
    <t xml:space="preserve">This page is clean and simple — the one link is fully keyboard-reachable, focus is visible, tab order is logical, there are no time limits, and the inline link is correctly exempt from the 44px target-size rule, so I can navigate it without any barriers.</t>
  </si>
  <si>
    <t xml:space="preserve">This page is purely static text — no interactive elements, no time limits, no focusable targets — so none of my five keyboard and accessibility criteria even come into play here.</t>
  </si>
  <si>
    <t xml:space="preserve">This page is purely static text — no interactive elements, no time limits, no focusable targets — so none of my five keyboard and accessibility criteria even come into play, and there's nothing here that would block or trip me up.</t>
  </si>
  <si>
    <t xml:space="preserve">The page looks keyboard-friendly on the surface — two properly structured buttons, clean tab order, visible focus, generous 48px target sizes — but both buttons are completely dead on keyboard activation, which means I literally cannot perform any action on this settings page without a mouse.</t>
  </si>
  <si>
    <t xml:space="preserve">[2.1.1] As Ade, I can Tab to both buttons and see them highlighted, but pressing Space or Enter does absolutely nothing. These buttons effectively don't exist for me — I cannot save my settings or cancel without a mouse. Ensure both buttons have real event handlers wired up (e.g., addEventListener('click', handler) or a form submission action). A &lt;button type='submit'&gt; inside a &lt;form&gt; with an action, or JavaScript click handlers, will make them keyboard-operable. The HTML structure is correct — the gap is the missing functional behaviour behind the buttons.</t>
  </si>
  <si>
    <t xml:space="preserve">This settings page is clean — both buttons are fully keyboard-reachable native elements with proper sizing, logical tab order, visible focus, no time limits, and no mouse-only traps, so I can navigate it confidently without a mouse.</t>
  </si>
  <si>
    <t xml:space="preserve">This page looks clean on the surface — the buttons are focusable, visible, well-sized, and in the right order — but both 'Save changes' and 'Cancel' are completely inert when activated by keyboard, which means I literally cannot perform any action on this settings page.</t>
  </si>
  <si>
    <t xml:space="preserve">[2.1.1] I can Tab to both buttons and see them highlighted, but pressing Space or Enter does absolutely nothing. These buttons are effectively broken for me — I cannot save my settings or cancel. They exist visually but are dead ends on my keyboard path. Wire real event handlers to both buttons. Add onclick (or addEventListener('click', ...)) with the actual save/cancel logic. Native &lt;button&gt; elements correctly fire on Space and Enter, but only if a handler is attached. Confirm the buttons trigger their intended actions in a keyboard-only test session.</t>
  </si>
  <si>
    <t xml:space="preserve">This toolbar looks keyboard-friendly on the surface — I can Tab to both buttons and focus is visible — but pressing Enter or Space on either one does nothing, making the Bold and Italic actions completely dead ends for me as a keyboard-only user.</t>
  </si>
  <si>
    <t xml:space="preserve">[2.1.1] As Ade, I can Tab to these buttons and see focus land on them, but pressing Enter or Space does absolutely nothing. The Bold and Italic actions are completely unreachable by keyboard — they might as well not exist. Wire up actual click/action handlers to both buttons so they respond to keyboard activation (Enter/Space). Native &lt;button&gt; elements should fire their onclick handler on Enter/Space automatically — ensure no JavaScript is suppressing the default behavior (e.g., event.preventDefault() or missing event listeners).</t>
  </si>
  <si>
    <t xml:space="preserve">This toolbar looks keyboard-accessible on the surface — I can Tab to both buttons and focus is visible — but pressing Enter or Space on either one does nothing, making the Bold and Italic actions completely dead ends for me as a keyboard-only user.</t>
  </si>
  <si>
    <t xml:space="preserve">[2.1.1] As Ade, I can Tab to these buttons and see them highlighted, but pressing Enter or Space does absolutely nothing. The Bold and Italic actions are completely unreachable by keyboard — they might as well not exist. Wire up actual click/action handlers to both buttons so they respond to keyboard activation (Enter/Space). Native &lt;button&gt; elements should respond automatically — ensure no JavaScript is suppressing the default event, and that the buttons are connected to real formatting logic (e.g., document.execCommand or a rich-text editor API).</t>
  </si>
  <si>
    <t xml:space="preserve">This toolbar looks keyboard-friendly on the surface — the buttons are focusable, well-sized, and in logical order — but pressing Enter or Space on either button does nothing, making the entire toolbar dead weight for me as a keyboard-only user.</t>
  </si>
  <si>
    <t xml:space="preserve">[2.1.1] As Ade, I can Tab to these buttons and see them highlighted, but pressing Enter or Space does absolutely nothing. The Bold and Italic actions are completely unreachable by keyboard — they might as well not exist. Wire up actual click/action handlers to both buttons so they respond to keyboard activation (Enter/Space). Native &lt;button&gt; elements should fire their onclick handler on Enter/Space automatically — ensure no JavaScript is suppressing the default event, and that the buttons are actually connected to formatting logic.</t>
  </si>
  <si>
    <t xml:space="preserve">validate_input_purpose, check_contrast_aa, check_text_spacing_reflow, detect_animations_and_motion, check_location_indicators</t>
  </si>
  <si>
    <t xml:space="preserve">The form field itself is well-built — autocomplete, contrast, and text spacing all pass — but without any breadcrumb or location indicator, I'd be completely lost trying to figure out where this billing address form sits within the site when I'm zoomed in.</t>
  </si>
  <si>
    <t xml:space="preserve">[2.4.8] When I'm zoomed in at 200–300%, I can only see a sliver of the page at a time. Without breadcrumbs or any other location indicator, I have no idea where this form sits within the site — I lose my place completely and can't navigate back to where I came from. Add a breadcrumb navigation element above the form, e.g. &lt;nav aria-label="Breadcrumb"&gt;&lt;ol&gt;&lt;li&gt;&lt;a href="/"&gt;Home&lt;/a&gt;&lt;/li&gt;&lt;li&gt;&lt;a href="/checkout"&gt;Checkout&lt;/a&gt;&lt;/li&gt;&lt;li aria-current="page"&gt;Billing Address&lt;/li&gt;&lt;/ol&gt;&lt;/nav&gt;. Also add an &lt;h1&gt; heading to reinforce page location.</t>
  </si>
  <si>
    <t xml:space="preserve">The form field itself is well-built — the autocomplete attribute is valid, contrast is fine, and text spacing reflows cleanly — but I'd be lost filling it in because there's nothing on this page to tell me where I am within the site.</t>
  </si>
  <si>
    <t xml:space="preserve">[2.4.8] When I'm zoomed in to 200–300%, I can only see a tiny slice of the page at a time. Without breadcrumbs or any other location indicator, I have no way to know where this form sits within the site — I lose my place completely. Add a breadcrumb navigation element (e.g., &lt;nav aria-label="Breadcrumb"&gt;&lt;ol&gt;&lt;li&gt;&lt;a href="/"&gt;Home&lt;/a&gt;&lt;/li&gt;&lt;li aria-current="page"&gt;Billing Address&lt;/li&gt;&lt;/ol&gt;&lt;/nav&gt;) above the form so users always know their location within the site hierarchy.</t>
  </si>
  <si>
    <t xml:space="preserve">The autocomplete, contrast, text spacing, and motion all check out fine — but without any breadcrumbs or location indicators, I'd be completely lost trying to figure out where this billing form sits within the site when I'm zoomed way in.</t>
  </si>
  <si>
    <t xml:space="preserve">[2.4.8] When I'm zoomed in at 200–300%, I can only see a small slice of the page at a time. Without breadcrumbs or any other location signal, I have no way to orient myself — I lose my place and can't tell where this form fits within the site. Add a visible breadcrumb trail (e.g., Home &gt; Checkout &gt; Billing) marked up with aria-label="breadcrumb" and aria-current="page" on the current step. An H1 heading identifying the page section would also help.</t>
  </si>
  <si>
    <t xml:space="preserve">This page fails on two counts that directly affect me: the email field's autocomplete value is invalid so my browser won't help me fill it in, and there are no breadcrumbs or location indicators to tell me where I am when I'm zoomed in.</t>
  </si>
  <si>
    <t xml:space="preserve">[1.3.5] My tremor makes typing exhausting. I was counting on autocomplete to fill in my email address, but the browser can't recognise 'work' as a valid token, so it won't offer to fill the field for me. I have to type every character by hand. Replace autocomplete="work" with a valid token from the WCAG 1.3.5 list. For an email field, use autocomplete="email". If a work-specific email is needed, use autocomplete="work email" (a valid combination of the 'work' modifier and the 'email' token, space-separated). || [2.4.8] When I'm zoomed in to 200–300%, I can only see a tiny slice of the page at a time. Without breadcrumbs or any other location indicator, I have no idea where this page sits within the site. I lose my place and have to zoom out — which makes the text too small for me to read — just to reorient myself. Add a visible breadcrumb trail (e.g., Home &gt; Account &gt; Email Settings) marked up with aria-label="breadcrumb" on a &lt;nav&gt; element and aria-current="page" on the final item. This gives me a persistent, at-a-glance location indicator even when zoomed in.</t>
  </si>
  <si>
    <t xml:space="preserve">This page fails on two counts that directly affect me: the email field's autocomplete value is invalid so my browser can't help me fill it in, and there's no breadcrumb or heading to tell me where I am when I'm zoomed deep into the page.</t>
  </si>
  <si>
    <t xml:space="preserve">[1.3.5] My browser cannot recognise 'work' as a valid autocomplete hint, so it won't pre-fill my email address for me. With my tremor, typing out my email every time is genuinely tiring — autocomplete is there to spare me exactly that effort. Replace autocomplete="work" with the correct WCAG token for an email field: autocomplete="email". If a work-specific qualifier is needed, use the valid compound value autocomplete="work email". || [2.4.8] When I'm zoomed in to 200–300%, I can only see a tiny slice of the page at a time. Without a breadcrumb trail I have no idea where this page sits within the site — I lose my place and have to scroll around trying to reorient myself, which is exhausting. Add a visible breadcrumb navigation (e.g., Home &gt; Forms &gt; Email Example) marked up with aria-label="Breadcrumb" and aria-current="page" on the current item. Also add a descriptive H1 heading to reinforce location context.</t>
  </si>
  <si>
    <t xml:space="preserve">This page fails on two counts that directly affect me: the email field's autocomplete value is invalid so my browser won't help me fill it in, and there are no breadcrumbs or headings to tell me where I am when I'm zoomed deep into the page.</t>
  </si>
  <si>
    <t xml:space="preserve">[1.3.5] My tremor makes typing exhausting. I count on autocomplete to fill in my email address for me. With an invalid autocomplete value, the browser won't offer to fill the field, so I have to type every character myself — letter by letter, fighting the shaking. Replace autocomplete="work" with the correct WCAG 1.3.5 token: autocomplete="email". If a work-specific email is needed, use autocomplete="work email" (modifier first, then the field token). || [2.4.8] When I'm zoomed in at 200–300%, I can only see a tiny slice of the page at a time. Without a breadcrumb trail or any heading, I have no idea where this form sits within the site. I can easily get lost and not know how to get back to where I was. Add a visible breadcrumb navigation (e.g., Home &gt; Account &gt; Email Settings) marked up with aria-label="breadcrumb" and aria-current="page" on the current step. Also add an &lt;h1&gt; heading to orient the user.</t>
  </si>
  <si>
    <t xml:space="preserve">This page fails on two counts: the autocomplete attribute on the address field uses an incomplete token that my browser can't act on, robbing me of the auto-fill I depend on, and there are no breadcrumbs or location indicators to help me find my bearings when I'm zoomed deep into the page.</t>
  </si>
  <si>
    <t xml:space="preserve">[1.3.5] My browser can't recognise the autocomplete hint, so it won't pre-fill my address for me. With my tremor, typing out a full street address by hand is genuinely exhausting — autocomplete is the feature that saves me from that. Replace autocomplete="shipping" with a complete, valid token such as autocomplete="shipping street-address". Consult the WCAG 1.3.5 token list and always pair a group modifier (shipping/billing) with a specific field token. || [2.4.8] When I'm zoomed in to 200–300%, I can only see a tiny slice of the page at a time. Without a breadcrumb trail I have no idea where this address form sits within the site — I lose my place and have to zoom out to reorient, which strains my eyes. Add a visible breadcrumb navigation (e.g., Home › Checkout › Shipping Address) marked up with aria-label="Breadcrumb" and aria-current="page" on the current step, so I always know where I am without having to zoom out.</t>
  </si>
  <si>
    <t xml:space="preserve">This page fails on two counts that directly affect me: the address field's autocomplete value is malformed so my browser can't help me fill it in, and there are no breadcrumbs to tell me where I am when I'm zoomed deep into the page.</t>
  </si>
  <si>
    <t xml:space="preserve">[1.3.5] My tremor makes typing exhausting. When autocomplete is broken like this, my browser can't pre-fill my address, so I have to type every character by hand — letter by letter, fighting the shaking. A correct autocomplete token would let my browser do the heavy lifting. Replace autocomplete="shipping" with a valid combined token such as autocomplete="shipping street-address" (or the appropriate sub-field token: "shipping address-line1", "shipping address-level2", etc.) to correctly identify the field's purpose. || [2.4.8] When I'm zoomed in at 300%, I can only see a tiny slice of the page at a time. Without breadcrumbs, I have no idea where this page sits within the site. A page title alone isn't enough — I need a breadcrumb trail to orient myself and navigate back without getting lost. Add a visible breadcrumb navigation element (e.g., &lt;nav aria-label="Breadcrumb"&gt;&lt;ol&gt;&lt;li&gt;&lt;a href="/"&gt;Home&lt;/a&gt;&lt;/li&gt;&lt;li aria-current="page"&gt;Current Page&lt;/li&gt;&lt;/ol&gt;&lt;/nav&gt;) so users can always see their location within the site hierarchy.</t>
  </si>
  <si>
    <t xml:space="preserve">This page fails on two counts that directly affect me: the address field's autocomplete value is malformed so my browser won't help me fill it in, and there's no breadcrumb or heading to tell me where I am when I'm zoomed deep into the page.</t>
  </si>
  <si>
    <t xml:space="preserve">[1.3.5] My browser can't recognise what kind of data this field expects, so it won't offer to fill it in automatically. With my tremor, typing out a full address by hand is genuinely exhausting — autocomplete is one of the things I rely on most. Replace autocomplete="shipping" with a complete, valid token such as autocomplete="shipping street-address", autocomplete="shipping address-line1", or whichever specific address sub-field this input collects. Consult the WCAG 1.3.5 token list for the correct combination. || [2.4.8] When I'm zoomed in to 200–300%, I can only see a tiny slice of the page at a time. Without a breadcrumb trail I have no idea where this form sits within the site — I lose my place and have to zoom out repeatedly just to orient myself, which is disorienting and tiring. Add a visible breadcrumb navigation (e.g., Home › Contact › Address) marked up with aria-label="breadcrumb" and aria-current="page" on the current step. Also add an &lt;h1&gt; heading to reinforce page identity.</t>
  </si>
  <si>
    <t xml:space="preserve">The autocomplete, contrast, and text spacing are all done right — that birthday-day field will save my trembling fingers some work — but without a breadcrumb or any meaningful location indicator, I'd be hopelessly disoriented the moment I zoom in.</t>
  </si>
  <si>
    <t xml:space="preserve">[2.4.8] When I'm zoomed in at 300%, I can only see a tiny slice of the page at a time. Without a breadcrumb trail or any other location indicator beyond the page title, I have no way to know where I am within the site — I feel completely lost and have to zoom back out repeatedly just to orient myself. Add a visible breadcrumb navigation (e.g., &lt;nav aria-label="Breadcrumb"&gt;&lt;ol&gt;&lt;li&gt;&lt;a href="/"&gt;Home&lt;/a&gt;&lt;/li&gt;&lt;li aria-current="page"&gt;Birthday Day&lt;/li&gt;&lt;/ol&gt;&lt;/nav&gt;) above the form field so users can always see their location within the site hierarchy.</t>
  </si>
  <si>
    <t xml:space="preserve">The autocomplete, contrast, and text-spacing all work well for me, but without any breadcrumb or location indicator I'm completely lost once I zoom in — I can't tell where this birthday field lives within the site.</t>
  </si>
  <si>
    <t xml:space="preserve">[2.4.8] When I'm zoomed in to 200–300%, I can only see a tiny slice of the page at a time. Without a breadcrumb trail or any clear location indicator, I have no idea where this form sits within the site — I lose my place and have to scroll around trying to orient myself, which is exhausting. Add a breadcrumb navigation element above the form, e.g. &lt;nav aria-label="Breadcrumb"&gt;&lt;ol&gt;&lt;li&gt;&lt;a href="/"&gt;Home&lt;/a&gt;&lt;/li&gt;&lt;li&gt;&lt;a href="/profile"&gt;Profile&lt;/a&gt;&lt;/li&gt;&lt;li aria-current="page"&gt;Birthday Details&lt;/li&gt;&lt;/ol&gt;&lt;/nav&gt;. Also add an &lt;h1&gt; to anchor the page context.</t>
  </si>
  <si>
    <t xml:space="preserve">This bare-bones form page passes all five criteria I care about — the birthday field has a valid autocomplete token so I don't have to type it myself, the label text has sufficient contrast, spacing overrides cause no clipping, there's no autoplay motion to make me nauseous, and the page is clearly a standalone snippet with no multi-page navigation context requiring breadcrumbs.</t>
  </si>
  <si>
    <t xml:space="preserve">This page fails on two counts that directly affect me: the form deliberately blocks my browser's autocomplete, forcing my trembling hands to type unnecessarily, and there are no breadcrumbs to help me find my place when I'm zoomed deep into the page.</t>
  </si>
  <si>
    <t xml:space="preserve">[1.3.5] This field is asking for a person's name — exactly the kind of thing my browser already knows. With autocomplete="off", my browser is blocked from filling it in for me, so I have to type it character by character. With my tremor, that's genuinely tiring and error-prone. Replace autocomplete="off" with the appropriate token — in this case autocomplete="given-name" (or "name" if collecting a full name). Since this is a friend's name rather than the user's own, consider whether autocomplete is truly needed; if so, use the correct token and do not suppress it. || [2.4.8] When I'm zoomed in to 200–300%, I can only see a tiny slice of the page at a time. Without a breadcrumb trail, I have no way to orient myself — I don't know where this form sits within the site, and I can easily get lost. Add a visible breadcrumb navigation (e.g., Home &gt; Section &gt; This Page) marked up with aria-label="breadcrumb" and aria-current="page" on the current item, so I always know where I am.</t>
  </si>
  <si>
    <t xml:space="preserve">This page fails on two counts that directly affect me: the name field has autocomplete deliberately disabled, which is tiring with my tremor, and there are no breadcrumbs to tell me where I am when I'm zoomed deep into the page.</t>
  </si>
  <si>
    <t xml:space="preserve">[1.3.5] My tremor makes typing exhausting. This field collects a name — exactly the kind of thing autocomplete should handle for me — but autocomplete has been deliberately turned off, forcing me to type every character by hand. Replace autocomplete="off" with a semantically appropriate token. Since this collects a contact's first name, use autocomplete="given-name". Only suppress autocomplete on fields where it poses a genuine security risk (e.g., one-time codes). || [2.4.8] When I'm zoomed in to 200–300%, I can only see a tiny slice of the page at a time. Without a breadcrumb trail, I have no idea where this form sits within the site — I lose my place completely. Add a visible breadcrumb navigation (e.g., Home &gt; Contacts &gt; Add Friend) marked up with aria-label="Breadcrumb" and aria-current="page" on the final item. Also add an &lt;h1&gt; to anchor the page's purpose.</t>
  </si>
  <si>
    <t xml:space="preserve">This page fails on two counts that directly affect me: the name field actively blocks autocomplete, making my tremor-affected typing even harder, and there's no breadcrumb to tell me where I am when I'm zoomed deep into the page.</t>
  </si>
  <si>
    <t xml:space="preserve">[1.3.5] With my tremor, typing is exhausting. Setting autocomplete="off" on a name field forces me to type every character by hand — there's no good reason to block the browser from helping me here. Replace autocomplete="off" with the appropriate token — autocomplete="given-name" — so the browser can prefill the field on my behalf. || [2.4.8] When I'm zoomed in at 200–300%, I can only see a tiny slice of the page at a time. Without a breadcrumb trail, I have no idea where this form sits within the site — I lose my place completely. Add a breadcrumb navigation element (e.g., &lt;nav aria-label="Breadcrumb"&gt;&lt;ol&gt;&lt;li&gt;&lt;a href="/"&gt;Home&lt;/a&gt;&lt;/li&gt;&lt;li aria-current="page"&gt;Friend's Name Form&lt;/li&gt;&lt;/ol&gt;&lt;/nav&gt;) so I can orient myself within the site hierarchy.</t>
  </si>
  <si>
    <t xml:space="preserve">This bare-bones page fails on location awareness — without breadcrumbs or any meaningful navigation landmark, I'd have no idea where I am when zoomed in, which is disorienting and frustrating for someone like me who relies on those cues to stay oriented.</t>
  </si>
  <si>
    <t xml:space="preserve">[2.4.8] When I'm zoomed in at 200–300%, I can only see a tiny slice of the page at a time. Without breadcrumbs or any other location indicator, I have no way to know where I am within the site — I feel completely lost. Add a visible breadcrumb trail (e.g., &lt;nav aria-label="Breadcrumb"&gt;&lt;ol&gt;&lt;li&gt;&lt;a href="/"&gt;Home&lt;/a&gt;&lt;/li&gt;&lt;li aria-current="page"&gt;Current Page&lt;/li&gt;&lt;/ol&gt;&lt;/nav&gt;) and an H1 heading to clearly communicate the user's location within the site.</t>
  </si>
  <si>
    <t xml:space="preserve">This page leaves me disoriented — with no breadcrumbs or meaningful location indicator beyond a page title, I lose my place the moment I zoom in, which is the one thing I rely on most to navigate a site.</t>
  </si>
  <si>
    <t xml:space="preserve">[2.4.8] When I'm zoomed in at 200–300%, I can only see a tiny slice of the page at a time. Without breadcrumbs or any other location indicator, I have no idea where I am within the site — I feel completely lost and have to zoom back out repeatedly just to get my bearings, which is exhausting. Add a visible breadcrumb trail (e.g., &lt;nav aria-label="Breadcrumb"&gt;&lt;ol&gt;&lt;li&gt;&lt;a href="/"&gt;Home&lt;/a&gt;&lt;/li&gt;&lt;li aria-current="page"&gt;Inapplicable Example 8&lt;/li&gt;&lt;/ol&gt;&lt;/nav&gt;) so users can always see their location within the site hierarchy.</t>
  </si>
  <si>
    <t xml:space="preserve">This page leaves me disoriented — with no breadcrumbs and nothing but a page title to tell me where I am, zooming in at 300% means I'm navigating blind within the site.</t>
  </si>
  <si>
    <t xml:space="preserve">[2.4.8] When I'm zoomed in at 200–300%, I can only see a tiny slice of the page at a time. Without breadcrumbs, I have no way to know where I am within the site — I feel completely lost and have to zoom out repeatedly just to get my bearings. Add a visible breadcrumb navigation element (e.g., &lt;nav aria-label="Breadcrumb"&gt;&lt;ol&gt;&lt;li&gt;&lt;a href="/"&gt;Home&lt;/a&gt;&lt;/li&gt;&lt;li aria-current="page"&gt;Inapplicable Example 8&lt;/li&gt;&lt;/ol&gt;&lt;/nav&gt;) so users can always see their location within the site hierarchy.</t>
  </si>
  <si>
    <t xml:space="preserve">This page is nearly empty and passes every criterion that applies to its content, but it fails on location — there are no breadcrumbs or meaningful navigation cues to tell me where I am when I'm zoomed in.</t>
  </si>
  <si>
    <t xml:space="preserve">[2.4.8] When I'm zoomed in at 200–300%, I can only see a tiny slice of the page at a time. Without breadcrumbs or any clear location indicator, I have no way of knowing where I am within the site — I feel completely lost. Add a visible breadcrumb trail (e.g., &lt;nav aria-label="Breadcrumb"&gt;&lt;ol&gt;&lt;li&gt;&lt;a href="/"&gt;Home&lt;/a&gt;&lt;/li&gt;&lt;li aria-current="page"&gt;Current Page&lt;/li&gt;&lt;/ol&gt;&lt;/nav&gt;) and an H1 heading to clearly communicate the user's location within the site.</t>
  </si>
  <si>
    <t xml:space="preserve">This page is nearly empty — no text, no forms, no motion — but it still fails because there's no breadcrumb or location indicator to tell me where I am when I'm zoomed in and navigating the site.</t>
  </si>
  <si>
    <t xml:space="preserve">[2.4.8] When I'm zoomed in at 200–300%, I can only see a tiny slice of the page at a time. Without a breadcrumb trail or any clear location indicator, I have no idea where I am within the site — I feel completely lost. Add a visible breadcrumb navigation (e.g., &lt;nav aria-label="Breadcrumb"&gt;&lt;ol&gt;&lt;li&gt;&lt;a href="/"&gt;Home&lt;/a&gt;&lt;/li&gt;&lt;li aria-current="page"&gt;Current Page&lt;/li&gt;&lt;/ol&gt;&lt;/nav&gt;) and an H1 heading to clearly orient users within the site structure.</t>
  </si>
  <si>
    <t xml:space="preserve">This page is essentially empty — no text, no forms, no motion — so most criteria don't apply, but it still fails me on 2.4.8 because there's no breadcrumb or location indicator to tell me where I am when I'm zoomed deep into the site.</t>
  </si>
  <si>
    <t xml:space="preserve">[2.4.8] When I'm zoomed in at 200–300%, I can only see a tiny slice of the page at a time. Without breadcrumbs or any other location indicator, I have no way to know where I am within the site — I feel completely lost. Add a visible breadcrumb trail (e.g., &lt;nav aria-label="Breadcrumb"&gt;&lt;ol&gt;&lt;li&gt;&lt;a href="/"&gt;Home&lt;/a&gt;&lt;/li&gt;&lt;li aria-current="page"&gt;Inapplicable Example 2&lt;/li&gt;&lt;/ol&gt;&lt;/nav&gt;) so users can orient themselves within the site hierarchy.</t>
  </si>
  <si>
    <t xml:space="preserve">This simple single-paragraph page passes all applicable criteria — the text has strong contrast, spacing overrides cause no clipping (the !important line-height even exceeds the required threshold), there are no forms, no motion, and no navigation context that would require breadcrumbs.</t>
  </si>
  <si>
    <t xml:space="preserve">This simple single-paragraph page passes all five criteria that matter to me — the text has strong contrast I can read when zoomed, the line-height override (set with !important at 2em) already exceeds the spacing threshold so nothing clips when I increase text spacing, there's no autoplay motion to make me nauseous, no form fields to struggle with, and the page is clearly standalone with no navigation structure where breadcrumbs would be needed.</t>
  </si>
  <si>
    <t xml:space="preserve">This simple single-paragraph page passes all applicable criteria — the text has strong contrast, the author's own !important line-height already exceeds the 1.5× spacing threshold so nothing clips, there are no forms, no motion, and no navigation structure that would require breadcrumbs.</t>
  </si>
  <si>
    <t xml:space="preserve">This simple, standalone page passes all five criteria that matter to me — the text is readable, spacing reflows cleanly, there's no autoplay to upset me, no forms to struggle with, and the page clearly isn't part of a larger site that would need breadcrumbs.</t>
  </si>
  <si>
    <t xml:space="preserve">The page's text spacing, contrast, autocomplete, and motion all check out fine, but without a breadcrumb or any meaningful location indicator, I'd be completely lost the moment I zoom in.</t>
  </si>
  <si>
    <t xml:space="preserve">[2.4.8] When I'm zoomed in at 200–300%, I can only see a tiny slice of the page at a time. Without a breadcrumb trail or any other location indicator, I have no way to know where this page sits within the site. I lose my place and have to zoom back out — which strains my eyes — just to reorient myself. Add a visible breadcrumb navigation (e.g., &lt;nav aria-label="Breadcrumb"&gt;&lt;ol&gt;&lt;li&gt;&lt;a href="/"&gt;Home&lt;/a&gt;&lt;/li&gt;&lt;li aria-current="page"&gt;Inapplicable Example 10&lt;/li&gt;&lt;/ol&gt;&lt;/nav&gt;) and an &lt;h1&gt; heading so my location is clear both visually and programmatically.</t>
  </si>
  <si>
    <t xml:space="preserve">This bare single-paragraph page passes all five criteria that matter to me — the text has sufficient contrast, spacing overrides don't clip anything, there's no autoplay to make me nauseous, no form fields to worry about, and with no site navigation present the page is clearly standalone so the absence of breadcrumbs isn't a concern.</t>
  </si>
  <si>
    <t xml:space="preserve">This simple single-paragraph page passes all five criteria I care about — contrast is solid, text spacing reflows cleanly without clipping, there are no autoplay videos to make me nauseous, no form fields to worry about, and the page is standalone so breadcrumbs aren't needed.</t>
  </si>
  <si>
    <t xml:space="preserve">This page fails because it gives me no breadcrumbs or meaningful location cues — just a bare page title — which leaves me completely disoriented when I'm zoomed in and can only see a fraction of the screen at once.</t>
  </si>
  <si>
    <t xml:space="preserve">[2.4.8] When I'm zoomed in at 200–300%, I can only see a small slice of the page at a time. Without breadcrumbs or any clear location indicator beyond a vague page title, I have no way to orient myself — I lose my place and can't tell where I am within the site. Add a visible breadcrumb trail (e.g., Home &gt; Category &gt; Current Page) marked up with aria-label="breadcrumb" and aria-current="page" on the current item. Also add a descriptive &lt;h1&gt; heading to reinforce location context.</t>
  </si>
  <si>
    <t xml:space="preserve">This page fails because there's no breadcrumb or location indicator to tell me where I am — when I'm zoomed in and can only see a fraction of the screen, that missing trail leaves me completely disoriented.</t>
  </si>
  <si>
    <t xml:space="preserve">[2.4.8] When I'm zoomed in at 300%, I can only see a tiny slice of the page at a time. Without a breadcrumb trail or any heading to anchor me, I have no idea where this page sits within the site — I feel completely lost. Add a visible breadcrumb navigation (e.g., &lt;nav aria-label="Breadcrumb"&gt;&lt;ol&gt;&lt;li&gt;&lt;a href="/"&gt;Home&lt;/a&gt;&lt;/li&gt;&lt;li aria-current="page"&gt;Current Page&lt;/li&gt;&lt;/ol&gt;&lt;/nav&gt;) and at minimum an &lt;h1&gt; heading to orient the user.</t>
  </si>
  <si>
    <t xml:space="preserve">This page is clean in most respects — good contrast, no clipping, no autoplay — but without any breadcrumbs or location indicators, I lose my bearings the moment I zoom in and can only see a fragment of the screen.</t>
  </si>
  <si>
    <t xml:space="preserve">[2.4.8] When I'm zoomed in at 200–300%, I can only see a tiny slice of the page at a time. Without breadcrumbs or any other location indicator, I have no idea where I am within the site — I feel completely lost and have to zoom back out repeatedly just to orient myself, which is exhausting. Add a visible breadcrumb trail (e.g., &lt;nav aria-label="Breadcrumb"&gt;&lt;ol&gt;&lt;li&gt;&lt;a href="/"&gt;Home&lt;/a&gt;&lt;/li&gt;&lt;li aria-current="page"&gt;Passed Example 5&lt;/li&gt;&lt;/ol&gt;&lt;/nav&gt;) so users can always see their location within the site hierarchy.</t>
  </si>
  <si>
    <t xml:space="preserve">This page fails because it gives me no breadcrumbs or heading to anchor myself — when I'm zoomed way in and can only see a fragment of the screen, a lone page title just isn't enough to tell me where I am.</t>
  </si>
  <si>
    <t xml:space="preserve">[2.4.8] When I'm zoomed in at 200–300%, I can only see a tiny slice of the page at a time. Without breadcrumbs or any other location indicator beyond the page title, I have no reliable way to know where I am within the site — I feel completely lost. Add a visible breadcrumb trail (e.g., &lt;nav aria-label="Breadcrumb"&gt;&lt;ol&gt;&lt;li&gt;&lt;a href="/"&gt;Home&lt;/a&gt;&lt;/li&gt;&lt;li aria-current="page"&gt;Current Page&lt;/li&gt;&lt;/ol&gt;&lt;/nav&gt;) and at minimum an &lt;h1&gt; heading to orient users within the page and site hierarchy.</t>
  </si>
  <si>
    <t xml:space="preserve">This page is clean in most respects — no contrast problems, no clipping, no autoplay, no form fields — but the complete absence of breadcrumbs or any meaningful location indicator means I'd be hopelessly disoriented the moment I zoom in and lose sight of the broader page context.</t>
  </si>
  <si>
    <t xml:space="preserve">[2.4.8] When I'm zoomed in at 200–300%, I can only see a sliver of the page at a time. Without breadcrumbs or any clear location indicator beyond a vague page title, I have no way to know where I am within the site — I feel completely lost. Add a visible breadcrumb trail (e.g., &lt;nav aria-label='Breadcrumb'&gt;&lt;ol&gt;&lt;li&gt;&lt;a href='/'&gt;Home&lt;/a&gt;&lt;/li&gt;&lt;li aria-current='page'&gt;Passed Example 5&lt;/li&gt;&lt;/ol&gt;&lt;/nav&gt;) so users can orient themselves within the site hierarchy.</t>
  </si>
  <si>
    <t xml:space="preserve">This page fails because it gives me no breadcrumbs or meaningful location signal beyond a page title, which leaves me completely disoriented when I'm zoomed in and can only see a fraction of the screen at a time.</t>
  </si>
  <si>
    <t xml:space="preserve">[2.4.8] When I'm zoomed in at 200–300%, I can only see a small slice of the page at a time. Without breadcrumbs or any other location indicator, I have no way to know where this page sits within the site — I lose my place completely. Add a breadcrumb navigation element (e.g., &lt;nav aria-label="Breadcrumb"&gt;&lt;ol&gt;&lt;li&gt;&lt;a href="/"&gt;Home&lt;/a&gt;&lt;/li&gt;&lt;li aria-current="page"&gt;Failed Example 1&lt;/li&gt;&lt;/ol&gt;&lt;/nav&gt;) above the main content so users always know their location within the site hierarchy.</t>
  </si>
  <si>
    <t xml:space="preserve">This page fails because it gives me no breadcrumb or location indicator to anchor myself when I'm zoomed in — everything else, the contrast, text spacing, motion, and form fields, is either fine or not applicable.</t>
  </si>
  <si>
    <t xml:space="preserve">[2.4.8] When I'm zoomed in at 200–300%, I can only see a small slice of the page at a time. Without breadcrumbs or any other location indicator, I have no way to know where I am within the site — I feel completely lost. Add a breadcrumb navigation element (e.g., &lt;nav aria-label="Breadcrumb"&gt;&lt;ol&gt;&lt;li&gt;&lt;a href="/"&gt;Home&lt;/a&gt;&lt;/li&gt;&lt;li aria-current="page"&gt;Failed Example 1&lt;/li&gt;&lt;/ol&gt;&lt;/nav&gt;) so users can always orient themselves within the site hierarchy.</t>
  </si>
  <si>
    <t xml:space="preserve">This simple page passes all five criteria that matter to me — the text has good contrast, spacing adjustments don't clip anything, there's no autoplay to make me nauseous, no form fields to struggle with, and while the tool flagged a location issue, the page has no navigation links at all, making it effectively a standalone page where breadcrumbs simply don't apply.</t>
  </si>
  <si>
    <t xml:space="preserve">The text contrast and spacing are fine — I can read the paragraph comfortably — but without any breadcrumbs or location indicator, I'd be completely lost the moment I zoom in and lose sight of the broader page context.</t>
  </si>
  <si>
    <t xml:space="preserve">[2.4.8] When I'm zoomed in to 200–300%, I can only see a small slice of the page at a time. Without breadcrumbs, I have no way to know where I am within the site — I lose my place and have to zoom back out to get my bearings, which is exhausting. Add a visible breadcrumb navigation element (e.g., &lt;nav aria-label="Breadcrumb"&gt;&lt;ol&gt;&lt;li&gt;&lt;a href="/"&gt;Home&lt;/a&gt;&lt;/li&gt;&lt;li aria-current="page"&gt;Passed Example 5&lt;/li&gt;&lt;/ol&gt;&lt;/nav&gt;) so users can always see their location within the site hierarchy.</t>
  </si>
  <si>
    <t xml:space="preserve">The text contrast and spacing are fine, and there's nothing flashing or autoplaying to upset me, but the complete absence of breadcrumbs or any location indicator means I'd be hopelessly disoriented the moment I zoom in and lose sight of the broader page structure.</t>
  </si>
  <si>
    <t xml:space="preserve">[2.4.8] When I'm zoomed in at 200–300%, I can only see a small slice of the page at a time. Without breadcrumbs or any other location indicator, I have no way to know where I am within the site — I feel completely lost. Add a breadcrumb navigation element (e.g., &lt;nav aria-label="Breadcrumb"&gt;&lt;ol&gt;&lt;li&gt;&lt;a href="/"&gt;Home&lt;/a&gt;&lt;/li&gt;&lt;li aria-current="page"&gt;Passed Example 5&lt;/li&gt;&lt;/ol&gt;&lt;/nav&gt;) above the main content so I can always orient myself.</t>
  </si>
  <si>
    <t xml:space="preserve">The page's text contrast and spacing hold up fine for me, and there's no autoplay or form clutter — but without any breadcrumbs or heading to anchor me, I'd be completely disoriented the moment I zoom in.</t>
  </si>
  <si>
    <t xml:space="preserve">[2.4.8] When I'm zoomed in at 200–300%, I can only see a tiny slice of the page at a time. Without breadcrumbs or any other location indicator, I have no idea where I am within the site — I feel completely lost. Add a breadcrumb navigation element (e.g., &lt;nav aria-label="Breadcrumb"&gt;&lt;ol&gt;&lt;li&gt;&lt;a href="/"&gt;Home&lt;/a&gt;&lt;/li&gt;&lt;li aria-current="page"&gt;Passed Example 5&lt;/li&gt;&lt;/ol&gt;&lt;/nav&gt;) and an &lt;h1&gt; heading to clearly signal the user's location within the site.</t>
  </si>
  <si>
    <t xml:space="preserve">This page is nearly bare — no forms, no animations, good contrast, and text spacing holds up fine — but the complete absence of breadcrumbs or any location indicator means I'd have no idea where I am on the site when zoomed in.</t>
  </si>
  <si>
    <t xml:space="preserve">[2.4.8] When I'm zoomed in at 200–300%, I can only see a tiny slice of the page at a time. Without breadcrumbs or any other location indicator, I have no idea where I am within the site — I feel completely lost. Add a breadcrumb navigation element (e.g., &lt;nav aria-label="Breadcrumb"&gt;&lt;ol&gt;&lt;li&gt;&lt;a href="/"&gt;Home&lt;/a&gt;&lt;/li&gt;&lt;li aria-current="page"&gt;Passed Example 10&lt;/li&gt;&lt;/ol&gt;&lt;/nav&gt;) so users can orient themselves within the site hierarchy.</t>
  </si>
  <si>
    <t xml:space="preserve">This page is nearly bare — contrast, text spacing, motion, and autocomplete all pass or are inapplicable — but the complete absence of breadcrumbs or any meaningful location indicator means I'd be hopelessly lost the moment I zoom in.</t>
  </si>
  <si>
    <t xml:space="preserve">[2.4.8] When I'm zoomed in at 200–300%, I can only see a tiny slice of the page at a time. Without breadcrumbs or any other location signal, I have no idea where I am within the site. I lose my place and have to zoom back out to get my bearings, which is exhausting. Add a breadcrumb navigation element (e.g., &lt;nav aria-label="Breadcrumb"&gt;&lt;ol&gt;&lt;li&gt;&lt;a href="/"&gt;Home&lt;/a&gt;&lt;/li&gt;&lt;li aria-current="page"&gt;Passed Example 10&lt;/li&gt;&lt;/ol&gt;&lt;/nav&gt;) so users can always tell where they are within the site hierarchy.</t>
  </si>
  <si>
    <t xml:space="preserve">This page is nearly bare — contrast, spacing, and motion are all fine — but the complete absence of breadcrumbs or any location indicator means I have no way to know where I am when I'm zoomed in, which is disorienting and frustrating for me.</t>
  </si>
  <si>
    <t xml:space="preserve">[2.4.8] When I'm zoomed in at 200–300%, I can only see a tiny slice of the page at a time. Without breadcrumbs or any other location indicator, I have no idea where I am within the site — I feel completely lost. Add a breadcrumb navigation element (e.g., &lt;nav aria-label="Breadcrumb"&gt;&lt;ol&gt;&lt;li&gt;&lt;a href="/"&gt;Home&lt;/a&gt;&lt;/li&gt;&lt;li aria-current="page"&gt;Current Page&lt;/li&gt;&lt;/ol&gt;&lt;/nav&gt;) so I can orient myself within the site hierarchy.</t>
  </si>
  <si>
    <t xml:space="preserve">This page fails on two fronts that hit me hardest: the button text is too pale for me to read when zoomed in, and there are no breadcrumbs to help me find my place on the site.</t>
  </si>
  <si>
    <t xml:space="preserve">[1.4.3] When I zoom in to 200–300%, that grey-on-grey button text becomes a blur. I simply cannot read it — I'd have no idea there's even a button there. Darken the foreground text color to achieve at least 4.5:1 contrast against #EEE. For example, changing #777 to #595959 or darker would meet the threshold. || [2.4.8] When I'm zoomed in and can only see a sliver of the page at a time, breadcrumbs are how I keep my bearings. Without them, I lose track of where I am in the site and have to zoom back out to reorient — which is exhausting. Add a visible breadcrumb navigation (e.g., &lt;nav aria-label='Breadcrumb'&gt;&lt;ol&gt;&lt;li&gt;&lt;a href='/'&gt;Home&lt;/a&gt;&lt;/li&gt;&lt;li aria-current='page'&gt;Current Page&lt;/li&gt;&lt;/ol&gt;&lt;/nav&gt;) so users always know their location within the site.</t>
  </si>
  <si>
    <t xml:space="preserve">This page fails on two fronts that hit me hard: the button text is too pale for me to read when zoomed in, and there's no breadcrumb to tell me where I am on the site.</t>
  </si>
  <si>
    <t xml:space="preserve">[1.4.3] At 200–300% zoom I'm already straining to make out shapes on screen. That grey-on-light-grey button text simply disappears for me — I cannot read it, and I cannot tell it's even a button. Darken the foreground colour to at least #595959 on #EEEEEE (which yields ≥4.5:1), or lighten the background sufficiently to meet the AA threshold. || [2.4.8] When I'm zoomed in to 300% I can only see a tiny slice of the page at a time. Without a breadcrumb I have no idea where this page sits in the site — I feel completely lost. Add a visible breadcrumb navigation (e.g. Home › Section › Current Page) marked up with aria-label="Breadcrumb" and aria-current="page" on the final item.</t>
  </si>
  <si>
    <t xml:space="preserve">This page fails on two fronts that hit me hard: the button text is too pale for me to read when zoomed in, and there's nothing — no breadcrumb, no heading — to tell me where I am on the site.</t>
  </si>
  <si>
    <t xml:space="preserve">[1.4.3] When I zoom in to 200–300%, pale grey text on a light grey background becomes even harder to distinguish. I simply cannot read 'My button!' — I might not even know there's a button there at all. Darken the foreground text colour to at least #767676 on #FFFFFF, or better yet use a colour like #595959 on #EEE to comfortably exceed the 4.5:1 threshold. A quick fix here would be changing color: #777 to color: #595959. || [2.4.8] When I'm zoomed in, I can only see a tiny slice of the page at a time. Without breadcrumbs or any other location signal, I have no idea where this button sits within the site — I feel completely lost. Add a breadcrumb trail (e.g., &lt;nav aria-label='Breadcrumb'&gt;&lt;ol&gt;&lt;li&gt;&lt;a href='/'&gt;Home&lt;/a&gt;&lt;/li&gt;&lt;li aria-current='page'&gt;Current Page&lt;/li&gt;&lt;/ol&gt;&lt;/nav&gt;) and an &lt;h1&gt; heading to clearly orient the user within the site structure.</t>
  </si>
  <si>
    <t xml:space="preserve">This page is essentially a bare image with no text, no forms, and no motion — so most of my usual concerns don't apply — but it still fails because there's no breadcrumb or location indicator to tell me where I am when I'm zoomed deep into the page.</t>
  </si>
  <si>
    <t xml:space="preserve">[2.4.8] When I'm zoomed in at 200–300%, I can only see a tiny slice of the page at a time. Without a breadcrumb trail, I have no way to orient myself — I lose my place and can't tell where this page sits within the site. Add a visible breadcrumb navigation (e.g., &lt;nav aria-label="Breadcrumb"&gt;&lt;ol&gt;&lt;li&gt;&lt;a href="/"&gt;Home&lt;/a&gt;&lt;/li&gt;&lt;li aria-current="page"&gt;Inapplicable Example 5&lt;/li&gt;&lt;/ol&gt;&lt;/nav&gt;) so users can always see their location within the site hierarchy.</t>
  </si>
  <si>
    <t xml:space="preserve">This page is essentially just an image with no text, no forms, no animation, and no navigation — nearly everything is inapplicable — but it still fails because there's no breadcrumb or location indicator to tell me where I am when I'm zoomed in and can only see a small portion of the screen at a time.</t>
  </si>
  <si>
    <t xml:space="preserve">[2.4.8] When I'm zoomed in at 200–300%, I can only see a tiny slice of the page at a time. Without breadcrumbs or any other location indicator, I have no way of knowing where I am within the site. I lose my place completely. Add a visible breadcrumb trail (e.g., using a &lt;nav aria-label='Breadcrumb'&gt; with an ordered list) that reflects the page's position in the site hierarchy. Also consider adding an &lt;h1&gt; heading to reinforce location context.</t>
  </si>
  <si>
    <t xml:space="preserve">This page is essentially a bare image with no text, no forms, and no motion — all of which is fine by me — but the complete absence of breadcrumbs or any meaningful location indicator means I'd have no idea where I am within the site when zoomed in, which is genuinely disorienting.</t>
  </si>
  <si>
    <t xml:space="preserve">[2.4.8] When I'm zoomed in at 200–300%, I can only see a tiny slice of the page at a time. Without breadcrumbs or any other location indicator, I have no idea where this page sits within the site — I feel completely lost. Add a breadcrumb navigation element (e.g., &lt;nav aria-label="Breadcrumb"&gt;&lt;ol&gt;&lt;li&gt;&lt;a href="/"&gt;Home&lt;/a&gt;&lt;/li&gt;&lt;li aria-current="page"&gt;Inapplicable Example 5&lt;/li&gt;&lt;/ol&gt;&lt;/nav&gt;) and an &lt;h1&gt; heading to clearly signal the user's location within the site.</t>
  </si>
  <si>
    <t xml:space="preserve">This page is essentially empty — a single hidden paragraph with no visible text, no forms, no navigation, and no motion — so none of my five accessibility criteria apply in any meaningful way, and there is nothing here that would cause me difficulty.</t>
  </si>
  <si>
    <t xml:space="preserve">This page is essentially empty — there's nothing visible for me to read, no forms to fill out, no motion to disturb me, and no site navigation to get lost in, so none of my accessibility concerns apply here.</t>
  </si>
  <si>
    <t xml:space="preserve">This page is essentially empty — there's nothing visible for me to read, no forms to fill in, no motion to disturb me, and no site structure to get lost in, so none of my five accessibility criteria apply here.</t>
  </si>
  <si>
    <t xml:space="preserve">check_contrast_aa, validate_input_purpose, check_text_spacing_reflow, detect_animations_and_motion, check_location_indicators</t>
  </si>
  <si>
    <t xml:space="preserve">This page fails on two fronts that hit me hard: the grey text is too faint for me to read when zoomed in, and there are no breadcrumbs to tell me where I am on the site.</t>
  </si>
  <si>
    <t xml:space="preserve">[1.4.3] At 200–300% zoom I'm already straining to focus on a small slice of the screen. That grey-on-grey text becomes a blurry smear — I simply cannot read it. Darken the foreground to at least #595959 on #EEE (achieves ≥4.5:1), or lighten the background to white and use #767676 or darker for the text. || [2.4.8] When I'm zoomed in to 300% I can only see a fragment of the page at a time. Without a breadcrumb trail I have no idea where this page sits in the site — I feel completely lost. Add a visible breadcrumb navigation (e.g., Home &gt; Typography &gt; Failed Example 8) marked up with aria-label='breadcrumb' and aria-current='page' on the last item.</t>
  </si>
  <si>
    <t xml:space="preserve">This page fails on two fronts that hit me directly: the grey text is too pale for me to read when zoomed in, and there are no breadcrumbs to tell me where I am within the site.</t>
  </si>
  <si>
    <t xml:space="preserve">[1.4.3] At 200–300% zoom I'm already straining to make out text. That grey-on-grey combination is simply too pale for me to read — I cannot distinguish the letterforms reliably, and no amount of zooming compensates for insufficient contrast. Darken the foreground colour to at least #595959 on #EEE (which yields ≥4.5:1), or lighten the background to white (#FFF) and use #767676 or darker for the text. || [2.4.8] When I'm zoomed in to 200–300% I can only see a small slice of the page at a time. Without a breadcrumb trail I have no idea where this page sits within the site, and I lose my place every time I scroll. Add a visible breadcrumb navigation (e.g. Home › Typography › Failed Example 8) marked up with aria-label='Breadcrumb' and aria-current='page' on the final item, so I always know where I am.</t>
  </si>
  <si>
    <t xml:space="preserve">This page fails on two fronts that hit me hard: the grey-on-grey text is too pale for me to read when zoomed in, and there are no breadcrumbs to tell me where I am on the site.</t>
  </si>
  <si>
    <t xml:space="preserve">[1.4.3] At 200–300% zoom I'm already straining to read, and that washed-out grey-on-grey text simply disappears on me. I cannot read it. Darken the foreground color from #777 to at least #595959 on an #EEE background to achieve the required 4.5:1 ratio, or lighten the background to white (#FFF) and use #767676 or darker. || [2.4.8] When I'm zoomed in to 300% I can only see a sliver of the page at a time. Without breadcrumbs or any other location indicator, I have no idea where this page sits within the site — I feel completely lost. Add a breadcrumb navigation element (e.g., &lt;nav aria-label='Breadcrumb'&gt;&lt;ol&gt;&lt;li&gt;&lt;a href='/'&gt;Home&lt;/a&gt;&lt;/li&gt;&lt;li aria-current='page'&gt;Current Page&lt;/li&gt;&lt;/ol&gt;&lt;/nav&gt;) so I can always orient myself.</t>
  </si>
  <si>
    <t xml:space="preserve">This page fails on location awareness — there are no breadcrumbs to help me find my place when I'm zoomed in, and everything else (contrast, text spacing, autocomplete, and motion) is either passing or not applicable to this minimal page.</t>
  </si>
  <si>
    <t xml:space="preserve">[2.4.8] When I'm zoomed in at 200–300%, I can only see a tiny slice of the page at a time. Without breadcrumbs or any other clear location indicator, I have no way to know where I am within the site. A page title alone isn't enough — I need a breadcrumb trail I can follow to reorient myself. Add a visible breadcrumb navigation element (e.g., &lt;nav aria-label="Breadcrumb"&gt;&lt;ol&gt;&lt;li&gt;&lt;a href="/"&gt;Home&lt;/a&gt;&lt;/li&gt;&lt;li aria-current="page"&gt;Inapplicable Example 5&lt;/li&gt;&lt;/ol&gt;&lt;/nav&gt;) so users can always see their location within the site hierarchy.</t>
  </si>
  <si>
    <t xml:space="preserve">This page fails on location awareness — with no breadcrumbs and no heading to anchor me, zooming in at 300% leaves me with no idea where I am in the site, which is genuinely disorienting for someone like me who can only see a small portion of the screen at once.</t>
  </si>
  <si>
    <t xml:space="preserve">[2.4.8] When I'm zoomed in at 200–300%, I can only see a tiny slice of the page at a time. Without a breadcrumb trail or any other location indicator beyond the page title, I have no reliable way to know where I am within the site — I feel completely lost. Add a visible breadcrumb navigation (e.g., &lt;nav aria-label="Breadcrumb"&gt;&lt;ol&gt;&lt;li&gt;&lt;a href="/"&gt;Home&lt;/a&gt;&lt;/li&gt;&lt;li aria-current="page"&gt;Inapplicable Example 5&lt;/li&gt;&lt;/ol&gt;&lt;/nav&gt;) so users can orient themselves within the site hierarchy.</t>
  </si>
  <si>
    <t xml:space="preserve">This bare-bones page — just a single counter span and an external script — raises no accessibility concerns for me: contrast is fine, there's nothing to reflow, no autoplay to make me nauseous, no form fields to fill in, and as a standalone test fixture with no navigation structure, breadcrumbs simply don't apply here.</t>
  </si>
  <si>
    <t xml:space="preserve">The page handles contrast, text spacing, motion, and autocomplete just fine, but the missing breadcrumb and heading leave me completely disoriented when I'm zoomed in and can only see a small portion of the screen at a time.</t>
  </si>
  <si>
    <t xml:space="preserve">[2.4.8] When I'm zoomed in at 200–300%, I can only see a tiny slice of the page at a time. Without breadcrumbs or any other location indicator, I have no way of knowing where this page sits within the site. I lose my place and have to zoom back out — which strains my eyes — just to get my bearings. Add a visible breadcrumb trail (e.g., &lt;nav aria-label="Breadcrumb"&gt;&lt;ol&gt;&lt;li&gt;&lt;a href="/"&gt;Home&lt;/a&gt;&lt;/li&gt;&lt;li aria-current="page"&gt;Passed Example 2&lt;/li&gt;&lt;/ol&gt;&lt;/nav&gt;) and an &lt;h1&gt; heading so my location is clear at any zoom level.</t>
  </si>
  <si>
    <t xml:space="preserve">The page handles contrast, text spacing, motion, and autocomplete just fine, but without any breadcrumbs or meaningful location indicator, I'm left disoriented the moment I zoom in — I simply can't tell where I am within the site.</t>
  </si>
  <si>
    <t xml:space="preserve">[2.4.8] When I'm zoomed in at 200–300%, I can only see a tiny slice of the page at a time. Without breadcrumbs or any other location indicator beyond a bare page title, I have no way to know where I am within the site. I lose my place and have to scroll around trying to orient myself, which is exhausting. Add a breadcrumb navigation element (e.g., &lt;nav aria-label='Breadcrumb'&gt;&lt;ol&gt;&lt;li&gt;&lt;a href='/'&gt;Home&lt;/a&gt;&lt;/li&gt;&lt;li aria-current='page'&gt;Passed Example 2&lt;/li&gt;&lt;/ol&gt;&lt;/nav&gt;) above the main content, and add an &lt;h1&gt; heading to reinforce page identity.</t>
  </si>
  <si>
    <t xml:space="preserve">The page handles contrast, text spacing, motion, and autocomplete just fine, but the missing breadcrumb trail means I can't tell where I am when I'm zoomed in — and that's a real problem for me every time I navigate.</t>
  </si>
  <si>
    <t xml:space="preserve">[2.4.8] When I'm zoomed in at 200–300%, I can only see a tiny slice of the page at a time. Without breadcrumbs or any other location indicator beyond the page title, I have no reliable way to know where I am within the site. I lose my place and have to zoom out — which strains my eyes — just to reorient myself. Add a breadcrumb navigation element (e.g., &lt;nav aria-label="Breadcrumb"&gt;&lt;ol&gt;&lt;li&gt;&lt;a href="/"&gt;Home&lt;/a&gt;&lt;/li&gt;&lt;li aria-current="page"&gt;Passed Example 2&lt;/li&gt;&lt;/ol&gt;&lt;/nav&gt;) and an H1 heading to clearly identify the page's location within the site hierarchy.</t>
  </si>
  <si>
    <t xml:space="preserve">The page handles contrast, text spacing, motion, and autocomplete just fine, but without any breadcrumbs or meaningful location indicators, I'm completely lost when I'm zoomed in and can only see a small portion of the screen at a time.</t>
  </si>
  <si>
    <t xml:space="preserve">[2.4.8] When I'm zoomed in at 200–300%, I can only see a tiny slice of the page at a time. Without breadcrumbs or any other location indicator, I have no idea where I am within the site. A page title of 'Passed Example 3' tells me almost nothing about my position in the overall structure. Add a breadcrumb navigation element (e.g., &lt;nav aria-label="Breadcrumb"&gt;&lt;ol&gt;&lt;li&gt;&lt;a href="/"&gt;Home&lt;/a&gt;&lt;/li&gt;&lt;li&gt;&lt;a href="/examples/"&gt;Examples&lt;/a&gt;&lt;/li&gt;&lt;li aria-current="page"&gt;Passed Example 3&lt;/li&gt;&lt;/ol&gt;&lt;/nav&gt;) above the main content, and add an &lt;h1&gt; heading to clearly identify the page.</t>
  </si>
  <si>
    <t xml:space="preserve">This page handles contrast, text spacing, and autocomplete well, but the missing breadcrumb is a real problem for me — zoomed in at 250%, a page title alone isn't enough to tell me where I am, and I'll quickly lose my bearings.</t>
  </si>
  <si>
    <t xml:space="preserve">[2.4.8] When I'm zoomed in at 250%, I can only see a small slice of the page at a time. Without breadcrumbs or any clear location indicator, I have no idea where I am within the site. I lose my place and have to zoom back out — which strains my eyes — just to reorient myself. Add a semantic breadcrumb trail using a &lt;nav aria-label='Breadcrumb'&gt; element with an ordered list of links reflecting the page's position in the site hierarchy. Also add an &lt;h1&gt; heading to reinforce page identity.</t>
  </si>
  <si>
    <t xml:space="preserve">The page handles motion, contrast, text spacing, and autocomplete well, but without breadcrumbs or any meaningful location indicator beyond the page title, I lose my place entirely when zoomed in — that's a serious barrier for me every time I visit.</t>
  </si>
  <si>
    <t xml:space="preserve">[2.4.8] When I'm zoomed in at 300%, I can only see a tiny slice of the page at a time. Without a breadcrumb trail or any heading to orient me, I have no idea where this page sits within the site — I feel completely lost and have to zoom back out repeatedly just to get my bearings, which is exhausting. Add a visible breadcrumb navigation (e.g., &lt;nav aria-label='Breadcrumb'&gt;&lt;ol&gt;&lt;li&gt;&lt;a href='/'&gt;Home&lt;/a&gt;&lt;/li&gt;&lt;li aria-current='page'&gt;Passed Example 3&lt;/li&gt;&lt;/ol&gt;&lt;/nav&gt;) and at minimum an &lt;h1&gt; heading to anchor the page's identity.</t>
  </si>
  <si>
    <t xml:space="preserve">This page is essentially a bare shell — just a logo image and a hidden paragraph — so none of my five accessibility concerns apply, and there is nothing here that would trouble me as someone who relies on zoom, contrast, and breadcrumbs.</t>
  </si>
  <si>
    <t xml:space="preserve">This page is nearly empty — no forms, no visible text, no motion — but it fails on the one thing I rely on most when zoomed in: there are no breadcrumbs or meaningful location indicators to tell me where I am within the site.</t>
  </si>
  <si>
    <t xml:space="preserve">[2.4.8] When I'm zoomed in at 200–300%, I can only see a tiny slice of the page at a time. Without breadcrumbs or any other location indicator, I have no way of knowing where I am within the site — I feel completely lost. Add a breadcrumb navigation element (e.g., &lt;nav aria-label='Breadcrumb'&gt;&lt;ol&gt;&lt;li&gt;&lt;a href='/'&gt;Home&lt;/a&gt;&lt;/li&gt;&lt;li aria-current='page'&gt;Inapplicable Example 1&lt;/li&gt;&lt;/ol&gt;&lt;/nav&gt;) so users can orient themselves within the site hierarchy.</t>
  </si>
  <si>
    <t xml:space="preserve">This page fails on location indicators — with no breadcrumbs, no heading, and no active navigation marker, I'd have no way to know where I am when zoomed in, which is disorienting and exhausting for me.</t>
  </si>
  <si>
    <t xml:space="preserve">[2.4.8] When I'm zoomed in at 200–300%, I can only see a small slice of the page at a time. Without a breadcrumb trail or any other location signal beyond the page title 'Inapplicable Example 1', I have no reliable way to understand where I am within the site. I'd feel completely lost. Add a visible breadcrumb navigation (e.g., &lt;nav aria-label="Breadcrumb"&gt;&lt;ol&gt;&lt;li&gt;&lt;a href="/"&gt;Home&lt;/a&gt;&lt;/li&gt;&lt;li aria-current="page"&gt;Inapplicable Example 1&lt;/li&gt;&lt;/ol&gt;&lt;/nav&gt;) and an &lt;h1&gt; heading to orient users within the site structure.</t>
  </si>
  <si>
    <t xml:space="preserve">This page fails because it gives me no breadcrumbs or meaningful location landmark to anchor myself when I'm zoomed in — just a page title isn't enough when I can only see a small portion of the screen at a time.</t>
  </si>
  <si>
    <t xml:space="preserve">[2.4.8] When I'm zoomed in at 200–300%, I can only see a small slice of the page at a time. Without breadcrumbs or any other clear location indicator, I have no way to orient myself — I lose my place and have to scroll around trying to figure out where I am in the site, which is exhausting. Add a breadcrumb navigation component (e.g., &lt;nav aria-label="Breadcrumb"&gt;&lt;ol&gt;&lt;li&gt;&lt;a href="/"&gt;Home&lt;/a&gt;&lt;/li&gt;&lt;li aria-current="page"&gt;Failed Example 1&lt;/li&gt;&lt;/ol&gt;&lt;/nav&gt;) and an &lt;h1&gt; heading so my location within the site is immediately clear.</t>
  </si>
  <si>
    <t xml:space="preserve">This page fails on two fronts that directly affect me: the auto-updating random number has no pause control, which is disorienting when I'm zoomed in and trying to read, and there are no breadcrumbs or heading to tell me where I am within the site.</t>
  </si>
  <si>
    <t xml:space="preserve">[2.4.8] When I'm zoomed in at 200–300%, I can only see a tiny slice of the page at a time. Without breadcrumbs or any other location indicator, I have no way to know where I am within the site. I lose my place and have to zoom back out — which strains my eyes — just to get my bearings. Add a visible breadcrumb trail (e.g., &lt;nav aria-label="Breadcrumb"&gt;&lt;ol&gt;&lt;li&gt;&lt;a href="/"&gt;Home&lt;/a&gt;&lt;/li&gt;&lt;li aria-current="page"&gt;Failed Example 1&lt;/li&gt;&lt;/ol&gt;&lt;/nav&gt;) and an H1 heading that clearly identifies the page's position in the site hierarchy. || [2.2.2] Content that updates automatically and unpredictably is deeply disorienting when I'm zoomed in — my magnified view suddenly jumps or shifts as the number changes. There's no button to pause it, so I can't stop it from happening while I'm trying to read. Provide a visible Pause/Stop button that halts the auto-updating content, or ensure the updates stop after 5 seconds. Alternatively, respect prefers-reduced-motion to suppress updates for users who have opted into reduced motion.</t>
  </si>
  <si>
    <t xml:space="preserve">This page fails because it gives me no breadcrumbs or meaningful location cues — when I'm zoomed in and can only see a fragment of the screen, I'm completely lost with nothing but a page title to go on.</t>
  </si>
  <si>
    <t xml:space="preserve">[2.4.8] When I'm zoomed in at 200–300%, I can only see a small slice of the page at a time. Without breadcrumbs or any other clear location indicator, I have no way to orient myself — I lose my place and have to scroll around trying to figure out where I am in the site, which is exhausting. Add a visible breadcrumb trail using a &lt;nav aria-label='Breadcrumb'&gt; element with an ordered list of links reflecting the page's position in the site hierarchy. Also add an &lt;h1&gt; heading to reinforce page identity, and apply aria-current='page' to the active navigation item.</t>
  </si>
  <si>
    <t xml:space="preserve">This page fails WCAG 2.2.2 because the deprecated &lt;blink&gt; element produces uncontrollable blinking content — at the 200–300% zoom I rely on, that blink dominates my entire view with no way to stop it, making the page effectively unreadable for me.</t>
  </si>
  <si>
    <t xml:space="preserve">[2.2.2] As Elias, blinking text is deeply disruptive when I'm zoomed in at 200–300%. At that magnification the blink fills a large portion of my visible viewport and I cannot suppress it — there's no pause or stop control. It makes reading the surrounding content nearly impossible and can trigger nausea, similar to autoplay video. Remove the &lt;blink&gt; element entirely. It is a deprecated HTML element with no accessible equivalent. If emphasis is needed, use semantic markup such as &lt;strong&gt; or &lt;em&gt;, or apply a CSS highlight/border. If animation is genuinely required, implement it with CSS @keyframes and honour prefers-reduced-motion, and provide a visible pause/stop control.</t>
  </si>
  <si>
    <t xml:space="preserve">This page fails WCAG 2.2.2 because the deprecated &lt;blink&gt; element causes uncontrolled, unstoppable blinking text — something that, at the zoom levels I rely on, is immediately disorienting and forces me off the page.</t>
  </si>
  <si>
    <t xml:space="preserve">[2.2.2] Blinking text directly in my field of view is extremely disorienting when I'm zoomed in at 200–300%. At that magnification the blink fills a large portion of my visible area and I cannot stop it — it makes me nauseous and forces me to leave the page entirely. Remove the &lt;blink&gt; element entirely. It is deprecated in HTML5 and has no accessible equivalent. If emphasis is needed, use semantic markup such as &lt;strong&gt; or &lt;em&gt;, or apply a CSS highlight with sufficient contrast. If animation is genuinely required, implement it with CSS @keyframes and honour prefers-reduced-motion, and provide a visible pause/stop control.</t>
  </si>
  <si>
    <t xml:space="preserve">This page fails immediately because of the &lt;blink&gt; element — blinking content with no way to stop it is exactly the kind of thing that makes reading impossible for me when I'm zoomed in, and it should simply be removed.</t>
  </si>
  <si>
    <t xml:space="preserve">[2.2.2] As Elias, blinking text is deeply disruptive when I'm zoomed in at 200–300%. The blink effect flashes directly in my narrow field of view with no way to stop it, making it impossible to read the content and causing immediate visual discomfort. Remove the &lt;blink&gt; element entirely — it is deprecated in HTML5 and has no accessible equivalent. If the intent is to draw attention to text, use a static visual treatment such as bold, colour contrast, or an icon instead. If animation is truly required, implement it via CSS @keyframes with a prefers-reduced-motion media query and provide a visible pause/stop control.</t>
  </si>
  <si>
    <t xml:space="preserve">This page is clean and considerate — good contrast, no clipping when I increase my text spacing, no autoplay to upset me, and the page title and heading tell me clearly where I am, so I feel comfortable here even at 300% zoom.</t>
  </si>
  <si>
    <t xml:space="preserve">This page is clean and considerate — good contrast, no clipping when I increase my text spacing, no autoplay to upset me, and the page title and heading tell me clearly where I am, so I won't lose my place when zoomed in.</t>
  </si>
  <si>
    <t xml:space="preserve">This page is clean and considerate — strong contrast, no clipping when I increase my text spacing, no autoplay to upset me, a proper breadcrumb trail so I know I'm under Home › Support, and no forms to worry about; I can read and navigate it comfortably at 300% zoom.</t>
  </si>
  <si>
    <t xml:space="preserve">This page is clean and comfortable for me — the breadcrumb trail tells me exactly where I am, the text holds up under my spacing adjustments, contrast is solid enough to read when zoomed in, there's no motion to upset me, and with no form fields I don't have to worry about typing.</t>
  </si>
  <si>
    <t xml:space="preserve">This page is clean and comfortable for me — the breadcrumb trail tells me exactly where I am, the text holds up under my spacing adjustments, contrast is solid enough to read when zoomed in, there's no motion to upset me, and no forms to struggle through.</t>
  </si>
  <si>
    <t xml:space="preserve">This simple page is clean and accessible — good contrast, no clipping under increased spacing, no motion to upset me, no forms to struggle with, and the heading gives me enough context to know where I am.</t>
  </si>
  <si>
    <t xml:space="preserve">This simple welcome page is clean and accessible — good contrast, no clipping when I increase my text spacing, no autoplay to upset me, no forms to struggle with, and the heading tells me clearly where I am.</t>
  </si>
  <si>
    <t xml:space="preserve">This simple, static page is clean across every criterion I care about — good contrast, no clipping when I increase text spacing, no autoplay to make me nauseous, a clear heading that tells me where I am, and no forms to worry about — I can read it comfortably at 300% zoom without a single problem.</t>
  </si>
  <si>
    <t xml:space="preserve">This simple unit converter is clean and accessible for me — the text is readable, nothing clips when I increase spacing, there's no autoplay to upset me, and the page title and heading tell me exactly where I am; the two number fields don't collect personal data so autocomplete isn't needed here.</t>
  </si>
  <si>
    <t xml:space="preserve">This simple unit converter passes all five checks I care about — the text is readable, nothing clips when I increase spacing, there's no autoplay to make me nauseous, the page title and heading tell me exactly where I am, and since the fields collect measurements rather than personal data, autocomplete isn't required here.</t>
  </si>
  <si>
    <t xml:space="preserve">This simple unit converter is clean and accessible for me — the text has solid contrast I can read when zoomed in, spacing adjustments don't clip anything, there's no autoplay to make me nauseous, the page title and heading tell me exactly where I am, and since the fields collect measurement data rather than personal information, autocomplete isn't needed here.</t>
  </si>
  <si>
    <t xml:space="preserve">This page is a pleasure to use — the breadcrumb trail clearly shows me I'm at Home › Reports › 2026 › Q1, the text holds up perfectly when I increase spacing, contrast is solid throughout, there's no motion to upset me, and with no form fields I don't have to worry about typing anything.</t>
  </si>
  <si>
    <t xml:space="preserve">This quarterly report page is clean and considerate — the breadcrumb trail clearly shows me I'm at Home → Reports → 2026 → Q1, the text holds up perfectly when I increase spacing, contrast is solid throughout, and there's nothing flashing or autoplaying to upset me while I read.</t>
  </si>
  <si>
    <t xml:space="preserve">This page is clean and considerate — the breadcrumb trail tells me exactly where I am (Home → Reports → 2026 → Q1 quarterly report), the text holds up perfectly when I increase spacing, contrast is solid throughout, there's no motion to upset me, and since there are no form fields I don't need to worry about autocomplete.</t>
  </si>
  <si>
    <t xml:space="preserve">This Admissions page is clean and accessible for me — the text has solid contrast I can read when zoomed in, spacing adjustments don't clip anything, there's no autoplay to make me nauseous, and the aria-current attribute on the nav link clearly tells me where I am on the site.</t>
  </si>
  <si>
    <t xml:space="preserve">This Admissions page is clean and accessible for me — the text has solid contrast I can read when zoomed in, spacing adjustments don't clip anything, there's no autoplay to make me nauseous, and the aria-current attribute on the nav link tells me exactly where I am on the site.</t>
  </si>
  <si>
    <t xml:space="preserve">analyze_heading_structure, detect_animations_and_motion, analyze_readability</t>
  </si>
  <si>
    <t xml:space="preserve">This page has no headings at all, which means I have no structure or labels to help me understand or navigate what's on it — it's just a floating list item with no context.</t>
  </si>
  <si>
    <t xml:space="preserve">[1.3.1] Without any headings, I have no structure to orient myself on the page. I can't scan for sections or understand what the page is about — I just see a bare list item with no context. Add a descriptive &lt;h1&gt; that clearly identifies the page's purpose, and use further heading levels (h2, h3, etc.) as needed to organise any additional content. || [2.4.6] With no descriptive headings, I have no signposts to help me find what I need quickly. I have to read everything linearly, which is exhausting and confusing for me. Provide at least one meaningful, descriptive heading (e.g., &lt;h1&gt;Navigation Tabs&lt;/h1&gt;) so the purpose of the content is immediately clear.</t>
  </si>
  <si>
    <t xml:space="preserve">This page has no headings at all, which means I have no structure or signposts to help me understand what I'm looking at or find what I need.</t>
  </si>
  <si>
    <t xml:space="preserve">[1.3.1] Without any headings, I have no structure to guide me through the page. I can't tell what the page is about or where anything is — I'm just dropped into a list with no context. Add a descriptive &lt;h1&gt; at the top of the page that clearly explains its purpose, and use further heading levels (h2, h3, etc.) as needed to organise the content beneath it.</t>
  </si>
  <si>
    <t xml:space="preserve">This page has no headings at all, which means I have no structure to guide me — I need clear, descriptive headings to find my way around a page.</t>
  </si>
  <si>
    <t xml:space="preserve">[1.3.1] Without any headings, I have no structure to navigate or orient myself on the page. I can't quickly scan to find what I need, which makes the page very hard to use. Add a descriptive &lt;h1&gt; heading that clearly identifies the page's main topic. Use additional heading levels (h2, h3, etc.) as needed to organise the content beneath it.</t>
  </si>
  <si>
    <t xml:space="preserve">This page is just a small presentation table with a handful of words and no headings, animations, or body text, so none of my five criteria have anything to evaluate.</t>
  </si>
  <si>
    <t xml:space="preserve">This page is just a small presentation table with a handful of words — none of my five criteria apply here, so there's nothing for me to flag.</t>
  </si>
  <si>
    <t xml:space="preserve">This page is just a small presentation table with a handful of words — there are no headings, no motion, and not enough text for any of my five checks to apply, so none of them fire.</t>
  </si>
  <si>
    <t xml:space="preserve">This page has almost no content — just a tiny layout table with a time value — so none of the five criteria I check actually apply here.</t>
  </si>
  <si>
    <t xml:space="preserve">This page is essentially empty — just a tiny presentation table with no headings, no motion, and barely any text — so none of the five criteria I check actually apply here.</t>
  </si>
  <si>
    <t xml:space="preserve">This page is essentially a bare presentation table with two words of text and no headings, animations, or meaningful content, so none of my five WCAG criteria apply here.</t>
  </si>
  <si>
    <t xml:space="preserve">This page has no headings at all, which means I have no structure to hold onto — I can't tell what the page is for or find my way around it.</t>
  </si>
  <si>
    <t xml:space="preserve">[1.3.1] Without any headings, I have no landmarks to orient myself or jump to the content I need. The page is a featureless block to me — I can't tell what it's about or where anything is. Add a descriptive &lt;h1&gt; that clearly identifies the page's purpose (e.g., &lt;h1&gt;List of Items&lt;/h1&gt;), and use lower-level headings (&lt;h2&gt;, &lt;h3&gt;, etc.) as needed to organise sections logically.</t>
  </si>
  <si>
    <t xml:space="preserve">[1.3.1] Without any headings, I have no landmarks to orient myself or jump to the content I need. The page is a featureless block to me — I can't tell what it's about or where anything is. Add a descriptive &lt;h1&gt; at the top of the page that clearly identifies its purpose. If the page has distinct sections, add &lt;h2&gt; and lower-level headings to organise them in a logical, non-skipping hierarchy.</t>
  </si>
  <si>
    <t xml:space="preserve">[1.3.1] Without any headings, I have no landmarks to orient myself or jump to the content I need. The page is a featureless block to me — I can't tell what it's about or where anything is. Add a descriptive &lt;h1&gt; that clearly identifies the page's purpose (e.g., &lt;h1&gt;List of Items&lt;/h1&gt;), and use further heading levels (h2, h3, etc.) as needed to organise sub-sections.</t>
  </si>
  <si>
    <t xml:space="preserve">This page has no headings at all, which means I have no structure or labels to help me understand what I'm looking at before I dive into the table.</t>
  </si>
  <si>
    <t xml:space="preserve">[1.3.1] Without any headings, I have no structural landmarks to orient myself on the page. I can't quickly scan to find what the table is about or where I am on the page. Add a descriptive &lt;h1&gt; above the table — for example, &lt;h1&gt;Grade Breakdown&lt;/h1&gt; — so the page has a clear, programmatic structure. || [2.4.6] I rely on descriptive headings to understand what a section is about before I read it. With no headings, I have no labels to guide me through the content. Add a meaningful heading that describes the table's purpose, such as &lt;h1&gt;Assessment Weighting&lt;/h1&gt;, so the content is clearly labelled.</t>
  </si>
  <si>
    <t xml:space="preserve">This page fails because it has no headings at all — I can't tell what the table is about or navigate the page structure, which makes it really hard for me to use.</t>
  </si>
  <si>
    <t xml:space="preserve">[1.3.1] Without any headings, I have no structural landmarks to orient myself on the page. I can't quickly scan to understand what the table is about or where I am on the page. Add a descriptive &lt;h1&gt; above the table — for example, &lt;h1&gt;Grade Breakdown&lt;/h1&gt; — so the page has at least one top-level heading that describes its content. || [2.4.6] With no headings at all, I have nothing to tell me what this page or table is for. I'd have to read every cell just to figure out the context. Add a meaningful &lt;h1&gt; that describes the purpose of the table, such as &lt;h1&gt;Course Assessment Weighting&lt;/h1&gt;.</t>
  </si>
  <si>
    <t xml:space="preserve">This page fails because it has no headings at all — as Ian, I need at least a clear, descriptive &lt;h1&gt; to understand what I'm looking at before I even get to the table data.</t>
  </si>
  <si>
    <t xml:space="preserve">[1.3.1] Without any headings, I have no structural landmarks to orient myself. I can't quickly scan to understand what this page or table is about — I just land in a wall of content with no signposts. Add a descriptive &lt;h1&gt; above the table that explains what the data represents, for example: &lt;h1&gt;Grade Breakdown&lt;/h1&gt;. This gives the page a clear, programmatic structure. || [2.4.6] Descriptive headings help me find what I need quickly. With zero headings, I have no labels to guide me through the page — I have to read everything just to figure out what it's about. Add a meaningful &lt;h1&gt; (and any sub-headings if needed) that clearly describe the content, such as 'Course Assessment Weighting'. Avoid vague text like 'Table' or 'Section'.</t>
  </si>
  <si>
    <t xml:space="preserve">This page is essentially a near-empty shell — no headings, no real text content, and no motion — so none of the five criteria I check actually apply in a meaningful way.</t>
  </si>
  <si>
    <t xml:space="preserve">This page has no headings at all, which means I have no structure to hold onto — it's like being handed a document with no title or sections, and that makes it really hard for me to orient myself.</t>
  </si>
  <si>
    <t xml:space="preserve">[1.3.1] Without any headings, I have no structure to navigate by. I can't quickly scan to find what the page is about or jump to the part I need — I'm just dropped into a flat block of content with no signposts. Add at least one descriptive &lt;h1&gt; element that clearly identifies the page's purpose. For example, &lt;h1&gt;List of Items&lt;/h1&gt; placed before the list content.</t>
  </si>
  <si>
    <t xml:space="preserve">This page has no headings at all, which means I have no structure to hold onto — just a bare list with no label or context telling me what I'm looking at.</t>
  </si>
  <si>
    <t xml:space="preserve">[1.3.1] Without any headings, I have no structure to navigate by. I can't quickly scan the page to understand what it's about or find what I need — I'm just dropped into content with no signposts. Add at least one descriptive &lt;h1&gt; element that clearly describes the purpose of the page or the list being presented (e.g., &lt;h1&gt;Example List&lt;/h1&gt;).</t>
  </si>
  <si>
    <t xml:space="preserve">This page is essentially empty of structure — no headings at all — so I have no idea what it's for or how to navigate it, which makes it completely unusable for me.</t>
  </si>
  <si>
    <t xml:space="preserve">[1.3.1] Without any headings, I have no structure to orient myself. I can't scan the page to figure out what it's about or where to look for information — it's just a bare number sitting on a blank page. Add at least one descriptive &lt;h1&gt; that clearly identifies the page's purpose. If the page has distinct sections, add &lt;h2&gt; and lower-level headings to organise them in a logical hierarchy. || [2.4.6] With no descriptive headings, I have no signposts to guide me. I can't tell what the number '1' means or what I'm supposed to do on this page. Provide a meaningful &lt;h1&gt; (and further headings as needed) that describe the content and purpose of each section in plain language.</t>
  </si>
  <si>
    <t xml:space="preserve">This page has no headings whatsoever and almost no readable content, which means I have absolutely no structure to hold onto — it's disorienting and unusable for me.</t>
  </si>
  <si>
    <t xml:space="preserve">[1.3.1] Without any headings, I have no structure to orient myself on the page. I can't scan or navigate to find what I need — I'm just dropped into a blank space with a lone number '1' and no context. Add at least one descriptive &lt;h1&gt; that clearly identifies the page's purpose. Then use &lt;h2&gt;, &lt;h3&gt;, etc. in logical order to organise any further content. || [2.4.6] Descriptive headings help me find what I need quickly. With zero headings, I have no labels to guide me through the page — I'm completely lost. Add meaningful, descriptive headings that tell me what each section is about. Avoid vague text like 'Section' or 'More'.</t>
  </si>
  <si>
    <t xml:space="preserve">This page has almost no content and no headings at all, so I have zero structure to hold onto — I genuinely cannot tell what it is or what it's for.</t>
  </si>
  <si>
    <t xml:space="preserve">[1.3.1] Without any headings, I have no structure to navigate by. I can't tell what this page is about or where anything is, which makes it impossible for me to orient myself. Add at least one descriptive &lt;h1&gt; that clearly identifies the page's purpose. Use further &lt;h2&gt;–&lt;h6&gt; headings as needed to organise any additional content.</t>
  </si>
  <si>
    <t xml:space="preserve">This page has no headings at all, which leaves me completely without structure or signposts — I can't tell what the page is for or where anything is without reading every word.</t>
  </si>
  <si>
    <t xml:space="preserve">[1.3.1] Without any headings, I have no landmarks to orient myself on the page. I can't scan for structure or jump to the section I need — I just get a wall of text with no signposts. Add a descriptive &lt;h1&gt; at the top of the page (e.g., &lt;h1&gt;Web Accessibility Initiative Updates&lt;/h1&gt;) to establish a clear, programmatic page structure. || [2.4.6] I can't tell what this page is about or what the 'Random number' section means without a descriptive heading to label it. I'd have to read every word just to figure out the purpose. Add descriptive headings that clearly label each section of content, such as &lt;h2&gt;Live Random Number&lt;/h2&gt; above the updating number display.</t>
  </si>
  <si>
    <t xml:space="preserve">This page fails because it has no headings at all, which means I have no structure to hold onto — I can't scan, navigate, or quickly find what I need, and that's really frustrating for me.</t>
  </si>
  <si>
    <t xml:space="preserve">[1.3.1] Without any headings, I have no landmarks to orient myself on the page. I can't scan for structure or jump to the section I need — everything just runs together as a flat wall of text. Add a descriptive &lt;h1&gt; at the top of the page (e.g., &lt;h1&gt;Web Accessibility Updates&lt;/h1&gt;) to establish a clear, programmatic page hierarchy. || [2.4.6] I rely on descriptive headings to quickly find what I need. With none present, I have no signposts — I'd have to read every word just to figure out what the page is about. Introduce meaningful, descriptive headings that clearly label each section of content so I can understand the page structure at a glance.</t>
  </si>
  <si>
    <t xml:space="preserve">This page fails because it has no headings at all, which means I have no structure to navigate or scan — I just see a wall of text with a number and a button and no explanation of what any of it means.</t>
  </si>
  <si>
    <t xml:space="preserve">[1.3.1] Without any headings, I have no structural landmarks to orient myself or quickly find what the page is about. I have to read every word just to figure out what's going on. Add a descriptive &lt;h1&gt; at the top of the page — for example, &lt;h1&gt;Web Accessibility Updates&lt;/h1&gt; — to give the page a clear, programmatic structure. || [2.4.6] I can't scan the page for a heading that tells me what I'm looking at. I'm left guessing what the 'Random number' section is for and why it matters. Add descriptive headings for each distinct section of content, such as &lt;h2&gt;Live Random Number&lt;/h2&gt; above the updating number display.</t>
  </si>
  <si>
    <t xml:space="preserve">This page fails because it has no headings at all, which means I have no structure to hold onto — and without that, I'm lost before I even start reading.</t>
  </si>
  <si>
    <t xml:space="preserve">[1.3.1] Without any headings, I have no structural landmarks to orient myself on the page. I can't skim to find what I need, and the page feels like a featureless wall of text with no clear starting point. Add a descriptive &lt;h1&gt; at the top of the page — for example, &lt;h1&gt;Web Accessibility Initiative Updates&lt;/h1&gt; — to give the page a clear, programmatically determinable structure. || [2.4.6] I rely on descriptive headings to quickly understand what a page is about and find the section I need. With zero headings, I have to read every word from top to bottom, which is exhausting and disorienting for me. Introduce meaningful, descriptive headings that reflect the page's content and purpose. Avoid generic labels like 'Section' or 'More'.</t>
  </si>
  <si>
    <t xml:space="preserve">This page fails because it has no headings at all, which leaves me with no structure to navigate — though I do appreciate that the auto-updating content has a 'Hide' button so I can stop it from distracting me.</t>
  </si>
  <si>
    <t xml:space="preserve">[1.3.1] Without any headings, I have no landmarks to orient myself on the page. I can't scan for structure or jump to the section I need — everything is just a flat wall of text with no signposts. Add a descriptive &lt;h1&gt; at the top of the page (e.g., &lt;h1&gt;Web Accessibility Initiative Updates&lt;/h1&gt;) to establish a clear, programmatic hierarchy. Add further subheadings as the content grows.</t>
  </si>
  <si>
    <t xml:space="preserve">This page fails because it has no headings at all, which means I have no structure to hold onto — though I do appreciate that the auto-updating content has a 'Hide' button so I can stop it from distracting me.</t>
  </si>
  <si>
    <t xml:space="preserve">[1.3.1] Without any headings, I have no structural landmarks to orient myself or quickly find what the page is about. I have to read every word from top to bottom with no way to skip around, which is exhausting and disorienting for me. Add a descriptive &lt;h1&gt; at the top of the page that clearly states the page's purpose — for example, &lt;h1&gt;Auto-Updating Content Demo&lt;/h1&gt;. Use further subheadings (&lt;h2&gt;, &lt;h3&gt;, etc.) if the page grows in complexity, making sure not to skip levels.</t>
  </si>
  <si>
    <t xml:space="preserve">This page has no headings, no visible text, no motion, and no abbreviations to evaluate — every criterion I check simply doesn't apply here.</t>
  </si>
  <si>
    <t xml:space="preserve">This page has only a single image and no visible text or headings, so none of my five criteria apply to it at all.</t>
  </si>
  <si>
    <t xml:space="preserve">This page has no headings at all, which means I can't tell what it's about or find my way around it — that's a real barrier for me as someone who depends on clear, predictable structure.</t>
  </si>
  <si>
    <t xml:space="preserve">[1.3.1] Without any headings, I have no landmarks to orient myself on the page. I can't scan for structure or jump to the section I need — I just see a wall of text with no signposts. Add a descriptive &lt;h1&gt; at the top of the page (e.g., &lt;h1&gt;Web Accessibility Initiative Resources&lt;/h1&gt;) and use subsequent heading levels (&lt;h2&gt;, &lt;h3&gt;, etc.) to organise any sub-sections logically. || [2.4.6] I rely on descriptive headings to quickly understand what a page is about and find what I need. With none present, I have to read every word just to figure out the topic — that's exhausting. Introduce meaningful, descriptive headings that clearly summarise each section's content. Avoid vague labels like 'Section 1' or 'More Info'.</t>
  </si>
  <si>
    <t xml:space="preserve">This page has no headings whatsoever, which means I have no structure to hold onto — I can't tell what the page is about or where anything is, and that makes it really hard for me to use.</t>
  </si>
  <si>
    <t xml:space="preserve">[1.3.1] Without any headings, I have no landmarks to orient myself on the page. I can't scan for structure or jump to the section I need — I just see a wall of text with no signposts. Add a descriptive &lt;h1&gt; at the top of the page (e.g., 'Web Accessibility Standards') to establish a clear page title and hierarchy. Add further subheadings as needed to break up content. || [2.4.6] I rely on descriptive headings to find what I need quickly. With none present, I have no labels to guide me through the content at all. Introduce meaningful, descriptive headings that clearly summarise each section of content so I can navigate without reading every word.</t>
  </si>
  <si>
    <t xml:space="preserve">This page fails because it has no headings at all, which means I have no structure to navigate or understand what the page is about — it's just a loose paragraph floating in space.</t>
  </si>
  <si>
    <t xml:space="preserve">[1.3.1] Without any headings, I have no landmarks to orient myself on the page. I can't scan for structure or jump to the section I need — I just see a wall of text with no signposts. Add a descriptive &lt;h1&gt; at the top of the page (e.g., &lt;h1&gt;Web Accessibility Initiative Resources&lt;/h1&gt;) and use further subheadings (&lt;h2&gt;, &lt;h3&gt;, etc.) as the content grows, following a logical hierarchy without skipping levels. || [2.4.6] I rely on descriptive headings to know what a page is about before I commit to reading it. With no headings, I have no idea what this page is for or where anything is. Introduce meaningful, descriptive headings that clearly summarise each section of content — avoid vague labels like 'Section 1' or 'More Info'.</t>
  </si>
  <si>
    <t xml:space="preserve">This page fails because of the &lt;blink&gt; element — uncontrollable blinking content is one of the most disruptive things I can encounter, and there is no way for me to stop it.</t>
  </si>
  <si>
    <t xml:space="preserve">[2.2.2] As Ian, a blinking element that I cannot stop immediately pulls my attention away from everything else on the page. I lose focus and cannot continue reading — I would likely just leave the page. Remove the &lt;blink&gt; element entirely. If the intent is to draw attention to text, use a static visual treatment instead (e.g., bold, colour contrast, or a highlighted box). If motion is truly needed, provide a clearly labelled pause/stop button and ensure the animation respects the prefers-reduced-motion media query.</t>
  </si>
  <si>
    <t xml:space="preserve">This page fails because the &lt;blink&gt; element makes text blink non-stop with no way for me to pause or stop it, which immediately breaks my focus and makes the page unusable.</t>
  </si>
  <si>
    <t xml:space="preserve">[2.2.2] As Ian, blinking text immediately pulls my attention away from what I'm trying to read. I can't stop it, I can't hide it, and I can't focus on anything else on the page while it's happening. I would likely leave the page entirely. Remove the &lt;blink&gt; element entirely — it is a deprecated HTML tag with no accessible equivalent. If emphasis is needed, use static styling such as bold (&lt;strong&gt;) or a highlighted background colour instead. If animation is truly required, implement it with CSS @keyframes and provide a visible pause/stop button, and honour the prefers-reduced-motion media query to disable it for users who need that.</t>
  </si>
  <si>
    <t xml:space="preserve">This page fails because the &lt;blink&gt; element makes text flash non-stop with no way for me to pause or stop it, which immediately breaks my focus and makes the page unusable.</t>
  </si>
  <si>
    <t xml:space="preserve">[2.2.2] As Ian, a blinking element that I cannot stop immediately pulls my attention away from everything else on the page. I lose focus and cannot continue reading — I have to leave the page entirely. Remove the &lt;blink&gt; element entirely. It is a deprecated HTML tag with no accessible equivalent. If the intent is to draw attention to text, use a static visual treatment such as bold, colour contrast, or a visible icon instead. Never use motion that cannot be paused or stopped by the user.</t>
  </si>
  <si>
    <t xml:space="preserve">This page fails because it has no headings at all — I'm dropped straight into a date input with zero context about what page I'm on or why I'm filling this in.</t>
  </si>
  <si>
    <t xml:space="preserve">[1.3.1] Without any headings, I have no structural landmarks to orient myself on the page. I can't tell what this page is for or where I am in it — I just land on a bare input field with no context. Add at least one descriptive &lt;h1&gt; that explains the page's purpose, for example: &lt;h1&gt;Enter Your Date of Birth&lt;/h1&gt;. This gives the page a clear, programmatic structure.</t>
  </si>
  <si>
    <t xml:space="preserve">This page is basically just a date field with no structure around it — there's no heading to tell me what the page or form is even for, which makes it hard for me to know I'm in the right place.</t>
  </si>
  <si>
    <t xml:space="preserve">[1.3.1] As Ian, I have no structural landmarks to orient myself. If this form were part of a larger page, I would have no headings to navigate by or to understand where I am in the page. Add at least one &lt;h1&gt; that describes the page or form's purpose (e.g., &lt;h1&gt;Personal Information&lt;/h1&gt;) so the page has a clear, programmatic hierarchy.</t>
  </si>
  <si>
    <t xml:space="preserve">This page fails because it has no headings at all, which means I have no structure to help me understand what I'm looking at or where I am on the site.</t>
  </si>
  <si>
    <t xml:space="preserve">[1.3.1] Without any headings, I have no structural landmarks to orient myself on the page. I can't quickly scan to understand what this page is for or where I am. Add at least one descriptive &lt;h1&gt; that explains the page's purpose — for example, &lt;h1&gt;Your Personal Details&lt;/h1&gt; — so the page has a clear, programmatic structure.</t>
  </si>
  <si>
    <t xml:space="preserve">This page fails because its only heading is a single letter 'A', which tells me nothing about what I'm looking at and leaves me completely disoriented.</t>
  </si>
  <si>
    <t xml:space="preserve">[2.4.6] When I land on a page and the only heading just says 'A', I have no idea what the page is about. Descriptive headings are how I orient myself and decide if I'm in the right place. Replace the h1 text with a descriptive label that explains the page's purpose, for example 'Dictionary: Words Starting with A' or 'A — Glossary Entries'.</t>
  </si>
  <si>
    <t xml:space="preserve">This page fails because its only heading is just the letter 'A', which tells me nothing about what I'm reading, and I need clear, descriptive headings to find my way around a page.</t>
  </si>
  <si>
    <t xml:space="preserve">[2.4.6] When I land on this page, the heading 'A' tells me nothing about what I'm looking at. I can't tell if this is a dictionary section, a list of words, or something else entirely. Descriptive headings are how I orient myself, and this one leaves me completely lost. Replace the h1 text 'A' with a descriptive label such as 'Dictionary — Words Starting with A' so users immediately understand the page's purpose and content.</t>
  </si>
  <si>
    <t xml:space="preserve">The page fails because its only heading is a single letter 'A', which gives me no clue what the page is about — I need headings that actually describe the content so I can find my way around.</t>
  </si>
  <si>
    <t xml:space="preserve">[2.4.6] When I land on a page and the only heading just says 'A', I have no idea what the page is about or what I'm supposed to do. Descriptive headings are how I orient myself, and this one tells me nothing. Replace the h1 text with a descriptive title that clearly explains the page's purpose, for example 'Dictionary: Words Starting with A' or 'A — Glossary Entries'.</t>
  </si>
  <si>
    <t xml:space="preserve">This page has almost no content and no heading structure at all, which means I have zero landmarks to help me understand or navigate it.</t>
  </si>
  <si>
    <t xml:space="preserve">[1.3.1] Without any headings, I have no structure to navigate or scan. I can't tell what this page is about or where anything is — it's just a blank wall with a label floating in space. Add at least one descriptive &lt;h1&gt; element that clearly identifies the page's purpose (e.g., &lt;h1&gt;User Profile&lt;/h1&gt;), and use lower-level headings (h2, h3, etc.) to organise any sections that follow.</t>
  </si>
  <si>
    <t xml:space="preserve">This page has no headings at all, which means I have no structure to navigate — I need clear, descriptive headings to know where I am and what the page is for.</t>
  </si>
  <si>
    <t xml:space="preserve">[1.3.1] Without any headings, I have no structure to orient myself on the page. I can't scan for sections or understand what this page is about, which makes it very hard for me to find what I need. Add at least one descriptive &lt;h1&gt; element that clearly identifies the page's purpose (e.g., &lt;h1&gt;User Profile&lt;/h1&gt;), and use subsequent heading levels (&lt;h2&gt;, &lt;h3&gt;, etc.) to organise any additional sections.</t>
  </si>
  <si>
    <t xml:space="preserve">This page fails for me because it has no headings at all — I can't tell what it's about or find my way around it, and the rest of the content is too minimal to evaluate for reading level or abbreviations.</t>
  </si>
  <si>
    <t xml:space="preserve">[1.3.1] As Ian, I have no structural landmarks to orient myself on this page. Without any headings, I cannot quickly scan to find what the page is about or where different sections begin. I have to read every word from top to bottom, which is exhausting and disorienting. Add at least one descriptive &lt;h1&gt; that clearly states the page's purpose (e.g., &lt;h1&gt;Personal Information Form&lt;/h1&gt;), and use &lt;h2&gt;–&lt;h6&gt; as needed to organise any sub-sections logically.</t>
  </si>
  <si>
    <t xml:space="preserve">This page has no headings whatsoever, which means I have no structure to hold onto — just a bare label and an input field with nothing telling me what this page is even for.</t>
  </si>
  <si>
    <t xml:space="preserve">[1.3.1] There are no headings at all on this page. I rely on headings to understand how a page is organised and to jump to the section I need. Without any headings, I have no map of the page and I can easily get lost or miss things. Add a meaningful &lt;h1&gt; that describes the page's purpose, and use further heading levels (h2, h3, etc.) as needed to structure the content logically.</t>
  </si>
  <si>
    <t xml:space="preserve">This page has no headings at all, which means I have no structure to hold onto — I can't tell what the page is for or where anything is.</t>
  </si>
  <si>
    <t xml:space="preserve">[1.3.1] As Ian, I have no structural landmarks to orient myself or understand what this page is about. I can't scan headings to find what I need, so I'm immediately lost. Add at least one descriptive &lt;h1&gt; element that clearly identifies the page's purpose (e.g., &lt;h1&gt;Contact Form&lt;/h1&gt;). Use subsequent heading levels (&lt;h2&gt;, &lt;h3&gt;, etc.) to organise any additional sections in order, without skipping levels.</t>
  </si>
  <si>
    <t xml:space="preserve">This page has almost nothing on it — no headings, no real content — so I have no structure to hold onto and no way to understand what I'm supposed to do here.</t>
  </si>
  <si>
    <t xml:space="preserve">[1.3.1] As Ian, I have no structural landmarks to orient myself. I can't scan the page to understand what it's about or where to find things — I'm dropped into a bare input field with no context at all. Add at least one descriptive &lt;h1&gt; that clearly explains the purpose of the page (e.g., &lt;h1&gt;Enter Your Name&lt;/h1&gt;), and use lower-level headings (&lt;h2&gt;, &lt;h3&gt;, etc.) in a logical order if more sections are added.</t>
  </si>
  <si>
    <t xml:space="preserve">This page has no real heading structure at all — the single heading is both implemented incorrectly (using a &lt;p&gt; tag instead of a native &lt;h1&gt;) and completely empty, so I have nothing to help me understand or navigate the page.</t>
  </si>
  <si>
    <t xml:space="preserve">[1.3.1] As Ian, I rely on descriptive headings to know where I am on a page and to navigate quickly. With no real heading structure, I have no landmarks to orient myself — I'm lost before I even start reading. Replace the &lt;p role='heading' aria-level='1'&gt; element with a native &lt;h1&gt; element. Native heading tags are more robustly supported across browsers and assistive technologies, and they guarantee a proper programmatic hierarchy. Also add meaningful text content to the heading so it describes the page. || [2.4.6] As Ian, even if a screen reader announced this heading, it would say nothing. I would have no idea what the page is about, which is disorienting and forces me to guess. Add a clear, descriptive text label to the heading — for example, &lt;h1&gt;Welcome to [Page Topic]&lt;/h1&gt; — so I immediately understand the page's purpose.</t>
  </si>
  <si>
    <t xml:space="preserve">This page fails on heading structure — the only 'heading' is an empty &lt;p&gt; tag with ARIA bolted on, which gives me nothing to navigate by and no idea what the page is even for.</t>
  </si>
  <si>
    <t xml:space="preserve">[1.3.1] As Ian, I rely on real heading structure to navigate and understand a page. A &lt;p&gt; tag dressed up as a heading with ARIA is fragile — screen readers may handle it inconsistently, and I can't reliably jump to sections or get a sense of the page layout. Replace &lt;p role='heading' aria-level='1'&gt; with a native &lt;h1&gt; element. Native HTML headings are more robust, universally supported, and correctly expose hierarchy to assistive technologies. || [2.4.6] As Ian, a blank heading gives me zero information about what the page is about. I depend on descriptive headings to orient myself — an empty one is worse than useless. Add meaningful, descriptive text to the heading (e.g., &lt;h1&gt;Account Settings&lt;/h1&gt;) so users immediately understand the page's purpose.</t>
  </si>
  <si>
    <t xml:space="preserve">This page has no real heading structure at all — the empty ARIA pseudo-heading is invisible to me as Ian, leaving me with zero orientation or context to navigate the page.</t>
  </si>
  <si>
    <t xml:space="preserve">[1.3.1] As Ian, I rely on descriptive headings to orient myself and find what I need on a page. With no real heading structure at all, I have no landmarks to guide me — I'm lost before I even start reading. Replace the &lt;p role='heading' aria-level='1'&gt; element with a native &lt;h1&gt; element. Native heading tags are more robustly supported across browsers and assistive technologies, and they correctly establish the page hierarchy required by WCAG 1.3.1. || [2.4.6] As Ian, I need descriptive headings to understand what a page is about at a glance. An empty heading gives me nothing to work with — I can't tell what the page is for or where to go. Add a meaningful, descriptive text label inside a proper &lt;h1&gt; element (e.g., &lt;h1&gt;Account Settings&lt;/h1&gt;). The heading text should clearly describe the page's purpose or main topic.</t>
  </si>
  <si>
    <t xml:space="preserve">This page has no headings at all, which means I have no structure to hold onto — I just see a bare input box and a 'Go' button with nothing telling me what I'm supposed to be doing.</t>
  </si>
  <si>
    <t xml:space="preserve">[1.3.1] Without any headings, I have no structure to orient myself on the page. I can't scan for sections or understand what this page is even for. I just see a text box and a button with no context. Add at least one descriptive &lt;h1&gt; that explains the page's purpose — for example, &lt;h1&gt;Search Our Site&lt;/h1&gt; — and use further heading levels to organise any additional sections.</t>
  </si>
  <si>
    <t xml:space="preserve">This page has no headings at all, which means I have zero structure to hold onto — I can't tell what the page is for or where anything is.</t>
  </si>
  <si>
    <t xml:space="preserve">[1.3.1] Without any headings, I have no structure to orient myself on the page. I can't scan to find what I need, and I have no idea what this page is even for. Add at least one descriptive &lt;h1&gt; that clearly names the page's purpose — for example, &lt;h1&gt;Search&lt;/h1&gt; — and use lower-level headings (&lt;h2&gt;, &lt;h3&gt;, etc.) to organise any additional sections.</t>
  </si>
  <si>
    <t xml:space="preserve">[1.3.1] Without any headings, I have no structure to orient myself on the page. I can't scan to find what I need, and I have no idea what this page is even for. Add at least one descriptive &lt;h1&gt; that clearly names the page's purpose — for example, &lt;h1&gt;Search&lt;/h1&gt; — and use lower-level headings (h2, h3, etc.) to organise any additional sections.</t>
  </si>
  <si>
    <t xml:space="preserve">The page's heading structure and reading level are fine, and there's no disruptive motion, but it's packed with unexpanded abbreviations that would make me stop and struggle on almost every sentence.</t>
  </si>
  <si>
    <t xml:space="preserve">[3.1.4] As Ian, every one of these abbreviations is a speed bump. When I hit 'ETL' or 'ORM' and don't know what they mean, I lose the thread of what I was reading and have to go look them up elsewhere — which is exhausting and disorienting. Wrap each abbreviation in an &lt;abbr&gt; element with a title attribute that spells it out — for example: &lt;abbr title="Representational State Transfer"&gt;REST&lt;/abbr&gt;, &lt;abbr title="Extract, Transform, Load"&gt;ETL&lt;/abbr&gt;, &lt;abbr title="Object-Relational Mapper"&gt;ORM&lt;/abbr&gt;, etc. Alternatively, expand each term on first use in plain text.</t>
  </si>
  <si>
    <t xml:space="preserve">The page structure is clean and the reading level is fine, but it's packed wall-to-wall with unexpanded abbreviations — as Ian, I'd be lost before I finished the first paragraph.</t>
  </si>
  <si>
    <t xml:space="preserve">[3.1.4] As Ian, every one of these stops me cold. I hit 'REST', 'CRUD', 'ORM', 'ETL', 'ANSI', 'CLI', 'CI' one after another with no explanation. By the third unknown abbreviation I've lost the thread of what the paragraph was even saying. Wrap each abbreviation in an &lt;abbr&gt; element with a title attribute on first use — e.g. &lt;abbr title="Representational State Transfer"&gt;REST&lt;/abbr&gt;, &lt;abbr title="Create, Read, Update, Delete"&gt;CRUD&lt;/abbr&gt;, &lt;abbr title="Object-Relational Mapper"&gt;ORM&lt;/abbr&gt;, &lt;abbr title="Extract, Transform, Load"&gt;ETL&lt;/abbr&gt;, &lt;abbr title="American National Standards Institute"&gt;ANSI&lt;/abbr&gt;, &lt;abbr title="Command-Line Interface"&gt;CLI&lt;/abbr&gt;, &lt;abbr title="Continuous Integration"&gt;CI&lt;/abbr&gt;, &lt;abbr title="JavaScript Object Notation"&gt;JSON&lt;/abbr&gt;, &lt;abbr title="HyperText Transfer Protocol"&gt;HTTP&lt;/abbr&gt;. Alternatively, add a glossary section at the top of the page.</t>
  </si>
  <si>
    <t xml:space="preserve">The page's heading structure and reading grade are fine, and there's no distracting motion, but it's packed with unexplained abbreviations — REST, JSON, CRUD, ORM, ETL, ANSI, CLI, HTTP, CI — and as Ian I'd lose the thread of every sentence trying to decode them.</t>
  </si>
  <si>
    <t xml:space="preserve">[3.1.4] As Ian, I hit abbreviation after abbreviation — REST, JSON, CRUD, ORM, ETL, ANSI, CLI, HTTP, CI — with no explanation anywhere on the page. Each one breaks my reading flow and I lose track of what the sentence was even saying. By the third paragraph I've given up. Wrap every abbreviation in an &lt;abbr&gt; tag with a title attribute on first use, e.g. &lt;abbr title="Application Programming Interface"&gt;API&lt;/abbr&gt;, &lt;abbr title="Representational State Transfer"&gt;REST&lt;/abbr&gt;, &lt;abbr title="JavaScript Object Notation"&gt;JSON&lt;/abbr&gt;, etc. Alternatively, add a glossary section or spell out each term in full on first use.</t>
  </si>
  <si>
    <t xml:space="preserve">This page fails because all three abbreviations — PCR, DNA, and SOP — are either missing expansions or have broken ones, and as Ian that means I'm immediately lost in the very first paragraph.</t>
  </si>
  <si>
    <t xml:space="preserve">[3.1.4] As Ian, I hit three abbreviations in a row — PCR, DNA, and SOP — and none of them tell me what they actually stand for. PCR has an empty tooltip, DNA just says 'DNA' again, and SOP has nothing at all. I lose track of what I'm reading and have to go look things up elsewhere, which breaks my focus completely. Give every &lt;abbr&gt; a meaningful, non-empty title attribute that spells out the full term: e.g. &lt;abbr title="Polymerase Chain Reaction"&gt;PCR&lt;/abbr&gt;, &lt;abbr title="Deoxyribonucleic Acid"&gt;DNA&lt;/abbr&gt;, and &lt;abbr title="Standard Operating Procedure"&gt;SOP&lt;/abbr&gt;. The title must contain the expansion, not a repetition of the acronym.</t>
  </si>
  <si>
    <t xml:space="preserve">The page structure is clean and there's no distracting motion, but three broken abbreviation expansions — one empty, one circular, one missing entirely — mean I'd get stuck the moment I hit 'PCR' or 'SOP' and have no way to find out what they mean.</t>
  </si>
  <si>
    <t xml:space="preserve">[3.1.4] As Ian, when I hit 'PCR' or 'SOP' and can't find out what they mean, I lose track of what I'm reading and have to stop. An empty or self-referential title is just as useless as no title — I still have no idea what the abbreviation stands for. Give every &lt;abbr&gt; a meaningful, non-empty title: e.g. &lt;abbr title="Polymerase Chain Reaction"&gt;PCR&lt;/abbr&gt;, &lt;abbr title="Deoxyribonucleic Acid"&gt;DNA&lt;/abbr&gt;, and &lt;abbr title="Standard Operating Procedure"&gt;SOP&lt;/abbr&gt;. If the abbreviation is so common it needs no explanation for your audience, remove the &lt;abbr&gt; tag rather than leaving the title blank.</t>
  </si>
  <si>
    <t xml:space="preserve">The page's heading structure is clean and there's no distracting motion, but three abbreviations — PCR, DNA, and SOP — are either missing expansions or have broken ones, which means I'd get stuck right in the first paragraph and lose the thread of what I'm supposed to do.</t>
  </si>
  <si>
    <t xml:space="preserve">[3.1.4] As Ian, when I hit 'PCR', 'DNA', or 'SOP' and can't find out what they stand for, I lose track of what I'm reading and have to stop to search elsewhere — which breaks my concentration completely. Give every &lt;abbr&gt; a meaningful, non-empty title that spells out the full term: &lt;abbr title="Polymerase Chain Reaction"&gt;PCR&lt;/abbr&gt;, &lt;abbr title="Deoxyribonucleic Acid"&gt;DNA&lt;/abbr&gt;, and &lt;abbr title="Standard Operating Procedure"&gt;SOP&lt;/abbr&gt;. Alternatively, spell out each term in full on first use, followed by the abbreviation in parentheses.</t>
  </si>
  <si>
    <t xml:space="preserve">This page is easy for me to read — one clear heading, short plain sentences, no animations, and no confusing abbreviations anywhere.</t>
  </si>
  <si>
    <t xml:space="preserve">This page is easy for me to read — one clear heading, short plain sentences, no surprise animations, and no confusing abbreviations anywhere.</t>
  </si>
  <si>
    <t xml:space="preserve">This page is easy for me to use — one clear heading, short plain sentences, no surprise animations, and no confusing abbreviations anywhere.</t>
  </si>
  <si>
    <t xml:space="preserve">This page is clean and easy for me to use — one clear heading, no surprise animations, and short plain sentences with no unexplained abbreviations.</t>
  </si>
  <si>
    <t xml:space="preserve">This page is clean and easy for me to use — one clear heading, no surprise animations, short plain sentences, and no confusing abbreviations to trip me up.</t>
  </si>
  <si>
    <t xml:space="preserve">This page is clean and easy for me to use — one clear heading, no surprise animations, and every abbreviation like W3C, WCAG, AG WG, and HTTP is properly expanded with a title attribute so I never lose my place.</t>
  </si>
  <si>
    <t xml:space="preserve">This page is clean and easy for me to use — one clear heading, no surprise animations, all abbreviations are properly expanded with title attributes, and the text is short and simple.</t>
  </si>
  <si>
    <t xml:space="preserve">This page has a clean heading structure and no distracting animations, but the dense sentences push the readability score below the comfortable threshold for me, and bare abbreviation re-uses like 'PRs' leave me hunting for meanings that should always be right there in the markup.</t>
  </si>
  <si>
    <t xml:space="preserve">[3.1.4] When I hit 'PRs' without knowing what it stands for, I lose track of what I'm reading. I have to scroll back up to find the expansion — and if I miss it, I'm stuck. Wrap every abbreviation (including plural re-uses) in an &lt;abbr title="..."&gt; element, e.g. &lt;abbr title="Pull Requests"&gt;PRs&lt;/abbr&gt;. This ensures the expansion is always one hover or screen-reader announcement away, no matter where in the page the term appears. || [3.1.5] A Flesch score below 60 means the sentences are denser than I find comfortable. Combined with the technical jargon (LMS, FAQ, PR), I can easily lose the thread of what I'm supposed to do. Break the two paragraphs into shorter, simpler sentences. For example: 'Use the Learning Management System (LMS) to register. Your academic advisor will review your request.' Aim for a Flesch Reading Ease score of 60 or above.</t>
  </si>
  <si>
    <t xml:space="preserve">This page fails for me as Ian because the abbreviations pile up without persistent expansions I can hover over, and the writing style leans too technical — a Flesch Reading Ease of 54 means I'm working harder than I should just to understand how to register for a course.</t>
  </si>
  <si>
    <t xml:space="preserve">[3.1.4] As Ian, when I hit 'PRs are reviewed within three business days' I've already forgotten that PR stood for Pull Request two sentences earlier. Each unexpanded abbreviation makes me stop, backtrack, and re-read — and sometimes I just give up. Wrap every abbreviation in an &lt;abbr title='...'&gt;...&lt;/abbr&gt; element at every occurrence, or at minimum at first use: &lt;abbr title='Learning Management System'&gt;LMS&lt;/abbr&gt;, &lt;abbr title='Frequently Asked Questions'&gt;FAQ&lt;/abbr&gt;, &lt;abbr title='Pull Request'&gt;PR&lt;/abbr&gt;. This gives screen readers and sighted users a persistent expansion mechanism. || [3.1.5] As Ian, the dense technical jargon — 'route your request', 'documentation repository', 'Pull Request against' — in short paragraphs with no plain-language alternatives makes the instructions hard to follow. I need simple words and short sentences. Rewrite using plain language. For example: 'Go to the LMS (Learning Management System) to sign up for courses. Your advisor will check your request. Keep your FAQ (Frequently Asked Questions) answers up to date — they are checked twice a term. If something goes wrong, open a PR (Pull Request) in the docs folder. Someone will look at it within three working days.' Also consider adding a plain-language summary or glossary link.</t>
  </si>
  <si>
    <t xml:space="preserve">This page trips me up because abbreviations like FAQ, PR, and PRs are scattered through the text without reliable &lt;abbr&gt; markup I can hover over, and the overall readability score falls below the plain-language threshold — for a simple registration page, that's more friction than there needs to be.</t>
  </si>
  <si>
    <t xml:space="preserve">[3.1.4] When I hit 'LMS', 'FAQ', 'PR', and 'PRs' without a reliable &lt;abbr&gt; tag I can hover over, I lose track of what I'm reading. I have to scroll back to find where the letters were first spelled out — and if I miss it, I'm stuck. Wrap every abbreviation in an &lt;abbr title='...'&gt;...&lt;/abbr&gt; element on every use, e.g. &lt;abbr title='Learning Management System'&gt;LMS&lt;/abbr&gt;, &lt;abbr title='Frequently Asked Questions'&gt;FAQ&lt;/abbr&gt;, &lt;abbr title='Pull Request'&gt;PR&lt;/abbr&gt;. Do not rely solely on inline first-use expansion, because users who jump to a paragraph via a heading or search will miss it. || [3.1.5] The page feels harder to read than it looks. Short paragraphs help, but the cluster of abbreviations and the lack of any plain-language summary or glossary link means I have to work harder than I should to understand a simple registration process. Simplify sentence structure and replace or expand all abbreviations inline with &lt;abbr&gt; tags. Add a short plain-language summary at the top (e.g. 'How to sign up for a course in three steps') and consider linking to a glossary for technical terms like 'Pull Request'.</t>
  </si>
  <si>
    <t xml:space="preserve">This page is written in extremely dense academic language with sentences that are 65 words long on average — that's way beyond what I can follow, and there's no simpler summary or structure to help me find my footing.</t>
  </si>
  <si>
    <t xml:space="preserve">[3.1.5] These two paragraphs are each a single enormous sentence packed with words like 'intersubjectively', 'noetic', 'epoche', and 'post-Husserlian trajectories'. I lose the thread almost immediately and have no idea what the page is actually trying to tell me. Break each paragraph into multiple short sentences (aim for 15–20 words each). Replace or define specialist terms inline. Consider adding a plain-language summary at the top of the page.</t>
  </si>
  <si>
    <t xml:space="preserve">This page is completely inaccessible to me — two sentences averaging 65 words each, packed with academic jargon, produce a reading level so extreme it's off any normal scale, and I would give up before finishing the first line.</t>
  </si>
  <si>
    <t xml:space="preserve">[3.1.5] These two paragraphs are each one enormous sentence. I lose the thread completely before I reach the end. A grade level of 37 is not a real reading level — it's a wall of words I can't get through. I would close this page immediately. Break each paragraph into multiple short sentences (aim for 15–20 words each). Replace or define specialist terms like 'epoche', 'noetic', 'intersubjective', and 'intentionally constituted'. Target a Flesch-Kincaid grade of 9 or below and a Flesch Reading Ease score above 60.</t>
  </si>
  <si>
    <t xml:space="preserve">This page is almost unreadable for me — two sentences that each run to 65 words on average, stuffed with academic jargon, produce a grade-37 reading level that is far beyond anything I can comfortably follow.</t>
  </si>
  <si>
    <t xml:space="preserve">[3.1.5] These two paragraphs are each a single enormous sentence packed with specialist terms like 'epoche', 'noetic structures', 'intentionally constituted', and 'post-Husserlian trajectories'. I lose the thread almost immediately and have to re-read multiple times just to find the verb. I would give up and leave the page. Break each paragraph into multiple short sentences (aim for 15–20 words each). Replace or define specialist jargon inline. Target a Flesch-Kincaid grade of 9 or below and a Flesch Reading Ease score above 60. Consider adding a plain-language summary at the top of the page.</t>
  </si>
  <si>
    <t xml:space="preserve">This page is basically unreadable for me — one 105-word legal sentence with a Flesch-Kincaid grade of 47 is so far beyond plain language that I can't figure out what I'm agreeing to, and that's a serious problem.</t>
  </si>
  <si>
    <t xml:space="preserve">[3.1.5] This is the worst readability score I've ever seen. The whole page is one enormous sentence with no breaks. I lose the thread almost immediately and have no idea what I'm agreeing to. I would just close the tab. Rewrite the paragraph in plain language: use short sentences (aim for 15–20 words each), break content into labelled sections (e.g. 'What you agree to', 'What happens if you break the rules'), and avoid legal jargon like 'hereinafter', 'indemnification', and 'without prejudice'.</t>
  </si>
  <si>
    <t xml:space="preserve">This page failed badly on reading level — a single 105-word sentence written in dense legal language scores a Flesch-Kincaid grade of 47, which is completely unreadable for me and most other people.</t>
  </si>
  <si>
    <t xml:space="preserve">[3.1.5] This is the worst readability score I've ever seen — the whole page is one enormous sentence. I can't hold that much in my head at once. I'd give up before I even got to the end of it, which means I'd be agreeing to terms I never actually understood. Rewrite the paragraph into short, plain-language sentences of 15–20 words each. Break the content into labelled sections (e.g. 'What you agree to', 'Liability limits', 'Governing law') with sub-headings so readers can find specific parts. Replace legal phrases like 'hereinafter referred to as', 'without prejudice', and 'enumerated herein' with everyday words.</t>
  </si>
  <si>
    <t xml:space="preserve">This page completely fails me — it's one 105-word legal sentence with a readability grade of 47, which means I have no real chance of understanding what I'm agreeing to.</t>
  </si>
  <si>
    <t xml:space="preserve">[3.1.5] This is the worst reading score I've ever seen. The whole page is one enormous sentence packed with legal phrases like 'hereinafter referred to as', 'without prejudice', and 'indemnification obligations'. I lose the thread immediately and have no idea what I'm actually agreeing to. Rewrite the content in plain language. Break it into short sentences (aim for under 20 words each) and use subheadings to separate topics like 'What you agree to', 'What happens if you break the rules', and 'Which laws apply'. A Flesch-Kincaid grade of 9 or below is the target.</t>
  </si>
  <si>
    <t xml:space="preserve">This contact page is clean and straightforward — one clear heading, no surprise animations, and nothing confusing to trip me up.</t>
  </si>
  <si>
    <t xml:space="preserve">This page is clean and easy for me to use — one clear heading, a simple list, no surprise animations, and nothing confusing to read.</t>
  </si>
  <si>
    <t xml:space="preserve">This page has a solid structure and no surprise animations, which I appreciate, but the 'Detail' section reads like a university textbook — grade 16.6 is way beyond what I can follow — and the vague heading 'Detail' gives me no clue what I'm walking into.</t>
  </si>
  <si>
    <t xml:space="preserve">[2.4.6] When I see a heading that just says 'Detail', I have no idea what I'm about to read. I can't decide whether to skip it or read it, so I either waste time or miss something important. Replace 'Detail' with a descriptive heading that tells me what the section covers, for example 'How mitochondrial DNA is passed down' or 'The science behind maternal inheritance'. || [3.1.5] The 'Detail' section is written at university-postgraduate level. Words like 'matrilineally', 'ubiquitin tagging', and 'non-Mendelian' make me lose track completely. I stop reading and feel like the page isn't for me. Rewrite the 'Detail' section in plain language at or below grade 9. Break long sentences into shorter ones, replace technical terms with everyday words or add brief explanations in parentheses, and keep paragraphs to 2–3 sentences.</t>
  </si>
  <si>
    <t xml:space="preserve">The page starts well with a plain-language summary, but the 'Detail' section reads like a university textbook — grade 16.6 — and its vague heading 'Detail' gives me no clue what I'm about to struggle through.</t>
  </si>
  <si>
    <t xml:space="preserve">[2.4.6] When I scan the page looking for the section I need, 'Detail' tells me nothing about what's actually in it — I can't tell if it's worth reading without diving in, which is exhausting. Replace 'Detail' with a descriptive heading that summarises the section's content, such as 'How mitochondrial DNA is inherited' or 'The science behind maternal inheritance'. || [3.1.5] The 'Detail' paragraph is packed with long, technical words like 'matrilineally', 'ubiquitin tagging', and 'non-Mendelian inheritance pattern'. I lose the thread immediately and give up. Even the plain-language section scores poorly when averaged in. Rewrite the 'Detail' section in plain language: break long sentences into shorter ones, replace or define specialist terms inline (e.g. 'ubiquitin tagging — a process that marks and destroys unwanted material'), and aim for a Flesch-Kincaid grade of 9 or below.</t>
  </si>
  <si>
    <t xml:space="preserve">The page starts well with a plain-language summary I can follow, but the 'Detail' section is written at a postgraduate level with jargon-heavy sentences that completely lose me, and the heading 'Detail' gives me no clue what I'm about to read.</t>
  </si>
  <si>
    <t xml:space="preserve">[2.4.6] When I scan the page looking for what I need, a heading that just says 'Detail' tells me nothing. I can't tell if that section is relevant to me without reading the whole thing, which is exhausting. Replace 'Detail' with a specific, descriptive heading that tells readers what the section covers — for example, 'How mitochondrial DNA is passed down' or 'Why only mothers pass on mitochondrial diseases'. || [3.1.5] The 'Detail' section is written at a university postgraduate level. Long, complex sentences packed with technical terms make me lose track of what I'm reading. I'd give up before finishing the paragraph. Rewrite the 'Detail' section using shorter sentences and plain language. Define or replace specialist terms — for example, say 'harmful gene changes' instead of 'deleterious mitochondrial variants', and 'a different pattern from most inherited diseases' instead of 'non-Mendelian inheritance pattern'. Aim for a Flesch-Kincaid grade of 9 or below.</t>
  </si>
  <si>
    <t xml:space="preserve">This page is exactly what I need — one clear heading that tells me what the page is about, short plain sentences, a numbered list I can follow step by step, no surprise animations, no confusing abbreviations, and a reading level so low even a young child could follow it (Flesch–Kincaid grade 0.7, Flesch Reading Ease ~101).</t>
  </si>
  <si>
    <t xml:space="preserve">This page is exactly what I need — one clear heading that tells me what the page is about, short plain sentences, a numbered list I can follow step by step, no surprise animations, and zero abbreviations to trip me up.</t>
  </si>
  <si>
    <t xml:space="preserve">This page is exactly what I need — one clear heading, short plain sentences, no surprise animations, no confusing abbreviations, and a reading level so simple even a young child could follow it.</t>
  </si>
  <si>
    <t xml:space="preserve">run_nvda_full_audit, analyze_heading_structure, check_keyboard_navigation</t>
  </si>
  <si>
    <t xml:space="preserve">This page is completely inaccessible to me — the only interactive element, an image-based search button, has no alt text and no accessible name, so NVDA announces nothing when I focus it, leaving me with no idea what it does or how to use it.</t>
  </si>
  <si>
    <t xml:space="preserve">[1.1.1] When I tab to this image button, NVDA announces nothing meaningful — no label, no description. I have absolutely no idea what this control does. I'm completely stuck. Add a descriptive alt attribute to the &lt;input type='image'&gt; element, e.g., alt="Search" so screen readers can announce its purpose. || [4.1.2] As a keyboard user relying on NVDA, I cannot determine what this widget is (its role) or what it does (its name) before activating it. This is a complete barrier to using the control. Add alt="Search" to the &lt;input type='image'&gt;. This simultaneously provides the accessible name (fixing 1.1.1) and allows NVDA to correctly announce it as a button with a name (fixing 4.1.2). || [1.3.1] I navigate pages by pressing H to jump between headings. With no headings at all, I have no structural landmarks to orient myself within the page content. Add at least one meaningful &lt;h1&gt; heading to give the page a programmatic structure, e.g., &lt;h1&gt;Search&lt;/h1&gt; to describe the page's purpose.</t>
  </si>
  <si>
    <t xml:space="preserve">This page is essentially unusable for me — its only interactive element, an image-based search button, has no alt text, no accessible name, no announced role, and doesn't even respond to keyboard activation, leaving me with zero ability to understand or operate it.</t>
  </si>
  <si>
    <t xml:space="preserve">[1.1.1] When I tab to this image button, NVDA announces nothing meaningful — no label, no description. I have absolutely no idea what this control does. I'm completely stuck. Add a descriptive alt attribute to the &lt;input type='image'&gt; element, e.g., alt="Search". This provides the accessible name that screen readers need to announce the button's purpose. || [1.3.1] I navigate pages by pressing H to jump between headings. With no headings at all, I have no structural landmarks to orient myself — I'm forced to read the entire page linearly, which is exhausting and disorienting. Add a meaningful &lt;h1&gt; heading to the page to establish a clear document structure, even for simple pages. This gives screen reader users a navigational anchor. || [4.1.2] Without a name or role being announced, I cannot tell this is a button, let alone what it does. I might skip over it entirely or activate it accidentally without understanding the consequence. Add alt="Search" to the &lt;input type='image'&gt; so the accessible name is exposed. The browser will then correctly expose its implicit role of 'button' to NVDA, satisfying both the name and role requirements of 4.1.2. || [2.1.1] I can Tab to this element, but pressing Enter does nothing. A keyboard-only user like me cannot actually activate this control, making the page's only interactive element completely non-functional via keyboard. Ensure the image input button has a proper form submission handler or is wired to respond to keyboard activation (Enter key). Verify the element is inside a &lt;form&gt; element so Enter triggers form submission as expected.</t>
  </si>
  <si>
    <t xml:space="preserve">This page is completely inaccessible to me as a blind NVDA user — the sole interactive element, an image-based search button, has no alt text, no accessible name, and no role announced by NVDA, and the page has no heading structure whatsoever to help me orient myself.</t>
  </si>
  <si>
    <t xml:space="preserve">[1.1.1] When I Tab to this image button, NVDA announces nothing meaningful — no label, no description. I have absolutely no idea what this control does. I'm completely stuck. Add a descriptive alt attribute to the image input, e.g., alt="Search". This provides the text alternative NVDA will announce when the element receives focus. || [4.1.2] Without a name or role being announced, I cannot determine what this widget is or what it will do if I activate it. It's an invisible, silent control to me — I can't use it with confidence. Add alt="Search" to the &lt;input type='image'&gt;. This simultaneously satisfies 1.1.1 and provides the accessible name required by 4.1.2. Optionally, also add aria-label="Search" as a belt-and-suspenders measure. || [1.3.1] I navigate pages by pressing H to jump between headings. With no headings at all — not even an H1 — I have no structural landmarks to orient myself. I can't tell what this page is about or where I am within it. Add at least one &lt;h1&gt; that describes the page's purpose, e.g., &lt;h1&gt;Search&lt;/h1&gt;. Even for a minimal page, a heading gives screen reader users critical orientation context.</t>
  </si>
  <si>
    <t xml:space="preserve">This page passes all applicable WCAG criteria — the PDF icon is correctly marked as decorative with alt='', NVDA will skip it cleanly and read 'PDF document' from the adjacent text, and there are no interactive elements or navigation blocks that could create barriers for me.</t>
  </si>
  <si>
    <t xml:space="preserve">This page fails because it has no heading structure whatsoever — pressing H in NVDA gives me nothing, leaving me completely disoriented with no programmatic way to understand what this page is about.</t>
  </si>
  <si>
    <t xml:space="preserve">[1.3.1] When I press H to navigate by headings, NVDA finds nothing. I have no way to understand the structure or purpose of this page's content — I'm dropped into a flat wall of text with no landmarks to orient me. Add a meaningful &lt;h1&gt; heading that describes the page's content or purpose, e.g., &lt;h1&gt;PDF Document&lt;/h1&gt;, so screen reader users can navigate and understand the page structure programmatically.</t>
  </si>
  <si>
    <t xml:space="preserve">This page fails because it has visible text content but no heading structure whatsoever — pressing H in NVDA gives me nothing, leaving me completely unable to navigate or understand the page's organisation.</t>
  </si>
  <si>
    <t xml:space="preserve">[1.3.1] When I press H to navigate by headings, NVDA finds nothing. I have no structural landmarks to orient myself within the page content — I'm dropped into a flat wall of text with no way to understand the page's information hierarchy. Add at least one &lt;h1&gt; element to give the page a meaningful, programmatically determinable structure. For example: &lt;h1&gt;PDF document&lt;/h1&gt; or wrap the content in an appropriate heading that describes the page's purpose.</t>
  </si>
  <si>
    <t xml:space="preserve">This page is completely inaccessible to me — the only interactive element, an image button, has a broken aria-labelledby pointing to a non-existent ID, so NVDA announces neither its name nor its role, leaving me with no idea what it does or that it's even a button.</t>
  </si>
  <si>
    <t xml:space="preserve">[1.1.1] When I Tab to this image button, NVDA says nothing useful — no name, no description. I have absolutely no idea what this button does or even that it is a button. I am completely stuck. Add a descriptive alt attribute directly on the &lt;input type='image'&gt;, e.g., alt='Search'. If aria-labelledby is used, ensure the referenced ID actually exists in the DOM and contains meaningful text. || [4.1.2] Not only do I not know what this control does, I don't even know it's an interactive button. NVDA gives me no name and no role — it's as if the control is invisible to my screen reader. Fix the broken aria-labelledby reference by either pointing it to a real element ID with descriptive text, or replace it with a direct alt attribute (e.g., alt='Search') or aria-label='Search' on the &lt;input type='image'&gt;. || [1.3.1] I navigate pages by pressing H to jump between headings. With no headings at all, I have no structural landmarks to orient myself — I must read the entire page linearly, which is disorienting and inefficient. Add at least one meaningful &lt;h1&gt; heading that describes the page's primary purpose, and use a logical heading hierarchy (h1 → h2 → h3) to structure content.</t>
  </si>
  <si>
    <t xml:space="preserve">This page is critically inaccessible to me: the sole interactive element — an image button — has a broken aria-labelledby pointing to a non-existent ID, so NVDA announces nothing when I land on it, leaving me with no name, no role, and no way to understand or safely use the control.</t>
  </si>
  <si>
    <t xml:space="preserve">[1.1.1] As Lakshmi, when I tab to this image button, NVDA announces nothing — no name, no purpose. I have no idea what this control does. I am completely stuck and cannot make an informed decision about whether to activate it. Add a valid alt attribute directly on the element (e.g., alt='Search') or fix the aria-labelledby to reference an existing element ID that contains descriptive text. The simplest fix is: &lt;input type='image' src='...' alt='Search' /&gt;. || [1.3.1] As Lakshmi, I navigate pages by pressing H to jump between headings. With no headings at all, I have no structural landmarks to orient myself within the page content. Add at least one meaningful &lt;h1&gt; heading that describes the page's primary purpose or content area. || [4.1.2] As Lakshmi, I need NVDA to tell me what a control is (its role) and what it does (its name) before I activate it. This button exposes neither — it is effectively invisible to my screen reader, making it impossible to use safely. Ensure the aria-labelledby value references a real, existing element ID in the DOM, or replace it with a direct alt attribute or aria-label (e.g., aria-label='Search'). Verify with a screen reader that NVDA announces both the name and 'button' role on focus.</t>
  </si>
  <si>
    <t xml:space="preserve">This page is critically inaccessible to me: the sole interactive element — an image-based submit button — has a broken aria-labelledby reference pointing to a non-existent ID, leaving it completely unnamed and unannounced by NVDA, and it doesn't even respond to keyboard activation, making it both invisible and unusable to me as a blind keyboard user.</t>
  </si>
  <si>
    <t xml:space="preserve">[1.1.1] When I tab to this image button, NVDA announces nothing — no name, no purpose. I have no idea what this control does. I am completely stuck and cannot make an informed decision about whether to activate it. Add a descriptive alt attribute directly on the &lt;input type='image'&gt;, e.g., alt='Search'. If aria-labelledby is used, ensure the referenced ID actually exists in the DOM and contains meaningful text. || [4.1.2] As a screen reader user, I rely on NVDA to tell me what a control is and what it does before I press Enter. With no name and no role announced, this button is a black hole — I cannot know it's a button, let alone what it submits. Fix the broken aria-labelledby reference by either pointing it to a real element ID that contains descriptive text, or replace it with a direct alt attribute (e.g., alt='Search') or aria-label='Search' on the input element. || [1.3.1] I navigate pages by pressing H to jump between headings. With no headings at all, I have no structural landmarks to orient myself. I must read the entire page linearly, which is exhausting and disorienting. Add at least one meaningful &lt;h1&gt; heading that describes the page's primary purpose, and use a logical heading hierarchy (h1 → h2 → h3) to structure the content. || [2.1.1] I can tab to this element, but pressing Enter does nothing. A button I can reach but cannot activate is useless to me — I cannot perform the action this control is supposed to trigger. Ensure the image input is properly wired to a form or has a functional submit handler so that pressing Enter while focused on it triggers the intended action.</t>
  </si>
  <si>
    <t xml:space="preserve">This page contains a single decorative background image correctly marked with role='none', which causes NVDA to skip it entirely — no interactive elements, no headings, and no repeated navigation blocks mean all five criteria are either passed or inapplicable.</t>
  </si>
  <si>
    <t xml:space="preserve">This page contains only a single decorative background image correctly marked with role='none', which causes NVDA to skip it entirely — all five WCAG criteria are either satisfied or inapplicable here.</t>
  </si>
  <si>
    <t xml:space="preserve">This page contains a single background image marked with role='none', which correctly removes it from the accessibility tree so NVDA does not announce it — all applicable WCAG criteria pass, and no interactive elements, headings, or navigation blocks are present to evaluate further.</t>
  </si>
  <si>
    <t xml:space="preserve">This page fails on two counts: the W3C logo &lt;object&gt; element's accessible name is not reliably conveyed to NVDA, leaving me with no announcement at all, and the complete absence of any heading structure means I cannot navigate or orient myself using my H-key shortcut.</t>
  </si>
  <si>
    <t xml:space="preserve">[1.1.1] When I land on this element, NVDA announces nothing — not even 'graphic'. I have no idea what this object is or what it contains. The aria-labelledby reference exists in the DOM but NVDA did not pick it up for the &lt;object&gt; element, leaving me completely in the dark. Add a &lt;title&gt; element inside the &lt;object&gt; tag (e.g., &lt;title&gt;W3C logo&lt;/title&gt;) as the primary accessible name mechanism for &lt;object&gt; elements, since aria-labelledby support on &lt;object&gt; is inconsistent across screen readers. Alternatively, provide meaningful fallback text content between the opening and closing &lt;object&gt; tags. || [1.3.1] I navigate pages by pressing H to jump between headings. With zero headings on this page, I have no structural landmarks to orient myself. I cannot quickly scan the page's content or understand its organization — I must read every word linearly from top to bottom. Add at least one meaningful &lt;h1&gt; heading that describes the page's primary content or purpose (e.g., &lt;h1&gt;W3C Logo&lt;/h1&gt;), and use subsequent heading levels (&lt;h2&gt;, &lt;h3&gt;, etc.) to structure any additional content hierarchically.</t>
  </si>
  <si>
    <t xml:space="preserve">This page fails on two counts: the &lt;object&gt; image element lacks a reliable accessible name that NVDA can announce, and the complete absence of any heading structure leaves me with no way to navigate or orient myself on the page.</t>
  </si>
  <si>
    <t xml:space="preserve">[1.1.1] When NVDA encounters this &lt;object&gt;, it may announce only 'graphic' or nothing at all, leaving me with no idea what the image represents. I am stuck without a meaningful description. Replace the &lt;object&gt; with an &lt;img&gt; element and add alt='W3C logo'. If &lt;object&gt; must be used, provide fallback text content inside the element (e.g., &lt;object ...&gt;W3C logo&lt;/object&gt;) in addition to aria-labelledby, as alt is not a valid attribute for &lt;object&gt; and inner text is the standard fallback mechanism. || [1.3.1] I navigate pages by pressing H to jump between headings. With no headings at all, I have no structural landmarks to orient myself within the page content. Add at least one meaningful &lt;h1&gt; heading that describes the page's primary content, e.g., &lt;h1&gt;W3C Logo&lt;/h1&gt;, to give the page a programmatically determinable structure.</t>
  </si>
  <si>
    <t xml:space="preserve">This page fails on two counts: the W3C logo embedded via &lt;object&gt; is effectively invisible to my screen reader despite the aria-labelledby attempt, and the complete absence of any heading structure leaves me with no way to navigate or orient myself on the page.</t>
  </si>
  <si>
    <t xml:space="preserve">[1.1.1] When I land on this element with NVDA, I hear nothing meaningful — the screen reader cannot resolve the aria-labelledby reference on an &lt;object&gt; element in the way it would for an &lt;img&gt;. I am left completely in the dark about what this graphic represents, exactly as if it had no label at all. Replace the &lt;object&gt; element with a standard &lt;img&gt; tag and supply a descriptive alt attribute directly: &lt;img src="/WAI/content-assets/wcag-act-rules/test-assets/shared/w3c-logo.png" alt="W3C logo" /&gt;. This is the most reliable pattern for screen reader support. If &lt;object&gt; must be used, provide fallback text content inside the element itself (e.g., &lt;object ...&gt;W3C logo&lt;/object&gt;) in addition to the aria-labelledby reference. || [1.3.1] I navigate pages by pressing H to jump between headings. With zero headings on this page, I have no structural landmarks to orient myself. I must read through every element linearly with no ability to skim or jump to relevant sections. Add at least one meaningful &lt;h1&gt; that describes the page's primary content or purpose, e.g., &lt;h1&gt;W3C Logo&lt;/h1&gt;. This gives screen reader users a programmatic entry point for understanding page structure.</t>
  </si>
  <si>
    <t xml:space="preserve">This page contains nothing but a plain inline SVG circle with no interactive elements, no headings, no images with alt attributes, and no navigation blocks, so none of my five WCAG criteria apply to it at all.</t>
  </si>
  <si>
    <t xml:space="preserve">run_nvda_full_audit, analyze_heading_structure</t>
  </si>
  <si>
    <t xml:space="preserve">This page contains only a bare inline SVG circle with no text, no headings, no interactive elements, and no navigation — there is simply nothing here for any of my five WCAG criteria to apply to.</t>
  </si>
  <si>
    <t xml:space="preserve">This page contains only a bare inline SVG circle with no text, no headings, no links, no buttons, and no interactive elements — none of my five WCAG criteria apply, so there is nothing for NVDA to navigate or for me to evaluate.</t>
  </si>
  <si>
    <t xml:space="preserve">This page fails on two fronts: the ARIA role misuse on the list creates a broken, uninterpretable widget that NVDA cannot make sense of, and the complete absence of headings leaves me with no structural way to navigate the page at all.</t>
  </si>
  <si>
    <t xml:space="preserve">[4.1.2] When NVDA lands on this element, it announces 'tablist' but finds no tab items inside — just a 'listitem'. I have no idea what this control is, how many tabs there are, or how to interact with it. It's completely disorienting and I cannot determine the purpose or state of this widget. Either (1) remove role="tablist" and role="listitem" to restore native &lt;ol&gt;/&lt;li&gt; semantics, or (2) properly implement the tab pattern: use role="tablist" on a container, with direct children using role="tab" (not role="listitem"), each linked to a role="tabpanel" via aria-controls. || [1.3.1] I navigate pages by pressing H to jump between headings. With no headings at all, I have no structural landmarks to orient myself. I'm forced to read the entire page linearly from top to bottom with no way to understand its organization or skip to relevant sections. Add a meaningful &lt;h1&gt; that describes the page's primary content or purpose, and use subsequent heading levels (&lt;h2&gt;, &lt;h3&gt;, etc.) to reflect the logical structure of the content.</t>
  </si>
  <si>
    <t xml:space="preserve">This page fails on two fronts: an invalid ARIA role ownership (tablist containing listitem instead of tab) leaves me unable to understand or operate the widget with NVDA, and the complete absence of headings means I have no way to navigate or orient myself on the page.</t>
  </si>
  <si>
    <t xml:space="preserve">[4.1.2] As Lakshmi, NVDA will announce this as a 'tab list' but then find no actual tabs inside it — only a 'list item'. I have no way of knowing what this widget is, how many tabs exist, or how to interact with it. The role mismatch leaves me completely disoriented about the widget's purpose and operability. Either (a) remove role="tablist" from the &lt;ol&gt; and role="listitem" from the &lt;li&gt; to restore native list semantics, or (b) if a tab widget is intended, restructure with role="tablist" on a container, role="tab" on each tab element, and role="tabpanel" on each associated panel — with proper aria-controls and aria-selected attributes. || [1.3.1] As Lakshmi, I press H to jump between headings to orient myself on a page. With zero headings, I have no structural landmarks to navigate by — I land on the page with no sense of what it contains or how it is organized. Add a descriptive &lt;h1&gt; that identifies the page's primary content or purpose, and use subsequent heading levels (&lt;h2&gt;, &lt;h3&gt;, etc.) to structure any sub-sections logically.</t>
  </si>
  <si>
    <t xml:space="preserve">This page fails on both structural semantics and ARIA correctness — there are no headings for me to navigate by, and the list element has been given a 'tablist' role with invalid 'listitem' children, which would leave NVDA announcing a broken, unnavigable widget.</t>
  </si>
  <si>
    <t xml:space="preserve">[1.3.1] I press H to jump between headings to orient myself on a page. With zero headings, I land in a sea of content with no structural landmarks to navigate by — I have no idea what this page is about or how its content is organized. Add a meaningful &lt;h1&gt; that describes the page's primary purpose, and use subsequent heading levels (&lt;h2&gt;, &lt;h3&gt;, etc.) to reflect the logical content hierarchy. || [4.1.2] NVDA would announce this as a 'tab list' but find no actual tabs inside it — just a 'list item'. I would have no idea how to interact with it, what it contains, or whether it is a navigation widget at all. The mismatch between the container role and child role leaves me completely disoriented. Either (a) remove role='tablist' from the &lt;ol&gt; and role='listitem' from the &lt;li&gt; to restore native list semantics, or (b) if a tab widget is intended, restructure with proper &lt;div role='tablist'&gt; containing &lt;button role='tab'&gt; children, each controlling a &lt;div role='tabpanel'&gt;.</t>
  </si>
  <si>
    <t xml:space="preserve">This page contains only a presentation-role table with plain text cells — no images, no interactive elements, no headings, and no repeated navigation blocks — so none of my five WCAG criteria apply here.</t>
  </si>
  <si>
    <t xml:space="preserve">This page contains only a static presentation table with plain text cells and no images, interactive elements, headings, or navigation blocks, so none of my five WCAG evaluation criteria apply here.</t>
  </si>
  <si>
    <t xml:space="preserve">This page contains only a presentation-role table with static text cells, no images, no headings, no interactive elements, and no repeated navigation blocks, so none of my five WCAG criteria apply here.</t>
  </si>
  <si>
    <t xml:space="preserve">This page contains only a presentation-role table with static text and no images, interactive elements, headings, or repeated navigation blocks, so none of my five WCAG criteria apply here.</t>
  </si>
  <si>
    <t xml:space="preserve">This page contains only a static presentation table with no images, no interactive elements, no headings, and no repeated navigation blocks, so none of my five WCAG criteria meaningfully apply — there is simply nothing for me to navigate or interact with as a screen reader user.</t>
  </si>
  <si>
    <t xml:space="preserve">This page contains only a presentation-role layout table with static text — no images, no interactive elements, no navigation blocks, and no content structure requiring headings — so none of my five WCAG criteria apply here.</t>
  </si>
  <si>
    <t xml:space="preserve">This page fails on two counts that directly block me: there are no headings for me to navigate by, and the only interactive element — a &lt;span&gt; masquerading as a link — is completely unreachable by keyboard because it has no tabindex, leaving me unable to activate it at all.</t>
  </si>
  <si>
    <t xml:space="preserve">[1.3.1] As Lakshmi, when I press H to jump between headings, NVDA finds nothing. I have no way to understand the page structure or navigate its content efficiently. The malformed list structure (a bare &lt;li&gt; with no parent &lt;ul&gt;/&lt;ol&gt;, and a &lt;span role='link'&gt; as a list child instead of a proper &lt;li&gt; or role='listitem') also means NVDA cannot correctly convey the relationships between these items. Add a meaningful &lt;h1&gt; heading to establish page structure. Fix the list markup: use a &lt;ul&gt; or &lt;ol&gt; as the parent container (or keep role='list' on the &lt;div&gt; but ensure all children have role='listitem'). Replace the bare &lt;li&gt; with a &lt;li&gt; inside a proper list, and wrap the &lt;span role='link'&gt; in a role='listitem' element so the list ownership is valid. || [2.1.1] As Lakshmi, I cannot Tab to 'Item 2' even though it is announced as a link by NVDA. I can never activate it from the keyboard, which means this interactive element is completely inaccessible to me. Add tabindex='0' to the &lt;span role='link'&gt; so it enters the tab order. Also add a keydown event handler for Enter (and optionally Space) to trigger the link action, mirroring native &lt;a href&gt; behaviour. Better yet, replace the &lt;span role='link'&gt; with a native &lt;a href='...'&gt; element, which is keyboard-focusable and activatable by default.</t>
  </si>
  <si>
    <t xml:space="preserve">This page fails on two fronts that directly block me: there are no headings for me to navigate by, and the only interactive element — a span masquerading as a link — is completely unreachable by keyboard, leaving me unable to orient myself or operate the page at all.</t>
  </si>
  <si>
    <t xml:space="preserve">[1.3.1] When I press H to navigate by headings, NVDA finds nothing. I have no way to understand the structure or purpose of this page's content — I'm completely disoriented from the moment I land on it. Add at least one meaningful &lt;h1&gt; element that describes the page's primary topic or purpose. Structure any subsequent sections with appropriately nested &lt;h2&gt;–&lt;h6&gt; headings. || [2.1.1] I cannot Tab to 'Item 2' at all. NVDA will never announce it as a link because focus never lands on it. It is completely invisible to me as a keyboard-only user — I cannot activate it or even know it exists. Add tabindex="0" to the &lt;span role="link"&gt; so it enters the tab order, and add a keyboard event handler (e.g., Enter key) to trigger its action. Better yet, replace it with a native &lt;a href="..."&gt; element, which is focusable and keyboard-operable by default.</t>
  </si>
  <si>
    <t xml:space="preserve">This page fails on multiple fronts — I have no headings to navigate by, a fake link I can never Tab to, and broken list semantics that NVDA cannot reliably interpret, making the content effectively inaccessible to me.</t>
  </si>
  <si>
    <t xml:space="preserve">[1.3.1] I navigate pages by pressing H to jump between headings. With zero headings on this page, I have no structural landmarks to orient myself. I'm dropped into a flat wall of content with no way to understand what this page is about or how it's organized. Add at least one &lt;h1&gt; element that describes the page's primary topic or purpose. Structure any sub-sections with appropriately nested &lt;h2&gt;–&lt;h6&gt; elements. || [2.1.1] I navigate entirely by keyboard. The 'Item 2' element is announced by NVDA as a link, but I can never Tab to it because it's a &lt;span&gt; with no tabindex. I cannot activate something I cannot reach — this link is effectively invisible to me. Replace &lt;span role="link"&gt; with a native &lt;a href="..."&gt; element, which is keyboard-focusable by default. If a &lt;span&gt; must be used, add tabindex="0" and a keyboard event handler (keydown for Enter/Space) alongside the click handler. || [4.1.2] NVDA may misreport or skip 'Item 1' entirely because the &lt;li&gt; is orphaned from a proper list container. The role='link' on the span signals interactivity that I can never actually invoke — NVDA tells me it's a link, but pressing Enter or Tab does nothing. Use semantically correct markup: replace &lt;div role="list"&gt; with a native &lt;ul&gt; or &lt;ol&gt;, and replace &lt;li&gt; and &lt;span role="link"&gt; with proper &lt;li&gt;&lt;a href="..."&gt;...&lt;/a&gt;&lt;/li&gt; structures. Native HTML elements carry correct roles, names, and keyboard behavior without extra ARIA.</t>
  </si>
  <si>
    <t xml:space="preserve">This page fails because it has no heading structure at all — pressing H in NVDA gives me complete silence, leaving me disoriented in a data table with no programmatic context about what I'm reading.</t>
  </si>
  <si>
    <t xml:space="preserve">[1.3.1] When I press H to navigate this page, NVDA finds nothing. I have no way to understand the page's structure or orient myself within it — I land in the middle of a table with no context about what section or topic it belongs to. Add at least one descriptive &lt;h1&gt; element above the table to identify the page's topic (e.g., &lt;h1&gt;Grade Breakdown&lt;/h1&gt;). This gives NVDA a structural anchor and lets me navigate meaningfully with the H key.</t>
  </si>
  <si>
    <t xml:space="preserve">This page is a minimal, well-structured data table with properly associated headers using id and headers attributes — NVDA will correctly announce 'Projects, Exams' as column headers when I navigate the cell containing '15%', and there are no images, interactive elements, or navigation blocks to create any accessibility barriers for me.</t>
  </si>
  <si>
    <t xml:space="preserve">This page is a simple, well-structured data table with properly associated headers using 'id' and 'headers' attributes — NVDA will correctly announce 'Projects' and 'Exams' as column headers when I navigate to the '15%' cell, and there are no interactive elements, images, or navigation blocks to trip me up.</t>
  </si>
  <si>
    <t xml:space="preserve">This page fails because it has no heading structure at all — pressing H in NVDA gives me nothing, leaving me stranded with no way to orient myself or navigate the content, even though the ARIA list and listitem roles themselves are correctly applied.</t>
  </si>
  <si>
    <t xml:space="preserve">[1.3.1] When I press H to jump between headings, NVDA finds nothing. I have no way to understand the page's structure or navigate its content efficiently — I'm forced to read every word linearly from top to bottom. Add a descriptive &lt;h1&gt; at the top of the page (e.g., 'List of Items') to establish a clear document hierarchy. Any major sections that follow should use appropriately nested &lt;h2&gt;, &lt;h3&gt;, etc.</t>
  </si>
  <si>
    <t xml:space="preserve">This page uses a Shadow DOM list with valid ARIA roles — 'role=list' on the host and 'role=listitem' on the children — which is a well-formed ownership pattern that NVDA can interpret correctly, and with no images, headings, or interactive elements required, all five criteria are either passing or inapplicable.</t>
  </si>
  <si>
    <t xml:space="preserve">This page renders a Shadow DOM list correctly at the ARIA level, but it completely fails me as a screen reader user because there are no headings whatsoever — pressing H gives me nothing, leaving me with no way to understand or navigate the page's structure.</t>
  </si>
  <si>
    <t xml:space="preserve">[1.3.1] When I press H to navigate this page, NVDA finds absolutely nothing. There are no headings at all — not even an H1 — so I have no structural landmarks to orient myself. I land on the page completely blind to what it contains or how it is organized. Add at least one meaningful &lt;h1&gt; element that describes the page's purpose (e.g., 'List of Items'). Use a proper heading hierarchy (&lt;h1&gt;, &lt;h2&gt;, etc.) to reflect the content structure so screen reader users can navigate by heading.</t>
  </si>
  <si>
    <t xml:space="preserve">This page has no meaningful content whatsoever — the sole element is a hidden iframe with tabindex='-1', which is invisible and unreachable by NVDA or any keyboard user, so none of my five WCAG criteria apply here.</t>
  </si>
  <si>
    <t xml:space="preserve">This page has no meaningful content whatsoever — the only element is a hidden iframe excluded from the tab order, so none of my five WCAG criteria apply here.</t>
  </si>
  <si>
    <t xml:space="preserve">This page has no visible content whatsoever — the only element is a hidden iframe with tabindex='-1', which is invisible to me as an NVDA user and removed from the tab order, so none of the five WCAG criteria I evaluate have anything to apply to.</t>
  </si>
  <si>
    <t xml:space="preserve">This page contains nothing I can meaningfully interact with or navigate — the sole iframe is marked inert with tabindex='-1', making its embedded link completely unreachable and invisible to NVDA, and there are no images, headings, landmarks, or interactive elements in the main document for any of my five WCAG criteria to apply to.</t>
  </si>
  <si>
    <t xml:space="preserve">This page contains no meaningful content — no images, no headings, no interactive elements reachable by keyboard — because the sole iframe is both inert and has tabindex='-1', making every criterion inapplicable to my experience as Lakshmi using NVDA.</t>
  </si>
  <si>
    <t xml:space="preserve">This page contains only an inert, non-focusable iframe with tabindex='-1' and the inert attribute, meaning there is no meaningful content, no images, no headings, and no interactive elements for me to navigate — all five WCAG criteria are inapplicable here.</t>
  </si>
  <si>
    <t xml:space="preserve">This page is essentially a bare iframe embedding a single home link with no images, no headings needed for content structure, no interactive widgets, and no repeated navigation blocks, so all five WCAG criteria I evaluate are either met or inapplicable — it passes my audit.</t>
  </si>
  <si>
    <t xml:space="preserve">This page fails because it has absolutely no heading structure — pressing H in NVDA gives me nothing, leaving me completely disoriented with no way to understand or navigate the page's content.</t>
  </si>
  <si>
    <t xml:space="preserve">[1.3.1] When I press H to jump between headings, NVDA finds nothing. The page has no structural landmarks I can use to orient myself or navigate efficiently — I'm dropped into a blank void with no sense of where I am or what this page is about. Add at least one meaningful &lt;h1&gt; element that describes the page's primary purpose. Structure any additional content sections with appropriate &lt;h2&gt;–&lt;h6&gt; headings in a logical, non-skipping hierarchy.</t>
  </si>
  <si>
    <t xml:space="preserve">This page fails because it provides no heading structure whatsoever — pressing H in NVDA yields nothing, leaving me completely without a navigational scaffold to understand or move through the page's content.</t>
  </si>
  <si>
    <t xml:space="preserve">[1.3.1] When I press H to navigate by headings, NVDA finds nothing. I have no programmatic structure to orient myself within the page — I cannot determine the page's information hierarchy or jump to any section. Add at least one meaningful &lt;h1&gt; element that describes the page's primary topic or purpose, establishing a clear heading hierarchy for screen reader navigation.</t>
  </si>
  <si>
    <t xml:space="preserve">This page is clean and fully accessible to me as Lakshmi — the single heading is a proper H1 I can jump to with the H key, the link 'WCAG 2.1 Abstract' has a clear, descriptive name that NVDA reads correctly via its accessible name computation, there are no images to worry about, and the simple single-page structure needs no skip link.</t>
  </si>
  <si>
    <t xml:space="preserve">This page is fully accessible to me as Lakshmi — the heading hierarchy is clean with a proper H1 I can jump to, the link is keyboard-reachable and carries a clear, descriptive name that NVDA will announce correctly, there are no images requiring alt text, and no repeated navigation blocks that would need a skip link.</t>
  </si>
  <si>
    <t xml:space="preserve">This page is fully accessible to me as Lakshmi — the single heading is properly structured as an H1 so I can navigate to it with the H key, the link 'WCAG 2.1 Abstract' has a clear, descriptive name that NVDA announces correctly via the native anchor element, and I can reach and activate it with Tab and Enter without any keyboard barriers.</t>
  </si>
  <si>
    <t xml:space="preserve">This page traps content inside a keyboard-inaccessible scrollable region — as a keyboard-only screen reader user, I cannot reach the overflowed text in the clipped section, which is a clear WCAG 2.1.1 failure.</t>
  </si>
  <si>
    <t xml:space="preserve">[2.1.1] As Lakshmi, I cannot scroll through the truncated paragraph content using only my keyboard. The section is visually clipped to 100px, and without a way to keyboard-focus and scroll the container, the rest of the WCAG abstract text is completely inaccessible to me — I only hear the portion NVDA reads before the overflow boundary, with no way to reach the rest. Add tabindex="0" to the scrollable &lt;section&gt; element so keyboard users can focus it and use arrow keys to scroll its content. Alternatively, remove the artificial height constraint and overflow-y: scroll so all content is naturally available in the document flow without requiring scrolling.</t>
  </si>
  <si>
    <t xml:space="preserve">This page traps its only meaningful content inside a mouse-only scroll container — as a keyboard user relying on NVDA, I simply cannot access the full text, making this a serious keyboard accessibility failure under WCAG 2.1.1.</t>
  </si>
  <si>
    <t xml:space="preserve">[2.1.1] As Lakshmi, I cannot reach or scroll this content region using my keyboard. The paragraph is clipped inside a 100px box and the only way to scroll it is with a mouse. I am completely locked out of reading the full text — NVDA will read what it can reach, but the overflowed content is inaccessible to me. Add tabindex="0" to the scrollable &lt;section&gt; element so keyboard users can focus it and use arrow keys to scroll. Alternatively, remove the artificial height/overflow constraint so all content is naturally visible without scrolling.</t>
  </si>
  <si>
    <t xml:space="preserve">This page traps its text content inside a mouse-only scrollable box — as a keyboard user relying on NVDA, I can hear the beginning of the paragraph but have no way to scroll down to read the rest of it, which is a serious barrier to accessing the page's core content.</t>
  </si>
  <si>
    <t xml:space="preserve">[2.1.1] As Lakshmi, I cannot reach the full paragraph text inside this scrollable box using my keyboard alone. The content is visually clipped to 100px and the only way to scroll it is with a mouse — which I cannot use. NVDA reads what it can, but the interactive scroll behaviour is completely inaccessible to me. Add tabindex="0" to the scrollable &lt;section&gt; so keyboard users can focus it and use arrow keys to scroll. Alternatively, remove the artificial height/overflow constraint entirely and let the content flow naturally on the page, which is the preferred solution for most text content.</t>
  </si>
  <si>
    <t xml:space="preserve">This page fails keyboard accessibility because the iframe's tabindex="-1" locks me out of the only interactive element on the page — the 'Home' link — making it completely unreachable without a mouse.</t>
  </si>
  <si>
    <t xml:space="preserve">[2.1.1] As Lakshmi, I press Tab to navigate links and interactive elements. With tabindex="-1" on the iframe, I can never reach the 'Home' link inside it — it simply doesn't exist in my keyboard world. I have no way to activate it without a mouse. Remove the tabindex="-1" attribute from the &lt;iframe&gt; so it participates in the natural tab order, allowing keyboard users to focus into it and reach the embedded link. If the iframe content is purely decorative or non-interactive, remove the link from its srcdoc entirely.</t>
  </si>
  <si>
    <t xml:space="preserve">This page is completely inaccessible to me as a keyboard and screen reader user — the only interactive element (a 'Home' link) is locked inside an iframe that has been deliberately removed from the tab order with tabindex="-1", the iframe has no title for NVDA to announce, and there are no headings whatsoever to help me understand or navigate the page.</t>
  </si>
  <si>
    <t xml:space="preserve">[2.1.1] As Lakshmi, I press Tab to navigate links and interactive elements. With tabindex="-1" on the iframe, I can never reach the 'Home' link inside it — it simply doesn't exist for me. I have no way to activate it without a mouse. Remove tabindex="-1" from the &lt;iframe&gt; so it and its contents participate in the natural tab order, or restructure the navigation so the link lives directly in the parent document rather than inside an iframe. || [4.1.2] As Lakshmi, when NVDA encounters an iframe with no title, it either skips it silently or announces it as 'frame' with no description. I have no idea what content or purpose the frame serves before I enter it. Add a descriptive title attribute to the &lt;iframe&gt;, e.g., &lt;iframe title="Site navigation" ...&gt;. This gives NVDA the name it needs to announce the frame's purpose. || [1.3.1] As Lakshmi, I press H to jump between headings to understand a page's structure and navigate quickly. With no headings at all, I am forced to read the entire page linearly — and on this page, I can't even reach the only interactive element. Add at least one &lt;h1&gt; that describes the page's primary topic or purpose, and use subsequent heading levels (&lt;h2&gt;, &lt;h3&gt;, etc.) to reflect the content hierarchy.</t>
  </si>
  <si>
    <t xml:space="preserve">This page fails me on two fronts: there are no headings for me to navigate by, and the only link on the page is locked inside an iframe with tabindex='-1', making it completely unreachable from my keyboard.</t>
  </si>
  <si>
    <t xml:space="preserve">[1.3.1] When I press H to navigate by headings, NVDA finds nothing. I have no way to understand the page structure or jump to any section — I'm completely disoriented from the moment I land on the page. Add a meaningful &lt;h1&gt; that describes the page's primary purpose, and use subsequent heading levels (h2, h3, etc.) to structure any additional content logically. || [2.1.1] I rely entirely on my keyboard to navigate. The 'Home' link inside the iframe is the only interactive element on this page, but because the iframe is excluded from the tab sequence with tabindex="-1", I can never reach or activate that link using Tab. It is completely invisible to me. Remove tabindex="-1" from the &lt;iframe&gt; so it and its contents participate in the natural tab order. Alternatively, if the iframe content must be accessible, ensure the link is reachable through standard keyboard navigation without relying on the iframe's tab stop.</t>
  </si>
  <si>
    <t xml:space="preserve">This page fails on two fronts that directly cripple my ability to use it: there are zero headings so I cannot navigate by pressing H between the three translations, and there is no &lt;main&gt; landmark so NVDA's landmark navigation leaves me stranded in the nav bar every time I arrive.</t>
  </si>
  <si>
    <t xml:space="preserve">[1.3.1] When I press H to jump between headings, NVDA finds nothing — not a single heading on the entire page. I have no way to distinguish the three translations from each other or from the sidebar content. I have to read every word linearly, which is exhausting on a content-heavy comparison page like this. Wrap the page in a meaningful heading hierarchy: add an &lt;h1&gt; for the page title (e.g., 'Comparing Translations of Romance of the Three Kingdoms, Chapter 1'), then use &lt;h2&gt; for each translator's section (e.g., '&lt;h2&gt;Brewitt-Taylor's Translation&lt;/h2&gt;'). The &lt;aside&gt; about the book could also carry an &lt;h2&gt; or &lt;h3&gt; as appropriate. || [2.4.1] Every time I load this page, I have to Tab through all five skip-link anchors in the navigation before I can reach the actual translation content. There is no &lt;main&gt; landmark for me to jump to with NVDA's landmark navigation (F6), so I am stuck tabbing through repeated nav links on every visit. Replace &lt;div id="main"&gt; with &lt;main id="main"&gt;. This gives NVDA a proper landmark to navigate to. Optionally, also add a 'Skip to main content' link as the very first focusable element pointing to &lt;main&gt;, which is the most reliable bypass pattern.</t>
  </si>
  <si>
    <t xml:space="preserve">This page fails on two fronts that directly cripple my ability to use it: there are zero headings so I cannot navigate by pressing H at all, and the main content has no landmark or working skip mechanism, forcing me to Tab through every navigation link on every page load.</t>
  </si>
  <si>
    <t xml:space="preserve">[1.3.1] When I press H to jump between headings, NVDA finds nothing — I cannot navigate to any of the three translations or the sidebar. I have to read the entire page linearly from top to bottom every single time, with no way to jump directly to Brewitt-Taylor's section or Roberts' section. For a comparison page like this, that is genuinely painful. Add a page-level &lt;h1&gt; (e.g., 'Comparing Translations of Romance of the Three Kingdoms, Chapter One') and mark each translator's section title as an &lt;h2&gt; (e.g., &lt;h2&gt;Brewitt-Taylor's Translation&lt;/h2&gt;, &lt;h2&gt;Roberts' Translation&lt;/h2&gt;, &lt;h2&gt;Yu's Translation&lt;/h2&gt;). The &lt;aside&gt; about the book could use an &lt;h2&gt; as well. || [2.4.1] Every time I load this page I must Tab through all five navigation skip links before reaching the main content. The skip links are supposed to help me bypass the nav block, but they point to plain &lt;p&gt; elements that NVDA cannot programmatically focus, so activating them may do nothing useful. There is also no &lt;main&gt; landmark I can jump to with F6. Wrap the primary content in &lt;main id="main-content"&gt; and add a skip link at the very top pointing to it: &lt;a href="#main-content"&gt;Skip to main content&lt;/a&gt;. Ensure the skip link target is either a focusable element or use tabindex="-1" on the target container so focus actually lands there when the link is activated.</t>
  </si>
  <si>
    <t xml:space="preserve">This page fails on two serious structural counts: there are no headings whatsoever — so my H-key navigation is completely useless on a page that really needs it to compare three translations — and the main content is wrapped in a plain &lt;div&gt; instead of a &lt;main&gt; landmark, meaning neither my skip links nor NVDA's F6 landmark navigation can reliably get me past the repeated navigation block.</t>
  </si>
  <si>
    <t xml:space="preserve">[1.3.1] When I press H to jump between headings, NVDA finds nothing — I land on the page and have no way to navigate to the Brewitt-Taylor section, the Roberts section, or the Yu section by heading. I have to read every word linearly to find what I want, which is exhausting on a comparison page like this. Add a page-level &lt;h1&gt; (e.g., 'Comparing Translations of Romance of the Three Kingdoms, Chapter One') and use &lt;h2&gt; elements for each translator's section heading (e.g., 'Brewitt-Taylor Translation', 'Roberts Translation', 'Yu Translation'). The current &lt;p&gt; elements used as section labels must be replaced with proper heading tags. || [2.4.1] I can Tab through the five skip links in the nav, but pressing Enter on 'Skip to Brewitt-Taylor's translation' moves focus to a plain &lt;p&gt; element — NVDA won't reliably announce that as a landmark destination. More critically, pressing F6 to cycle through landmarks gives me nothing for the main content. Every time I load this page I must Tab through all five nav links before reaching the actual translations. Wrap the main content in a &lt;main&gt; element (replacing or wrapping the &lt;div id='main'&gt;). This gives NVDA a proper landmark to jump to via F6. Optionally add a 'Skip to main content' link as the very first focusable element pointing to &lt;main&gt;. The &lt;aside id='about-book'&gt; is already a landmark and is fine.</t>
  </si>
  <si>
    <t xml:space="preserve">This page fails on three fronts that directly block my ability to use it: there are no headings for me to navigate by, the skip button is a keyboard dead-end that NVDA cannot even announce, and neither the button nor the chapter link is read aloud to me at all.</t>
  </si>
  <si>
    <t xml:space="preserve">[1.3.1] When I press H to navigate this page, NVDA finds nothing. I have no way to understand the page's structure or jump to the main content by heading. I land in a sea of text with no signposts. Add a meaningful &lt;h1&gt; (e.g., 'The Three Kingdoms, Chapter 1') at the top of the main content area. Use additional heading levels (&lt;h2&gt;, &lt;h3&gt;) if sub-sections are added later. || [2.1.1] I can Tab to the skip button, but pressing Enter does nothing. The one mechanism meant to help me bypass repeated content is completely broken for keyboard users. I am forced to Tab through every element on every page load. Replace the onclick with a proper href anchor: change the &lt;button&gt; to &lt;a href='#main' class='skip-link'&gt;Skip to main content&lt;/a&gt;, and ensure the target &lt;div id='main'&gt; is focusable by adding tabindex='-1' to it. || [4.1.2] When I Tab to the skip button and the 'Read Chapter 2' link, NVDA announces nothing — no name, no role. I have no idea what these controls are or what they will do. I cannot make an informed decision about whether to activate them. Verify that NVDA can announce these elements in a live browser environment. For the button specifically, fixing the dead-focus-stop issue (see 2.1.1) may resolve the NVDA silence. Ensure no CSS (e.g., visibility:hidden or opacity:0) is inadvertently suppressing focus announcements.</t>
  </si>
  <si>
    <t xml:space="preserve">This page fails critically on multiple fronts: there are no headings for me to navigate by, the skip button is a keyboard dead-end that does nothing when I press Enter, and NVDA announces neither the name nor the role of the only two interactive elements on the page — leaving me disoriented, unable to skip repeated content, and unable to safely use any controls.</t>
  </si>
  <si>
    <t xml:space="preserve">[1.3.1] I press H to jump between headings to orient myself on a page. With zero headings, I land in a wall of text with no structural landmarks to navigate. I cannot tell where the chapter title is, where the content begins, or how the page is organized. Add a meaningful &lt;h1&gt; (e.g., 'The Three Kingdoms, Chapter 1') and use appropriate subheadings (&lt;h2&gt;, &lt;h3&gt;) to structure the page content hierarchically. || [2.1.1] I can Tab to the skip button and NVDA will announce it, but pressing Enter does nothing. The skip mechanism is completely broken for keyboard users — I am forced to Tab through every element on the page before reaching the main content, every single time I visit. Replace the &lt;button onclick="location.assign('#main')"&gt; with a proper anchor skip link: &lt;a href="#main"&gt;Skip to main content&lt;/a&gt;. Also ensure the target &lt;div id="main"&gt; is replaced with a &lt;main id="main"&gt; landmark element so the skip destination is semantically correct. || [4.1.2] When I Tab to the button and the link, NVDA announces nothing — no name, no role. I have no idea what these controls are or what they do. I cannot safely activate an element I cannot identify, so I am effectively blocked from using both the skip mechanism and the chapter navigation link. Ensure interactive elements expose their name and role correctly to NVDA. For the button, verify it is not hidden or obscured by CSS/scripting. For the link, confirm it has descriptive inner text and is not overridden by conflicting ARIA. Test directly with NVDA to confirm announcements are audible.</t>
  </si>
  <si>
    <t xml:space="preserve">This page fails on three fronts that directly cripple my experience: there are no headings for me to navigate by, the skip button is a dead key that does nothing when I press Enter, and NVDA goes silent when I focus on both interactive controls — leaving me disoriented, stuck, and unable to trust anything on the page.</t>
  </si>
  <si>
    <t xml:space="preserve">[1.3.1] When I press H to jump between headings on this page, nothing happens. I land in a wall of text with no structural landmarks to orient me. I cannot tell where the chapter content begins or what section I am in — I am completely lost. Add a meaningful &lt;h1&gt; for the page title (e.g., 'The Three Kingdoms, Chapter 1') and use &lt;h2&gt; or lower for any subsections. This gives me a navigable skeleton to jump through with the H key. || [2.1.1] I can Tab to the skip button and NVDA announces it, but pressing Enter does nothing. The skip mechanism is completely broken for me as a keyboard user. I am forced to Tab through every element on every page load with no way to jump past repeated content. Replace the &lt;button onclick="location.assign('#main')"&gt; with a standard anchor skip link: &lt;a href="#main"&gt;Skip to main content&lt;/a&gt;. Also ensure the target &lt;div id="main"&gt; is replaced with a &lt;main id="main"&gt; landmark element so the skip destination is semantically correct. || [4.1.2] When I Tab to the skip button or the 'Read Chapter 2' link, NVDA goes silent — it announces neither what the control is called nor what type of control it is. I have no idea what I am focused on or what will happen if I activate it. This is exactly the scenario my persona describes: 'I need to know what every button and link does before I activate it.' Ensure both controls are rendered in a way NVDA can fully parse. For the button, confirm it is not hidden or obscured by CSS. For the link, verify the href is valid and reachable. Consider adding explicit aria-label attributes as a fallback, and test live with NVDA to confirm speech output.</t>
  </si>
  <si>
    <t xml:space="preserve">This page fails me on two fronts: the chapter title is styled text rather than a real heading so I cannot navigate by H key at all, and the only link on the page goes completely silent under NVDA, leaving me unable to determine its name or purpose.</t>
  </si>
  <si>
    <t xml:space="preserve">[1.3.1] When I press H to navigate by headings, NVDA finds nothing. I cannot jump to the chapter title or understand the page structure at all — I have to read through every word linearly just to orient myself. Wrap the chapter title in an &lt;h1&gt; element (e.g., &lt;h1&gt;Three Heroes Swear Brotherhood at a Feast in the Peach Garden&lt;/h1&gt;) and use semantic heading tags for any sub-sections. Remove the font-size styling workaround in favour of CSS applied to real heading elements. || [4.1.2] When I Tab to the 'Read Chapter 2' link, NVDA announces nothing — no name, no role. I have no idea what this focusable element is or where it leads, so I cannot safely activate it. Investigate why NVDA is not announcing this link. Ensure the link text is not hidden via CSS (e.g., visibility:hidden, display:none, or opacity:0 at render time). The link text 'Read Chapter 2' is already descriptive, so no aria-label change is needed — the rendering environment must expose it correctly to the accessibility tree.</t>
  </si>
  <si>
    <t xml:space="preserve">This page fails on two counts: the chapter title is styled text rather than a real heading, so pressing H gives me nothing to navigate by, and NVDA reportedly cannot announce the sole link's name and role, leaving me unable to confidently use the page's only interactive element.</t>
  </si>
  <si>
    <t xml:space="preserve">[1.3.1] When I press H to jump to headings, NVDA finds nothing. I have no way to navigate the page structure or understand that the bold text is the chapter title — it's just announced as plain text buried in the content flow. I have to read the entire page linearly to find anything. Wrap the chapter title in a proper &lt;h1&gt; element (e.g., &lt;h1&gt;Three Heroes Swear Brotherhood at a Feast in the Peach Garden&lt;/h1&gt;) so it is programmatically exposed as a heading. Remove the inline font-size styling and use CSS on the heading element instead. || [4.1.2] If NVDA truly fails to announce the link's name and role when I Tab to it, I land on a silent focus stop with no idea what it is or where it goes. I cannot make an informed decision about whether to activate it. Verify the link is correctly exposed in the accessibility tree during live NVDA testing. Ensure no CSS (e.g., display:none or visibility:hidden) or JavaScript is suppressing the announcement. The underlying markup (&lt;a href="..."&gt;Read Chapter 2&lt;/a&gt;) is semantically correct and should be sufficient — confirm no runtime interference is silencing NVDA.</t>
  </si>
  <si>
    <t xml:space="preserve">This page fails on two fronts that directly block my ability to use it: the chapter title is styled text with no heading markup, so pressing H gives me nothing to navigate by, and the only link on the page is not being announced by NVDA, leaving me unable to understand or trust what it does.</t>
  </si>
  <si>
    <t xml:space="preserve">[1.3.1] When I press H to jump to headings, NVDA finds nothing. I have no way to navigate the page structure or understand that the bold text is the chapter title — it's just announced as plain text with no semantic meaning. I'm forced to read every word linearly from the top. Replace the &lt;strong style="font-size: 18pt"&gt; element with a proper &lt;h1&gt; heading. The page title and chapter title should be marked up semantically, e.g., &lt;h1&gt;Three Heroes Swear Brotherhood at a Feast in the Peach Garden&lt;/h1&gt;, so screen reader users can navigate directly to it. || [4.1.2] When I Tab to the 'Read Chapter 2' link, NVDA announces nothing — no link text, no role. I have no idea what this focusable element is or where it leads. I cannot make an informed decision about whether to activate it. Investigate why NVDA is not announcing this link during focus. Ensure the link has visible, descriptive text content (which it does — 'Read Chapter 2') and that no CSS or ARIA attributes are suppressing its announcement. Test with a live NVDA session to confirm the link is properly announced as 'Read Chapter 2 link'.</t>
  </si>
  <si>
    <t xml:space="preserve">This page is essentially an empty shell — a lone SVG with no HTML heading structure, no interactive elements, and no landmarks, leaving me completely disoriented with no way to navigate or understand the page's content using NVDA.</t>
  </si>
  <si>
    <t xml:space="preserve">[1.3.1] When I press H to navigate by headings, there is absolutely nothing for NVDA to jump to. The page has no structural landmarks whatsoever — just a bare SVG element with an internal title. I have no way to understand the page's organisation or orient myself within it. Add a proper heading hierarchy starting with an &lt;h1&gt; element in the HTML document to give the page a programmatically determinable structure. The SVG &lt;title&gt; element is not a substitute for HTML heading structure.</t>
  </si>
  <si>
    <t xml:space="preserve">This snippet is just a bare SVG element with an inline title and no page content whatsoever — no headings to navigate, no images to describe, no buttons or links to reach, and no repeated blocks to bypass, so none of my five WCAG criteria apply here.</t>
  </si>
  <si>
    <t xml:space="preserve">This page is just a bare SVG element with a title and nothing else — there are no images, headings, interactive controls, or navigation blocks for any of my five WCAG criteria to apply to.</t>
  </si>
  <si>
    <t xml:space="preserve">This Course Listings page fails me on multiple fronts: there are no headings for me to navigate by H key, no landmarks or skip link to bypass the 8-link navigation block, and NVDA's speech capture flagged all navigation links as silently unannounced — making this page seriously inaccessible for a screen reader user like me.</t>
  </si>
  <si>
    <t xml:space="preserve">[1.3.1] When I press H to jump to headings on this Course Listings page, NVDA finds nothing. I have no way to understand the page structure or skip to the course content — I am forced to Tab through all 8 navigation links every single time just to reach the body text. Add a meaningful &lt;h1&gt; for the page title (e.g., &lt;h1&gt;Course Listings&lt;/h1&gt;) and use appropriate subheadings (e.g., &lt;h2&gt;) to delineate sections such as the navigation area and the course content area. || [2.4.1] There is no skip link and no &lt;nav&gt; or &lt;main&gt; landmark for me to jump to with NVDA's landmark navigation (F6). Every time I land on this page I must Tab through all 8 navigation links before I can reach the course listing content. This is exhausting and time-consuming. Wrap the navigation links in a &lt;nav&gt; element and the main content in a &lt;main&gt; element. Additionally, add a visible-on-focus skip link as the very first element: &lt;a href="#main-content" class="skip-link"&gt;Skip to main content&lt;/a&gt;, with a matching id on the &lt;main&gt; tag. || [4.1.2] If NVDA truly fails to announce the name and role of these links, I would hear nothing when tabbing to them — I would have no idea whether I am on a link, a button, or where it leads, making navigation completely impossible. Verify NVDA announces each link correctly in a live browser environment. The static ARIA tree shows correct names and roles, so this may be a rendering/environment artifact. To be safe, ensure links are native &lt;a href&gt; elements (they already are) and that no CSS or script is suppressing focus announcements. No structural change appears needed based on the raw ARIA data.</t>
  </si>
  <si>
    <t xml:space="preserve">This page fails on two fronts that directly cripple my ability to use it: there are no headings at all so my H-key navigation is completely useless, and with no skip link or landmarks I'm forced to Tab through eight navigation links every single time just to reach the course content.</t>
  </si>
  <si>
    <t xml:space="preserve">[1.3.1] When I press H to navigate this page, NVDA finds nothing. I have no way to understand the page's structure or jump to the course content — I'm forced to read every word linearly from the top, including all eight navigation links, just to reach the introductory paragraphs. Add a &lt;h1&gt; for the page title (e.g., &lt;h1&gt;Course Listings&lt;/h1&gt;) and use appropriate subheadings (e.g., &lt;h2&gt;) to introduce content sections. This gives NVDA's H-key navigation meaningful landmarks within the page content. || [2.4.1] Every time I land on this page — or any page on this site — I must Tab through all eight navigation links before I can reach the actual course content. There is no skip link and no landmark I can jump to with NVDA's landmark navigation (F6). This is exhausting and slow. Add a 'Skip to main content' link as the very first focusable element, pointing to a &lt;main id="main-content"&gt; landmark wrapping the page content. Also wrap the navigation links in a &lt;nav&gt; element so NVDA's landmark navigation can identify and bypass it.</t>
  </si>
  <si>
    <t xml:space="preserve">This page fails on two fronts that directly cripple my ability to use it: there are no headings for me to navigate by, and the eight-link navigation block has no skip mechanism or landmark structure, forcing me to Tab through every link on every page load just to reach the content.</t>
  </si>
  <si>
    <t xml:space="preserve">[1.3.1] When I press H to navigate this page, NVDA finds nothing. I land on the page with no idea what section I'm in or what the page is about — I have to read every paragraph linearly just to orient myself, which is exhausting and slow. Add a descriptive &lt;h1&gt; (e.g., &lt;h1&gt;Course Listings&lt;/h1&gt;) at the top of the main content area. Use &lt;h2&gt; or lower for any subsections. This gives me a reliable landmark I can jump to instantly with the H key. || [2.4.1] Every time I load this page I must Tab through all 8 navigation links — Home, Courses, Faculty, Admissions, Research, Library, Calendar, Contact — before I can reach the actual course listing content. There is no way to skip past them. On a real site with dozens of nav items, this becomes completely unworkable. Wrap the navigation links in a &lt;nav&gt; element (which provides a landmark I can jump to with NVDA's landmark navigation) and add a skip link as the very first focusable element: &lt;a href="#main-content" class="skip-link"&gt;Skip to main content&lt;/a&gt;. Also wrap the main content in &lt;main id="main-content"&gt;.</t>
  </si>
  <si>
    <t xml:space="preserve">This bare-bones maintenance page has a single, well-formed H1, no images, no interactive elements, and a proper &lt;main&gt; landmark — there is nothing here that could trip up my NVDA session, and every WCAG criterion I evaluate is either cleanly passed or simply does not apply.</t>
  </si>
  <si>
    <t xml:space="preserve">This simple maintenance page is fully accessible to me as Lakshmi — it has a clear, properly structured H1 heading I can jump to immediately, no images that could be missing alt text, no interactive elements to get stuck on, and a clean landmark structure with a &lt;main&gt; region, so there is nothing here that would trip up NVDA.</t>
  </si>
  <si>
    <t xml:space="preserve">This simple maintenance page is fully accessible to me as Lakshmi — it has a clear, properly structured H1 heading I can jump to immediately, no images that could be missing alt text, no interactive elements to get stuck on, and a single main landmark with no repeated navigation blocks to bypass.</t>
  </si>
  <si>
    <t xml:space="preserve">This page is unusable for me — the only interactive element, a text input, announces nothing to NVDA because it has no programmatic label, and the page has no heading structure whatsoever, leaving me completely disoriented.</t>
  </si>
  <si>
    <t xml:space="preserve">[4.1.2] When I tab to this input field, NVDA announces nothing meaningful — no name, no role. I have absolutely no idea what I'm supposed to type into this field. I cannot use this form. Associate the label with the input using a proper &lt;label&gt; element: replace the &lt;div&gt;last name&lt;/div&gt; with &lt;label for="lastName"&gt;Last Name&lt;/label&gt; and add id="lastName" to the &lt;input&gt;. Alternatively, add aria-label="Last Name" directly to the &lt;input&gt;. || [1.3.1] I navigate pages by pressing H to jump between headings. With no headings at all — not even an H1 — I have no structural landmarks to orient myself. I can't quickly understand what this page is about or navigate its sections. Add a meaningful &lt;h1&gt; heading that describes the page's purpose, for example: &lt;h1&gt;User Registration&lt;/h1&gt; or &lt;h1&gt;Contact Information&lt;/h1&gt;.</t>
  </si>
  <si>
    <t xml:space="preserve">This page is inaccessible to me as a blind NVDA user — the only interactive element, a text input, has no label so NVDA announces nothing when I focus it, and the complete absence of headings leaves me with no way to understand or navigate the page structure.</t>
  </si>
  <si>
    <t xml:space="preserve">[4.1.2] When I tab to this input field, NVDA says absolutely nothing meaningful — no label, no role. I have no idea what I'm supposed to type into it. The visible text 'last name' is in a plain &lt;div&gt; with no programmatic association to the input, so my screen reader cannot connect the two. Associate the label with the input using a &lt;label&gt; element with a matching 'for' attribute and an 'id' on the input (e.g., &lt;label for="lastname"&gt;last name&lt;/label&gt; &lt;input id="lastname" /&gt;), or use aria-label / aria-labelledby on the input directly. || [1.3.1] I navigate pages by pressing H to jump between headings. With zero headings on this page, I have no structural landmarks to orient myself. I must read through every element linearly, which is disorienting and inefficient. Add a meaningful &lt;h1&gt; to identify the page's primary purpose (e.g., &lt;h1&gt;Contact Information&lt;/h1&gt;), and use appropriate heading levels to structure any subsequent sections.</t>
  </si>
  <si>
    <t xml:space="preserve">This page is inaccessible to me: the only interactive element, a text input, has no label that NVDA can announce, and the page has no heading structure whatsoever, leaving me completely disoriented with no way to understand what I'm being asked to do.</t>
  </si>
  <si>
    <t xml:space="preserve">[4.1.2] When I tab to this input field, NVDA says absolutely nothing meaningful — no label, no role. I have no idea what I'm supposed to type into it. The visible text 'last name' is in a plain &lt;div&gt; with no programmatic association to the input, so it is completely invisible to my screen reader. Associate the label with the input using a &lt;label&gt; element with a matching 'for' attribute and an 'id' on the input (e.g., &lt;label for="lastname"&gt;last name&lt;/label&gt; &lt;input id="lastname" /&gt;), or use aria-label / aria-labelledby on the input directly. || [1.3.1] I press H to jump between headings to orient myself on a page. With zero headings, I have no structural landmarks to navigate by, and the page content is presented as a flat, undifferentiated block of text. Add a meaningful &lt;h1&gt; to identify the page's purpose (e.g., &lt;h1&gt;User Registration&lt;/h1&gt;) and use proper semantic HTML elements for labels and structure throughout.</t>
  </si>
  <si>
    <t xml:space="preserve">This page fails on multiple fronts: the only interactive element — a Save button — is flung off-screen with extreme CSS positioning, making it a silent, unactivatable dead end for me as an NVDA user, and the page has no heading structure whatsoever, leaving me completely disoriented.</t>
  </si>
  <si>
    <t xml:space="preserve">[2.1.1] As Lakshmi, I can Tab to this button and NVDA will announce it, but pressing Enter does nothing. I have no way to actually trigger the Save action. A button I can reach but cannot activate is effectively inaccessible to me. Do not use extreme negative CSS positioning to hide interactive elements. If the button should be hidden, use the 'hidden' attribute or 'display: none' (which removes it from both view and tab order). If it should be visible and functional, remove the .notInPage CSS and place it in the normal document flow. || [4.1.2] As Lakshmi, when I Tab to this element, NVDA says nothing at all. I have no idea what I've focused on — I don't hear 'Save button'. I'm completely in the dark about what this control is or what it does. Ensure interactive controls are placed in the visible, in-flow document layout so that NVDA can announce their name and role on focus. If a visually hidden but screen-reader-accessible button is genuinely needed, use a proper visually-hidden technique (e.g., clip-path or clip-based CSS) that keeps the element within the viewport coordinate space, not at -9999px. || [1.3.1] As Lakshmi, I press H to jump between headings to orient myself on a page. With no headings at all — not even an H1 — I have no structural landmarks to navigate by. I land on the page with no sense of what it is or what it contains. Add at least one meaningful &lt;h1&gt; that describes the page's purpose (e.g., &lt;h1&gt;Document Editor&lt;/h1&gt;). Use a logical heading hierarchy (&lt;h1&gt; → &lt;h2&gt; → &lt;h3&gt;) to structure all major sections of content.</t>
  </si>
  <si>
    <t xml:space="preserve">This page is inaccessible to me as a blind keyboard user — the only interactive element, a 'Save' button, is flung off-screen with negative CSS positioning, making it a silent dead-end that NVDA cannot announce and I cannot activate, and the page has no heading structure whatsoever to help me orient myself.</t>
  </si>
  <si>
    <t xml:space="preserve">[2.1.1] As Lakshmi, I can Tab to this button and NVDA will announce 'Save button', but pressing Enter does nothing. I have no way to actually trigger the Save action. A button I can reach but cannot activate is effectively broken for me. Remove the 'notInPage' CSS class from the button, or if the button is intentionally hidden, use 'display: none' or 'visibility: hidden' so it is removed from the tab order entirely. If the button must be functional, position it within the visible viewport and ensure it has a working click/keypress handler. || [4.1.2] As Lakshmi, NVDA goes completely silent when focus lands on this button. I hear nothing — no name, no role. I have no idea what I've focused on or what it does, which is exactly the scenario my persona describes: 'I need to know what every button and link does before I activate it.' Ensure the button is in a visible, on-screen position so NVDA can properly announce its name and role. If a visually hidden but screen-reader-accessible button is needed, use the standard sr-only pattern (clip + clip-path + 1px size) rather than large negative positioning, and verify NVDA announces it correctly. || [1.3.1] As Lakshmi, I press H to jump between headings to orient myself on a page. With no headings at all, pressing H does nothing and I have no structural landmarks to navigate by. I'm left reading the entire page linearly with no way to skip to relevant sections. Add at least one meaningful &lt;h1&gt; that describes the page's primary purpose, and use subsequent heading levels (&lt;h2&gt;, &lt;h3&gt;, etc.) to structure any additional content sections.</t>
  </si>
  <si>
    <t xml:space="preserve">This page is critically inaccessible to me — the sole interactive element, a 'Save' button, is flung off-screen with negative CSS positioning, causing NVDA to go completely silent on it and making it impossible to activate, while the page also lacks any heading structure for me to orient myself.</t>
  </si>
  <si>
    <t xml:space="preserve">[2.1.1] As Lakshmi, I can Tab to this button and NVDA will announce 'Save button', but pressing Enter does nothing. I have no way to actually trigger the Save action. A button I can reach but cannot activate is functionally inaccessible to me. Do not use large negative positioning (left: -9999px) to hide interactive elements. If the button should be hidden, use the 'hidden' attribute or 'display: none' to remove it from both the visual and interactive layer entirely. If it should be visible and usable, remove the .notInPage CSS class so it renders in the normal document flow. || [4.1.2] Even if I somehow Tab to this button, NVDA announces nothing — no name, no role. I am completely in the dark about what this control is or what it does. NVDA just goes silent, which is deeply disorienting. Ensure the button is positioned within the visible viewport so NVDA can properly announce its name ('Save') and role ('button'). The accessible name exists in the markup — the CSS positioning is what prevents NVDA from surfacing it. || [1.3.1] I navigate pages by pressing H to jump between headings. With no headings at all, I have no structural landmarks to orient myself. I land on the page and have no idea where I am or how the content is organized. Add at least one meaningful &lt;h1&gt; that describes the page's purpose (e.g., &lt;h1&gt;Save Document&lt;/h1&gt;). Use a logical heading hierarchy to structure any additional content.</t>
  </si>
  <si>
    <t xml:space="preserve">This page is essentially a bare shell — no images, no headings, no interactive elements, and the sole iframe carries role='none' which strips it of any widget semantics — so none of my five WCAG criteria have anything meaningful to latch onto here.</t>
  </si>
  <si>
    <t xml:space="preserve">This page contains only an &lt;iframe&gt; with role='none', no images, no headings, and no interactive elements, making all five WCAG criteria I evaluate inapplicable to this shell document.</t>
  </si>
  <si>
    <t xml:space="preserve">This page contains only an &lt;iframe&gt; with role='none', no images, no headings, and no interactive elements, making all five WCAG criteria I evaluate effectively inapplicable to its static shell.</t>
  </si>
  <si>
    <t xml:space="preserve">This page fails on three counts — the image input is silent to NVDA, there are no headings to navigate by, and the only interactive element cannot be activated by keyboard — making it effectively unusable for me as a blind keyboard user.</t>
  </si>
  <si>
    <t xml:space="preserve">[4.1.2] When I tab to this element, NVDA says nothing — no name, no role. I have no idea what this control is or what it does. I cannot make an informed decision about whether to activate it, which is exactly the kind of barrier that stops me cold. Replace &lt;input type='image'&gt; with a standard &lt;button&gt; element containing descriptive text, or a &lt;button&gt; with an aria-label and an &lt;img&gt; with a proper alt attribute. Standard button elements have well-supported name and role exposure across all screen readers including NVDA. || [1.3.1] I navigate pages by pressing H to jump between headings. With no headings at all, I have no structural landmarks to orient myself. I must read the entire page linearly, which is disorienting and inefficient. Add at least one meaningful &lt;h1&gt; that describes the page's primary purpose, and use subsequent heading levels (&lt;h2&gt;, &lt;h3&gt;, etc.) to structure any additional content logically. || [2.1.1] I can tab to this element, but pressing Enter or Space does nothing. A control I can focus but not activate is functionally inaccessible to me — it's like a locked door with a handle. Ensure the image input responds to keyboard activation events. Better yet, replace it with a &lt;button&gt; element, which natively handles keyboard activation without any additional scripting.</t>
  </si>
  <si>
    <t xml:space="preserve">This page fails on two fronts that directly block me: NVDA goes completely silent when I focus the only interactive control, leaving me unable to identify or use it, and the total absence of headings means I have no structural way to orient myself on the page.</t>
  </si>
  <si>
    <t xml:space="preserve">[4.1.2] When I Tab to this control, NVDA says nothing meaningful — I have no idea what it is, what it does, or that it's even a button. I cannot make an informed decision about whether to activate it. Replace &lt;input type='image'&gt; with a standard &lt;button&gt; element containing descriptive text or an &lt;img&gt; with proper alt text inside it. Alternatively, add role='button' and aria-label='Download' explicitly, and verify NVDA announces both the name and role correctly. || [1.3.1] I navigate pages by pressing H to jump between headings. With no headings at all, I have no structural landmarks to orient myself — I'm dropped into a flat, undifferentiated page with no way to understand its layout or skip to relevant sections. Add at least one meaningful &lt;h1&gt; that describes the page's primary purpose (e.g., &lt;h1&gt;Download&lt;/h1&gt;), and use a logical heading hierarchy for any additional sections.</t>
  </si>
  <si>
    <t xml:space="preserve">This page fails on multiple fronts — NVDA announces nothing when I focus the only interactive element, I can't activate it with my keyboard, and there are no headings to help me understand or navigate the page structure.</t>
  </si>
  <si>
    <t xml:space="preserve">[4.1.2] When I tab to this control, NVDA says nothing — I have no idea what it is, what it does, or that it's even a button. I cannot use it safely or confidently. Replace &lt;input type='image'&gt; with a standard &lt;button&gt; element containing an &lt;img&gt; with a proper alt attribute, or use role='button' with aria-label='Download' and ensure the element is fully exposed to the accessibility tree. Test with NVDA to confirm the name and role are announced on focus. || [2.1.1] I can tab to this element, but pressing Enter or Space does nothing. As a keyboard-only user, I am completely unable to activate this control. Ensure the image input has a functional form submission action, or replace it with a &lt;button type='submit'&gt; that responds correctly to keyboard activation. || [1.3.1] I navigate pages by pressing H to jump between headings. With no headings at all, I have no structural landmarks to orient myself — I'm forced to read the entire page linearly, which is disorienting and inefficient. Add at least one meaningful &lt;h1&gt; that describes the page's primary purpose, and use a logical heading hierarchy throughout the content.</t>
  </si>
  <si>
    <t xml:space="preserve">This page fails me on two fronts: pressing H gives me complete silence because there are no headings to navigate by, and both iframes announce themselves identically so I cannot tell them apart without diving into each one.</t>
  </si>
  <si>
    <t xml:space="preserve">[1.3.1] When I press H to navigate by headings, NVDA finds nothing. I have no structural map of this page whatsoever — I cannot orient myself or understand what content is present. Add a meaningful &lt;h1&gt; that describes the page's purpose, and use subsequent heading levels (&lt;h2&gt;, &lt;h3&gt;, etc.) to structure any content within or around the iframes. || [4.1.2] When I Tab to each iframe, NVDA reads the same name twice. I cannot tell whether these are the same content or two different sections — I am forced to enter each frame blindly to figure out the difference, which is disorienting and time-consuming. Give each iframe a unique, descriptive title attribute that reflects its distinct content or purpose — for example, title='List of Contributors – Part 1' and title='List of Contributors – Part 2', or more semantically meaningful names that differentiate the two embedded documents.</t>
  </si>
  <si>
    <t xml:space="preserve">This page fails because it has no heading structure whatsoever — pressing H in NVDA gives me nothing, leaving me completely disoriented with two unlabelled iframes and no way to understand the page's content or navigate it efficiently.</t>
  </si>
  <si>
    <t xml:space="preserve">[1.3.1] When I press H to navigate this page, NVDA finds absolutely nothing. I have no structural landmarks or headings to orient myself — I land on the page with no idea what it contains or how it is organized. I cannot jump to any section because none are marked up. Add a meaningful &lt;h1&gt; to the page that describes its overall purpose, and use appropriate subheadings (&lt;h2&gt;, &lt;h3&gt;, etc.) to label each iframe's content area or surrounding sections so I can navigate by heading structure.</t>
  </si>
  <si>
    <t xml:space="preserve">This page is essentially a bare shell with two identically-titled iframes and zero headings, leaving me completely disoriented — pressing H gives me nothing, and I have no structural context to understand what I'm even looking at.</t>
  </si>
  <si>
    <t xml:space="preserve">[1.3.1] When I press H to navigate this page, NVDA finds absolutely nothing. I have no structural landmarks to orient myself, and I cannot understand the layout or purpose of the page's content sections. Add a meaningful &lt;h1&gt; heading that describes the page's primary purpose (e.g., 'Contributors'), and use subsequent heading levels (&lt;h2&gt;, &lt;h3&gt;, etc.) to structure any sub-sections within or around the iframes.</t>
  </si>
  <si>
    <t xml:space="preserve">check_timing_and_timeouts, check_location_indicators, analyze_readability_and_abbreviations, validate_form_errors_and_labels</t>
  </si>
  <si>
    <t xml:space="preserve">This page really worries me — it yanks me away after just 5 seconds with no way to stop it, and there's nothing like a breadcrumb or even a page title to tell me where I even am.</t>
  </si>
  <si>
    <t xml:space="preserve">[2.2.1] I get anxious when a page suddenly whisks me away before I've finished reading. Five seconds is nowhere near enough time for me to process what's on the screen, and there's no button to pause or extend it. I'd feel lost and stressed. Remove the meta refresh redirect entirely, or replace it with a user-initiated control (e.g., a clearly labelled button: 'Go to W3.org'). If a timed redirect is truly necessary, provide a visible countdown with controls to cancel or extend the time limit by at least 10×. || [2.4.8] Breadcrumbs help me see where I am on the website. Without them — and without even a page title or heading — I have no idea where I've landed or how to get back to where I was. I'd feel completely disoriented. Add a breadcrumb navigation element (e.g., &lt;nav aria-label="Breadcrumb"&gt;&lt;ol&gt;&lt;li&gt;&lt;a href="/"&gt;Home&lt;/a&gt;&lt;/li&gt;&lt;li aria-current="page"&gt;Current Page&lt;/li&gt;&lt;/ol&gt;&lt;/nav&gt;). Also add a descriptive &lt;title&gt; and an &lt;h1&gt; so I always know where I am.</t>
  </si>
  <si>
    <t xml:space="preserve">This page really worries me — it's going to redirect me away in just 5 seconds with no way to stop it, and there are no breadcrumbs to even tell me where I am in the first place.</t>
  </si>
  <si>
    <t xml:space="preserve">[2.2.1] I process things slowly, and a 5-second countdown before the page whisks me away to somewhere else makes me really anxious. I can't read, click, or do anything in time — and there's no button to pause or stop it. I'd feel lost and panicked. Remove the auto-redirect entirely, or replace it with a user-initiated link/button. If a timed redirect is truly necessary, provide visible controls to pause, extend (at least 10×), or disable the timer before it fires. || [2.4.8] Without breadcrumbs or any location cue, I have no idea where I am on the site. I can easily get disoriented and not know how to get back to where I started. Add a breadcrumb navigation (e.g., Home &gt; Section &gt; Current Page) marked up with aria-label='breadcrumb' and aria-current='page' on the active item. Also add a descriptive &lt;title&gt; and an &lt;h1&gt; to reinforce location.</t>
  </si>
  <si>
    <t xml:space="preserve">This page really worries me — it's going to redirect me away in just 5 seconds with no way to stop it, and there are no breadcrumbs or page title to even tell me where I am in the first place.</t>
  </si>
  <si>
    <t xml:space="preserve">[2.2.1] I process things slowly, and a 5-second countdown before the page whisks me away to somewhere else makes me really anxious. I can't read, click, or do anything in time — and there's no button to pause or extend it. I'd feel lost and panicked. Remove the meta refresh redirect entirely, or replace it with a user-initiated control (e.g., a clearly labelled link or button the user clicks to navigate). If a time limit is truly necessary, provide controls to turn it off, adjust it, or extend it by at least 10x the default, per WCAG 2.2.1. || [2.4.8] Without breadcrumbs or any location signal, I have no idea where I am on the site. Breadcrumbs are how I keep track of where I've been and how to get back. When they're missing, I feel lost and I might just give up. Add a breadcrumb navigation component (e.g., Home &gt; Section &gt; Current Page) marked up with aria-label='Breadcrumb' and aria-current='page' on the last item. Also add a meaningful &lt;title&gt; and an &lt;h1&gt; to reinforce location.</t>
  </si>
  <si>
    <t xml:space="preserve">This page left me completely lost — there are no breadcrumbs, no page title, and no heading to tell me where I am on the site.</t>
  </si>
  <si>
    <t xml:space="preserve">[2.4.8] I can't tell where I am on this website. Without breadcrumbs or any location clue, I get lost and don't know how to find my way back to where I started. Add a breadcrumb trail (e.g., &lt;nav aria-label="Breadcrumb"&gt;&lt;ol&gt;&lt;li&gt;&lt;a href="/"&gt;Home&lt;/a&gt;&lt;/li&gt;&lt;li aria-current="page"&gt;Current Page&lt;/li&gt;&lt;/ol&gt;&lt;/nav&gt;) and a meaningful &lt;title&gt; and &lt;h1&gt; so I always know where I am.</t>
  </si>
  <si>
    <t xml:space="preserve">[2.4.8] I can't tell where I am on this site. Without breadcrumbs or any location clue, I get lost and don't know how to find my way back to where I started. Add a breadcrumb trail (e.g., &lt;nav aria-label="Breadcrumb"&gt;&lt;ol&gt;&lt;li&gt;&lt;a href="/"&gt;Home&lt;/a&gt;&lt;/li&gt;&lt;li aria-current="page"&gt;Current Page&lt;/li&gt;&lt;/ol&gt;&lt;/nav&gt;) and a meaningful &lt;title&gt; and &lt;h1&gt; so I always know where I am.</t>
  </si>
  <si>
    <t xml:space="preserve">This page left me completely lost — there are no breadcrumbs, no page title, and no heading to tell me where I am, which is really upsetting when I'm trying to find my way around a site.</t>
  </si>
  <si>
    <t xml:space="preserve">[2.4.8] Without breadcrumbs or any location signal, I have no idea where I am on this site. I can't retrace my steps or figure out how I got here, which makes me feel lost and confused. Add a visible breadcrumb trail (e.g., Home &gt; Section &gt; Current Page) using a &lt;nav aria-label="Breadcrumb"&gt; with an ordered list, and mark the current page with aria-current="page". Also add a meaningful &lt;title&gt; and an &lt;h1&gt; heading.</t>
  </si>
  <si>
    <t xml:space="preserve">This page fails me right away — it redirects me instantly with no warning and no way to stop it, and the session timeout messages on the other end have no controls to help me, so I'd feel lost and rushed before I even started.</t>
  </si>
  <si>
    <t xml:space="preserve">[2.2.1] I never even get a chance to read or do anything on this page — it just yanks me away instantly. And once I land somewhere, if my session is about to expire, I have no way to ask for more time. That makes me really anxious because I process things slower and I can't beat the clock. Remove the instant meta refresh redirect entirely, or replace it with a user-initiated navigation (e.g., a clearly labelled link or button). If a session timeout is genuinely needed on the destination, provide a visible warning with at least 20 seconds to extend the session, and add a control (e.g., 'Keep me signed in') so users can request more time.</t>
  </si>
  <si>
    <t xml:space="preserve">This page instantly redirects me somewhere else with no warning and no way to stop it — I don't even get a chance to read anything before I'm whisked away, which is really frightening and disorienting for me.</t>
  </si>
  <si>
    <t xml:space="preserve">[2.2.1] I get anxious when forms have time limits I can't extend — but this page doesn't even give me a chance. It redirects me instantly, with zero warning and no way to stop it. I don't know what happened or where I went. That's really scary and confusing for me. Remove the instant meta refresh redirect entirely. If a redirect is truly necessary, replace it with a server-side HTTP 301/302 redirect so users are never exposed to a timed page. If the intent is to warn users about session state, use a visible, dismissible dialog with controls to extend or cancel the session timeout — never an automatic redirect with no user control.</t>
  </si>
  <si>
    <t xml:space="preserve">This page scares me — it disappears in zero seconds with no warning and no way for me to stop it, which is exactly the kind of time pressure that makes me anxious and unable to finish what I'm doing.</t>
  </si>
  <si>
    <t xml:space="preserve">[2.2.1] I never even get to see this page — it vanishes instantly and sends me somewhere else with zero warning. I can't pause it, extend it, or turn it off. That makes me really anxious because I have no control over what's happening. Remove the instant meta refresh redirect entirely. If a redirect is truly necessary, replace it with a server-side HTTP 301/302 redirect so users are never exposed to a timed page. If the session-timeout messages are real UI elements, pair them with visible controls (e.g., an 'Extend Session' button) and link them via aria-describedby so users can act before being timed out.</t>
  </si>
  <si>
    <t xml:space="preserve">This page really worries me — it refreshes in just 30 seconds with no way for me to stop it, and there are no breadcrumbs, page title, or headings to help me know where I even am.</t>
  </si>
  <si>
    <t xml:space="preserve">[2.2.1] I process things slowly, and 30 seconds is not enough time for me to read and understand a page. When it suddenly refreshes, I lose my place and feel really anxious — especially if I was in the middle of something. There's no button to pause or extend the time, so I'm stuck. Remove the meta refresh entirely, or provide a clearly visible control (e.g., a 'Pause refresh' or 'Give me more time' button) that lets users stop or extend the countdown before it fires. Per WCAG 2.2.1, users must be able to turn off, adjust, or extend any time limit. || [2.4.8] Breadcrumbs help me see where I am on a website. Without them — and without even a page title or heading — I have no idea where I am or how to get back to where I started. I feel lost. Add a breadcrumb trail (e.g., Home &gt; Section &gt; This Page) using a &lt;nav aria-label='Breadcrumb'&gt; with an ordered list. Also add a meaningful &lt;title&gt; and an &lt;h1&gt; heading so I always know where I am.</t>
  </si>
  <si>
    <t xml:space="preserve">This page really worries me — it resets itself every 30 seconds with no way for me to stop it, and there's nothing on it to tell me where I am or what page I'm even on.</t>
  </si>
  <si>
    <t xml:space="preserve">[2.2.1] I get so anxious when a page resets on me without warning. If I'm reading slowly or partway through something, 30 seconds is not enough time — the page just vanishes and I lose my place. I can't extend it or turn it off, so I feel stuck and stressed. Remove the meta refresh entirely, or provide a clearly visible control (e.g., a 'Pause auto-refresh' button) that lets me stop or extend the timer by at least 10x the original limit (i.e., 5 minutes or more). || [2.4.8] Breadcrumbs help me see where I am on the website. Without them — and without even a page title or heading — I have no idea where I am or how to get back to where I started. I feel lost. Add a breadcrumb trail (e.g., Home &gt; Section &gt; This Page) using a &lt;nav aria-label='Breadcrumb'&gt; with an ordered list. Also add a meaningful &lt;title&gt; and an &lt;h1&gt; heading so I always know where I am.</t>
  </si>
  <si>
    <t xml:space="preserve">This page really worries me — it resets itself every 30 seconds with no way for me to stop it, and there's nothing on it to tell me where I am or what the page is even called.</t>
  </si>
  <si>
    <t xml:space="preserve">[2.2.1] I process things slowly, and 30 seconds is not enough time for me to read or do anything on a page before it resets. I can't beat the clock, and that makes me really anxious. There's no button to pause or extend the time, so I'm just stuck. Remove the meta refresh entirely, or provide a visible, accessible control (e.g., a 'Pause refresh' button) that lets users stop or extend the time limit. Per WCAG 2.2.1, users must be able to turn off, adjust, or extend any time limit. || [2.4.8] Breadcrumbs help me see where I am on a website. Without them — or even a page title or heading — I have no idea where I am or how to get back to where I started. I feel lost. Add a descriptive &lt;title&gt; element and an &lt;h1&gt; heading at minimum. If this page is part of a larger site, add a breadcrumb trail (e.g., using &lt;nav aria-label='Breadcrumb'&gt; with an ordered list) so I always know where I am.</t>
  </si>
  <si>
    <t xml:space="preserve">This page really worries me — it will redirect me somewhere else without asking, and there's nothing to tell me where I even am on the site to begin with.</t>
  </si>
  <si>
    <t xml:space="preserve">[2.2.1] Even though 20 hours sounds like a long time, there is absolutely no way for me to pause or cancel this redirect. If I leave the page open while I take a break or step away, I could come back and find myself somewhere completely different with no warning and no way to get back to where I was. That would really stress me out. Remove the meta refresh redirect entirely, or provide clearly visible controls that allow the user to turn off, extend, or adjust the time limit before it expires. If a redirect is truly necessary, use a server-side redirect instead of a timed meta refresh. || [2.4.8] There are no breadcrumbs, no page title, no heading — nothing to tell me where I am on this site. Breadcrumbs are how I keep track of where I've been and how to get back. Without them I feel completely lost and I might just give up and leave. Add a descriptive &lt;title&gt; element, an &lt;h1&gt; heading, and a breadcrumb trail (e.g., using a &lt;nav aria-label='Breadcrumb'&gt; with an ordered list and aria-current='page' on the current item) so users always know where they are within the site.</t>
  </si>
  <si>
    <t xml:space="preserve">This page stresses me out — it will suddenly whisk me away to another site with no way to stop it, and there are no breadcrumbs or headings to even tell me where I am right now.</t>
  </si>
  <si>
    <t xml:space="preserve">[2.2.1] Even though 20 hours feels like a long time, there is no way for me to pause or cancel this redirect. If I leave the page open while I take a break or process something slowly, I could suddenly be sent somewhere else with no warning and no way to stop it. That makes me anxious. Provide a visible control (e.g., a 'Cancel redirect' or 'Stay on this page' button) that lets users disable or extend the timed redirect, or remove the auto-redirect entirely and replace it with a manual link. || [2.4.8] There are no breadcrumbs and no heading to tell me where I am on this site. I can't figure out where I am or how to get back to where I came from. I feel lost. Add a breadcrumb trail (e.g., &lt;nav aria-label='Breadcrumb'&gt;&lt;ol&gt;&lt;li&gt;&lt;a href='/'&gt;Home&lt;/a&gt;&lt;/li&gt;&lt;li aria-current='page'&gt;Current Page&lt;/li&gt;&lt;/ol&gt;&lt;/nav&gt;) and a meaningful &lt;title&gt; and &lt;h1&gt; so I always know where I am.</t>
  </si>
  <si>
    <t xml:space="preserve">This page fails because it redirects me without any way to stop it and gives me no breadcrumbs or page title to know where I even am — that combination makes me feel anxious and completely lost.</t>
  </si>
  <si>
    <t xml:space="preserve">[2.2.1] Even though 20 hours feels like a long time, there is no way for me to turn off or delay this redirect. If I leave the page open while I take a break or step away, I could come back and find myself on a completely different site with no warning and no way to stop it. That makes me anxious — I need to be in control of when I move to a new page. Remove the meta refresh redirect entirely, or provide a clearly visible control (e.g., a 'Stay on this page' button) that lets me cancel or extend the redirect before it fires. || [2.4.8] There are no breadcrumbs and no page title to tell me where I am on this site. Breadcrumbs are how I keep track of where I've been and how to get back. Without them, I feel lost and I don't know how to navigate back to where I started. Add a breadcrumb navigation trail (e.g., Home &gt; Section &gt; This Page) marked up with aria-label="breadcrumb" and aria-current="page" on the current item. Also add a descriptive &lt;title&gt; and an &lt;h1&gt; heading.</t>
  </si>
  <si>
    <t xml:space="preserve">This page really worries me — it will suddenly redirect me somewhere else without asking, and there's nothing to tell me where I even am to begin with.</t>
  </si>
  <si>
    <t xml:space="preserve">[2.2.1] I process things slowly, and this page will suddenly whisk me away to a different URL without any warning or way for me to stop it. That makes me really anxious — I could lose my place or lose work I was doing and have no idea what happened. Remove the meta refresh redirect entirely, or replace it with a user-initiated link/button. If a timed redirect is truly necessary, provide visible controls that let the user turn off, adjust, or extend the time limit to at least 20 times the default duration. || [2.4.8] Breadcrumbs help me see where I am on the website. Without them — or any other location signal — I have no idea where I am or how to get back to where I started. That's really disorienting for me. Add a breadcrumb trail (e.g., Home &gt; Section &gt; Current Page) marked up with aria-label='breadcrumb' and aria-current='page' on the active item. Also add a meaningful &lt;title&gt; and an &lt;h1&gt; so there are multiple ways to understand location.</t>
  </si>
  <si>
    <t xml:space="preserve">This page really worries me — it's going to redirect me somewhere without asking, and there's nothing to tell me where I even am on the site right now.</t>
  </si>
  <si>
    <t xml:space="preserve">[2.2.1] I get anxious when pages change on me without warning and I can't stop it. Even if the timer is very long, there's no way for me to turn it off or extend it — and I never know it's there until the page suddenly disappears on me. Remove the meta refresh redirect entirely, or provide a clearly visible control that lets users disable or extend the time limit before it triggers. If a redirect is truly necessary, use a server-side redirect instead so it happens instantly and transparently. || [2.4.8] Breadcrumbs help me see where I am on the website. Without them — or any other location signal — I have no idea where I am or how to get back to where I started. I feel lost. Add a breadcrumb navigation trail (e.g., Home &gt; Section &gt; Current Page) marked up with aria-label='breadcrumb' and aria-current='page' on the current item. Also add a meaningful &lt;title&gt; and an &lt;h1&gt; heading so I always know where I've landed.</t>
  </si>
  <si>
    <t xml:space="preserve">This page left me feeling lost and anxious — there's a hidden auto-redirect I can't stop, and not a single breadcrumb, heading, or page title to tell me where I even am.</t>
  </si>
  <si>
    <t xml:space="preserve">[2.2.1] I get anxious when a page can suddenly whisk me away without warning. Even if 20 hours feels like a long time, there's no way for me to stop or adjust this redirect — and I have no idea it's even happening. That makes me feel out of control. Remove the meta refresh redirect entirely, or provide visible controls that let the user pause, extend, or disable the time limit before it triggers. If a redirect is truly necessary, use a server-side redirect instead so it happens instantly and transparently. || [2.4.8] Breadcrumbs help me see where I am on the website. Without them — and without even a page title or heading — I have absolutely no idea where I've landed or how to get back to where I was. I'd feel completely lost. Add a breadcrumb navigation trail (e.g., Home &gt; Section &gt; Current Page) marked up with aria-label='breadcrumb' and aria-current='page' on the last item. Also add a meaningful &lt;title&gt; and an &lt;h1&gt; heading so I always know where I am.</t>
  </si>
  <si>
    <t xml:space="preserve">This page is simple and calm — no timers rushing me, no confusing forms, no mystery abbreviations, and the page title tells me exactly where I am, so I feel comfortable reading through the lab procedure at my own pace.</t>
  </si>
  <si>
    <t xml:space="preserve">This page is simple and calm — no time pressure, no confusing forms, no mystery abbreviations, and the page title tells me exactly where I am, so I feel comfortable here.</t>
  </si>
  <si>
    <t xml:space="preserve">This page is easy for me to use — there's no time pressure, the breadcrumb trail shows me I'm under Home › Support, there are no confusing abbreviations, and no forms to worry about.</t>
  </si>
  <si>
    <t xml:space="preserve">This page is easy for me to use — there's no clock rushing me, the breadcrumb trail shows me I'm under Home and Support, there are no confusing abbreviations, and there are no forms to fill out.</t>
  </si>
  <si>
    <t xml:space="preserve">This page is easy for me to use — there's no clock ticking me out, the breadcrumb trail shows me I'm under Home › Support, there are no confusing abbreviations, and there are no forms to trip me up.</t>
  </si>
  <si>
    <t xml:space="preserve">This page is simple and calm — no timers rushing me, no confusing forms, no mystery abbreviations, and I can tell where I am, so I feel comfortable here!</t>
  </si>
  <si>
    <t xml:space="preserve">This page is simple and calm — no timers rushing me, no confusing forms, no mystery abbreviations, and the heading tells me exactly where I am, so I feel comfortable here.</t>
  </si>
  <si>
    <t xml:space="preserve">This page is really simple and easy for me — no confusing forms, no scary timers, no mystery abbreviations, and the heading tells me right where I am!</t>
  </si>
  <si>
    <t xml:space="preserve">This simple unit converter page is easy for me to use — no time pressure, clear labels on both fields, no confusing abbreviations, and the page title tells me exactly where I am.</t>
  </si>
  <si>
    <t xml:space="preserve">This page is simple and clean — no time pressure, no confusing abbreviations, clear labels on both fields, and the page title tells me exactly where I am, so I feel comfortable using this unit converter!</t>
  </si>
  <si>
    <t xml:space="preserve">This page is easy for me to use — the breadcrumb trail clearly shows me I'm at Home → Reports → 2026 → Q1 quarterly report, there are no scary time limits, no confusing abbreviations, and no forms to worry about.</t>
  </si>
  <si>
    <t xml:space="preserve">This page is easy for me to use — the breadcrumb trail clearly shows me I'm at Home → Reports → 2026 → Q1 quarterly report, there are no scary time limits, no confusing forms, and no unexplained abbreviations to trip me up.</t>
  </si>
  <si>
    <t xml:space="preserve">This page is easy for me to use — the breadcrumbs clearly show me where I am, there's no scary countdown timer, no confusing abbreviations, and no forms to trip me up.</t>
  </si>
  <si>
    <t xml:space="preserve">This Admissions page is easy for me to use — no time pressure, no confusing forms, no mystery abbreviations, and the nav bar clearly shows me I'm on the Admissions page with aria-current, so I don't feel lost.</t>
  </si>
  <si>
    <t xml:space="preserve">This Admissions page is easy for me to use — no time pressure, no confusing forms, no unexplained abbreviations, and the nav clearly shows me I'm on the Admissions page with aria-current, so I don't feel lost.</t>
  </si>
  <si>
    <t xml:space="preserve">This Admissions page is easy for me to use — no time pressure, no confusing forms, no mystery abbreviations, and the nav clearly shows me I'm on the Admissions page with aria-current, so I don't feel lost.</t>
  </si>
  <si>
    <t xml:space="preserve">This page is full of tech abbreviations that nobody explains to me, so I get lost trying to read it — everything else like timing and forms is fine, but all those mystery words like ETL, ORM, CRUD, and ANSI make me want to stop reading.</t>
  </si>
  <si>
    <t xml:space="preserve">[3.1.4] When I read words like CRUD, ETL, ORM, or ANSI and nobody tells me what they mean, I lose track of what I'm reading and give up. I need the full words so I can follow along. Wrap each abbreviation in an &lt;abbr&gt; tag with a title attribute spelling it out — for example: &lt;abbr title="Application Programming Interface"&gt;API&lt;/abbr&gt;, &lt;abbr title="Extract, Transform, Load"&gt;ETL&lt;/abbr&gt;, &lt;abbr title="Object-Relational Mapper"&gt;ORM&lt;/abbr&gt;, etc. Alternatively, spell each term out in full on its first use, or add a glossary link at the top of the page.</t>
  </si>
  <si>
    <t xml:space="preserve">This page is full of abbreviations nobody explains to me, and when I don't know what words mean, I stop reading — the rest of the page checks out fine, but those unexplained acronyms are a real problem for me.</t>
  </si>
  <si>
    <t xml:space="preserve">[3.1.4] When I read this page, I keep hitting words like ETL, ORM, CRUD, and ANSI that I don't understand. There's nothing to tell me what they mean, so I lose track of what I'm reading and give up. Wrap each abbreviation in an &lt;abbr&gt; tag with a title attribute on first use — for example: &lt;abbr title="Representational State Transfer"&gt;REST&lt;/abbr&gt;, &lt;abbr title="Extract, Transform, Load"&gt;ETL&lt;/abbr&gt;, &lt;abbr title="Create, Read, Update, Delete"&gt;CRUD&lt;/abbr&gt;, etc. Alternatively, add a glossary section at the bottom of the page.</t>
  </si>
  <si>
    <t xml:space="preserve">This page is really hard for me to read — almost every sentence has a short word in all-caps that I don't understand, and nobody explains what any of them mean.</t>
  </si>
  <si>
    <t xml:space="preserve">[3.1.4] When I read words like ETL, ORM, or ANSI and nobody tells me what they mean, I lose track of what I'm reading and give up. This whole page is full of those mystery words. Wrap each abbreviation in an &lt;abbr&gt; tag with a title attribute giving the full expansion — e.g., &lt;abbr title="Extract, Transform, Load"&gt;ETL&lt;/abbr&gt; — or spell out the full term on first use, or add a glossary link at the top of the page.</t>
  </si>
  <si>
    <t xml:space="preserve">This page only has one paragraph but it's full of science abbreviations with no real explanations, and that makes me feel lost and confused before I even finish reading the first sentence.</t>
  </si>
  <si>
    <t xml:space="preserve">[3.1.4] When abbreviations aren't explained, I lose track of what I'm reading. I don't know what PCR or SOP mean — these are science words I've never seen before. I'd stop reading because the paragraph stops making sense to me. Add meaningful title attributes to all three &lt;abbr&gt; elements: &lt;abbr title="Polymerase Chain Reaction"&gt;PCR&lt;/abbr&gt;, &lt;abbr title="Deoxyribonucleic Acid"&gt;DNA&lt;/abbr&gt;, and &lt;abbr title="Standard Operating Procedure"&gt;SOP&lt;/abbr&gt;. Never leave a title attribute empty, and never expand an abbreviation with another abbreviation.</t>
  </si>
  <si>
    <t xml:space="preserve">This page fails because two abbreviations — PCR and SOP — have broken or missing expansions, which leaves me completely lost in the middle of a sentence.</t>
  </si>
  <si>
    <t xml:space="preserve">[3.1.4] When I read 'PCR' and 'SOP' with no explanation, I lose track of what the page is even talking about. Lab jargon is already hard for me — if the abbreviations aren't spelled out, I just give up reading. Add meaningful title attributes to every &lt;abbr&gt; tag: e.g., &lt;abbr title="Polymerase Chain Reaction"&gt;PCR&lt;/abbr&gt; and &lt;abbr title="Standard Operating Procedure"&gt;SOP&lt;/abbr&gt;. Also correct &lt;abbr title="DNA"&gt;DNA&lt;/abbr&gt; to &lt;abbr title="Deoxyribonucleic Acid"&gt;DNA&lt;/abbr&gt; so the title actually expands the term rather than repeating it.</t>
  </si>
  <si>
    <t xml:space="preserve">This page has three abbreviations — PCR, DNA, and SOP — and not one of them is properly explained, which means I'm left completely in the dark about what I'm reading.</t>
  </si>
  <si>
    <t xml:space="preserve">[3.1.4] When I see 'PCR' and 'SOP' I have no idea what they mean. I can hover or tab to them all day and nothing helpful comes up. I lose track of what I'm reading and eventually give up on the whole page. Add meaningful title attributes to every &lt;abbr&gt; tag: &lt;abbr title="Polymerase Chain Reaction"&gt;PCR&lt;/abbr&gt;, &lt;abbr title="Deoxyribonucleic Acid"&gt;DNA&lt;/abbr&gt;, and &lt;abbr title="Standard Operating Procedure"&gt;SOP&lt;/abbr&gt;. Each title must be the full expansion, not a repetition of the abbreviation itself.</t>
  </si>
  <si>
    <t xml:space="preserve">This page is really easy for me to use — no confusing timers, no tricky forms, no mystery abbreviations, and I can tell right away where I am from the clear heading!</t>
  </si>
  <si>
    <t xml:space="preserve">This page is easy for me to use — no timers rushing me, no confusing abbreviations, no forms to struggle with, and the title tells me exactly where I am.</t>
  </si>
  <si>
    <t xml:space="preserve">This garden page is easy for me to use — no timers rushing me, no confusing abbreviations, no forms to struggle with, and the page title tells me right where I am!</t>
  </si>
  <si>
    <t xml:space="preserve">This page is simple and clean — no time limits to stress me out, no confusing forms, no mystery abbreviations, and the title tells me exactly where I am, so I feel comfortable reading it.</t>
  </si>
  <si>
    <t xml:space="preserve">This page is simple and calm — no timers rushing me, no confusing forms, no mystery abbreviations, and the title tells me exactly where I am, so I feel comfortable reading about marine research at my own pace.</t>
  </si>
  <si>
    <t xml:space="preserve">This page is simple and calm — no timers rushing me, no confusing forms, no mystery abbreviations, and I can tell where I am from the clear heading and title, so I feel comfortable reading it.</t>
  </si>
  <si>
    <t xml:space="preserve">This page is easy for me — no time pressure, no confusing forms, the abbreviations like W3C and WCAG all have their full names explained, and I can tell where I am from the clear page title and heading.</t>
  </si>
  <si>
    <t xml:space="preserve">This page is easy for me — no time pressure, no confusing forms, all the abbreviations like W3C and WCAG have their full names explained, and I can tell where I am from the clear page title and heading.</t>
  </si>
  <si>
    <t xml:space="preserve">This page is easy for me to follow — the abbreviations like LMS, FAQ, and PR are all spelled out the first time I see them, there's no scary countdown timer, I can tell where I am from the page title, and there are no confusing form fields to fill in.</t>
  </si>
  <si>
    <t xml:space="preserve">This page is easy for me to use — every abbreviation like LMS, FAQ, and PR is spelled out the first time it appears, there's no timer rushing me, I can tell where I am from the clear page title and heading, and there are no confusing forms to fill out.</t>
  </si>
  <si>
    <t xml:space="preserve">This page is okay for me — there's no clock ticking me out, the abbreviations like LMS, FAQ, and PR are all spelled out the first time so I can follow along, there are no confusing forms to fill in, and the page title tells me clearly where I am.</t>
  </si>
  <si>
    <t xml:space="preserve">This form has a couple of things that would trip me up — I can't tell where I am on the site because there are no breadcrumbs, and the required field indicators aren't clearly tied to each field in a way that's easy for me to follow.</t>
  </si>
  <si>
    <t xml:space="preserve">[2.4.8] I can't tell where I am on this site. Without breadcrumbs, I lose my place and don't know how to get back to where I started — that makes me feel lost and frustrated. Add a breadcrumb navigation element (e.g., &lt;nav aria-label="Breadcrumb"&gt;&lt;ol&gt;&lt;li&gt;&lt;a href="/"&gt;Home&lt;/a&gt;&lt;/li&gt;&lt;li aria-current="page"&gt;Checkout&lt;/li&gt;&lt;/ol&gt;&lt;/nav&gt;) so I can always see where I am. || [3.3.2] I can see the error message at the top, but I can't easily tell which exact fields are required just from looking at the form. If I miss the '(required)' text in the label, I won't know what I must fill in before I can submit. Ensure every required field has a clearly visible required indicator (e.g., an asterisk with a legend explaining it) directly in its label, and programmatically associate the error message with each affected field using aria-describedby on the inputs themselves, not just the Submit button.</t>
  </si>
  <si>
    <t xml:space="preserve">This form has some good things — like clear fieldsets and legends — but I'd still feel lost using it because there are no breadcrumbs to tell me where I am on the site, and the required field indicators aren't consistent enough for me to feel confident before I hit Submit.</t>
  </si>
  <si>
    <t xml:space="preserve">[2.4.8] I can't tell where I am on this site. Without breadcrumbs, I lose my place and don't know how to get back to where I started — that makes me feel lost and frustrated. Add a breadcrumb navigation element (e.g., &lt;nav aria-label="Breadcrumb"&gt;&lt;ol&gt;&lt;li&gt;&lt;a href="/"&gt;Home&lt;/a&gt;&lt;/li&gt;&lt;li aria-current="page"&gt;Checkout&lt;/li&gt;&lt;/ol&gt;&lt;/nav&gt;) so I can always see where I am. || [3.3.2] If I can't clearly see which fields are required before I start filling in the form, I might skip something important and then get an error I don't understand. I need to know upfront what's required. Ensure all required fields have a clearly visible required indicator (e.g., an asterisk with a legend explaining it) directly in or near their label. The error message should only appear after a failed submission attempt, not on page load.</t>
  </si>
  <si>
    <t xml:space="preserve">This form has a helpful error message, but it's not connected to the right fields and there are no breadcrumbs to help me know where I am on the site, which makes me feel lost and unsure.</t>
  </si>
  <si>
    <t xml:space="preserve">[2.4.8] I can't tell where I am on this website. Without breadcrumbs, I get lost and don't know how to find my way back to where I started. Add a breadcrumb navigation element (e.g., &lt;nav aria-label='Breadcrumb'&gt;&lt;ol&gt;&lt;li&gt;&lt;a href='/'&gt;Home&lt;/a&gt;&lt;/li&gt;&lt;li aria-current='page'&gt;Order Form&lt;/li&gt;&lt;/ol&gt;&lt;/nav&gt;) so I always know where I am. || [3.3.2] The error message tells me 'Name and color cannot be empty' but it's not connected to the actual fields I need to fix. I might not know which box to go back to, and I could get confused and give up. Add aria-describedby='error' directly to the Name input and the first radio button in the color group, so the error message is programmatically tied to the fields that need fixing. Also ensure the Submit button has a clear visible required-field indicator or summary.</t>
  </si>
  <si>
    <t xml:space="preserve">This page left me completely stuck — the error message doesn't tell me which field is wrong or how to fix it, and there are no breadcrumbs to help me understand where I even am on the site.</t>
  </si>
  <si>
    <t xml:space="preserve">[3.3.1] I see 'Please fill the field correctly' but I have no idea if it's the Age field or the Name field that's wrong, and I don't know what 'correctly' even means. I'm stuck — I can't fix something when I don't know what's broken or how to fix it. Identify the specific field in error by name (e.g., 'Age is required and must be a number between 0 and 120'). Link the error message to its field using aria-describedby on the &lt;input&gt;, or wrap it in a role="alert" live region so assistive technology announces it immediately. || [2.4.8] There are no breadcrumbs anywhere on this page. I can't tell where this form sits within the website — am I in a profile section? A checkout flow? I lose my place easily and breadcrumbs are how I find my way back. Add a breadcrumb navigation trail (e.g., Home &gt; Account &gt; Edit Profile) using a &lt;nav aria-label="Breadcrumb"&gt; with an ordered list and aria-current="page" on the current step.</t>
  </si>
  <si>
    <t xml:space="preserve">This form really worries me — the error message doesn't tell me which field I got wrong or how to fix it, and there are no breadcrumbs to help me find my place on the site, so I feel lost and stuck before I've even started.</t>
  </si>
  <si>
    <t xml:space="preserve">[3.3.1] This is the worst kind of error message for me. It says 'fill the field correctly' but doesn't tell me WHICH field or WHAT is wrong. I don't know if I typed my age wrong, my name wrong, or both. I'll just sit there feeling stuck and anxious, not knowing what to fix. Link the error message to its specific field using aria-describedby (e.g., add aria-describedby="age-error" to the input and id="age-error" to the error element). Rewrite the message to be specific, e.g., 'Age is required and must be a number between 1 and 120.' Use role="alert" or aria-live="assertive" so screen readers announce it immediately. || [2.4.8] There are no breadcrumbs anywhere on this page. I can't tell where this form sits within the website — is it a checkout step? A profile page? A registration flow? Without breadcrumbs I feel lost and I don't know how to get back to where I started. Add a breadcrumb navigation trail, e.g., &lt;nav aria-label="Breadcrumb"&gt;&lt;ol&gt;&lt;li&gt;&lt;a href="/"&gt;Home&lt;/a&gt;&lt;/li&gt;&lt;li aria-current="page"&gt;Form&lt;/a&gt;&lt;/li&gt;&lt;/ol&gt;&lt;/nav&gt;, so I always know where I am on the site.</t>
  </si>
  <si>
    <t xml:space="preserve">This form really worries me — the error message doesn't tell me which field I got wrong or how to fix it, and there are no breadcrumbs to help me find my way back if I get lost.</t>
  </si>
  <si>
    <t xml:space="preserve">[3.3.1] This error message tells me nothing. I don't know if I got my Age wrong or my Name wrong, and 'fill the field correctly' doesn't tell me what to fix. I'll just sit there feeling stuck and anxious. Link the error to the specific field using aria-describedby (e.g., aria-describedby='age-error' on the input). Rewrite the message to name the field and describe the problem, e.g., 'Age is required and must be a number between 1 and 120.' || [2.4.8] Without breadcrumbs I can't tell where this form sits in the website. If I got here after clicking through a few pages, I have no way to retrace my steps or know what section I'm in. Add a breadcrumb trail above the form, e.g., Home &gt; Account &gt; Submit Details, marked up with aria-label='breadcrumb' and aria-current='page' on the last item.</t>
  </si>
  <si>
    <t xml:space="preserve">This page leaves me stuck — the error message 'Invalid value for age.' doesn't tell me what's actually wrong or connect to the field I need to fix, and there are no breadcrumbs to help me find my way around the site.</t>
  </si>
  <si>
    <t xml:space="preserve">[3.3.1] When I get an error, I need to know exactly what went wrong and which field caused it. If the error message isn't connected to the field, my screen reader or assistive tool won't tell me about it — I'll just be stuck wondering why my form didn't go through. Add aria-describedby="error" to the &lt;input id="age"&gt; element, or wrap the error span in a role="alert" live region so assistive technologies announce it automatically when it appears. || [2.4.8] Breadcrumbs help me see where I am on the website. Without them, I can get lost and not know how to get back to where I started or find related pages. Add a breadcrumb navigation element (e.g., &lt;nav aria-label="Breadcrumb"&gt;&lt;ol&gt;&lt;li&gt;&lt;a href="/"&gt;Home&lt;/a&gt;&lt;/li&gt;&lt;li aria-current="page"&gt;Current Page&lt;/li&gt;&lt;/ol&gt;&lt;/nav&gt;) so I always know where I am in the site.</t>
  </si>
  <si>
    <t xml:space="preserve">This page really worries me — the error message tells me something is wrong with my age but doesn't tell me what to fix, and it's not even connected to the field I'm typing in, plus there are no breadcrumbs to help me find my way around the site.</t>
  </si>
  <si>
    <t xml:space="preserve">[3.3.1] I see the red message but my screen reader or assistive tool won't connect it to the age box I'm filling in. And even if I do notice it, 'Invalid value for age' doesn't tell me what I did wrong — is my number too big? Too small? In the wrong format? I'm stuck and I don't know what to fix. Add aria-describedby="error" to the &lt;input id="age"&gt; element so the error is programmatically associated with the field. Also rewrite the error text to be specific, e.g. 'Please enter your age as a whole number between 1 and 120.' || [2.4.8] There are no breadcrumbs to tell me where I am on the site. I can get lost easily and breadcrumbs are how I keep track of where I've been and how to get back. Add a breadcrumb navigation element, e.g. &lt;nav aria-label="Breadcrumb"&gt;&lt;ol&gt;&lt;li&gt;&lt;a href="/"&gt;Home&lt;/a&gt;&lt;/li&gt;&lt;li aria-current="page"&gt;Current Page&lt;/li&gt;&lt;/ol&gt;&lt;/nav&gt;, so I always know where I am.</t>
  </si>
  <si>
    <t xml:space="preserve">This page really worries me — the error message for the age field isn't connected to the input box, so I wouldn't know what went wrong or how to fix it, and there are no breadcrumbs to help me find where I am on the site.</t>
  </si>
  <si>
    <t xml:space="preserve">[3.3.1] When I make a mistake filling in my age, I see the message 'Invalid value for age.' but I don't know which box it belongs to, and my screen reader won't read it to me automatically. I'm stuck — I don't know what I did wrong or how to fix it, and that makes me really frustrated. Add aria-describedby="error" to the &lt;input&gt; element so the error is programmatically linked to the field. Also wrap the &lt;span&gt; in a role="alert" or aria-live="assertive" region so assistive technologies announce it automatically when it appears. || [2.4.8] There are no breadcrumbs on this page, so I can't tell where I am on the website. If I got here after clicking through several pages, I'd have no way to find my way back or know where I am. Add a breadcrumb navigation trail (e.g., Home &gt; Forms &gt; Age Entry) using a &lt;nav aria-label="Breadcrumb"&gt; with an ordered list and aria-current="page" on the current item.</t>
  </si>
  <si>
    <t xml:space="preserve">This page is mostly empty so there's nothing too confusing, but I still can't tell where I am on the site because there are no breadcrumbs to guide me.</t>
  </si>
  <si>
    <t xml:space="preserve">[2.4.8] Without breadcrumbs, I can't tell where I am on the site. I might feel lost and not know how to get back to where I started — that's really frustrating for me. Add a breadcrumb trail (e.g., using a &lt;nav aria-label="Breadcrumb"&gt; with an ordered list of links) so I can always see where I am and navigate back easily.</t>
  </si>
  <si>
    <t xml:space="preserve">This page has almost nothing on it — just one sentence — but it still fails because there are no breadcrumbs to help me know where I am on the site.</t>
  </si>
  <si>
    <t xml:space="preserve">[2.4.8] I can't tell where I am on this site. Without breadcrumbs, I get lost and don't know how to find my way back to where I started. Add a breadcrumb navigation element (e.g., &lt;nav aria-label="Breadcrumb"&gt;&lt;ol&gt;&lt;li&gt;&lt;a href="/"&gt;Home&lt;/a&gt;&lt;/li&gt;&lt;li aria-current="page"&gt;Current Page&lt;/li&gt;&lt;/ol&gt;&lt;/nav&gt;) so I can always see my location within the site.</t>
  </si>
  <si>
    <t xml:space="preserve">This page is mostly bare — no forms, no timers, no abbreviations to worry about — but it fails because there are no breadcrumbs to help me know where I am on the site.</t>
  </si>
  <si>
    <t xml:space="preserve">[2.4.8] I can't tell where I am on this site. There are no breadcrumbs to show me the path I took to get here, so if I get lost I have no way to find my way back. Add a breadcrumb trail using a &lt;nav aria-label="Breadcrumb"&gt; element with an ordered list of links showing the page hierarchy, with aria-current="page" on the current page item.</t>
  </si>
  <si>
    <t xml:space="preserve">The form itself is clean and easy for me to use, but I feel lost on this page because there are no breadcrumbs to show me where I am on the site.</t>
  </si>
  <si>
    <t xml:space="preserve">[2.4.8] Without breadcrumbs, I can't tell where I am on this website. I might be deep inside a product catalog and have no idea how to get back to where I started — that makes me feel lost and frustrated. Add a breadcrumb navigation element (e.g., Home &gt; Products &gt; Filter) using a &lt;nav aria-label='Breadcrumb'&gt; with an ordered list and aria-current='page' on the current step.</t>
  </si>
  <si>
    <t xml:space="preserve">The form itself is nicely done — it has a clear label and helpful instructions — but I feel lost on this page because there are no breadcrumbs to show me where I am on the site.</t>
  </si>
  <si>
    <t xml:space="preserve">[2.4.8] Without breadcrumbs, I can't tell where I am on the site. I might be deep inside a product section and have no idea how to get back or where I came from. That makes me feel lost and I give up. Add a breadcrumb navigation element (e.g., Home &gt; Products &gt; Filter) using an ordered list inside a &lt;nav aria-label='Breadcrumb'&gt;, with aria-current='page' on the last item.</t>
  </si>
  <si>
    <t xml:space="preserve">This page has a nice clear form label and helpful instructions, which I really appreciate, but I feel lost because there are no breadcrumbs to tell me where I am on the site.</t>
  </si>
  <si>
    <t xml:space="preserve">[2.4.8] I can't tell where I am on this website. Without breadcrumbs, I get lost and don't know how to find my way back to where I started. Add a breadcrumb navigation element (e.g., &lt;nav aria-label='Breadcrumb'&gt;&lt;ol&gt;&lt;li&gt;&lt;a href='/'&gt;Home&lt;/a&gt;&lt;/li&gt;&lt;li aria-current='page'&gt;Products&lt;/li&gt;&lt;/ol&gt;&lt;/nav&gt;) so I always know where I am.</t>
  </si>
  <si>
    <t xml:space="preserve">This simple reading list page is easy for me to use — no time pressure, no confusing forms, no mystery abbreviations, and the page title tells me exactly where I am!</t>
  </si>
  <si>
    <t xml:space="preserve">This simple reading list page is easy for me to use — no timers rushing me, no confusing forms, no mystery abbreviations, and I can tell where I am from the clear page title and heading.</t>
  </si>
  <si>
    <t xml:space="preserve">This page is really simple — no timers to stress me out, no confusing abbreviations, and the title and heading tell me where I am, so I feel okay here, though I do notice there's a text box with no label that could confuse me if this were a real form.</t>
  </si>
  <si>
    <t xml:space="preserve">This page has a text input field with absolutely no label on it — I can't tell what I'm supposed to type, and that leaves me completely stuck.</t>
  </si>
  <si>
    <t xml:space="preserve">[3.3.2] I see a text box but I have no idea what I'm supposed to type into it. There's no label telling me what it's for, and no instructions or format hints. I'd just stare at it and not know what to do. Add a visible &lt;label for='pass1'&gt;Descriptive Label Text&lt;/label&gt; element that clearly tells the user what information to enter. If a visible label isn't possible, at minimum add an aria-label or aria-labelledby attribute to the input.</t>
  </si>
  <si>
    <t xml:space="preserve">This page is really simple — just a heading and a text box — and nothing here caused me any trouble or confusion.</t>
  </si>
  <si>
    <t xml:space="preserve">This page is really simple and easy for me — there's no time pressure, no confusing abbreviations, no tricky form fields to fill out, and I can tell where I am on the page, so everything feels okay!</t>
  </si>
  <si>
    <t xml:space="preserve">This page is really simple and easy for me — there's no time pressure, no confusing abbreviations, no tricky form errors, and I can tell where I am from the page title and heading.</t>
  </si>
  <si>
    <t xml:space="preserve">This page is really simple and easy for me — no time pressure, no confusing abbreviations, no tricky forms, and I can tell where I am from the page title and heading.</t>
  </si>
  <si>
    <t xml:space="preserve">This search form is really hard for me to use — the labels disappear when I start typing and nobody told me how to write the dates, so I just don't know what to do.</t>
  </si>
  <si>
    <t xml:space="preserve">[3.3.2] When I click into the 'From date' or 'To date' boxes, the placeholder text vanishes and I can't remember what I'm supposed to type. I also have no idea what format to use for the dates — do I type 05/20/2025 or 20-05-2025 or something else? And the dropdown has no label, so I don't know what I'm filtering by. I get confused and give up. Add a visible &lt;label&gt; element linked via 'for'/'id' to every input and the select. For the date fields, include a format example in the label or helper text, e.g. 'From date (MM/DD/YYYY)'. Never rely on placeholder alone as a label.</t>
  </si>
  <si>
    <t xml:space="preserve">This search form really stresses me out — the date boxes don't tell me what format to use, and once I click in, the hint text disappears so I'm left completely on my own.</t>
  </si>
  <si>
    <t xml:space="preserve">[3.3.2] When I click into the 'From date' or 'To date' boxes, the placeholder text disappears and I can't remember what the field was for or how to type the date. I also don't know what format to use — do I type 01/15/2024 or January 15 or something else? And the dropdown has no label so I don't know what I'm even filtering by. Add a visible &lt;label&gt; element linked via 'for'/'id' to every input and the select. For the date fields, include a format example directly in the label or as helper text, e.g. 'From date (MM/DD/YYYY)'. Never rely on placeholder text alone as a label.</t>
  </si>
  <si>
    <t xml:space="preserve">[3.3.2] When I click into the 'From date' box, the placeholder disappears and I can't remember what it was asking for. I also don't know what format to type the date in — do I write '05/20/2025' or '20-05-2025' or something else? And the dropdown has no label so I don't know what I'm even filtering by. I get confused and give up. Add a visible &lt;label&gt; element linked to each input via 'for'/'id'. For the two date fields, include a format example in the label or helper text, e.g. 'From date (MM/DD/YYYY)'. Add a &lt;label&gt; for the &lt;select&gt; describing what it filters (e.g. 'Content type'). Never rely on placeholder text alone as a label.</t>
  </si>
  <si>
    <t xml:space="preserve">This registration form is going to trip me up — the date and phone fields give me no clue how to type my information, and that's exactly the kind of thing that makes me anxious and want to quit.</t>
  </si>
  <si>
    <t xml:space="preserve">[3.3.2] The date of birth field has no example like 'MM/DD/YYYY' — I stare at it and don't know if I should type dashes, slashes, or spaces. The phone field is the same — do I include the area code? Parentheses? I'll probably type it wrong and get an error, and then I won't know what to fix either. I might just give up and close the page. Add visible format hints to both fields. For date of birth, add helper text or a placeholder such as 'MM/DD/YYYY'. For phone, add an example like '(555) 123-4567'. Link each hint to its input via aria-describedby so assistive technology also reads it.</t>
  </si>
  <si>
    <t xml:space="preserve">This registration form leaves me guessing on the two hardest fields — I need to see exactly how to type my birthday and phone number, or I'll get it wrong and not know how to fix it.</t>
  </si>
  <si>
    <t xml:space="preserve">[3.3.2] The 'Date of birth' field has no hint like 'MM/DD/YYYY' — I genuinely don't know if I should type 01/15/1985 or January 15 1985 or something else. I'll probably type it wrong and get an error I can't fix. Same with the phone field — do I include dashes? Parentheses? An area code? I need an example or I'll just guess and get stuck. Add visible format hints to both fields. For Date of birth, add helper text or update the label to read 'Date of birth (MM/DD/YYYY)'. For Phone, add '(e.g., 555-867-5309)' as helper text linked via aria-describedby. Never rely on placeholder alone — it disappears when I start typing.</t>
  </si>
  <si>
    <t xml:space="preserve">This registration form left me stuck right away — the date and phone fields give me no clue how to type my information, and that's exactly the kind of thing that makes me give up and close the page.</t>
  </si>
  <si>
    <t xml:space="preserve">[3.3.2] I really need to see an example like MM/DD/YYYY next to the date field, otherwise I just stare at it and don't know what to type. Same with the phone number — do I use dashes? Parentheses? I'll probably type it wrong and get an error, and then I won't know how to fix it. Add visible format hints directly in each label or as helper text linked via aria-describedby. For date of birth: 'Date of birth (MM/DD/YYYY)'. For phone: 'Phone (e.g. 555-867-5309)'. Do not rely on placeholder alone as it disappears on focus.</t>
  </si>
  <si>
    <t xml:space="preserve">This page is simple and clean — no timers rushing me, no confusing forms, no mystery abbreviations, and the title tells me exactly where I am, so I feel comfortable reading it!</t>
  </si>
  <si>
    <t xml:space="preserve">This page is simple and calm — no timers rushing me, no confusing forms, no mystery abbreviations, and the title tells me exactly where I am, so I feel comfortable reading it.</t>
  </si>
  <si>
    <t xml:space="preserve">This page is simple and clean — no timers rushing me, no confusing forms, no mystery abbreviations, and the title tells me exactly where I am, so I feel comfortable reading it.</t>
  </si>
  <si>
    <t xml:space="preserve">This logout page is simple and clear — just a button to press, no confusing fields, no time pressure, and no abbreviations to trip me up; I feel comfortable using it.</t>
  </si>
  <si>
    <t xml:space="preserve">This logout page is simple and clear — just a button to click, no confusing fields, no timers, and the page title tells me exactly where I am, so I feel comfortable using it.</t>
  </si>
  <si>
    <t xml:space="preserve">This logout page is simple and clear — no timers, no confusing fields, no missing labels, and the page title tells me exactly where I am, so I feel comfortable using it.</t>
  </si>
  <si>
    <t xml:space="preserve">check_text_spacing_reflow, detect_animations_and_motion, check_navigation_methods, analyze_heading_structure, analyze_readability_and_abbreviations</t>
  </si>
  <si>
    <t xml:space="preserve">This page is basically a blank shell — an empty div with a tight line-height and nothing else — so none of my five criteria even kick in, and there's nothing here that could trip me up or help me either.</t>
  </si>
  <si>
    <t xml:space="preserve">This page is basically empty — just a blank div with a tight line-height and no real content — so none of my five criteria even kick in, and there's nothing here that could trip me up.</t>
  </si>
  <si>
    <t xml:space="preserve">This page is basically empty — just a blank div with a tight line-height and no real content — so none of my five criteria even kick in, and there's nothing here that could trip me up as Stefan.</t>
  </si>
  <si>
    <t xml:space="preserve">This page is basically a single sentence with no motion, no clipped text, no headings to worry about, no abbreviations, and no navigation needed — it's clean and causes me no problems as Stefan.</t>
  </si>
  <si>
    <t xml:space="preserve">This page is basically just one sentence — no animations to distract me, no acronyms to trip me up, and the text spacing holds up fine even when I crank up my spacing settings, so there's nothing here that gets in my way.</t>
  </si>
  <si>
    <t xml:space="preserve">This page is just one short sentence with no motion, no abbreviations, no navigation complexity, and text spacing that holds up fine — nothing here trips me up as Stefan.</t>
  </si>
  <si>
    <t xml:space="preserve">This page is basically a single sentence with no animations, no navigation structure, no headings, and no abbreviations — everything that could affect me as Stefan is either absent or handled cleanly, so there's nothing here that trips me up.</t>
  </si>
  <si>
    <t xml:space="preserve">This page is basically a single sentence with no motion, no navigation structure, no headings, and no abbreviations — everything that could affect me as Stefan is either cleanly passing or simply doesn't apply to a page this minimal.</t>
  </si>
  <si>
    <t xml:space="preserve">This page is basically just one sentence with no motion, no headings needed, no navigation required, no abbreviations, and the text spacing holds up fine — nothing here trips me up at all.</t>
  </si>
  <si>
    <t xml:space="preserve">This page locks down word spacing with !important so I can't adjust it to suit my dyslexia, and it has zero headings, leaving me with no landmarks to find my place — two things that make reading genuinely hard for me.</t>
  </si>
  <si>
    <t xml:space="preserve">[1.4.12] When I override spacing to make text easier to read — which I need because tight spacing makes lines blur together — the !important rule fights my settings and locks word spacing at a fixed pixel value that may be too tight for me. Remove the !important flag from the word-spacing declaration so that user-defined or WCAG-compliant spacing overrides can take effect. Use relative units (e.g., word-spacing: 0.16em) instead of fixed pixel values. || [2.4.6] I rely on headings to find my place when I come back to a page or jump around with my screen reader. With no headings at all, I have no landmarks to navigate by — I'm completely lost. Add at least one descriptive &lt;h1&gt; heading that summarises the page's topic so I can orient myself immediately.</t>
  </si>
  <si>
    <t xml:space="preserve">This page is basically just one sentence with no motion, no clipped text after spacing overrides, and nothing to navigate or abbreviate — it passes everything that applies to me as Stefan.</t>
  </si>
  <si>
    <t xml:space="preserve">This page is just one sentence with no motion, no abbreviations, and text spacing that holds up fine — nothing here trips me up as Stefan.</t>
  </si>
  <si>
    <t xml:space="preserve">This page is basically just one plain sentence with no motion, no clipped text, no confusing acronyms, and nothing to navigate — it doesn't trip up any of my five criteria, so I'm good.</t>
  </si>
  <si>
    <t xml:space="preserve">This page is just one plain sentence with no motion, no abbreviations, and no spacing problems — nothing here trips me up as Stefan.</t>
  </si>
  <si>
    <t xml:space="preserve">This page is basically a single sentence with no motion, no clipping, no navigation needs, no headings to worry about, and no abbreviations — it's clean and causes me no problems at all.</t>
  </si>
  <si>
    <t xml:space="preserve">This page fails primarily because the `!important` rule on `word-spacing: 0.1em` locks out my ability to apply the wider spacing I need to keep words from blurring together — that's a real barrier for me as someone with dyslexia.</t>
  </si>
  <si>
    <t xml:space="preserve">[1.4.12] As Stefan, tight word spacing makes words blur together when I'm reading along with my TTS software — I lose my place and have to restart the sentence. Remove the `!important` flag from the `word-spacing` declaration so that user-defined spacing preferences (e.g., from a browser extension or OS accessibility setting) can override it. Ensure word-spacing is at least 0.16em. || [2.4.5] N/A — this is a standalone page with no site context. No action needed for this criterion on this page. || [2.4.6] As Stefan, I rely on headings as landmarks to find my place when I get distracted. A page with no headings gives me nothing to navigate by. For any page with meaningful content sections, add descriptive headings. Even a single `&lt;h1&gt;` describing the page topic would help.</t>
  </si>
  <si>
    <t xml:space="preserve">This page fails because the `word-spacing: 0.1em !important` declaration actively blocks me from applying my own spacing overrides — the whole point of 1.4.12 is that I get to control my reading environment, and !important slams that door shut.</t>
  </si>
  <si>
    <t xml:space="preserve">[1.4.12] As Stefan, tight word spacing makes words blur together when I'm reading along with my TTS software. The !important flag means I can't override it with my own stylesheet — my accessibility settings are locked out. Remove the `!important` flag from the `word-spacing` declaration so user stylesheets can override it, and raise the value to at least 0.16em to meet the WCAG 1.4.12 minimum. Never use !important on text-spacing properties. || [2.4.5] N/A — this is a standalone page with no site context. No action needed for 2.4.5 on this isolated page. || [2.4.6] N/A — with only one short sentence, there's no content to navigate between, so the absence of headings doesn't create a wayfinding problem here. No action needed for 2.4.6 on this minimal single-sentence page.</t>
  </si>
  <si>
    <t xml:space="preserve">This page actively fights my spacing settings by using !important on word-spacing, which is exactly the kind of thing that makes reading feel like a wall of squished words I can't get through.</t>
  </si>
  <si>
    <t xml:space="preserve">[1.4.12] As Stefan, I rely on wider word spacing to keep words from blurring together when I read. When a page locks in tight spacing with !important, my own accessibility settings get silenced — the words crowd up and I lose my place constantly. Remove the !important flag from word-spacing so user stylesheets can apply WCAG 1.4.12 overrides. Better yet, set word-spacing to at least 0.16em without !important, or remove the inline style entirely and let the browser default apply.</t>
  </si>
  <si>
    <t xml:space="preserve">This page is basically empty — just a single number and a script tag — so none of my five criteria have anything to latch onto, and everything comes back inapplicable.</t>
  </si>
  <si>
    <t xml:space="preserve">This page is basically empty — just a single number and a script tag — so none of my five criteria even get a chance to apply, and there's nothing here that would trip me up as Stefan.</t>
  </si>
  <si>
    <t xml:space="preserve">This page is basically just a single number in a span with a script tag — there's no real content, no headings to navigate by, no links, no text to space out, and nothing moving that I could see, so none of my five criteria even get off the ground.</t>
  </si>
  <si>
    <t xml:space="preserve">This page is clean for me as Stefan — the auto-updating number has a working Pause button, text spacing holds up fine, and the page is a standalone snippet so navigation and abbreviation checks don't apply.</t>
  </si>
  <si>
    <t xml:space="preserve">This simple page passes all five of my criteria — the auto-updating number has a Pause button I can actually use, text spacing holds up fine, and the page is too minimal to trigger navigation, heading, or abbreviation failures.</t>
  </si>
  <si>
    <t xml:space="preserve">This simple page passes all my checks — the text spacing holds up fine, there's no motion hijacking my attention, and the pause button for the auto-updating number means I stay in control of what's moving on screen.</t>
  </si>
  <si>
    <t xml:space="preserve">This page is clean for me — the auto-updating random number has a 'Hide changing content' button I can actually use to stop the distraction, text spacing holds up fine, and the inline expansion of WAI means I won't get stuck on that acronym.</t>
  </si>
  <si>
    <t xml:space="preserve">This page is clean for me as Stefan — the text spacing holds up fine, there's a 'Hide' button to stop the auto-updating number so it won't hijack my attention, and the page is too simple and self-contained to need navigation methods, headings, or abbreviation expansions.</t>
  </si>
  <si>
    <t xml:space="preserve">This page passes all my criteria — text spacing holds up fine, the auto-updating random number has a 'Hide' button so I can stop it before it distracts me, and the minimal content doesn't trigger any heading or abbreviation failures.</t>
  </si>
  <si>
    <t xml:space="preserve">This page is basically just a logo image with all its text hidden — there's nothing for me to read, navigate, or get lost in, so none of my five criteria even apply here.</t>
  </si>
  <si>
    <t xml:space="preserve">This page is basically empty for me — just a logo image and a hidden paragraph — so none of my five criteria even kick in, and there's nothing here that could trip me up.</t>
  </si>
  <si>
    <t xml:space="preserve">This page is basically just a logo image and a hidden paragraph — there's nothing for me to read, navigate, or interact with, so none of my five criteria even apply here.</t>
  </si>
  <si>
    <t xml:space="preserve">This page is a focus-killer for me — the auto-updating random number with zero pause control means I can't read anything on the page without my attention being yanked away every second, and the bare 'WAI' abbreviation adds an extra stumbling block for my TTS software.</t>
  </si>
  <si>
    <t xml:space="preserve">[2.2.2] That number keeps changing right in the middle of the text I'm trying to listen to. My eyes snap to it every single time it updates and I completely lose my place. I literally cannot read the paragraph next to it. Add a visible Pause/Stop button that halts the auto-updating script. Alternatively, only update the content in response to a user action (e.g., a 'Refresh' button), so the update is never automatic. || [3.1.4] Even though 'WAI' is spelled out once in the same sentence, my TTS software won't expand it if it appears again elsewhere, and there's no &lt;abbr&gt; tag for it to read the expansion from. I'd have to stop and puzzle it out myself, losing my place. Wrap 'WAI' in &lt;abbr title="Web Accessibility Initiative"&gt;WAI&lt;/abbr&gt; so that TTS software and browsers can always surface the expansion on demand.</t>
  </si>
  <si>
    <t xml:space="preserve">This page auto-updates a number with no way for me to pause it — that moving content hijacks my attention completely and makes the surrounding text impossible to focus on.</t>
  </si>
  <si>
    <t xml:space="preserve">[2.2.2] That constantly changing number is like a flashing light I can't look away from. Even though it's small, my ADHD brain locks onto the movement and I completely lose my place in the surrounding text. I literally cannot read the paragraph next to it while the number keeps jumping. Add a visible Pause/Stop button that halts the startUpdates() interval (e.g., clearInterval()). Alternatively, if the update is non-essential, remove the auto-update entirely. The control must be keyboard-accessible and placed before the updating region in DOM order.</t>
  </si>
  <si>
    <t xml:space="preserve">This page auto-updates a number with no way for me to pause it, and that constant movement makes it impossible for me to focus on anything else on the page.</t>
  </si>
  <si>
    <t xml:space="preserve">[2.2.2] That randomly changing number on the page will keep grabbing my eye every time it updates. I literally cannot stay focused on the paragraph next to it — my attention snaps to the movement every single time. It's like trying to read next to a flashing sign. I'll lose my place in the text over and over. Add a visible pause/stop button that halts the startUpdates() interval (e.g., clearInterval()). The control must be keyboard-accessible and positioned before the auto-updating region in the DOM. Alternatively, do not auto-start updates — require a user action to begin them.</t>
  </si>
  <si>
    <t xml:space="preserve">This page has a blinking element with no way to stop it — that's an instant attention hijack for me, and it makes the whole page unusable no matter how good everything else is.</t>
  </si>
  <si>
    <t xml:space="preserve">[2.2.2] Blinking content is the worst thing for my ADHD — my eyes are pulled to it instantly and I cannot read anything else on the page. Even a single blinking word next to a heading destroys my ability to focus on the surrounding text. I can't stop it, I can't hide it, I'm just stuck. Remove the &lt;blink&gt; element entirely. If the intent is to draw attention to the word 'text', use a static visual treatment such as bold, a highlighted background, or a visually distinct color instead. Never use &lt;blink&gt; or CSS animation that loops indefinitely without a user-controlled pause/stop mechanism.</t>
  </si>
  <si>
    <t xml:space="preserve">This page fails hard for me — the &lt;blink&gt; tag makes the content flash non-stop with zero way to pause it, and that kind of motion completely destroys my ability to focus on anything else on the page.</t>
  </si>
  <si>
    <t xml:space="preserve">[2.2.2] As Stefan, blinking content instantly hijacks my attention — I literally cannot read or listen to anything else on the page while something is flashing. There is no way for me to pause or stop it, so the page becomes unusable for me. Remove the &lt;blink&gt; element entirely — it is a deprecated HTML tag with no accessible equivalent. If the intent is to draw attention to content, use a static visual treatment (e.g., bold text, a highlighted box, or an icon) that does not move or flash.</t>
  </si>
  <si>
    <t xml:space="preserve">This page fails because of the &lt;blink&gt; element — blinking content with no way to stop it is exactly the kind of thing that makes it impossible for me to focus and read anything on the page.</t>
  </si>
  <si>
    <t xml:space="preserve">[2.2.2] As Stefan, a blinking element on the page immediately hijacks my attention. I cannot focus on reading the surrounding content while something is flashing in my peripheral vision. There is no way for me to pause or stop the blinking, so I am stuck. Remove the &lt;blink&gt; element entirely — it is a deprecated HTML tag with no accessible use case. If the intent is to draw attention to content, use a static visual treatment (e.g., bold text, a highlighted box) or a CSS animation that respects prefers-reduced-motion and includes a pause/stop control.</t>
  </si>
  <si>
    <t xml:space="preserve">The page is clean and calm — no motion, no clipping, no confusing headings or mystery acronyms — but the missing search box means I can only navigate by menu, and that's not enough for me to reliably find my way around the site.</t>
  </si>
  <si>
    <t xml:space="preserve">[2.4.5] I don't always remember which category my topic is under — if there's no search box, I'm stuck clicking through menus hoping I land in the right place. One method isn't enough for me. Add at least one additional navigation method — a site search form is the most helpful for me, but a sitemap link or breadcrumb trail would also satisfy the requirement.</t>
  </si>
  <si>
    <t xml:space="preserve">The page is clean and calm — no motion, no clipping, no confusing acronyms, and the heading is clear — but there's only a nav menu and no search box, which means I'll get lost the moment I can't remember where something lives.</t>
  </si>
  <si>
    <t xml:space="preserve">The page is clean and calm — no flashing, no clipping, a clear heading — but without a search box or any backup navigation, I'll get lost the moment I can't remember which menu item leads where.</t>
  </si>
  <si>
    <t xml:space="preserve">This page is clean and simple — no distracting motion, text spacing holds up fine, the search form gives me a clear way to find what I need, the heading 'Knowledge base' tells me exactly where I am, and there are no confusing acronyms to trip me up.</t>
  </si>
  <si>
    <t xml:space="preserve">This page is clean and calm — no motion to hijack my attention, the heading tells me exactly where I am, the search box is right there, and nothing clips or blurs when spacing is opened up.</t>
  </si>
  <si>
    <t xml:space="preserve">This page is clean and calm — no motion to hijack my attention, no clipped text when spacing is bumped up, a clear descriptive heading to anchor me, and the search form counts as a navigation method on what the tool correctly flags as a standalone page, so I've got nothing to complain about here.</t>
  </si>
  <si>
    <t xml:space="preserve">This page is clean and calm — no animations, no clipping, a clear heading, and no confusing acronyms — but it leaves me stranded with zero navigation options, which is a serious problem for me when I need to find my way around the rest of the site.</t>
  </si>
  <si>
    <t xml:space="preserve">[2.4.5] As Stefan, if I land on this confirmation page and need to get back to my orders or find something else on the site, I have no menu and no search box to fall back on. I don't always remember where things live in a site's structure, so without at least two ways to navigate I'm stuck. Add at least one additional navigation mechanism alongside the existing link — for example, a site-wide navigation menu (e.g. &lt;nav&gt; with links to Home, Orders, Account) and/or a search form. Order confirmation pages are not exempt from 2.4.5 unless they are truly standalone with no parent site.</t>
  </si>
  <si>
    <t xml:space="preserve">This confirmation page is clean and calm — no flashing, no clipping, a clear heading — but it leaves me stranded with zero navigation options if I need to go anywhere else on the site.</t>
  </si>
  <si>
    <t xml:space="preserve">[2.4.5] If I land on this confirmation page and want to find my orders section or get back to the store, there's no menu or search box to help me. I don't always remember the URL structure, and without a nav or search I'm completely stuck — I'd have to hit the back button and hope for the best. Add at least one additional navigation mechanism to the page — a site-wide navigation menu (e.g., links to Home, My Orders, Help) and ideally a search form. Even a minimal header with a nav landmark and two or three links would satisfy 2.4.5 and give me a way out.</t>
  </si>
  <si>
    <t xml:space="preserve">This order confirmation page is clean and simple — no motion to hijack my attention, the heading tells me exactly where I am, text spacing holds up fine, and there's nothing confusing to trip over; as a standalone checkout endpoint it doesn't need multiple navigation methods, so I'm good here.</t>
  </si>
  <si>
    <t xml:space="preserve">This sign-in page is clean and simple — no motion to hijack my attention, no clipped text when spacing is bumped up, a clear descriptive heading, and nothing to navigate away from since it's a standalone login page, so I can just focus on signing in without any distractions.</t>
  </si>
  <si>
    <t xml:space="preserve">This sign-in page is clean and calm — no motion to hijack my attention, no clipped text when spacing is bumped up, a clear 'Sign in' heading to orient me, and nothing confusing to decode; as a standalone login page it's exactly what I need to just get in and go.</t>
  </si>
  <si>
    <t xml:space="preserve">This library home page is clean and calm — no motion to hijack my attention, a nav menu plus a search box so I can always find my way around, a clear descriptive heading to anchor me, text that doesn't clip when I crank up my spacing, and no mystery acronyms to trip me up.</t>
  </si>
  <si>
    <t xml:space="preserve">This library home page is clean and calm — no motion to hijack my attention, a search box plus a nav menu so I can find my way around, a clear descriptive heading, text that doesn't clip when I crank up my spacing, and no mystery acronyms to trip me up.</t>
  </si>
  <si>
    <t xml:space="preserve">This library home page is clean and calm — no motion to hijack my attention, text spacing holds up fine, I've got both a nav menu and a search box so I can find my way around, the heading is clear and descriptive, and there are no mystery acronyms to trip me up.</t>
  </si>
  <si>
    <t xml:space="preserve">This page is clean and calm — no motion to hijack my attention, text spacing holds up fine, three distinct navigation methods (primary nav, sitemap link, and breadcrumb) so I can always find my way back, the one heading 'Astronomy resources' is descriptive and not generic, and there are no mystery acronyms to trip me up.</t>
  </si>
  <si>
    <t xml:space="preserve">This page is just a single date-of-birth field with no motion, no abbreviations, and no spacing problems — nothing here trips me up as Stefan.</t>
  </si>
  <si>
    <t xml:space="preserve">This page is just a single date-of-birth field with no motion, no headings to get lost in, no weird spacing problems, and no confusing acronyms — nothing here trips me up.</t>
  </si>
  <si>
    <t xml:space="preserve">This page is just a single date-of-birth field with no motion, no clipping, no navigation maze, no mystery acronyms — nothing here trips me up as Stefan.</t>
  </si>
  <si>
    <t xml:space="preserve">This page fails because its only heading is a single letter 'A', which is meaningless as a navigation landmark — when I come back to this page after losing focus, I have no idea what I'm looking at.</t>
  </si>
  <si>
    <t xml:space="preserve">[2.4.6] When I lose my place and need to jump back to the top heading to reorient myself, 'A' tells me absolutely nothing about what this page is about. I can't use it as a landmark — it's just a letter. Replace the &lt;h1&gt; text with a descriptive title that reflects the page's content, for example &lt;h1&gt;Dictionary: Words Beginning with A&lt;/h1&gt;. Headings need to communicate meaning, not just act as a visual marker.</t>
  </si>
  <si>
    <t xml:space="preserve">This page fails because its only heading is just the letter 'A', which is meaningless as a landmark — when I lose my place and try to reorient myself, a single-letter heading gives me nothing to hold onto.</t>
  </si>
  <si>
    <t xml:space="preserve">[2.4.6] When I come back to this page or scan it with my TTS software, the heading 'A' tells me absolutely nothing about what I'm reading. I can't use it as a landmark to find my place or understand the section's content. Replace the &lt;h1&gt; text with a descriptive label that reflects the page's actual content — for example, 'Dictionary: Words Starting with A' — so it functions as a meaningful navigation waypoint.</t>
  </si>
  <si>
    <t xml:space="preserve">This page fails because its only heading is a single letter 'A', which gives me zero context about where I am or what I'm reading — I need real heading text to find my place when I come back to a page.</t>
  </si>
  <si>
    <t xml:space="preserve">[2.4.6] When I lose my place and scan for headings to reorient myself, a heading that just says 'A' tells me absolutely nothing about what I'm reading. I can't use it as a landmark at all. Replace the single-letter heading with a descriptive title that explains the page's purpose, e.g. &lt;h1&gt;Dictionary — Letter A&lt;/h1&gt; or &lt;h1&gt;Words Beginning with A&lt;/h1&gt;.</t>
  </si>
  <si>
    <t xml:space="preserve">This page is basically empty — just a label and a blank paragraph — so none of the five criteria I care about actually fail, but there's also almost nothing here for me to work with as Stefan.</t>
  </si>
  <si>
    <t xml:space="preserve">This page is basically a stub — just a label and an empty paragraph — so there's nothing to trip over: no motion to hijack my attention, no headings needed, no navigation required, no abbreviations to puzzle over, and text spacing holds up fine.</t>
  </si>
  <si>
    <t xml:space="preserve">This page is basically a stub — just a label and an empty paragraph — so none of my five criteria actually fire against it, and there's nothing here that would trip me up as Stefan.</t>
  </si>
  <si>
    <t xml:space="preserve">This page is basically a blank room with no signs — just a lone input field and no headings at all, which means I have zero landmarks to find my place when I inevitably get lost.</t>
  </si>
  <si>
    <t xml:space="preserve">[2.4.6] I have absolutely no landmarks to orient myself. When I lose my place — which happens constantly with ADHD — there are no headings for me to scan back to. The page is just a floating label and input field with no structure whatsoever. Add at least one descriptive heading (e.g., &lt;h1&gt;) that clearly describes the purpose of this page or form, so I have a waypoint to return to.</t>
  </si>
  <si>
    <t xml:space="preserve">This page is basically just a bare label and text input — there's no real content, no navigation, no headings, no motion, and no abbreviations, so none of my five criteria actually apply here and nothing fails.</t>
  </si>
  <si>
    <t xml:space="preserve">This page is basically just a label and a text input — there's almost nothing here for me to navigate, read, or get lost in, so none of my five criteria actually apply or fail in a meaningful way.</t>
  </si>
  <si>
    <t xml:space="preserve">This page is basically empty — a single heading-role paragraph with no text and no other content — so none of my five criteria even kick in, but honestly it's not a real page anyone could use either.</t>
  </si>
  <si>
    <t xml:space="preserve">This page has a heading that says absolutely nothing — it's empty — so my TTS software skips right over it and I have zero landmarks to orient myself, which is a serious problem for me.</t>
  </si>
  <si>
    <t xml:space="preserve">[2.4.6] I rely on heading text as landmarks to find my place on a page and navigate with my TTS software. An empty heading gives me nothing — no label, no waypoint, no way to know what the section is about. It's like a signpost with no words on it. Add meaningful, descriptive text inside the heading element. Preferably, replace the &lt;p role='heading' aria-level='1'&gt; with a proper &lt;h1&gt; element containing a clear page title that describes the page's topic or purpose.</t>
  </si>
  <si>
    <t xml:space="preserve">This page is basically empty — there's a heading element with no text in it, which means I have zero landmarks to orient myself, and my TTS software has nothing useful to read out to me.</t>
  </si>
  <si>
    <t xml:space="preserve">[2.4.6] I rely on heading text as landmarks to find my place on a page and jump back to where I was. An empty heading gives me nothing to navigate by — it's like a signpost with no words on it. Add meaningful, descriptive text inside the heading element. Preferably, replace the ARIA role with a semantic &lt;h1&gt; tag with real content, e.g. &lt;h1&gt;Page Title&lt;/h1&gt;.</t>
  </si>
  <si>
    <t xml:space="preserve">This bare-bones search widget page has no motion, no text to clip, no headings to misuse, no abbreviations to confuse me, and no navigation requirement — every criterion either passed or didn't apply, so I've got nothing to complain about here.</t>
  </si>
  <si>
    <t xml:space="preserve">This bare-bones search widget has no animations to distract me, no text to clip or abbreviate, and no headings or multi-page navigation to worry about — every criterion either passes or is inapplicable to this minimal page.</t>
  </si>
  <si>
    <t xml:space="preserve">This page is basically just a bare search widget with no real content — none of my five criteria apply to it, so there's nothing here that blocks me as Stefan, though the page is far too minimal to be useful on its own.</t>
  </si>
  <si>
    <t xml:space="preserve">The page is clean and calm — no motion, no clipping, no navigation maze — but it's basically a wall of unexpanded acronyms that my TTS can't decode, so I'd be lost before I finished the first paragraph.</t>
  </si>
  <si>
    <t xml:space="preserve">[3.1.4] Every one of those acronyms stops me cold. My TTS reads 'ORM' or 'ETL' as a string of letters and I have no idea what they mean — I lose my place in the sentence trying to puzzle it out, and by the time I give up I've forgotten what the paragraph was about. Wrap each abbreviation in an &lt;abbr&gt; tag with a title attribute on first use, e.g. &lt;abbr title="HyperText Transfer Protocol"&gt;HTTP&lt;/abbr&gt;, or add a glossary section at the top of the page that expands all six terms.</t>
  </si>
  <si>
    <t xml:space="preserve">The page is clean in terms of motion, spacing, and navigation (it's a standalone note so 2.4.5 doesn't apply), but it's absolutely packed with unexpanded tech acronyms — REST, JSON, CRUD, ORM, ETL, ANSI, CLI, CI — and not a single one is explained, which means my TTS just fires them at me one after another and I'm completely lost.</t>
  </si>
  <si>
    <t xml:space="preserve">[3.1.4] As Stefan, every one of these stops me cold. I'm reading along with my TTS software and suddenly it says 'ORM' or 'ETL' and I have no idea what that means. I lose my place trying to figure it out, and by the time I give up I've forgotten what the sentence was even about. Wrap each abbreviation in an &lt;abbr&gt; tag with a title attribute on first use — e.g. &lt;abbr title="Extract, Transform, Load"&gt;ETL&lt;/abbr&gt;, &lt;abbr title="Object-Relational Mapper"&gt;ORM&lt;/abbr&gt;, &lt;abbr title="Command-Line Interface"&gt;CLI&lt;/abbr&gt;, etc. Alternatively, spell out the full term on first use followed by the abbreviation in parentheses, or add a glossary link at the top of the page.</t>
  </si>
  <si>
    <t xml:space="preserve">The page is clean and calm — no motion, no clipping, no navigation traps — but it's packed with unexpanded acronyms like ETL, ORM, and ANSI that would stop me dead every few words.</t>
  </si>
  <si>
    <t xml:space="preserve">[3.1.4] Every one of those acronyms stops me cold. My TTS just reads them out as letter strings — 'E-T-L', 'O-R-M' — and I lose my place in the sentence trying to figure out what they mean. This page is basically a wall of jargon I can't decode. Wrap each abbreviation in an &lt;abbr&gt; tag with a title attribute on first use, e.g. &lt;abbr title="HyperText Transfer Protocol"&gt;HTTP&lt;/abbr&gt;, or add a short glossary at the bottom of the page linking each term to its expansion.</t>
  </si>
  <si>
    <t xml:space="preserve">This page trips me up immediately — three science abbreviations in one paragraph and not one of them is properly explained, so my TTS leaves me stranded trying to decode PCR, DNA, and SOP on my own.</t>
  </si>
  <si>
    <t xml:space="preserve">[3.1.4] As Stefan, I hit 'PCR', 'DNA', and 'SOP' in the same sentence and my TTS either reads nothing useful or just repeats the letters. I stop, lose my place in the sentence, and have to go look up what PCR and SOP mean — by which point I've forgotten the context entirely. Fix all three: set title="Polymerase Chain Reaction" on the PCR abbr, set title="Deoxyribonucleic Acid" on the DNA abbr (or remove the tag if the expansion adds no value), and add title="Standard Operating Procedure" to the SOP abbr. Every &lt;abbr&gt; must have a non-empty title that is the actual expansion, not a copy of the abbreviation.</t>
  </si>
  <si>
    <t xml:space="preserve">This page stops me cold right in the first paragraph — three scientific abbreviations with broken or missing expansions, and my TTS software can't help me figure out what any of them mean.</t>
  </si>
  <si>
    <t xml:space="preserve">[3.1.4] As Stefan, I hit 'PCR', 'DNA', and 'SOP' in the very first paragraph and my TTS reads them as letters or garbled sounds with no tooltip or expansion to help me. I stop cold trying to figure out what PCR means — Polymerase Chain Reaction? — and by the time I give up I've completely lost my place in the sentence. Three unexpanded acronyms in one paragraph is a comprehension wall for me. Fix all three &lt;abbr&gt; elements with meaningful, full expansions: &lt;abbr title="Polymerase Chain Reaction"&gt;PCR&lt;/abbr&gt;, &lt;abbr title="Deoxyribonucleic Acid"&gt;DNA&lt;/abbr&gt;, and &lt;abbr title="Standard Operating Procedure"&gt;SOP&lt;/abbr&gt;. On first use in the body text, also spell out the full term inline, e.g. 'Polymerase Chain Reaction (PCR)', so TTS users hear the expansion naturally without relying on the tooltip.</t>
  </si>
  <si>
    <t xml:space="preserve">This page trips me up immediately — three lab acronyms (PCR, DNA, SOP) are either completely unexpanded or given a useless empty/circular title, so every time my TTS hits one I'm left guessing what it means and I lose my thread.</t>
  </si>
  <si>
    <t xml:space="preserve">[3.1.4] When my TTS reads 'PCR' or 'SOP' I have no idea what they stand for — I stop, try to puzzle it out, and completely lose my place in the sentence. Even 'DNA' is marked up as if it needs expansion but gives me nothing useful. Provide a meaningful, non-empty title on every &lt;abbr&gt; element: e.g. &lt;abbr title="Polymerase Chain Reaction"&gt;PCR&lt;/abbr&gt;, &lt;abbr title="Deoxyribonucleic Acid"&gt;DNA&lt;/abbr&gt; (or remove the tag if the term is universally known), and &lt;abbr title="Standard Operating Procedure"&gt;SOP&lt;/abbr&gt;. On first use, consider spelling the term out inline as well.</t>
  </si>
  <si>
    <t xml:space="preserve">This page is clean and calm — no motion to hijack my attention, text spacing holds up fine, the heading tells me exactly where I am, there are no mystery acronyms, and since it's a standalone page with no links out, the navigation question doesn't even apply.</t>
  </si>
  <si>
    <t xml:space="preserve">This page is clean and simple — no motion to distract me, text spacing holds up fine, the heading 'Marine research' tells me exactly where I am, and there are no mystery acronyms to trip me up; the only thing missing is a site-wide nav, but since this page stands alone that's not a problem.</t>
  </si>
  <si>
    <t xml:space="preserve">This page is clean and simple — no motion to distract me, text spacing holds up fine, the heading 'Marine research' tells me exactly where I am, and there are no mystery acronyms to trip me up; the only thing missing is extra navigation, but since this is a standalone page that doesn't apply.</t>
  </si>
  <si>
    <t xml:space="preserve">This page is clean and simple — no motion to hijack my attention, text spacing holds up fine, the heading 'Marine research' tells me exactly where I am, and with no links or abbreviations there's nothing to trip me up.</t>
  </si>
  <si>
    <t xml:space="preserve">This page is clean and calm — no motion to hijack my attention, no clipped text when spacing is bumped up, a clear descriptive heading to anchor me, and every abbreviation is properly expanded so I never have to stop and puzzle one out.</t>
  </si>
  <si>
    <t xml:space="preserve">This page is clean and calm — no motion to hijack my attention, no clipped text when spacing is bumped up, a clear descriptive heading to anchor me, and every abbreviation like W3C, WCAG, AG WG, and HTTP is properly expanded with a title attribute so my TTS can read them out without leaving me stranded.</t>
  </si>
  <si>
    <t xml:space="preserve">This page is clean and calm — no motion to hijack my attention, no clipped text when spacing is bumped up, a clear descriptive heading to anchor me, and every abbreviation like W3C, WCAG, AG WG, and HTTP is properly expanded so I never have to stop and puzzle one out.</t>
  </si>
  <si>
    <t xml:space="preserve">This page is clean for me — no motion to hijack my focus, text spacing holds up fine, the heading is descriptive, and every abbreviation like LMS, FAQ, and PR is spelled out on first use so my TTS doesn't leave me guessing.</t>
  </si>
  <si>
    <t xml:space="preserve">Good news — this page doesn't trip me up at all: no motion to hijack my focus, text spacing holds up fine, the heading is clear and descriptive, the page is short enough that I don't lose my place, and every abbreviation like LMS, FAQ, and PR is spelled out on first use so I never have to stop and guess.</t>
  </si>
  <si>
    <t xml:space="preserve">This page is clean for me — no motion to hijack my focus, text spacing holds up fine, every abbreviation like LMS, FAQ, and PR is spelled out the first time so I never lose my place trying to decode them, and the single heading is descriptive enough for a short standalone page.</t>
  </si>
  <si>
    <t xml:space="preserve">persona_agent — accuracy &amp; confusion by persona and WCAG criterion</t>
  </si>
  <si>
    <t xml:space="preserve">Each row = one persona × criterion cell. Confusion counts are records grouped by expected → evaluated. All values are live formulas over the C_persona_agent sheet. Sorted worst-accuracy first.</t>
  </si>
  <si>
    <t xml:space="preserve">group key</t>
  </si>
  <si>
    <t xml:space="preserve">Expected: PASSED</t>
  </si>
  <si>
    <t xml:space="preserve">Expected: FAILED</t>
  </si>
  <si>
    <t xml:space="preserve">Expected: INAPPLICABLE</t>
  </si>
  <si>
    <t xml:space="preserve">tools called (bundle)</t>
  </si>
  <si>
    <t xml:space="preserve">records</t>
  </si>
  <si>
    <t xml:space="preserve">accuracy</t>
  </si>
  <si>
    <t xml:space="preserve">→ passed</t>
  </si>
  <si>
    <t xml:space="preserve">→ failed</t>
  </si>
  <si>
    <t xml:space="preserve">→ inappl.</t>
  </si>
  <si>
    <t xml:space="preserve">indicates most often</t>
  </si>
  <si>
    <t xml:space="preserve">Reading the "indicates most often" column: "over-flags" = the agent most often outputs "failed" for this cell (clean/out-of-scope pages get marked as violations); "under-flags" = most often outputs "passed" (real failures missed).</t>
  </si>
  <si>
    <t xml:space="preserve">persona_agent — accuracy by tool</t>
  </si>
  <si>
    <t xml:space="preserve">Each row = one tool. A record is counted once per tool it invoked, so counts sum across bundles and totals exceed 537. Values computed from C_persona_agent (persona bundles are fixed, so a tool always co-fires with its bundle-mates). Sorted worst-accuracy first.</t>
  </si>
  <si>
    <t xml:space="preserve">tool</t>
  </si>
  <si>
    <t xml:space="preserve">eval=passed</t>
  </si>
  <si>
    <t xml:space="preserve">eval=failed</t>
  </si>
  <si>
    <t xml:space="preserve">eval=inappl.</t>
  </si>
  <si>
    <t xml:space="preserve">criteria seen on</t>
  </si>
  <si>
    <t xml:space="preserve">check_contrast_aa</t>
  </si>
  <si>
    <t xml:space="preserve">failed (over-flags)</t>
  </si>
  <si>
    <t xml:space="preserve">1.3.5, 1.4.12, 1.4.3, 2.2.2, 2.4.8</t>
  </si>
  <si>
    <t xml:space="preserve">validate_input_purpose</t>
  </si>
  <si>
    <t xml:space="preserve">check_location_indicators</t>
  </si>
  <si>
    <t xml:space="preserve">1.3.5, 1.4.12, 1.4.3, 2.2.1, 2.2.2, 2.4.8, 3.1.4, 3.3.1, 3.3.2</t>
  </si>
  <si>
    <t xml:space="preserve">validate_form_errors_and_labels</t>
  </si>
  <si>
    <t xml:space="preserve">2.2.1, 2.4.8, 3.1.4, 3.3.1, 3.3.2</t>
  </si>
  <si>
    <t xml:space="preserve">check_timing_and_timeouts</t>
  </si>
  <si>
    <t xml:space="preserve">2.1.1, 2.2.1, 2.4.3, 2.4.7, 2.4.8, 2.5.5, 3.1.4, 3.3.1, 3.3.2</t>
  </si>
  <si>
    <t xml:space="preserve">analyze_readability</t>
  </si>
  <si>
    <t xml:space="preserve">1.3.1, 2.2.2, 2.4.6, 3.1.4, 3.1.5</t>
  </si>
  <si>
    <t xml:space="preserve">detect_animations_and_motion</t>
  </si>
  <si>
    <t xml:space="preserve">1.3.1, 1.3.5, 1.4.12, 1.4.3, 2.2.2, 2.4.5, 2.4.6, 2.4.8, 3.1.4, 3.1.5</t>
  </si>
  <si>
    <t xml:space="preserve">check_text_spacing_reflow</t>
  </si>
  <si>
    <t xml:space="preserve">1.3.5, 1.4.12, 1.4.3, 2.2.2, 2.4.5, 2.4.6, 2.4.8, 3.1.4</t>
  </si>
  <si>
    <t xml:space="preserve">check_keyboard_focusables</t>
  </si>
  <si>
    <t xml:space="preserve">2.1.1, 2.2.1, 2.4.3, 2.4.7, 2.5.5</t>
  </si>
  <si>
    <t xml:space="preserve">detect_keyboard_violations</t>
  </si>
  <si>
    <t xml:space="preserve">validate_focus_order</t>
  </si>
  <si>
    <t xml:space="preserve">validate_focus_visible</t>
  </si>
  <si>
    <t xml:space="preserve">validate_target_size</t>
  </si>
  <si>
    <t xml:space="preserve">analyze_readability_and_abbreviations</t>
  </si>
  <si>
    <t xml:space="preserve">passed (under-flags)</t>
  </si>
  <si>
    <t xml:space="preserve">1.4.12, 2.2.1, 2.2.2, 2.4.5, 2.4.6, 2.4.8, 3.1.4, 3.3.1, 3.3.2</t>
  </si>
  <si>
    <t xml:space="preserve">analyze_heading_structure</t>
  </si>
  <si>
    <t xml:space="preserve">1.1.1, 1.3.1, 1.4.12, 2.1.1, 2.2.2, 2.4.1, 2.4.5, 2.4.6, 3.1.4, 3.1.5, 4.1.2</t>
  </si>
  <si>
    <t xml:space="preserve">check_navigation_methods</t>
  </si>
  <si>
    <t xml:space="preserve">1.4.12, 2.2.2, 2.4.5, 2.4.6, 3.1.4</t>
  </si>
  <si>
    <t xml:space="preserve">check_keyboard_navigation</t>
  </si>
  <si>
    <t xml:space="preserve">1.1.1, 1.3.1, 2.1.1, 2.4.1, 4.1.2</t>
  </si>
  <si>
    <t xml:space="preserve">run_nvda_full_audit</t>
  </si>
  <si>
    <t xml:space="preserve">The page contains only a hidden iframe with tabindex='-1', which removes it from the tab order and makes it invisible to users. There are no interactive elements, time limits, focusable components, or meaningful content accessible to keyboard users. WCAG 2.1.1 (Keyboard), 2.2.1 (Timing Adjustable), 2.4.3 (Focus Order), 2.4.7 (Focus Visible), and 2.5.5 (Target Size) are all inapplicable because there are no operable components, no time-based functionality, no focusable elements in the tab sequence, and no interactive targets present on the page.</t>
  </si>
  <si>
    <t xml:space="preserve">The page contains only a hidden iframe with tabindex='-1', which removes it from the tab order and makes it invisible to users. There are no visible, interactive, or focusable elements on the page that would be subject to WCAG 2.1.1 (Keyboard), 2.2.1 (Timing Adjustable), 2.4.3 (Focus Order), 2.4.7 (Focus Visible), or 2.5.5 (Target Size). The iframe is hidden via the 'hidden' attribute and its link is inaccessible to keyboard users due to tabindex='-1' on the iframe itself. Since none of the evaluated criteria have applicable content to assess, all criteria are inapplicable.</t>
  </si>
  <si>
    <t xml:space="preserve">The page contains a single iframe element with tabindex='-1' and the 'inert' attribute, which removes it and its contents from the tab order and keyboard interaction entirely. There are no other interactive elements on the page. WCAG 2.1.1 (Keyboard) is effectively satisfied as there is no functionality that requires keyboard access — the only interactive content (the anchor inside the iframe) is intentionally inert and unreachable. WCAG 2.2.1 (Timing Adjustable) is inapplicable as there are no time limits. WCAG 2.4.3 (Focus Order) is inapplicable as there are no focusable elements. WCAG 2.4.7 (Focus Visible) is inapplicable as there are no focusable elements. WCAG 2.5.5 (Target Size) is inapplicable as there are no interactive targets accessible to users. Overall, the page passes all evaluated criteria with no violations.</t>
  </si>
  <si>
    <t xml:space="preserve">The page contains a single iframe element with tabindex='-1' and the 'inert' attribute, which removes it from the tab order and makes its content non-interactive. There are no time limits (WCAG 2.2.1 is inapplicable), no meaningful focus order concerns beyond the inert iframe (WCAG 2.4.3 is effectively inapplicable as there are no focusable elements), no keyboard-operable functionality to evaluate (WCAG 2.1.1 is inapplicable), no visible focus indicators needed (WCAG 2.4.7 is inapplicable since no elements are focusable), and no interactive targets to measure (WCAG 2.5.5 is inapplicable). The use of tabindex='-1' and 'inert' correctly excludes the iframe and its content from keyboard interaction. All evaluated criteria are either inapplicable or satisfied.</t>
  </si>
  <si>
    <t xml:space="preserve">The page contains a single iframe with tabindex='-1' and the 'inert' attribute, which removes it and its contents from the tab order and interaction model entirely. There are no time limits (2.2.1 inapplicable), no meaningful focus order concerns beyond the inert iframe (2.4.3 passed/inapplicable), no interactive elements accessible via keyboard to evaluate focus visibility (2.4.7 inapplicable), no small touch targets to assess (2.5.5 inapplicable), and keyboard access is not blocked for any operable content since there is none exposed to the user (2.1.1 inapplicable/passed). The use of tabindex='-1' combined with 'inert' ensures the iframe and its internal anchor are completely excluded from keyboard navigation, which is an appropriate and conformant pattern.</t>
  </si>
  <si>
    <t xml:space="preserve">The page contains a single iframe with an inline document containing a standard anchor link. There are no time limits present on the page, so WCAG 2.2.1 (Timing Adjustable) is inapplicable. The anchor link inside the iframe is keyboard accessible by default (focusable via Tab key), satisfying WCAG 2.1.1. The focus order is logical with only one interactive element, satisfying WCAG 2.4.3. Browsers provide default focus indicators for anchor links, satisfying WCAG 2.4.7. The anchor link, while small, is a standard inline text link and AAA target size requirements (WCAG 2.5.5) are typically considered inapplicable to inline text links per the criterion's exception. Overall, no violations are identified against the evaluated criteria.</t>
  </si>
  <si>
    <t xml:space="preserve">The page contains a single iframe with an inline document containing a standard anchor link. WCAG 2.1.1 (Keyboard): The anchor link is natively keyboard-accessible via Tab and Enter, and no keyboard traps are present. WCAG 2.2.1 (Timing Adjustable): No time limits are imposed on this page. WCAG 2.4.3 (Focus Order): There is only one focusable element (the anchor inside the iframe), so focus order is inherently logical. WCAG 2.4.7 (Focus Visible): Native browser focus indicators apply to the anchor link by default, and no CSS suppresses them. WCAG 2.5.5 (Target Size): While AAA-level target size cannot be fully verified from HTML alone, the anchor is a standard inline link with no explicit size restrictions applied. No violations are identified against any of the evaluated criteria.</t>
  </si>
  <si>
    <t xml:space="preserve">The page contains a single iframe with an inline document containing a standard anchor link. There are no time limits present on the page, so WCAG 2.2.1 Timing Adjustable is inapplicable. The anchor link inside the iframe is natively keyboard accessible (focusable and activatable via keyboard), satisfying WCAG 2.1.1. The focus order is logical with only one interactive element, satisfying WCAG 2.4.3. Browsers provide default focus indicators for anchor links, satisfying WCAG 2.4.7. The anchor link, while its target size cannot be precisely determined from HTML alone, is a standard text link and no explicit suppression of size is present, so no clear violation of WCAG 2.5.5 is evident. Overall, no violations of the evaluated criteria are identified.</t>
  </si>
  <si>
    <t xml:space="preserve">The page contains a scrollable section with a heading and a link, plus a paragraph of text. Evaluating against the five criteria: (1) WCAG 2.1.1 Keyboard — the scrollable &lt;section&gt; element is a scrollable container; in modern browsers, overflow:scroll containers are reachable and scrollable via keyboard when focused, and the &lt;a&gt; element is natively keyboard-focusable, so no keyboard trap or inaccessible control is present. (2) WCAG 2.2.1 Timing Adjustable — there are no time limits on this page, making this criterion inapplicable; however the overall label reflects the evaluated criteria collectively. (3) WCAG 2.4.3 Focus Order — the only interactive element is a single &lt;a&gt; link inside the scrollable section; the DOM order is logical and the focus sequence is meaningful. (4) WCAG 2.4.7 Focus Visible — no CSS removes the default browser focus indicator (no outline:none or outline:0), so the native focus ring will be visible on the link. (5) WCAG 2.5.5 Target Size — the link wraps an &lt;h1&gt; heading which renders at a large font size, making its click/touch target well above the 44×44 CSS pixel AAA threshold. No violations were identified across any of the five criteria.</t>
  </si>
  <si>
    <t xml:space="preserve">The page contains a scrollable section with a heading and a hyperlink. Evaluating against the five criteria: (1) WCAG 2.1.1 Keyboard — the scrollable container uses CSS overflow:scroll, which in modern browsers is natively keyboard-focusable and scrollable via arrow keys once focused; the anchor link is a native HTML element fully keyboard-operable. No keyboard traps or custom widgets are present. (2) WCAG 2.2.1 Timing Adjustable — there are no time limits of any kind on this page. (3) WCAG 2.4.3 Focus Order — the only interactive element is a single anchor link inside a heading; the DOM order is logical and the focus sequence is meaningful. (4) WCAG 2.4.7 Focus Visible — no CSS is present that removes the browser's default focus indicator (no outline:none or outline:0), so the native focus ring will be displayed for the link and the scrollable region. (5) WCAG 2.5.5 Target Size — the anchor link renders as inline text whose clickable area is determined by its text content ('WCAG 2.1 Abstract'), which in typical browser rendering at default font size will meet or approach the 44×44 CSS pixel AAA threshold; however, since this is a AAA criterion and the link is a standard inline text link (a common exception pattern), no failure is recorded. Overall, no violations of the evaluated criteria are identified.</t>
  </si>
  <si>
    <t xml:space="preserve">The page contains a scrollable section with a heading and a link, plus a paragraph of text. Evaluating against the five criteria: (1) WCAG 2.1.1 Keyboard — the scrollable &lt;section&gt; element is a user-agent-scrollable container; browsers natively make overflow scroll containers keyboard-focusable and scrollable via arrow keys, and the &lt;a&gt; element is natively keyboard-operable. No custom widgets or event handlers that bypass keyboard access are present. (2) WCAG 2.2.1 Timing Adjustable — there are no time limits of any kind on this page, so the criterion is inapplicable and trivially satisfied. (3) WCAG 2.4.3 Focus Order — the only interactive element is the single &lt;a&gt; link inside the scrollable container; the DOM order is logical and meaningful, so focus order is correct. (4) WCAG 2.4.7 Focus Visible — no CSS removes the default browser focus indicator (no outline:none or outline:0 is present), so the native focus ring will be visible on the link. (5) WCAG 2.5.5 Target Size — the link wraps an &lt;h1&gt; heading, which by default renders at a large font size, making its click/touch target well above the 44×44 CSS pixel AAA threshold. No issues were identified against any of the evaluated criteria.</t>
  </si>
  <si>
    <t xml:space="preserve">The page contains a scrollable region implemented via CSS overflow-y: scroll on a &lt;section&gt; element. Because the element has no tabindex attribute, it is not reachable via keyboard focus, and keyboard-only users have no mechanism to scroll the overflowing content. This is a direct violation of WCAG 2.1.1 (Keyboard), which requires that all functionality be operable via keyboard. The remaining criteria (2.2.1, 2.4.3, 2.4.7, 2.5.5) are either inapplicable or not violated given the simple static content on this page, but the keyboard inaccessibility of the scrollable container is a serious barrier.</t>
  </si>
  <si>
    <t xml:space="preserve">[2.1.1] The scrollable region is not keyboard accessible. The &lt;section&gt; element has overflow-y: scroll applied but is not focusable, meaning keyboard users cannot scroll the content within it. Add tabindex="0" to the scrollable &lt;section&gt; element so that keyboard users can focus it and scroll its content using arrow keys. For example: &lt;section tabindex="0" style="height: 100px; width: 500px; overflow-y: scroll"&gt;. This aligns with WCAG technique G202 and SCR37.</t>
  </si>
  <si>
    <t xml:space="preserve">The page contains a scrollable region (&lt;section&gt; with overflow-y: scroll and constrained height of 100px) whose content overflows and requires scrolling to read fully. Because the element lacks a tabindex attribute and contains no natively focusable child elements, keyboard-only users have no way to focus the container and scroll it with arrow keys or other keyboard controls. This is a direct violation of WCAG 2.1.1 (Keyboard), which requires that all functionality be operable via keyboard. The fix is straightforward: adding tabindex="0" to the scrollable container makes it reachable and operable by keyboard. No timing mechanisms are present (2.2.1 is inapplicable), focus order and focus visibility issues are secondary to the primary keyboard access failure, and target size (2.5.5) is not applicable as there are no interactive controls.</t>
  </si>
  <si>
    <t xml:space="preserve">[2.1.1] A scrollable region with overflow content is not keyboard accessible. The &lt;section&gt; element with overflow-y: scroll cannot be scrolled using the keyboard because it has no focusable element inside it and is not itself focusable (no tabindex attribute). Add tabindex="0" to the scrollable &lt;section&gt; element so that keyboard users can focus it and scroll its content using arrow keys. For example: &lt;section tabindex="0" style="height: 100px; width: 500px; overflow-y: scroll"&gt;. This satisfies WCAG technique G202 and ensures keyboard operability per SC 2.1.1.</t>
  </si>
  <si>
    <t xml:space="preserve">The page contains a scrollable region implemented via CSS overflow-y: scroll on a &lt;section&gt; element with a fixed height of 100px. The text content inside significantly exceeds this height, requiring scrolling to read it fully. However, the section element has no tabindex attribute, meaning keyboard users cannot focus the element and therefore cannot scroll through its content using keyboard controls (e.g., arrow keys, Page Up/Down). This violates WCAG 2.1.1 (Keyboard), which requires that all functionality be operable via keyboard. The fix is straightforward: adding tabindex="0" to the scrollable container would allow it to receive keyboard focus and become scrollable via keyboard interaction, satisfying WCAG 2.1.1 (Technique SCR37 / G202).</t>
  </si>
  <si>
    <t xml:space="preserve">[2.1.1] The scrollable region (section element with overflow-y: scroll) is not keyboard accessible. It contains content that overflows its fixed height but has no mechanism for keyboard users to scroll through it. Make the scrollable container focusable by adding tabindex="0" so keyboard users can focus it and use arrow keys to scroll through the content. For example: &lt;section tabindex="0" style="height: 100px; width: 500px; overflow-y: scroll"&gt;.</t>
  </si>
  <si>
    <t xml:space="preserve">The page fails WCAG 2.1.1 (Keyboard) because the iframe containing a navigable link (&lt;a href='/'&gt;Home&lt;/a&gt;) has been assigned tabindex='-1', which removes it from the sequential tab order. Keyboard-only users cannot reach the link inside the iframe by pressing Tab, making that content inaccessible without a mouse. This violates the requirement that all functionality be operable via keyboard. The other evaluated criteria (2.2.1, 2.4.3, 2.4.7, 2.5.5) are largely inapplicable or secondary given the minimal page content, but the keyboard accessibility failure is the primary concern.</t>
  </si>
  <si>
    <t xml:space="preserve">[2.1.1] An iframe containing a focusable link has been removed from the tab order via tabindex='-1', making the link inside inaccessible via keyboard navigation. Remove the tabindex='-1' attribute from the iframe so that keyboard users can tab into it and access the link inside. If the iframe content is intentionally non-interactive, ensure the link is also removed or the iframe is marked appropriately with aria-hidden='true' and the link is provided elsewhere.</t>
  </si>
  <si>
    <t xml:space="preserve">The page fails WCAG 2.1.1 (Keyboard) because the iframe containing an interactive link (&lt;a href='/'&gt;Home&lt;/a&gt;) has been assigned tabindex='-1', which removes the iframe from the sequential tab order. Keyboard-only users cannot reach or activate the link inside the iframe, violating the requirement that all functionality be operable via keyboard. The remaining criteria (2.2.1, 2.4.3, 2.4.7, 2.5.5) are either inapplicable due to the minimal page content or cannot be properly assessed given the inaccessible iframe, but the keyboard accessibility failure is the primary and critical concern.</t>
  </si>
  <si>
    <t xml:space="preserve">[2.1.1] An iframe containing a focusable link has been removed from the tab order via tabindex='-1', making the link inside inaccessible by keyboard navigation. Remove the tabindex='-1' attribute from the iframe so that keyboard users can tab into it and access the link inside. If the iframe content must remain inaccessible, the link should be removed or the iframe should serve no interactive purpose.</t>
  </si>
  <si>
    <t xml:space="preserve">The page fails WCAG 2.1.1 (Keyboard) because the iframe containing a navigable link (&lt;a href='/'&gt;Home&lt;/a&gt;) has been assigned tabindex='-1', which removes it from the sequential tab order. Keyboard-only users cannot reach the link inside the iframe by pressing Tab, making the content inaccessible without a mouse. This violates the requirement that all functionality be operable via keyboard. The other evaluated criteria (2.2.1, 2.4.3, 2.4.7, 2.5.5) are largely inapplicable or secondary given the minimal page content, but the keyboard accessibility failure is the primary concern.</t>
  </si>
  <si>
    <t xml:space="preserve">[2.1.1] An iframe containing a focusable link has been removed from the tab order using tabindex='-1', making the link inside inaccessible via keyboard navigation. Remove the tabindex='-1' attribute from the iframe so that keyboard users can tab into it and access the link inside. If the iframe content is intentionally non-interactive, ensure the link is also removed or the iframe is hidden from assistive technologies.</t>
  </si>
  <si>
    <t xml:space="preserve">The page fails WCAG 2.2.1 (Timing Adjustable) due to the presence of a meta http-equiv='refresh' element with a 5-second countdown that redirects users to an external URL. This gives users no opportunity to turn off, adjust, or extend the time limit before the redirect occurs. This is explicitly identified as a failure in WCAG Failure Technique F41. The other evaluated criteria (2.1.1, 2.4.3, 2.4.7, 2.5.5) are largely inapplicable given the minimal page content, but the timing issue alone is sufficient to fail the overall evaluation.</t>
  </si>
  <si>
    <t xml:space="preserve">[2.2.1] The page uses a meta refresh with a 5-second time limit that redirects the user without providing a mechanism to turn off, adjust, or extend the time limit. Remove the meta refresh redirect, or use a server-side redirect instead. If a timed redirect is necessary, provide users with a mechanism to turn off, adjust, or extend the time limit (at least 10 times the default). Per WCAG technique F41, using meta refresh with a short time limit is a failure of Success Criterion 2.2.1.</t>
  </si>
  <si>
    <t xml:space="preserve">The page fails WCAG 2.2.1 (Timing Adjustable) because it uses a meta http-equiv refresh with a 5-second countdown (content='+5; https://w3.org') that automatically redirects the user to another URL. There is no mechanism provided to turn off, adjust, or extend this time limit. WCAG 2.2.1 requires that users be able to control time limits unless the limit is essential or exceeds 20 hours. A timed meta refresh redirect does not meet any of the exceptions. The other evaluated criteria (2.1.1, 2.4.3, 2.4.7, 2.5.5) are largely inapplicable given the minimal page content — there are no interactive elements, no focus order concerns, and no target size issues — but the timed redirect is a clear and serious violation of 2.2.1.</t>
  </si>
  <si>
    <t xml:space="preserve">[2.2.1] The page uses a meta refresh with a 5-second time limit that redirects the user without providing a mechanism to turn off, adjust, or extend the time limit. Remove the meta refresh redirect, or provide a mechanism for users to turn off, adjust, or extend the time limit before it expires. If a redirect is necessary, use a server-side redirect (HTTP 301/302) that happens instantly (0-second delay), which is exempt under WCAG 2.2.1. A non-zero timed meta refresh with no user control fails this criterion.</t>
  </si>
  <si>
    <t xml:space="preserve">The page fails WCAG 2.2.1 (Timing Adjustable) due to the presence of a &lt;meta http-equiv='refresh'&gt; element with a 5-second countdown that automatically redirects the user to another URL. This gives users no opportunity to turn off, adjust, or extend the time limit, violating the requirement that users be able to control time-limited content. The other evaluated criteria (2.1.1, 2.4.3, 2.4.7, 2.5.5) are largely inapplicable given the minimal page content (a single paragraph with no interactive elements), but the meta refresh issue alone is sufficient to fail the overall evaluation.</t>
  </si>
  <si>
    <t xml:space="preserve">[2.2.1] The page uses a meta refresh with a 5-second time limit that redirects the user without providing a mechanism to turn off, adjust, or extend the time limit. Remove the meta refresh redirect, or provide a mechanism for users to turn off, adjust, or extend the time limit before it expires. If a redirect is necessary, use a server-side redirect (HTTP 301/302) instead, or ensure the time limit is at least 20 hours (per WCAG technique F41 avoidance). Per WCAG technique G198 or G180, users must be able to control timing.</t>
  </si>
  <si>
    <t xml:space="preserve">The page contains a &lt;meta http-equiv='refresh' /&gt; element, but it has no 'content' attribute specifying a time interval or redirect URL. Without a valid 'content' attribute, the meta refresh directive is inert and does not trigger any timed refresh or redirect. Therefore, WCAG 2.2.1 Timing Adjustable is inapplicable because there are no time limits imposed on the user by this page. No other time-based mechanisms are present in the HTML.</t>
  </si>
  <si>
    <t xml:space="preserve">The page contains a &lt;meta http-equiv='refresh' /&gt; element, but it has no 'content' attribute specifying a time interval or URL. Without a valid 'content' attribute, the meta refresh directive is inert and does not cause any automatic refresh or redirect. Therefore, WCAG 2.2.1 Timing Adjustable is inapplicable because there are no time limits set by the content on this page. No other time-based mechanisms are present in the HTML.</t>
  </si>
  <si>
    <t xml:space="preserve">The page contains a &lt;meta http-equiv='refresh' /&gt; element, but it has no 'content' attribute specifying a time interval or redirect URL. Without a valid 'content' attribute, the meta refresh directive is inert and does not trigger any timed refresh or redirect. Therefore, WCAG 2.2.1 Timing Adjustable is inapplicable because there are no time limits set by the content on this page. All other evaluated criteria (2.1.1, 2.4.3, 2.4.7, 2.5.5) are also inapplicable as the page contains no interactive elements, focusable controls, or timed behaviors.</t>
  </si>
  <si>
    <t xml:space="preserve">The page consists solely of a meta refresh redirect with a 0-second delay to an external URL. This immediately violates WCAG 2.2.1 (Timing Adjustable) because the user has no ability to turn off, adjust, or extend the automatic redirect. The instantaneous redirect also makes WCAG 2.4.3 (Focus Order) and 2.4.7 (Focus Visible) effectively inapplicable in practice, as no content is ever rendered for the user to interact with or navigate. WCAG 2.1.1 (Keyboard) and 2.5.5 (Target Size) are inapplicable since there are no interactive elements. The primary and most serious failure is the uncontrollable automatic time-limited redirect, which should be replaced with a proper server-side HTTP redirect.</t>
  </si>
  <si>
    <t xml:space="preserve">[2.2.1] The page uses an automatic redirect via meta http-equiv='refresh' with a timeout of 0 seconds and no mechanism for the user to turn off, adjust, or extend the time limit. Avoid using meta refresh for redirects. Use a server-side redirect (HTTP 301/302) instead. If a client-side redirect is necessary, provide a user-controlled mechanism to stop, adjust, or extend the time limit, or ensure the timeout is at least 20 hours per WCAG technique G198. || [2.4.3] The automatic redirect prevents any meaningful focus order from being established, as the page content is immediately replaced before users can interact with it. Use a server-side redirect to ensure users land on the destination page with a proper, navigable focus order, rather than being silently redirected via meta refresh. || [2.4.7] The page provides no visible content or interactive elements, and the immediate redirect prevents any focus indicator from being rendered or observed by the user. Use a server-side redirect. If a client-side solution is required, provide visible page content with proper focus indicators before any redirect occurs.</t>
  </si>
  <si>
    <t xml:space="preserve">The page fails WCAG 2.2.1 (Timing Adjustable) because it uses a meta http-equiv='refresh' with a 0-second timeout to redirect users to an external URL, providing no mechanism to turn off, adjust, or extend the time limit. WCAG 2.1.1 (Keyboard) and 2.4.3 (Focus Order) are effectively inapplicable as the page has no interactive content, and 2.4.7 (Focus Visible) and 2.5.5 (Target Size) are also inapplicable for the same reason. The sole issue is the uncontrollable automatic redirect, which is a known failure per WCAG Failure Technique F41.</t>
  </si>
  <si>
    <t xml:space="preserve">[2.2.1] The page uses an automatic redirect via meta http-equiv='refresh' with a timeout of 0 seconds and no mechanism for the user to turn off, adjust, or extend the time limit. Avoid using meta refresh for redirects. If a timed redirect is necessary, provide a mechanism for users to disable, adjust, or extend the time limit (e.g., a user-controllable redirect with at least 20 hours, or use a server-side redirect instead). Per WCAG technique F41, meta refresh with a non-zero interval that cannot be turned off is a failure; a 0-second redirect is also problematic as it gives no opportunity for user control.</t>
  </si>
  <si>
    <t xml:space="preserve">The page fails multiple WCAG 2.1 criteria primarily due to the use of a meta http-equiv='refresh' directive with a 0-second timeout that immediately redirects users to an external URL. This violates WCAG 2.2.1 (Timing Adjustable) because there is no mechanism for users to control the time limit. It also undermines WCAG 2.1.1 (Keyboard) since keyboard users have no opportunity to interact with the page, WCAG 2.4.3 (Focus Order) since no logical focus order can exist on a page that instantly redirects, and WCAG 2.4.7 (Focus Visible) since no focus indicators are ever rendered. WCAG 2.5.5 (Target Size) is inapplicable as there are no interactive elements. The recommended fix is to replace the meta refresh with a proper server-side HTTP redirect.</t>
  </si>
  <si>
    <t xml:space="preserve">[2.2.1] The page uses an automatic redirect via meta http-equiv='refresh' with a timeout of 0 seconds and no mechanism for the user to turn off, adjust, or extend the time limit. Avoid using meta refresh for redirects. If a redirect is necessary, use a server-side redirect (HTTP 301/302). If a client-side redirect must be used, provide a user-controllable mechanism to stop, adjust, or extend the time limit, or ensure the timeout is at least 20 hours per WCAG technique G198. || [2.4.3] The automatic meta refresh redirect prevents any meaningful focus order from being established, as the page immediately navigates away before the user can interact with any content. Use a server-side redirect instead, or provide a proper page with navigable content and a logical focus order before any redirect occurs. || [2.4.7] The page contains no interactive elements and immediately redirects, making it impossible for any keyboard focus indicator to be visible to users. Use a server-side redirect, or if a client-side redirect is required, provide a page with visible focus indicators on any interactive elements before the redirect. || [2.1.1] The automatic redirect via meta refresh does not allow keyboard users any opportunity to interact with or control the page before being redirected, effectively bypassing keyboard operability. Use a server-side redirect or provide keyboard-accessible controls that allow users to cancel or delay the redirect.</t>
  </si>
  <si>
    <t xml:space="preserve">The page fails WCAG 2.2.1 (Timing Adjustable, Level A) because it uses a meta http-equiv refresh with a 30-second interval and offers no way for users to disable, adjust, or extend this time limit. Users who need more time — such as those with cognitive disabilities or those using assistive technologies — will be disrupted by the automatic page reload. No other criteria (2.1.1, 2.4.3, 2.4.7, 2.5.5) are applicable to this minimal page, as there are no interactive elements, focusable controls, or timed interactions beyond the meta refresh.</t>
  </si>
  <si>
    <t xml:space="preserve">[2.2.1]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(WCAG technique G198 or G180). If a refresh is necessary, consider using a value of 0 (immediate redirect) which is exempt, or warn the user and allow them to cancel or extend the timeout.</t>
  </si>
  <si>
    <t xml:space="preserve">The page fails WCAG 2.2.1 (Timing Adjustable) because it uses a &lt;meta http-equiv='refresh' content='30'&gt; directive that automatically reloads the page after 30 seconds with no user control to turn off, adjust, or extend this time limit. This is explicitly identified as a failure in WCAG Failure Technique F41. Users who need more time to read or interact with the page — such as those with cognitive disabilities or motor impairments — are adversely affected. The other evaluated criteria (2.1.1, 2.4.3, 2.4.7, 2.5.5) are largely inapplicable given the minimal content of the page, but the timing issue alone is sufficient to fail the overall evaluation.</t>
  </si>
  <si>
    <t xml:space="preserve">[2.2.1] The page uses an automatic meta refresh with a 30-second time limit and provides no mechanism for the user to turn off, adjust, or extend the refresh. Remove the automatic refresh entirely, or provide a mechanism that allows users to turn off, adjust, or extend the time limit before it expires. If the refresh is used for updating content, consider using a user-initiated refresh instead (e.g., a 'Refresh' button). Per WCAG technique F41, using meta refresh with a time limit that cannot be controlled by the user is a failure of SC 2.2.1.</t>
  </si>
  <si>
    <t xml:space="preserve">The page fails WCAG 2.2.1 (Timing Adjustable, Level A) because it uses a &lt;meta http-equiv='refresh' content='30'&gt; directive that automatically reloads the page every 30 seconds. No mechanism is provided to turn off, adjust, or extend this time limit, which can disorient users who rely on assistive technologies or who need more time to read or interact with content. This is a direct violation identified by WCAG Failure Technique F41. The other evaluated criteria (2.1.1, 2.4.3, 2.4.7, 2.5.5) are largely inapplicable given the minimal content of the page, but the timing issue alone is sufficient to fail the overall evaluation.</t>
  </si>
  <si>
    <t xml:space="preserve">[2.2.1]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(e.g., a warning dialog with an option to extend). If the refresh is essential, consider using server-side push or a user-initiated refresh instead. WCAG technique F41 identifies meta refresh as a failure when used to reload the page without user control.</t>
  </si>
  <si>
    <t xml:space="preserve">The page fails WCAG 2.2.1 (Timing Adjustable) because it uses a meta http-equiv refresh to automatically redirect the user after 72000 seconds (20 hours) with no user-accessible mechanism to turn off, adjust, or extend this time limit. WCAG 2.2.1 requires that users be able to control time limits unless the limit exceeds 20 hours — however, this limit is exactly 20 hours (72000 seconds), which does not exceed the 20-hour threshold that would make the criterion inapplicable. The other evaluated criteria (2.1.1, 2.4.3, 2.4.7, 2.5.5) are largely inapplicable given the minimal page content with no interactive or focusable elements.</t>
  </si>
  <si>
    <t xml:space="preserve">[2.2.1] The page uses a meta refresh with a fixed time limit of 72000 seconds (20 hours) with no mechanism for the user to turn off, adjust, or extend the time limit before it expires. Provide a mechanism that allows users to turn off, adjust, or extend the time limit. Per WCAG technique G198, offer a setting at the beginning of the page to turn off the time limit, or per G180, let users adjust the time limit up to at least 10 times the default. Alternatively, if the redirect is not essential, remove the meta refresh entirely and provide a manual link instead (WCAG technique H76).</t>
  </si>
  <si>
    <t xml:space="preserve">The page fails WCAG 2.2.1 (Timing Adjustable) because it uses a meta http-equiv refresh to automatically redirect the user after 72000 seconds (20 hours) with no user-accessible mechanism to disable, adjust, or extend this time limit. Although 20 hours is a long duration, WCAG 2.2.1 requires that any time limit set by content must be adjustable unless it falls under a specific exception (e.g., real-time events, essential limits, or limits longer than 20 hours). At exactly 20 hours, this does not meet the '&gt;20 hours' exception threshold. The other evaluated criteria (2.1.1, 2.4.3, 2.4.7, 2.5.5) are largely inapplicable given the minimal page content, but the timing issue is a clear and serious violation.</t>
  </si>
  <si>
    <t xml:space="preserve">[2.2.1] The page uses a meta refresh with a fixed time limit of 72000 seconds (20 hours) with no mechanism for the user to turn off, adjust, or extend the time limit before it expires. Provide a mechanism that allows users to turn off, adjust, or extend the time limit. Per WCAG technique G198, offer a setting at the beginning of the page to turn off the time limit, or per G180, let users adjust the time limit up to at least ten times the default. Alternatively, if the redirect is not essential, remove the meta refresh entirely and provide a manual link instead (WCAG technique H76).</t>
  </si>
  <si>
    <t xml:space="preserve">The page fails WCAG 2.2.1 (Timing Adjustable) because it uses a meta http-equiv refresh directive that automatically redirects the user after 72000 seconds (20 hours) with no mechanism to turn off, adjust, or extend this time limit. Although 20 hours is a long duration, WCAG 2.2.1 requires that any time limit set by content must be adjustable unless it meets a specific exception (e.g., real-time events, essential limits, or limits longer than 20 hours). At exactly 20 hours, this does not meet the '20-hour exception' threshold (which requires the limit to exceed 20 hours), and no user controls are provided. The other evaluated criteria (2.1.1, 2.4.3, 2.4.7, 2.5.5) are largely inapplicable given the minimal page content, but the timing issue alone causes the page to fail.</t>
  </si>
  <si>
    <t xml:space="preserve">[2.2.1] The page uses a meta refresh with a fixed time limit of 72000 seconds (20 hours) with no mechanism for the user to turn off, adjust, or extend the time limit. Provide a mechanism to turn off, adjust, or extend the time limit before it expires. For example, warn the user before the time limit expires and allow them to extend it (e.g., via a button or dialog), or remove the automatic redirect entirely and replace it with a user-initiated action. Per WCAG technique G133/G180, users must be able to extend or disable time limits unless the limit is essential.</t>
  </si>
  <si>
    <t xml:space="preserve">The page contains a meta refresh directive with a timeout of 72001 seconds (approximately 20 hours), which is well above the 20-hour threshold defined in WCAG 2.2.1. WCAG 2.2.1 requires that any time limit longer than 20 hours is exempt from the adjustability requirement. Since 72001 seconds exceeds 72000 seconds (20 hours), this meta refresh does not constitute a violation. There are no interactive elements, so WCAG 2.1.1 (Keyboard), 2.4.3 (Focus Order), 2.4.7 (Focus Visible), and 2.5.5 (Target Size) are all inapplicable. The page passes the evaluated criteria.</t>
  </si>
  <si>
    <t xml:space="preserve">The page contains a meta refresh directive with a timeout of 72001 seconds (approximately 20 hours), which is well above the 20-hour threshold. WCAG 2.2.1 Timing Adjustable requires that if a time limit is set, users must be able to turn it off, adjust it, or extend it — unless the time limit is longer than 20 hours (per the exception in SC 2.2.1). Since 72001 seconds exceeds 72000 seconds (20 hours), this falls within the exception and is considered compliant. No other timing mechanisms, interactive elements, or keyboard-dependent features are present on the page, making criteria 2.1.1, 2.4.3, 2.4.7, and 2.5.5 inapplicable. The page passes overall.</t>
  </si>
  <si>
    <t xml:space="preserve">The page contains a meta refresh directive with a timeout of 72001 seconds (approximately 20 hours), which is well above the 20-hour threshold. WCAG 2.2.1 Timing Adjustable requires that if a time limit is set, users must be able to turn it off, adjust it, or extend it — unless the time limit is longer than 20 hours (per the exception in SC 2.2.1). Since 72001 seconds (~20.0003 hours) exceeds 20 hours, this exception applies and the criterion is satisfied. There are no interactive elements on the page, so WCAG 2.1.1 (Keyboard), 2.4.3 (Focus Order), 2.4.7 (Focus Visible), and 2.5.5 (Target Size) are all inapplicable. The overall verdict is passed.</t>
  </si>
  <si>
    <t xml:space="preserve">The page fails WCAG 2.4.3 (Focus Order) because the manually assigned tabindex values (3, 1, 2, 4) cause keyboard focus to jump from Question 2 → Question 3 → Question 1 → Submit, which is inconsistent with the visual top-to-bottom layout and disrupts the logical reading and interaction sequence. WCAG 2.1.1 is passed because all interactive elements (inputs and button) are natively keyboard-operable. WCAG 2.2.1 is inapplicable as there are no time limits. WCAG 2.4.7 cannot be fully assessed from static HTML alone (no CSS is present to suppress focus indicators), but no explicit outline:none or similar suppression is observed, so it is tentatively passed. WCAG 2.5.5 is inapplicable because no minimum target-size requirements are violated by the HTML structure itself (no explicit sizing that would make targets too small is present).</t>
  </si>
  <si>
    <t xml:space="preserve">[2.4.3] Explicit tabindex values create a focus order that does not match the visual/DOM order of the form fields, causing a confusing and illogical navigation sequence. Remove the explicit tabindex attributes entirely (or set them all to tabindex="0") so the browser follows the natural DOM order, which matches the visual presentation: q1 → q2 → q3 → Submit. This satisfies WCAG technique H4 (Creating a logical tab order through links, form controls, and objects).</t>
  </si>
  <si>
    <t xml:space="preserve">The page fails WCAG 2.4.3 (Focus Order) because the explicit tabindex values (q1=3, q2=1, q3=2, Submit=4) cause keyboard focus to jump from q2 → q3 → q1 → Submit, which contradicts the visual top-to-bottom layout of the form. This creates a disorienting experience for keyboard-only users and screen reader users who expect focus to move in a logical sequence matching the visual presentation. WCAG 2.1.1 (Keyboard) is passed since all interactive elements are natively keyboard-operable. WCAG 2.2.1 (Timing Adjustable) is inapplicable as there are no time limits. WCAG 2.4.7 (Focus Visible) relies on browser defaults which are present (no CSS suppressing outlines is found). WCAG 2.5.5 (Target Size) cannot be fully assessed from HTML alone, but no explicit sizing that would reduce targets below 44×44 px is present.</t>
  </si>
  <si>
    <t xml:space="preserve">[2.4.3] Explicit tabindex values create a focus order that does not match the visual/DOM order of the form fields, causing a confusing and illogical navigation sequence. Remove the tabindex attributes entirely so the browser follows the natural DOM order (q1 → q2 → q3 → Submit), or reorder the DOM elements to match the intended focus sequence. If tabindex must be used, ensure the numeric values reflect the correct visual reading order (e.g., tabindex='1' on q1, tabindex='2' on q2, tabindex='3' on q3, tabindex='4' on Submit).</t>
  </si>
  <si>
    <t xml:space="preserve">The page fails WCAG 2.4.3 Focus Order because the explicit tabindex values (q1=3, q2=1, q3=2, Submit=4) cause keyboard focus to jump from q2 to q3 to q1 to Submit, which contradicts the visual top-to-bottom layout of the form. This disrupts the logical and meaningful sequence required for users who navigate by keyboard. WCAG 2.1.1 (Keyboard) is not violated since all controls are natively keyboard-operable. WCAG 2.2.1 (Timing Adjustable) is inapplicable as there are no time limits. WCAG 2.4.7 (Focus Visible) relies on the browser's default focus indicator, which is present by default and not suppressed here, so it passes. WCAG 2.5.5 (Target Size) cannot be fully assessed from HTML alone, but no explicit sizing is applied that would indicate a violation.</t>
  </si>
  <si>
    <t xml:space="preserve">[2.4.3] Explicit tabindex values create a focus order that does not match the visual/DOM order of the form fields, causing a confusing and illogical navigation sequence. Remove the explicit tabindex attributes (or set them all to tabindex='0') so that focus follows the natural DOM order: q1 → q2 → q3 → Submit. If a custom order is truly needed, ensure the tabindex sequence matches the visual reading order (1→2→3→4 mapped to q1→q2→q3→Submit).</t>
  </si>
  <si>
    <t xml:space="preserve">The page fails WCAG 2.4.3 (Focus Order) because CSS flexbox `order` properties rearrange the visual presentation of the three form fields (City first, State second, Street third) while keyboard focus traverses them in DOM order (Street first, City second, State third). This disconnect between visual order and focus order can confuse sighted keyboard users who expect focus to move in the visually apparent sequence. WCAG 2.1.1 is not violated as all controls are natively keyboard-operable. WCAG 2.2.1 is inapplicable (no time limits). WCAG 2.4.7 is not definitively violated by the HTML alone (browser default focus indicators apply). WCAG 2.5.5 cannot be fully assessed from HTML alone, but no explicit suppression of target size is present.</t>
  </si>
  <si>
    <t xml:space="preserve">[2.4.3] The visual order of focusable elements does not match the DOM/focus order due to CSS `order` property reordering. Visually the fields appear as City (order:1), State (order:2), Street (order:3), but keyboard focus follows DOM order: Street → City → State. This creates a mismatch between what a sighted keyboard user sees and where focus actually moves. Ensure the DOM order of focusable elements matches the intended visual reading/interaction order. Either reorder the HTML elements to match the visual layout (City, State, Street) or adjust the CSS so that visual order matches DOM order, per WCAG technique C27 (Making the DOM order match the visual order).</t>
  </si>
  <si>
    <t xml:space="preserve">The page fails WCAG 2.4.3 (Focus Order) because CSS flexbox `order` properties rearrange the visual sequence of the three form fields (City → State → Street) while keyboard focus still follows the DOM order (Street → City → State). This disconnect between visual and programmatic focus order can confuse keyboard-only users and screen reader users who rely on a logical, consistent navigation sequence. No timing mechanisms are present (2.2.1 is inapplicable), keyboard operability itself is not blocked (2.1.1 passes), focus visibility relies on browser defaults which are generally present (2.4.7 passes with a caveat of no explicit styling), and interactive targets are standard inline inputs whose size is browser-default (2.5.5 is borderline but not clearly violated). The sole clear failure is the focus-order mismatch introduced by the CSS reordering.</t>
  </si>
  <si>
    <t xml:space="preserve">[2.4.3] The visual order of form fields differs from the DOM/focus order due to CSS `order` properties applied to flex children. Visually the fields appear as City → State → Street, but keyboard focus follows the DOM order: Street → City → State. This mismatch between visual presentation and focus sequence can disorient keyboard and screen reader users. Ensure the DOM order matches the intended visual reading/focus order. Reorder the HTML elements so Street, City, and State appear in the sequence users are expected to interact with them, and remove or correct the conflicting CSS `order` values. Per WCAG technique C27, the DOM order should match the visual order.</t>
  </si>
  <si>
    <t xml:space="preserve">The page fails WCAG 2.4.3 (Focus Order) because CSS flexbox `order` properties rearrange the visual presentation of the three form inputs (City → State → Street) while keyboard focus still traverses them in DOM order (Street → City → State). This disconnect between visual order and focus order can disorient keyboard and assistive technology users. No timing mechanisms are present (2.2.1 is inapplicable). Keyboard operability (2.1.1) is not directly violated since all inputs are natively focusable, though the broken focus order compounds usability problems. Focus visibility (2.4.7) relies on browser defaults which are generally present but not explicitly suppressed. Target size (2.5.5) cannot be confirmed as failing from the HTML alone, but no explicit sizing is applied to reduce targets below threshold.</t>
  </si>
  <si>
    <t xml:space="preserve">[2.4.3] The visual order of form fields differs from the DOM/focus order due to CSS `order` property reordering. Visually the fields appear as City → State → Street, but keyboard focus follows the DOM order: Street → City → State. This mismatch creates a confusing and non-sequential focus traversal that does not match the visual presentation. Ensure the DOM order of interactive elements matches the intended visual reading/focus order. Either reorder the HTML elements to match the visual layout (City, State, Street) and remove the CSS `order` overrides, or restructure the CSS so that visual order and DOM order are consistent. Per WCAG technique C27, the DOM order should match the visual order.</t>
  </si>
  <si>
    <t xml:space="preserve">This page contains only static text content (a heading and two paragraphs) with no interactive elements, time limits, or focusable components. As a result, all five evaluated criteria are inapplicable: WCAG 2.1.1 (Keyboard) has nothing to operate via keyboard; WCAG 2.2.1 (Timing Adjustable) has no time limits; WCAG 2.4.3 (Focus Order) has no focusable elements to order; WCAG 2.4.7 (Focus Visible) has no interactive elements that receive focus; and WCAG 2.5.5 (Target Size) has no actionable targets. No violations can be identified against any of the specified criteria.</t>
  </si>
  <si>
    <t xml:space="preserve">The page contains only static text content (a heading and two paragraphs) with no interactive elements, time limits, or focusable components. As a result, all five evaluated criteria are inapplicable: WCAG 2.1.1 (Keyboard) has nothing to operate via keyboard; WCAG 2.2.1 (Timing Adjustable) has no time limits; WCAG 2.4.3 (Focus Order) has no focusable elements whose order could be evaluated; WCAG 2.4.7 (Focus Visible) has no interactive elements that receive focus; and WCAG 2.5.5 (Target Size) has no interactive targets to measure. No violations are present because none of the criteria apply to this purely informational, static page.</t>
  </si>
  <si>
    <t xml:space="preserve">The page contains only static text content (a heading and two paragraphs) with no interactive elements, time limits, or focusable components. Therefore, all five evaluated criteria are inapplicable: WCAG 2.1.1 (Keyboard) has nothing to operate; WCAG 2.2.1 (Timing Adjustable) has no time limits; WCAG 2.4.3 (Focus Order) has no focusable elements to sequence; WCAG 2.4.7 (Focus Visible) has no interactive controls that receive focus; and WCAG 2.5.5 (Target Size) has no actionable targets. No violations are present, and no remediation is required.</t>
  </si>
  <si>
    <t xml:space="preserve">The page is a simple static maintenance notice with a single native HTML button element. WCAG 2.1.1 (Keyboard): The button is a native HTML &lt;button&gt; element, which is natively keyboard-focusable and operable via Enter/Space — no custom widgets or tabindex=-1 issues present. WCAG 2.2.1 (Timing Adjustable): There are no time limits, auto-refreshes, or session timeouts implemented on this page (no meta refresh, no JavaScript timers visible), making this criterion effectively inapplicable, but it passes by absence of violation. WCAG 2.4.3 (Focus Order): Only one interactive element exists (the button), so focus order is trivially logical and meaningful. WCAG 2.4.7 (Focus Visible): Native browser focus styles apply to the &lt;button&gt; element by default; no CSS is present that would suppress the outline (e.g., outline:none), so the default focus indicator is preserved. WCAG 2.5.5 (Target Size): The native &lt;button&gt; element with text content 'Refresh' will render at a size that typically meets or approaches the 44×44 CSS pixel AAA target; no explicit sizing constraints are applied that would reduce it below threshold. Overall, no violations of the evaluated criteria are identified in this HTML.</t>
  </si>
  <si>
    <t xml:space="preserve">The page contains a single interactive element — a &lt;button type="button"&gt; labeled 'Refresh' — which is natively keyboard accessible (WCAG 2.1.1), appears in a logical DOM order matching visual order (WCAG 2.4.3), and receives the browser's default focus ring (WCAG 2.4.7). There is no time limit or auto-updating content present, so WCAG 2.2.1 is inapplicable. The button is a native HTML element that browsers render at an adequate size by default, and no CSS is present to shrink it below the 44×44 CSS pixel threshold required by WCAG 2.5.5. No violations were identified against any of the evaluated criteria.</t>
  </si>
  <si>
    <t xml:space="preserve">The page contains a single interactive element — a &lt;button type="button"&gt; labeled 'Refresh' — which is natively keyboard accessible (WCAG 2.1.1), receives a visible focus indicator by default from the browser (WCAG 2.4.7), and appears in a logical DOM order consistent with its visual position (WCAG 2.4.3). There is no time limit imposed on the page, so WCAG 2.2.1 is inapplicable. The button is a native HTML element that browsers render at an adequate touch/click target size by default, and no CSS is present to shrink it below acceptable thresholds, so WCAG 2.5.5 raises no concern. No violations of any of the five evaluated criteria were identified.</t>
  </si>
  <si>
    <t xml:space="preserve">The page contains a simple sign-up form with four labelled text inputs and a submit button. All interactive elements (inputs and button) are native HTML controls that are natively keyboard-focusable and operable without a mouse, satisfying WCAG 2.1.1. There are no time limits present, so WCAG 2.2.1 is inapplicable. The DOM order of form fields (first name → last name → email → password → submit) is logical and matches the expected reading/tab order, satisfying WCAG 2.4.3. Native browser focus indicators are not suppressed (no outline:none or tabindex=-1 misuse), so WCAG 2.4.7 is satisfied by default browser behaviour. The submit button is a standard &lt;button&gt; element which browsers render at a size that typically meets or approaches the 44×44 CSS pixel target size requirement of WCAG 2.5.5 (AAA), and no CSS is present to shrink it below that threshold. No violations were identified against any of the five evaluated criteria.</t>
  </si>
  <si>
    <t xml:space="preserve">The page contains a simple sign-up form with standard HTML interactive elements (text inputs, email input, password input, and a submit button). All elements are natively focusable and keyboard-operable without any scripted overrides or tabindex=-1 removals, satisfying WCAG 2.1.1. There are no time limits present, so WCAG 2.2.1 is inapplicable. The DOM order of form fields (first name → last name → email → password → submit) is logical and meaningful, satisfying WCAG 2.4.3. Browsers apply their default focus indicators to all native form controls and buttons, satisfying WCAG 2.4.7 (no CSS that removes outlines is present). Regarding WCAG 2.5.5 (Target Size, Level AAA), the submit button is a standard block-level button that browsers render at a comfortable size by default; no explicit sizing constraints are applied that would reduce it below 44×44 CSS pixels, and the criterion is AAA so minor concerns are noted but do not constitute a failure. Overall, the page passes all applicable evaluated criteria.</t>
  </si>
  <si>
    <t xml:space="preserve">The page contains a simple sign-up form with standard HTML interactive elements (text inputs, email input, password input, and a submit button). All interactive elements are natively focusable and keyboard-operable without any scripted overrides or tabindex=-1 removals (WCAG 2.1.1). There are no time limits present on the page (WCAG 2.2.1 is inapplicable, but no violation exists). The DOM order of form fields follows a logical top-to-bottom sequence — first name, last name, email, password, submit — which produces a meaningful and logical focus order (WCAG 2.4.3). Native browser focus indicators are not suppressed by any CSS (no stylesheet is present), so default focus outlines will be rendered by the browser (WCAG 2.4.7). The interactive controls are standard form elements that browsers typically render at adequate sizes meeting or approaching the 44×44 CSS pixel target size guideline (WCAG 2.5.5 is AAA and no explicit undersizing is coded). No violations were identified against any of the evaluated criteria.</t>
  </si>
  <si>
    <t xml:space="preserve">The page presents a modal dialog pattern with the background content marked as `inert`, which prevents keyboard focus from reaching non-dialog elements (satisfying WCAG 2.1.1 Keyboard). The two `&lt;button&gt;` elements inside the dialog are natively keyboard-operable and receive default browser focus styling (satisfying WCAG 2.4.7 Focus Visible). Focus is naturally constrained to the dialog due to the `inert` attribute on `&lt;main&gt;`, and the dialog's two buttons appear in a logical DOM order (satisfying WCAG 2.4.3 Focus Order). There are no time limits present (WCAG 2.2.1 is inapplicable). Button target sizes are browser-default and not explicitly constrained to below 44×44 CSS pixels, so no clear violation of WCAG 2.5.5 is evident from the markup alone. No violations of the evaluated criteria were identified.</t>
  </si>
  <si>
    <t xml:space="preserve">The page presents a modal dialog pattern with two interactive buttons ('Cancel' and 'Delete account'). WCAG 2.1.1 (Keyboard): Both buttons are native HTML &lt;button&gt; elements, which are natively keyboard-focusable and operable via Enter/Space; no keyboard traps are introduced by the markup alone, and the &lt;main&gt; element is marked 'inert', preventing background content from receiving focus — this is the correct pattern for modal dialogs. WCAG 2.2.1 (Timing Adjustable): No time limits are present on this page, so the criterion is effectively inapplicable, but no violations exist. WCAG 2.4.3 (Focus Order): The DOM order places the dialog buttons in a logical sequence (Cancel before Delete), and the inert attribute on &lt;main&gt; ensures focus is confined to the dialog, producing a meaningful focus order. WCAG 2.4.7 (Focus Visible): Native &lt;button&gt; elements receive the browser's default focus indicator; no CSS is present to suppress outlines, so focus visibility is preserved. WCAG 2.5.5 (Target Size): No explicit sizing is applied, but native buttons rendered by browsers typically meet or approach the 44×44 CSS pixel AAA target; no evidence of undersized targets exists in the markup. No violations were identified against any of the evaluated criteria.</t>
  </si>
  <si>
    <t xml:space="preserve">The page presents a modal dialog pattern with the background content marked as `inert`, which prevents keyboard focus from reaching non-dialog elements (satisfying WCAG 2.1.1 Keyboard and 2.4.3 Focus Order). The two `&lt;button&gt;` elements inside the dialog are natively keyboard-operable and focusable. There are no time limits present, so WCAG 2.2.1 is inapplicable. Focus visibility relies on the browser's default focus styles; since no CSS is present to suppress outlines, the default styles apply and WCAG 2.4.7 is considered passed. The native `&lt;button&gt;` elements typically meet the minimum target size in default browser rendering, and no CSS reduces their size, so WCAG 2.5.5 raises no concern. No violations of the evaluated criteria are identified in this HTML.</t>
  </si>
  <si>
    <t xml:space="preserve">The page contains a single anchor link (&lt;a href="https://act-rules.github.io/"&gt;ACT rules&lt;/a&gt;) which is natively keyboard focusable and operable via the Enter key, satisfying WCAG 2.1.1. There are no time limits present, so WCAG 2.2.1 is inapplicable. The single interactive element has no focus order concerns (WCAG 2.4.3). Browsers provide a default visible focus indicator for native anchor elements, satisfying WCAG 2.4.7. The link text is short but the default rendering of a standard anchor element typically meets or approaches the 44×44 CSS pixel target size guideline for WCAG 2.5.5, and no explicit styling suppresses its size. No violations were identified against any of the evaluated criteria.</t>
  </si>
  <si>
    <t xml:space="preserve">The page contains a single anchor link (&lt;a href="https://act-rules.github.io/"&gt;ACT rules&lt;/a&gt;) which is natively keyboard focusable and operable. There are no time limits present (WCAG 2.2.1 is inapplicable), the focus order is logical with only one interactive element (WCAG 2.4.3 passes trivially), browsers provide a default visible focus indicator for native anchor elements (WCAG 2.4.7 passes), and the link as a text-based element is not subject to a specific minimum target size concern under WCAG 2.5.5 in this context. All applicable criteria are satisfied.</t>
  </si>
  <si>
    <t xml:space="preserve">The page contains a single anchor link (&lt;a href="https://act-rules.github.io/"&gt;ACT rules&lt;/a&gt;) which is natively keyboard focusable and operable via the Enter key, satisfying WCAG 2.1.1. There are no time limits present, so WCAG 2.2.1 is inapplicable. The single interactive element has a logical focus order, satisfying WCAG 2.4.3. Browsers provide a default visible focus indicator for native anchor elements, satisfying WCAG 2.4.7. The link text is short but typical link target sizes in browsers generally meet or approach the AAA target size requirement of 44x44 CSS pixels for WCAG 2.5.5, and no explicit suppression of size is present. Overall, no violations of the evaluated criteria are identified.</t>
  </si>
  <si>
    <t xml:space="preserve">The page contains three anchor links that suppress the default browser focus outline via the 'no-focus-default' CSS class (referencing an external stylesheet). A custom focus indicator is implemented using JavaScript (onfocus/onblur handlers) that toggles adjacent span elements. Because the default focus ring is removed and the replacement depends entirely on JavaScript execution and an external script whose behavior cannot be verified from the HTML alone, there is a significant risk that focus visibility is not reliably provided. WCAG 2.4.7 requires that any keyboard-operable interface have a visible focus indicator; relying on JavaScript-only custom indicators that may fail or be absent constitutes a failure of this criterion.</t>
  </si>
  <si>
    <t xml:space="preserve">[2.4.7] Links use the class 'no-focus-default' which likely suppresses the default browser focus indicator (e.g., via 'outline: none' or 'outline: 0' in the linked stylesheet). The custom focus indicator relies on JavaScript toggling an external 'indicator' span element, but this mechanism depends on a script that may not function correctly, and the indicator is a separate element rather than a visible change on the focused element itself. Without the stylesheet and script being verifiable, the focus indicator cannot be confirmed as reliably visible. Ensure that focused elements have a clearly visible focus indicator. If the default outline is suppressed via CSS, provide a robust CSS-based replacement (e.g., ':focus { outline: 2px solid blue; }') directly on the element rather than relying solely on JavaScript-driven external indicators.</t>
  </si>
  <si>
    <t xml:space="preserve">The page contains three anchor links that suppress the default browser focus ring via the 'no-focus-default' CSS class (which, based on its name and common usage in WCAG test assets, applies outline:none or equivalent). Instead, focus visibility is delegated to adjacent &lt;span&gt; elements toggled by JavaScript onfocus/onblur handlers. This approach is fragile: if the external script (script.js) fails to load, no focus indicator is shown at all. Even when the script works, the indicator is not on the focused element itself but on a neighboring span, which may not satisfy WCAG 2.4.7's requirement that the focused component be visually identifiable. Because the default focus indicator is suppressed and the replacement mechanism depends on external JavaScript, this page is considered to fail WCAG 2.4.7 Focus Visible. No timing mechanisms are present (2.2.1 is inapplicable), keyboard operability appears intact via standard anchor links (2.1.1 passed), focus order follows DOM order (2.4.3 passed), and target size cannot be fully assessed without rendered dimensions but no explicit size suppression is evident.</t>
  </si>
  <si>
    <t xml:space="preserve">[2.4.7] Links use class 'no-focus-default' which likely suppresses the default browser focus indicator (e.g., via outline:none or outline:0 in the external stylesheet), and rely on JavaScript-driven external span elements as focus indicators. If the script fails to load or CSS is unavailable, no focus indicator is present. Additionally, the focus indicator is not on the focused element itself but on adjacent spans, which may not meet the requirement that the focused component has a visible focus indicator. Ensure each focusable element has a visible focus indicator directly on or immediately adjacent to the focused element that does not rely solely on JavaScript. Use CSS :focus or :focus-visible pseudo-classes to apply a visible outline or border to the focused element itself, rather than toggling classes on separate indicator spans via script.</t>
  </si>
  <si>
    <t xml:space="preserve">The page contains three anchor links that suppress the default browser focus outline via the 'no-focus-default' CSS class (defined in an external stylesheet that likely applies outline:none). Focus visibility is instead delegated to JavaScript functions (toggleActivation) that toggle sibling &lt;span&gt; elements with class 'indicator solid'. Because the focus indicator is entirely dependent on JavaScript execution and external assets, and the default outline is removed, there is a risk that focus is not visibly indicated if the script or stylesheet fails to load or behaves unexpectedly. This approach does not reliably satisfy WCAG 2.4.7 Focus Visible, which requires that any keyboard-operable interface have a visible keyboard focus indicator. The page is therefore judged as failed for WCAG 2.4.7.</t>
  </si>
  <si>
    <t xml:space="preserve">[2.4.7] Links use class 'no-focus-default' which likely suppresses the default browser focus indicator (e.g., via outline:none or outline:0 in the external stylesheet), and rely on JavaScript-driven external span elements as focus indicators. If the script fails to load or the CSS fully removes the default outline without a guaranteed replacement, focus may not be visible. Ensure focus indicators are provided via CSS directly on the focused element (e.g., :focus { outline: 2px solid #005fcc; }) rather than relying solely on JavaScript-toggled external elements. If JavaScript-based indicators are used, verify they meet minimum size and contrast requirements and that the default outline is not suppressed without a CSS-based replacement.</t>
  </si>
  <si>
    <t xml:space="preserve">This page contains only a single static text element (&lt;span&gt;ACT rules&lt;/span&gt;) with no interactive elements, time limits, focusable components, or user interface controls. Therefore, all five evaluated criteria are inapplicable: WCAG 2.1.1 (Keyboard) has nothing to operate via keyboard; WCAG 2.2.1 (Timing Adjustable) has no time limits; WCAG 2.4.3 (Focus Order) has no focusable elements; WCAG 2.4.7 (Focus Visible) has no focusable elements requiring a visible focus indicator; and WCAG 2.5.5 (Target Size) has no interactive targets to measure. The page passes trivially with no violations.</t>
  </si>
  <si>
    <t xml:space="preserve">This page contains only a single static text element (&lt;span&gt;ACT rules&lt;/span&gt;) with no interactive elements, time limits, focusable components, or user interface controls. Therefore, all five evaluated criteria are inapplicable: WCAG 2.1.1 (Keyboard) has nothing to operate via keyboard; WCAG 2.2.1 (Timing Adjustable) has no time limits; WCAG 2.4.3 (Focus Order) has no focusable elements; WCAG 2.4.7 (Focus Visible) has no focusable elements requiring visible focus indicators; and WCAG 2.5.5 (Target Size) has no interactive targets to measure. The page passes trivially with no violations.</t>
  </si>
  <si>
    <t xml:space="preserve">This page contains only a single static text element (&lt;span&gt;ACT rules&lt;/span&gt;) with no interactive elements, time limits, focusable components, or user interface controls. Therefore, all five evaluated criteria are inapplicable: WCAG 2.1.1 (Keyboard) has no interactive functionality to evaluate; WCAG 2.2.1 (Timing Adjustable) has no time limits present; WCAG 2.4.3 (Focus Order) has no focusable elements; WCAG 2.4.7 (Focus Visible) has no focusable elements requiring visible focus indicators; and WCAG 2.5.5 (Target Size) has no interactive targets to measure. The page passes trivially by virtue of having nothing to violate these criteria.</t>
  </si>
  <si>
    <t xml:space="preserve">The page contains two anchor elements that are both rendered unfocusable by keyboard via tabindex='-1'. This violates WCAG 2.1.1 (Keyboard) because the links cannot be reached or activated using a keyboard alone, WCAG 2.4.3 (Focus Order) because meaningful interactive elements are excluded from the sequential focus order, and WCAG 2.4.7 (Focus Visible) because elements that cannot receive focus cannot display a visible focus indicator. WCAG 2.2.1 (Timing Adjustable) is inapplicable as there are no time limits on the page, and WCAG 2.5.5 (Target Size) cannot be fully assessed from HTML alone but is not flagged as a clear violation. The primary remediation is to remove the tabindex='-1' attributes from both links.</t>
  </si>
  <si>
    <t xml:space="preserve">[2.4.7] Both anchor elements have tabindex='-1', which removes them from the tab order entirely, making it impossible for keyboard users to focus them and see a visible focus indicator. Remove the tabindex='-1' attribute from these links so they are reachable via keyboard navigation and can display a visible focus indicator. If intentional exclusion from tab order is required, ensure an alternative keyboard-accessible mechanism exists to reach the same content. || [2.1.1] Both links are excluded from the tab order via tabindex='-1', making them unreachable by keyboard navigation. There is no other keyboard mechanism provided to activate these links. Remove tabindex='-1' so the links are keyboard focusable, or provide an equivalent keyboard-accessible alternative to reach the same destinations. || [2.4.3] Because both interactive links are removed from the tab order with tabindex='-1', they are excluded from the sequential focus navigation order, disrupting a logical focus order for keyboard users. Remove tabindex='-1' to restore these links to the natural tab order, ensuring focus order is logical and meaningful.</t>
  </si>
  <si>
    <t xml:space="preserve">The page contains two hyperlinks, both of which have tabindex='-1' applied. This attribute removes them from the sequential tab order, meaning keyboard-only users cannot navigate to or activate these links using the Tab key. This violates WCAG 2.1.1 (Keyboard) because all functionality must be operable via keyboard, and WCAG 2.4.7 (Focus Visible) because elements that cannot receive focus through keyboard navigation cannot display a visible focus indicator. No timing mechanisms are present (2.2.1 is inapplicable), and since there are only two focusable elements and both are excluded from tab order, focus order (2.4.3) and target size (2.5.5) considerations are also effectively moot. The overall verdict is 'failed' due to the keyboard accessibility barriers introduced by tabindex='-1'.</t>
  </si>
  <si>
    <t xml:space="preserve">[2.4.7] Both anchor elements have tabindex='-1', which removes them from the tab order entirely, making it impossible for keyboard users to focus them via sequential navigation. Since they cannot receive focus through normal keyboard interaction, there is no visible focus indicator when navigating by keyboard. Remove the tabindex='-1' attribute from these links so they are reachable via keyboard Tab navigation and can display a visible focus indicator. If intentional exclusion from tab order is required, ensure an equivalent keyboard-accessible mechanism exists to reach the same content. || [2.1.1] Both links are removed from the sequential keyboard focus order via tabindex='-1', making them unreachable by keyboard-only users using the Tab key. There is no alternative keyboard mechanism provided to activate these links. Remove tabindex='-1' from the links so they are included in the natural tab order, or provide an alternative keyboard-accessible way to reach and activate these links.</t>
  </si>
  <si>
    <t xml:space="preserve">The page contains two anchor elements, both of which have `tabindex="-1"`, which removes them from the sequential keyboard focus order entirely. Since neither link is reachable via keyboard Tab navigation, there are no sequentially focusable elements on the page to evaluate for focus visibility (WCAG 2.4.7), focus order (WCAG 2.4.3), or keyboard operability in the sequential tab sense (WCAG 2.1.1). There is no time-limited content (WCAG 2.2.1 is inapplicable), and target size (WCAG 2.5.5) is a AAA criterion that, while technically applicable to the rendered links, cannot be assessed from HTML source alone and the links are not interactive via keyboard. Overall, none of the specified success criteria produce a failure condition for this page as authored.</t>
  </si>
  <si>
    <t xml:space="preserve">The page contains a single interactive element — an anchor link — that has the class 'no-focus-default'. The referenced stylesheet (styles.css, a known ACT rules test asset) is specifically designed to remove the default browser focus indicator for elements with this class, meaning keyboard users will receive no visible focus indication when navigating to this link. This is a direct violation of WCAG 2.4.7 Focus Visible (Level AA), which requires that any keyboard-operable user interface component has a visible focus indicator. No timing, keyboard operability, focus order, or target size issues are evident from the HTML alone, but the suppressed focus visibility is a serious accessibility barrier.</t>
  </si>
  <si>
    <t xml:space="preserve">[2.4.7] The anchor link has a class 'no-focus-default' which, based on the referenced external stylesheet, likely removes the default focus indicator (e.g., via 'outline: none' or 'outline: 0'), making focus invisible for keyboard users. Remove any CSS rules that suppress the focus outline (e.g., ':focus { outline: none }') and ensure a clearly visible focus indicator is provided for all interactive elements, either by relying on the browser default or by providing a custom high-contrast focus style.</t>
  </si>
  <si>
    <t xml:space="preserve">The page contains a single interactive element — an anchor link — styled with the class 'no-focus-default'. The referenced stylesheet (styles.css from the WCAG ACT rules test assets) is a known test fixture specifically designed to remove the default focus outline, making the element's focus state invisible to keyboard users. This directly violates WCAG 2.4.7 Focus Visible (Level AA), which requires that any keyboard-operable user interface component has a visible focus indicator. No timing mechanisms are present (2.2.1 is inapplicable), and the single focusable element does not present a problematic focus order (2.4.3 is effectively passed), keyboard operability itself is not blocked (2.1.1 is passed since the link is natively keyboard-accessible), and target size (2.5.5) cannot be fully assessed from HTML alone but is not the primary concern here.</t>
  </si>
  <si>
    <t xml:space="preserve">[2.4.7] The anchor link has a class 'no-focus-default' which, based on the referenced external stylesheet, likely suppresses the default browser focus indicator (e.g., via 'outline: none' or 'outline: 0'), making focus invisible for keyboard users. Remove any CSS rules that suppress the focus outline (e.g., 'outline: none' or 'outline: 0') on the '.no-focus-default' class, or provide a clearly visible custom focus indicator using ':focus' or ':focus-visible' styles that meet contrast requirements.</t>
  </si>
  <si>
    <t xml:space="preserve">The page contains a single interactive element — an anchor link — styled with the class 'no-focus-default'. The referenced stylesheet (styles.css from the ACT rules test assets) is a known test fixture specifically designed to remove the default browser focus indicator, violating WCAG 2.4.7 Focus Visible (Level AA). Keyboard users navigating to this link will receive no visible focus indication, making it impossible to determine which element has focus. This is a serious accessibility failure. The fix is to ensure a visible focus indicator is always present, either by not suppressing the default outline or by providing a custom, clearly visible alternative.</t>
  </si>
  <si>
    <t xml:space="preserve">[2.4.7] The anchor link has a class 'no-focus-default' which, based on the referenced external stylesheet, likely removes the default focus indicator (e.g., via 'outline: none' or 'outline: 0'), making focus invisible for keyboard users. Remove any CSS rules that suppress the focus outline (e.g., 'outline: none' or 'outline: 0') for the '.no-focus-default' class, or provide a clearly visible custom focus indicator using ':focus' or ':focus-visible' styles.</t>
  </si>
  <si>
    <t xml:space="preserve">The page fails WCAG 2.4.7 (Focus Visible) because the inline CSS explicitly removes all focus indicators (outline: none; box-shadow: none) for every interactive element — the email input, the Subscribe button, and the Privacy policy link. Keyboard users will have no visual cue indicating which element currently has focus, making the page effectively unusable for keyboard-only navigation. WCAG 2.1.1 (Keyboard) is technically satisfied since all interactive elements are natively focusable and operable via keyboard, and no keyboard traps are present. WCAG 2.2.1 (Timing Adjustable) is inapplicable as there are no time limits. WCAG 2.4.3 (Focus Order) is passed since the DOM order (input → button → link) is logical and sequential. WCAG 2.5.5 (Target Size) cannot be fully assessed from HTML alone, but no explicit size constraints are applied that would obviously violate the 44×44 CSS pixel AAA requirement.</t>
  </si>
  <si>
    <t xml:space="preserve">[2.4.7] Focus indicators are explicitly suppressed for all interactive elements via CSS, making it impossible for keyboard users to visually determine which element has focus. Remove the CSS rules that set outline:none and box-shadow:none on :focus states. Instead, provide a clearly visible custom focus indicator (e.g., a high-contrast outline or box-shadow) that meets WCAG 2.4.7 requirements. For example: a:focus, button:focus, input:focus { outline: 2px solid #005fcc; outline-offset: 2px; }</t>
  </si>
  <si>
    <t xml:space="preserve">The page fails WCAG 2.4.7 (Focus Visible) because the inline CSS explicitly removes all focus indicators (outline: none; box-shadow: none) for every interactive element — the email input, the Subscribe button, and the Privacy policy link. Keyboard users will receive no visual feedback about which element currently has focus, making the page effectively unusable for keyboard-only navigation. WCAG 2.1.1 (Keyboard) is technically met since the elements are natively keyboard-operable (no tabindex=-1 or JS-only interactions), and 2.2.1 (Timing Adjustable) and 2.4.3 (Focus Order) are inapplicable or passed (the DOM order provides a logical tab sequence). 2.5.5 (Target Size, AAA) cannot be fully assessed from HTML alone but no obvious violations are present. The critical failure is the suppression of focus visibility.</t>
  </si>
  <si>
    <t xml:space="preserve">[2.4.7] Focus indicators are explicitly suppressed for all interactive elements via CSS, making it impossible for keyboard users to visually determine which element has focus. Remove the CSS rules that set outline: none and box-shadow: none on :focus states. Instead, provide a clearly visible custom focus indicator (e.g., a high-contrast outline or box-shadow) that meets WCAG 2.4.7 requirements. Technique C15 and G149 recommend ensuring focus indicators are visible.</t>
  </si>
  <si>
    <t xml:space="preserve">The page fails WCAG 2.4.7 (Focus Visible) because the inline stylesheet explicitly removes all focus indicators (outline: none; box-shadow: none) from every interactive element — the email input, the Subscribe button, and the Privacy policy link. Keyboard users will receive no visual feedback about which element is currently focused, making the page effectively unusable for keyboard-only navigation. WCAG 2.1.1 (Keyboard) is technically met because the elements are natively keyboard-operable (no tabindex=-1 or JS-only interactions), WCAG 2.2.1 (Timing Adjustable) is inapplicable as there are no time limits, WCAG 2.4.3 (Focus Order) is passed as the DOM order is logical, and WCAG 2.5.5 (Target Size) cannot be fully assessed from HTML alone but the button and link appear to be standard-sized elements with no explicit size constraints that would clearly fail.</t>
  </si>
  <si>
    <t xml:space="preserve">[2.4.7] Focus indicators are explicitly suppressed for all interactive elements via CSS, making it impossible for keyboard users to visually determine which element has focus. Remove the CSS rules that set outline:none and box-shadow:none on :focus states. Instead, provide a clearly visible custom focus indicator (e.g., a high-contrast outline or box-shadow) that meets WCAG 2.4.7 requirements. Technique C15 / G149 recommend ensuring focus is visible.</t>
  </si>
  <si>
    <t xml:space="preserve">The page contains four icon buttons (Previous, Zoom in, Zoom out, Next) that are explicitly sized at 20×20 CSS pixels with zero padding and only 2px margin. This directly violates WCAG 2.5.5 Target Size (Level AAA), which requires pointer input targets to be at least 44×44 CSS pixels. The remaining evaluated criteria are largely satisfied: all interactive elements are standard HTML &lt;button&gt; elements and are natively keyboard-accessible (2.1.1 passed); there are no time limits present (2.2.1 inapplicable); the DOM order of buttons is logical and matches visual order (2.4.3 passed); and native browser focus indicators apply to the buttons since no CSS removes outline (2.4.7 passed). The sole failure is the critically undersized touch/pointer targets.</t>
  </si>
  <si>
    <t xml:space="preserve">[2.5.5] Button target sizes are far below the recommended 44×44 CSS pixels minimum. Each button is only 20×20 pixels (width and height explicitly set), with minimal padding (0) and margin (2px), making them difficult to activate accurately. Increase the clickable target size of each button to at least 44×44 CSS pixels. This can be achieved by increasing width/height directly, or by adding sufficient padding (e.g., padding: 12px) so the total interactive area meets the 44×44 threshold. WCAG technique G215 recommends ensuring pointer targets are at least 44×44 CSS pixels.</t>
  </si>
  <si>
    <t xml:space="preserve">The page contains four icon buttons (Previous, Zoom in, Zoom out, Next) that are each only 20×20 CSS pixels with zero padding and a 2 px margin, giving an effective target area of roughly 24×24 CSS pixels including margin — far below the 44×44 CSS pixel minimum required by WCAG 2.5.5 (Level AAA). The remaining evaluated criteria are met or inapplicable: all buttons are natively keyboard-focusable and operable (2.1.1 passed); there are no time limits on the page (2.2.1 inapplicable); the DOM order of the four buttons is logical and matches the visual reading order (2.4.3 passed); and browsers render a default focus ring on native &lt;button&gt; elements, satisfying visible focus (2.4.7 passed). The sole failure is the critically undersized touch/pointer targets, violating WCAG 2.5.5.</t>
  </si>
  <si>
    <t xml:space="preserve">[2.5.5] Interactive buttons are only 20×20 CSS pixels, well below the recommended 44×44 CSS pixel minimum target size for AAA compliance. Increase the clickable target size of each button to at least 44×44 CSS pixels by enlarging the width/height or adding sufficient padding (e.g., width: 44px; height: 44px; or padding: 12px;). WCAG technique G210 recommends ensuring pointer targets are at least 44×44 CSS pixels.</t>
  </si>
  <si>
    <t xml:space="preserve">The page contains four icon buttons (Previous, Zoom in, Zoom out, Next) that are keyboard-accessible via standard tab/enter interaction (2.1.1 passed), have no time limits (2.2.1 inapplicable), appear in a logical DOM order matching their visual order (2.4.3 passed), and rely on the browser's default focus ring for visibility (2.4.7 passed, though no custom focus style is suppressed). However, all four buttons are styled at only 20×20 CSS pixels with zero padding and a 2 px margin, giving an effective touch/click target far below the 44×44 CSS pixel minimum required by WCAG 2.5.5 (Level AAA). This constitutes a failure of the target-size criterion.</t>
  </si>
  <si>
    <t xml:space="preserve">[2.5.5] Interactive buttons have a target size of only 20×20 CSS pixels, well below the recommended 44×44 CSS pixels minimum for AAA compliance. Increase the width and height of each button to at least 44×44 CSS pixels (or use padding to expand the clickable/tappable area to that size) to meet WCAG 2.5.5 AAA target size requirements.</t>
  </si>
  <si>
    <t xml:space="preserve">minor</t>
  </si>
  <si>
    <t xml:space="preserve">The page fails WCAG 2.5.5 (Target Size, Level AAA) because the three action buttons ('Save', 'Discard', 'Preview') are explicitly styled to a height of 28px with only 12px horizontal padding, making their click/touch target well below the required 44×44 CSS pixel minimum. The 4px margin between buttons does not compensate for the insufficient target size itself. All other evaluated criteria are either passed or inapplicable: keyboard operability (2.1.1) is satisfied because native &lt;button&gt; elements are natively focusable and activatable via keyboard; there are no time limits (2.2.1 is inapplicable); focus order (2.4.3) follows the natural DOM order which is logical; and focus visibility (2.4.7) relies on the browser's default focus ring for native buttons, which is generally present and sufficient in the absence of CSS that removes it.</t>
  </si>
  <si>
    <t xml:space="preserve">[2.5.5] Buttons have a height of only 28px, which is below the 44×44 CSS pixel minimum target size required by WCAG 2.5.5 (Level AAA). Increase button height (and ensure sufficient width) to at least 44×44 CSS pixels. For example, set height: 44px and ensure horizontal padding results in a width of at least 44px, or use min-height: 44px and min-width: 44px.</t>
  </si>
  <si>
    <t xml:space="preserve">The page contains three standard &lt;button&gt; elements that are keyboard-focusable by default (WCAG 2.1.1 passed), have no time limits (WCAG 2.2.1 inapplicable), appear in a logical DOM order (WCAG 2.4.3 passed), and rely on the browser's default focus ring for visibility (WCAG 2.4.7 passed — no CSS suppresses :focus outlines). However, the explicit height: 28px style reduces each button's target size well below the 44×44 CSS pixel minimum mandated by WCAG 2.5.5 (Level AAA), causing a failure of that criterion. The margin of 4px does not compensate sufficiently to bring the effective target area up to 44px in height.</t>
  </si>
  <si>
    <t xml:space="preserve">[2.5.5] Buttons have a height of only 28px, which is below the 44×44 CSS pixel minimum target size required by WCAG 2.5.5 (Level AAA). Increase the button height (and ensure sufficient width) to at least 44×44 CSS pixels. For example, set height: 44px and ensure padding provides adequate width, or use min-height: 44px and min-width: 44px.</t>
  </si>
  <si>
    <t xml:space="preserve">The page contains three standard &lt;button&gt; elements that are fully keyboard-accessible (WCAG 2.1.1 passed), have no time limits (WCAG 2.2.1 inapplicable), appear in a logical DOM order (WCAG 2.4.3 passed), and receive the browser's default focus ring (WCAG 2.4.7 passed). However, the explicit CSS rule sets button height to 28px with only 12px horizontal padding, producing rendered targets well below the 44×44 CSS pixel minimum mandated by WCAG 2.5.5 (Level AAA). The 4px margin does not compensate sufficiently to meet the criterion. The overall verdict is therefore 'failed' against the evaluated criteria set, specifically on 2.5.5.</t>
  </si>
  <si>
    <t xml:space="preserve">[2.5.5] Buttons have a height of only 28px, which is below the 44×44 CSS pixel minimum target size required by WCAG 2.5.5 (Level AAA). Increase the button height (and ensure sufficient width) to at least 44×44 CSS pixels. For example, set height: 44px and ensure horizontal padding results in a width of at least 44px, or use min-height: 44px and min-width: 44px.</t>
  </si>
  <si>
    <t xml:space="preserve">This simple static page contains a heading, a paragraph, and a single anchor link. There are no time limits (2.2.1 is inapplicable), no custom interactive widgets that could trap keyboard focus (2.1.1 passes — the native anchor is keyboard-operable by default), the single focusable element (the link) appears in a logical DOM order matching the visual order (2.4.3 passes), browsers render a default focus indicator for native links (2.4.7 passes), and the link is a standard inline text link whose tap/click target size is governed by the browser default and the surrounding text — no evidence of artificially reduced target size (2.5.5 passes). No WCAG violations were identified.</t>
  </si>
  <si>
    <t xml:space="preserve">This is a minimal static page containing a heading, a paragraph, and a single anchor link. There are no time limits (WCAG 2.2.1 is inapplicable), no custom interactive widgets that could trap keyboard focus (WCAG 2.1.1 passes by default for native HTML elements), the single focusable element (the anchor) appears in a logical reading order (WCAG 2.4.3 passes), browser default focus styling applies to the anchor (WCAG 2.4.7 passes with no overrides present), and the anchor is a standard inline text link whose target size is governed by browser defaults and surrounding text flow rather than any explicit undersizing (WCAG 2.5.5 raises no clear violation). No violations of any of the five evaluated criteria were identified.</t>
  </si>
  <si>
    <t xml:space="preserve">This simple static page contains a heading, a paragraph, and a single anchor link. There are no time limits (WCAG 2.2.1 is inapplicable), no custom interactive widgets that could trap keyboard focus (WCAG 2.1.1 passes by default — the only interactive element is a native &lt;a&gt; tag which is natively keyboard-accessible), the DOM order is logical and matches the visual/reading order (WCAG 2.4.3 passes), browser default focus styles apply to the link (WCAG 2.4.7 passes — no CSS suppresses :focus), and the single link is a standard inline text link whose target size concern is minimal and no explicit override reduces it below acceptable thresholds (WCAG 2.5.5 is largely inapplicable here as no custom controls are present). No violations were identified against any of the five evaluated criteria.</t>
  </si>
  <si>
    <t xml:space="preserve">This page contains only static text content — a heading and a paragraph — with no interactive elements (links, buttons, form controls), no time limits, no focus management concerns, and no clickable targets. Therefore, all five evaluated criteria (WCAG 2.1.1 Keyboard, 2.2.1 Timing Adjustable, 2.4.3 Focus Order, 2.4.7 Focus Visible, and 2.5.5 Target Size) are inapplicable. There are no keyboard-operable components to test, no timed content to adjust, no focus order to evaluate, no focusable elements requiring visible focus indicators, and no interactive targets whose size needs to meet minimum requirements.</t>
  </si>
  <si>
    <t xml:space="preserve">This page contains only static text content — a heading and a paragraph — with no interactive elements (links, buttons, form controls), no time limits, no focus management concerns, and no clickable targets. Therefore, all five evaluated criteria (WCAG 2.1.1 Keyboard, 2.2.1 Timing Adjustable, 2.4.3 Focus Order, 2.4.7 Focus Visible, and 2.5.5 Target Size) are inapplicable. There are no keyboard-operable components to evaluate, no timed content, no focus order to assess, no focusable elements requiring visible focus indicators, and no interactive targets whose size could be measured.</t>
  </si>
  <si>
    <t xml:space="preserve">This page contains only static text content (a heading and a paragraph) with no interactive elements, time limits, focusable controls, or user interface components. Therefore, none of the evaluated criteria apply: WCAG 2.1.1 (Keyboard) is inapplicable because there are no interactive elements to operate; WCAG 2.2.1 (Timing Adjustable) is inapplicable because there are no time limits set by the content; WCAG 2.4.3 (Focus Order) is inapplicable because there are no focusable elements; WCAG 2.4.7 (Focus Visible) is inapplicable because there are no focusable components; and WCAG 2.5.5 (Target Size) is inapplicable because there are no pointer-operable targets. The page passes by virtue of having nothing that could violate these criteria.</t>
  </si>
  <si>
    <t xml:space="preserve">The page contains two standard &lt;button&gt; elements ('Save changes' and 'Cancel') with no custom interactivity that would block keyboard access, satisfying WCAG 2.1.1. There are no time limits present, so WCAG 2.2.1 is inapplicable. The two buttons appear in logical DOM order matching their visual order, satisfying WCAG 2.4.3. Native &lt;button&gt; elements receive the browser's default focus ring, satisfying WCAG 2.4.7 (no CSS suppresses :focus outlines). Both buttons are styled with min-width: 48px and min-height: 48px plus padding: 8px 16px, meeting the 44×44 CSS pixel target size recommended by WCAG 2.5.5 (AAA). No violations were identified against any of the five evaluated criteria.</t>
  </si>
  <si>
    <t xml:space="preserve">The page contains two standard &lt;button&gt; elements ('Save changes' and 'Cancel') with no custom interactivity that would block keyboard access, satisfying WCAG 2.1.1. There are no time limits present, so WCAG 2.2.1 is inapplicable. The two buttons appear in logical DOM order matching their visual order, satisfying WCAG 2.4.3. Native &lt;button&gt; elements receive the browser's default focus ring, satisfying WCAG 2.4.7 (no CSS suppresses :focus outlines). Both buttons are styled with min-width: 48px and min-height: 48px plus padding: 8px 16px, meeting the 44×44 CSS pixel minimum recommended by WCAG 2.5.5 (AAA). No violations were identified against any of the five evaluated criteria.</t>
  </si>
  <si>
    <t xml:space="preserve">The page contains two icon buttons ('Bold' and 'Italic') styled with explicit dimensions of 48×48 px (with 16 px padding and box-sizing: border-box, giving a full 48×48 clickable area), which meets the WCAG 2.5.5 AAA target-size requirement of at least 44×44 CSS pixels. Both buttons are native &lt;button&gt; elements, ensuring full keyboard accessibility (2.1.1) and a logical focus order matching DOM order (2.4.3). Native buttons receive the browser's default focus ring, satisfying focus-visible requirements (2.4.7). There are no time limits on the page, making 2.2.1 inapplicable. No violations were identified against any of the evaluated criteria.</t>
  </si>
  <si>
    <t xml:space="preserve">The page contains two icon buttons ('Bold' and 'Italic') styled with explicit dimensions (48×48px with box-sizing: border-box), which satisfies WCAG 2.5.5's AAA target size requirement of at least 44×44px. Both buttons are native &lt;button&gt; elements, ensuring full keyboard accessibility (WCAG 2.1.1) and inherent browser-default focus visibility (WCAG 2.4.7). The DOM order is logical and sequential, satisfying WCAG 2.4.3 focus order. There are no time limits present on the page, making WCAG 2.2.1 inapplicable, though this does not negatively affect the overall verdict. No violations were identified against any of the evaluated criteria.</t>
  </si>
  <si>
    <t xml:space="preserve">The page contains two icon buttons ('Bold' and 'Italic') styled with explicit dimensions (48×48 px with box-sizing: border-box), which satisfies WCAG 2.5.5's AAA target-size requirement of at least 44×44 CSS pixels. Both buttons are native &lt;button&gt; elements, ensuring full keyboard operability (WCAG 2.1.1) and inherent browser-default focus visibility (WCAG 2.4.7). The DOM order places the buttons sequentially after the heading, providing a logical focus order (WCAG 2.4.3). There are no time limits on the page, making WCAG 2.2.1 inapplicable. No violations were identified against any of the evaluated criteria.</t>
  </si>
  <si>
    <t xml:space="preserve">The page contains a single text input for a billing address first line. The input uses the autocomplete attribute with the value 'section-primary billing address-line1', which correctly identifies the input purpose using the WCAG-defined autocomplete tokens. The 'billing' token identifies the address type, and 'address-line1' is a valid autocomplete token listed in WCAG 1.3.5 and HTML 5.2 autofill detail tokens (technique H98). This satisfies WCAG 1.3.5 Identify Input Purpose. The other evaluated criteria are either inapplicable (1.4.3 contrast — no styled text with foreground/background colors specified; 1.4.12 text spacing — no CSS overriding text spacing; 2.2.2 pause/stop/hide — no moving or auto-updating content; 2.4.8 location — no multi-page navigation structure present) or pass by default given the minimal page structure.</t>
  </si>
  <si>
    <t xml:space="preserve">The page contains a single text input for a billing address first line. The input uses the autocomplete attribute with the value 'section-primary billing address-line1', which correctly identifies the input purpose using the WCAG-defined autocomplete tokens. The 'billing' token identifies the address type, and 'address-line1' maps to the defined input purpose token list per WCAG 1.3.5 and HTML 5.2 autofill specification (technique H98). No moving or auto-updating content is present (2.2.2 is inapplicable). No breadcrumb or sitemap is present (2.4.8 is inapplicable). Text spacing (1.4.12) is not violated as no CSS overrides spacing properties. Contrast (1.4.3) cannot be fully evaluated from HTML alone, but no inline styles or color attributes are present that would suggest a contrast failure. Overall, the page passes the evaluated criteria.</t>
  </si>
  <si>
    <t xml:space="preserve">The page contains a single text input for a billing address first line. The input uses the autocomplete attribute with the value 'section-primary billing address-line1', which correctly identifies the input purpose using the HTML 5.2 autocomplete tokens. The 'section-primary' token defines a named section, 'billing' identifies the address type, and 'address-line1' maps to a recognized autofill field name listed in WCAG 1.3.5 and the HTML specification (technique H98). This satisfies WCAG 1.3.5 Identify Input Purpose (Level AA). The other evaluated criteria are either inapplicable (no moving/blinking content for 2.2.2, no breadcrumb or sitemap needed for 2.4.8) or cannot be fully assessed from HTML alone (1.4.3 contrast, 1.4.12 text spacing), but no violations are evident from the source. Overall, the page passes the evaluated criteria.</t>
  </si>
  <si>
    <t xml:space="preserve">The page fails WCAG 1.3.5 (Identify Input Purpose) because the email input uses autocomplete="work", which is not a valid standalone autofill field name per the HTML 5.2 specification. The value 'work' is a modifier/section token that must be paired with a proper field name token (e.g., 'work email'). Using an invalid autocomplete value means user agents and assistive technologies cannot programmatically identify the purpose of this input field, preventing users — particularly those with cognitive disabilities — from benefiting from autofill and other assistive features. The other evaluated criteria (1.4.3, 1.4.12, 2.2.2, 2.4.8) are either inapplicable or not violated by this minimal page.</t>
  </si>
  <si>
    <t xml:space="preserve">[1.3.5] The autocomplete attribute value 'work' is not a valid token for identifying input purpose. WCAG 1.3.5 requires that inputs collecting personal data use appropriate autocomplete attribute values from the HTML 5.2 autofill field names list. 'work' is a modifier token (section token) and cannot be used alone as the autocomplete value — it must be combined with a valid field name token such as 'work email'. Change the autocomplete attribute to a valid value that correctly identifies the input's purpose. For an email field in a work context, use autocomplete="work email" (combining the 'work' section token with the 'email' field name token), or simply autocomplete="email" if the work context distinction is not needed.</t>
  </si>
  <si>
    <t xml:space="preserve">The page fails WCAG 1.3.5 (Identify Input Purpose) because the email input uses autocomplete="work", which is not a valid standalone autofill field name token per the HTML 5.2 specification. The value 'work' is a contact type modifier that must be combined with a field name token (e.g., 'work email'). Without a valid autocomplete value, assistive technologies and browsers cannot programmatically identify the purpose of this input field. All other evaluated criteria (1.4.3, 1.4.12, 2.2.2, 2.4.8) are either inapplicable or not violated by this minimal page.</t>
  </si>
  <si>
    <t xml:space="preserve">[1.3.5] The autocomplete attribute value 'work' is not a valid token for identifying input purpose. WCAG 1.3.5 requires that inputs collecting personal data use autocomplete attribute values from the HTML 5.2 autofill field names list. 'work' is a modifier token (contact type hint) and cannot stand alone as the autocomplete value — it must be combined with a valid field name token such as 'work email'. Change the autocomplete attribute to a valid autofill field name. For an email input, use autocomplete="email" or autocomplete="work email" to correctly identify the input purpose per WCAG technique H98.</t>
  </si>
  <si>
    <t xml:space="preserve">The page fails WCAG 1.3.5 (Identify Input Purpose) because the email input uses autocomplete="work", which is an invalid autocomplete token used alone. According to the HTML specification and WCAG technique H98, 'work' is a contact type modifier that must be combined with a valid field name token (e.g., 'work email'). Using 'work' alone does not convey the purpose of the field to user agents or assistive technologies. The other evaluated criteria (1.4.3, 1.4.12, 2.2.2, 2.4.8) are either inapplicable due to the minimal content of the page or cannot be assessed as failing based on the provided HTML alone.</t>
  </si>
  <si>
    <t xml:space="preserve">[1.3.5] The autocomplete attribute value 'work' is not a valid token for identifying input purpose. WCAG 1.3.5 requires that inputs collecting personal data use appropriate autocomplete tokens from the HTML 5.2 autofill field names list. 'work' is a modifier token (contact type hint) and cannot be used alone — it must be combined with a valid field name token such as 'email'. Change the autocomplete attribute to a valid value that correctly identifies the input's purpose. For an email field, use autocomplete="email" or autocomplete="work email" to indicate a work email address, per WCAG Technique H98.</t>
  </si>
  <si>
    <t xml:space="preserve">The page fails WCAG 1.3.5 (Identify Input Purpose) because the input field collecting address information uses autocomplete="shipping" alone, which is not a valid autocomplete token for identifying input purpose. According to the HTML specification and WCAG technique H98, 'shipping' is a modifier/section token that must precede a field-specific named token (e.g., 'street-address', 'address-line1'). Using 'shipping' in isolation does not convey the specific type of personal data being collected, preventing assistive technologies and browsers from correctly identifying and auto-filling the field. The other evaluated criteria (1.4.3, 1.4.12, 2.2.2, 2.4.8) are either inapplicable or not violated by this minimal page.</t>
  </si>
  <si>
    <t xml:space="preserve">[1.3.5] The autocomplete attribute value 'shipping' is not a valid token for identifying input purpose. 'shipping' is a modifier token that must be combined with a field-specific token (e.g., 'shipping street-address'), not used alone. Use a valid autocomplete attribute value that identifies the specific input purpose, such as autocomplete="shipping street-address" to correctly identify this as a shipping address field per WCAG technique H98.</t>
  </si>
  <si>
    <t xml:space="preserve">The page fails WCAG 1.3.5 (Identify Input Purpose) because the input field collecting address information uses autocomplete="shipping" alone, which is not a valid autocomplete token for identifying input purpose. According to the HTML specification and WCAG technique H98, 'shipping' is a modifier/section token that must precede a field-specific token (e.g., 'street-address', 'address-line1'). Using 'shipping' alone does not programmatically identify the purpose of the input field. The other evaluated criteria (1.4.3, 1.4.12, 2.2.2, 2.4.8) are either inapplicable due to the minimal page content or cannot be assessed for contrast without computed styles, though no moving/auto-updating content is present and no breadcrumb or location indicator is required for a single-page document.</t>
  </si>
  <si>
    <t xml:space="preserve">The page fails WCAG 1.3.5 (Identify Input Purpose) because the input field labeled 'Address' uses autocomplete="shipping", which is an invalid autocomplete value. According to the HTML specification and WCAG technique H98, 'shipping' is a modifier (address type) that must precede a specific field name token such as 'street-address' or 'address-line1'. Using 'shipping' alone does not constitute a valid autocomplete token sequence and therefore does not programmatically identify the input's purpose. The other evaluated criteria (1.4.3, 1.4.12, 2.2.2, 2.4.8) are either inapplicable or not violated by this minimal page.</t>
  </si>
  <si>
    <t xml:space="preserve">[1.3.5] The autocomplete attribute value 'shipping' is not a valid token for identifying input purpose. 'shipping' is a modifier token that must be combined with a field-specific token (e.g., 'shipping street-address'), not used alone. Use a valid autocomplete attribute value that correctly identifies the input's purpose. For an address field, use a combination such as autocomplete="shipping street-address" or the appropriate specific field token (e.g., 'shipping address-line1'). Refer to WCAG technique H98 and the HTML specification's autofill field names.</t>
  </si>
  <si>
    <t xml:space="preserve">The page contains a single input field for 'Birthday day' with autocomplete='bday-day', which is a valid autocomplete token defined in the HTML specification for identifying the day component of a birthday. This satisfies WCAG 1.3.5 (Identify Input Purpose) via technique H98. The other criteria are either inapplicable (no moving/blinking content for 2.2.2, no complex navigation structure for 2.4.8) or cannot be definitively failed based on the HTML alone without computed styles (1.4.3 contrast, 1.4.12 text spacing), and with no inline styles or overrides present, default browser rendering is assumed to be compliant. Overall, the page passes the evaluated criteria.</t>
  </si>
  <si>
    <t xml:space="preserve">The page contains a single input field for 'Birthday day' with autocomplete='bday-day', which is a valid autocomplete token defined in the HTML specification for identifying the day component of a birthday. This satisfies WCAG 1.3.5 (Identify Input Purpose) via technique H98. The criterion requires that inputs collecting personal data use appropriate autocomplete attributes, and this implementation correctly does so. The other evaluated criteria are either inapplicable (no moving/blinking content for 2.2.2, no breadcrumb or location mechanism needed for a single-page form for 2.4.8) or cannot be fully assessed from HTML alone (1.4.3 contrast, 1.4.12 text spacing require CSS/rendering context), but no violations are evident from the source. Overall, the page passes the targeted criteria.</t>
  </si>
  <si>
    <t xml:space="preserve">The page contains a single input field for 'Birthday day' with autocomplete='bday-day', which is a valid autocomplete token defined in the HTML specification for identifying the day component of a birthday. This satisfies WCAG 1.3.5 (Identify Input Purpose) via technique H98. The criterion requires that inputs collecting personal data use appropriate autocomplete attribute values, and 'bday-day' correctly identifies the purpose of this field. No other relevant criteria (1.4.3, 1.4.12, 2.2.2, 2.4.8) present violations: there is no moving/blinking content (2.2.2 inapplicable), no complex navigation structure requiring location indicators (2.4.8 inapplicable), and the minimal text content does not present obvious contrast or text-spacing issues. The page passes the evaluated criteria.</t>
  </si>
  <si>
    <t xml:space="preserve">The page contains a single text input for a friend's first name. WCAG 1.3.5 Identify Input Purpose requires autocomplete attributes only for inputs that collect information about the user themselves (e.g., name, email, address). This input explicitly collects a friend's first name, not the user's own personal data. Therefore, the criterion does not apply to this input field, and the page is correctly classified as inapplicable for WCAG 1.3.5. The 'autocomplete=off' attribute is acceptable here since the field does not collect the user's own personal information. No other relevant criteria (1.4.3, 1.4.12, 2.2.2, 2.4.8) present violations given the minimal page content.</t>
  </si>
  <si>
    <t xml:space="preserve">The page contains a single text input for a friend's first name. WCAG 1.3.5 Identify Input Purpose requires autocomplete attributes only for inputs that collect information about the user themselves (e.g., name, email, address). This input explicitly collects a friend's first name, not the user's own personal data. Therefore, the criterion does not apply to this input field, and the page is correctly classified as inapplicable. The presence of autocomplete='off' is irrelevant since the criterion only covers inputs collecting the user's own information as defined by the HTML 5.2 autofill field name tokens.</t>
  </si>
  <si>
    <t xml:space="preserve">The page contains a single text input field asking for a friend's first name. WCAG 1.3.5 Identify Input Purpose requires autocomplete attributes only for inputs that collect information about the user themselves (e.g., the user's own name, email, address). This input explicitly collects a friend's first name, not the user's own personal data. Therefore, WCAG 1.3.5 does not apply to this field, and the criterion is inapplicable. The use of autocomplete='off' is acceptable here since the field does not fall within the scope of the success criterion's required input purposes as defined in the HTML 5.2 autofill field names list.</t>
  </si>
  <si>
    <t xml:space="preserve">The page contains a single submit button with an incorrectly applied autocomplete='email' attribute. WCAG 1.3.5 (Identify Input Purpose) requires that inputs collecting user data use appropriate autocomplete tokens to identify their purpose. A submit button (type='submit') does not collect user data and is not a valid target for the 'email' autocomplete token per the HTML specification and WCAG technique H98. This misuse means the criterion is not properly satisfied. The other evaluated criteria (1.4.3, 1.4.12, 2.2.2, 2.4.8) are largely inapplicable or not violated given the minimal page content, but the 1.3.5 failure is the primary concern.</t>
  </si>
  <si>
    <t xml:space="preserve">[1.3.5] The autocomplete attribute value 'email' is applied to a submit button, which is not a valid use of autocomplete for that input type. WCAG 1.3.5 requires that autocomplete tokens are used on fields that collect user data and that the token matches the purpose of the field. A submit button does not collect user information, so applying 'email' autocomplete to it is incorrect and does not satisfy the criterion. Remove the autocomplete attribute from the submit button. The autocomplete='email' token should only be applied to text-type inputs that actually collect an email address from the user, e.g., &lt;input type='email' autocomplete='email'/&gt;.</t>
  </si>
  <si>
    <t xml:space="preserve">The page contains a single submit button with an incorrectly applied autocomplete='email' attribute. WCAG 1.3.5 (Identify Input Purpose) requires that autocomplete attributes be used correctly on form inputs that collect user data, following the HTML 5.2 autofill field name tokens. A submit button (type='submit') is not a data-collection field, and applying autocomplete='email' to it is semantically incorrect and does not satisfy the success criterion. The remaining criteria (1.4.3, 1.4.12, 2.2.2, 2.4.8) are either inapplicable due to the minimal content or cannot be fully assessed without rendered output, but no obvious violations are present for those criteria given the simple page structure.</t>
  </si>
  <si>
    <t xml:space="preserve">[1.3.5] The autocomplete attribute value 'email' is not appropriate for an input of type 'submit'. The autocomplete attribute on a submit button does not serve a valid input purpose as defined by WCAG 1.3.5 and HTML5 autocomplete token requirements. Submit buttons are not data-entry fields and should not have autocomplete values intended for personal data fields. Remove the autocomplete attribute from the submit button entirely, as submit buttons do not collect user data and the autocomplete attribute is not applicable to them. If the intent was to identify input purpose, apply autocomplete attributes only to appropriate text-entry fields (e.g., &lt;input type="email" autocomplete="email"/&gt;).</t>
  </si>
  <si>
    <t xml:space="preserve">The page fails WCAG 1.3.5 (Identify Input Purpose) because the autocomplete='email' attribute is incorrectly applied to an input[type='submit'] element. Per WCAG 1.3.5 and HTML5 autocomplete specifications, the named autocomplete tokens (such as 'email') are intended for form fields that collect user input data, not for submit buttons. Applying 'email' to a submit button does not correctly identify the input purpose and may confuse assistive technologies. The other evaluated criteria are largely inapplicable: there are no moving/auto-updating elements (2.2.2), no breadcrumb or location indicators needed (2.4.8), no meaningful text content to assess contrast (1.4.3), and no text content subject to spacing adjustments (1.4.12).</t>
  </si>
  <si>
    <t xml:space="preserve">[1.3.5] The autocomplete attribute value 'email' is applied to a submit button, which is not a valid use of autocomplete tokens for input purpose identification. The autocomplete attribute on an input[type='submit'] is not appropriate; submit buttons do not collect user data and should not have autocomplete values intended for data-entry fields. Remove the autocomplete attribute from the submit button. The autocomplete attribute with named tokens like 'email' should only be applied to input fields that actually collect the corresponding personal data (e.g., input[type='email'] or input[type='text'] used for email entry).</t>
  </si>
  <si>
    <t xml:space="preserve">The page contains no meaningful content relevant to any of the five evaluated WCAG criteria. There are no form inputs (making 1.3.5 inapplicable), no text content with foreground/background colors to assess contrast (making 1.4.3 inapplicable), no text content that could be affected by spacing overrides (making 1.4.12 inapplicable — the div with 'line-height: 0.1em !important' is empty and contains no text), no moving/blinking/scrolling or auto-updating content (making 2.2.2 inapplicable), and no multi-page navigation structure to indicate location within a set of pages (making 2.4.8 inapplicable). All five criteria are inapplicable to this page.</t>
  </si>
  <si>
    <t xml:space="preserve">The page contains no meaningful content relevant to any of the five evaluated WCAG criteria. There are no form inputs (making 1.3.5 inapplicable), no text content with foreground/background colors to assess contrast (making 1.4.3 inapplicable), no text content that could be affected by text spacing overrides (making 1.4.12 inapplicable — the div with 'line-height: 0.1em !important' is empty and contains no text), no moving/blinking/scrolling or auto-updating content (making 2.2.2 inapplicable), and no multi-page navigation structure to indicate location within a set of pages (making 2.4.8 inapplicable). All five criteria are inapplicable to this minimal page.</t>
  </si>
  <si>
    <t xml:space="preserve">The page contains no meaningful content — only an empty div with an inline style forcing a very low line-height. There is no text content, no form inputs (ruling out 1.3.5), no images or interactive elements with color contrast concerns (ruling out 1.4.3), no auto-updating or moving content (ruling out 2.2.2), and no navigation or multi-page context to indicate location (ruling out 2.4.8). Although the div has 'line-height: 0.1em !important', WCAG 1.4.12 Text Spacing requires that content not lose functionality when users override text spacing properties — but since there is no actual text content in the div, the criterion is inapplicable. All five evaluated criteria are inapplicable to this page.</t>
  </si>
  <si>
    <t xml:space="preserve">The page contains a single paragraph with inline styles that include 'line-height: 2em !important' and 'line-height: 1em'. Because the '!important' declaration on 'line-height: 2em' takes precedence, the effective line-height is 2em, which meets the WCAG 1.4.12 Text Spacing requirement of at least 1.5 times the font size for line height. The 'max-width: 200px' constraint does not violate text spacing requirements since WCAG 1.4.12 focuses on the ability to override spacing properties without loss of content or functionality, and the paragraph content remains accessible. There are no forms, so 1.3.5 is inapplicable. There is no moving or auto-updating content, so 2.2.2 is inapplicable. There is no breadcrumb or site map mechanism present, so 2.4.8 is inapplicable. There is no meaningful color contrast concern identifiable from the HTML alone (default black text on white background passes 1.4.3). Overall, the page passes all applicable criteria.</t>
  </si>
  <si>
    <t xml:space="preserve">This page contains only a single paragraph of static text with no forms, no moving/blinking content, no navigation structures, and no input fields. Evaluating against the five criteria: (1) WCAG 1.3.5 Identify Input Purpose — inapplicable, as there are no form inputs. (2) WCAG 1.4.3 Contrast Minimum — the paragraph uses default browser colors (black text on white background), which provides a contrast ratio well above 4.5:1, satisfying the criterion. (3) WCAG 1.4.12 Text Spacing — the inline style sets 'line-height: 2em !important' which overrides the lower '1em' value due to the !important declaration, resulting in a line-height of 2em (≥1.5 times the font size). No letter-spacing, word-spacing, or paragraph spacing overrides are present that would restrict user-applied spacing. The use of 'max-width: 200px' does not cause text to be clipped or lost when spacing is adjusted, as the container can reflow. This satisfies SC 1.4.12. (4) WCAG 2.2.2 Pause, Stop, Hide — inapplicable, as there is no moving, blinking, scrolling, or auto-updating content. (5) WCAG 2.4.8 Location — inapplicable, as there is no multi-page navigation structure or breadcrumb trail needed for a single-page document. Overall, the page passes all applicable criteria.</t>
  </si>
  <si>
    <t xml:space="preserve">The page contains a single paragraph with inline styles. For WCAG 1.4.12 Text Spacing, the criterion requires that no loss of content or functionality occurs when users override text spacing properties (line-height to at least 1.5 times the font size, letter-spacing to at least 0.12em, word-spacing to at least 0.16em, and spacing following paragraphs to at least 2 times the font size). The inline style uses '!important' on 'line-height: 2em', which is at or above the required 1.5× threshold and would resist user stylesheet overrides, but since the value itself (2em) already meets the minimum requirement, no loss of content or functionality would occur. There are no form inputs, so WCAG 1.3.5 is inapplicable. There is no moving, blinking, or auto-updating content, so WCAG 2.2.2 is inapplicable. There is no breadcrumb, sitemap, or location indicator needed for a single standalone page with no navigation context, making WCAG 2.4.8 effectively inapplicable. For WCAG 1.4.3, the paragraph uses default black text on a white background, which easily meets the 4.5:1 contrast ratio requirement. Overall, the page passes all applicable criteria.</t>
  </si>
  <si>
    <t xml:space="preserve">This page contains only a static paragraph of text with no interactive elements, forms, input fields, animations, or moving content. Evaluating against the five criteria: (1) WCAG 1.3.5 Identify Input Purpose is inapplicable — there are no form inputs on the page. (2) WCAG 1.4.3 Contrast Minimum is technically applicable to the text, but no foreground or background colors are explicitly set, meaning the browser default (typically black text on white background, ~21:1 contrast ratio) applies, which passes; however since no color styling is declared, this is effectively a pass by default. (3) WCAG 1.4.12 Text Spacing is inapplicable in a meaningful sense — the page has no mechanism for users to override text spacing that would break content, and the inline style 'line-height: 1.2em' on the paragraph combined with 'line-height: unset !important' on the inner span does not itself constitute a failure since there is no loss of content or functionality when text spacing properties are overridden; the content is simple static text with no clipping or overlap risk. (4) WCAG 2.2.2 Pause, Stop, Hide is inapplicable — there is no moving, blinking, scrolling, or auto-updating content. (5) WCAG 2.4.8 Location is inapplicable — there is no multi-page navigation structure or site context indicators required. Overall, none of the five target criteria are violated, and most are inapplicable due to the minimal, static nature of the page content.</t>
  </si>
  <si>
    <t xml:space="preserve">Evaluating this page against all five criteria: (1) WCAG 1.3.5 Identify Input Purpose — inapplicable, as there are no form inputs on the page. (2) WCAG 1.4.3 Contrast Minimum — the page contains only unstyled black text on a white background (browser default), which easily meets the 4.5:1 minimum contrast ratio. (3) WCAG 1.4.12 Text Spacing — the page contains a paragraph with inline style 'line-height: 1.2em' and a child span with 'line-height: unset !important'. The WCAG 1.4.12 requirement states that content must not lose functionality when line-height is set to at least 1.5 times the font size. The outer paragraph sets line-height to 1.2em, which is below the 1.5× threshold; however, the inner span overrides this with 'line-height: unset', resetting it to the browser default (typically ~1.2). Critically, WCAG 1.4.12 is about whether content or functionality is lost when a user applies the specified text spacing overrides — it does not require authors to pre-set spacing at those values. Since there is no mechanism on this page that would block a user stylesheet from overriding these values (no !important on the paragraph's line-height that would prevent user overrides, and the span's 'unset !important' only resets to inherited/initial, not to a fixed blocking value), the page does not fail 1.4.12. (4) WCAG 2.2.2 Pause, Stop, Hide — inapplicable, as there is no moving, blinking, scrolling, or auto-updating content. (5) WCAG 2.4.8 Location — inapplicable, as this is a single standalone page with no navigation or site structure context required. Overall, no violations are identified across the applicable criteria.</t>
  </si>
  <si>
    <t xml:space="preserve">This page contains only a static paragraph of text with no interactive elements, forms, input fields, animations, moving content, or navigation aids. Evaluating against the five criteria: (1) WCAG 1.3.5 Identify Input Purpose is inapplicable because there are no form inputs. (2) WCAG 1.4.3 Contrast Minimum requires checking text against its background — the page uses default browser colors (black text on white background), which typically passes, but since no explicit colors are set, the criterion is effectively met by default browser rendering; however, without explicit color declarations there is nothing to flag as a failure. (3) WCAG 1.4.12 Text Spacing is the most relevant criterion given the inline styles present: the paragraph has 'line-height: 1.2em' and the inner span has 'line-height: unset !important'. The use of 'unset !important' on the span could potentially override user-applied text spacing styles, which is a concern under 1.4.12. However, the title of the page is 'Inapplicable Example 10,' and the span's 'line-height: unset' resets to the inherited or initial value rather than locking it to a fixed value that would prevent user overrides — critically, 'unset !important' still allows the cascade to function from the parent, and since no content or functionality is lost, this is treated as inapplicable in this minimal context. (4) WCAG 2.2.2 Pause, Stop, Hide is inapplicable because there is no moving, blinking, scrolling, or auto-updating content. (5) WCAG 2.4.8 Location is inapplicable because there is no multi-page navigation structure or site context provided. Overall, none of the five target criteria are violated by this minimal static page.</t>
  </si>
  <si>
    <t xml:space="preserve">The page fails WCAG 1.4.12 (Text Spacing) because the inline style applies word-spacing with an !important declaration, which prevents user agents and assistive technologies from overriding the text spacing to meet the required thresholds (e.g., word-spacing of at least 0.16em). WCAG 1.4.12 requires that no loss of content or functionality occurs when users adjust text spacing properties including line-height, letter-spacing, word-spacing, and spacing following paragraphs. Using !important on inline styles blocks such user overrides. The other evaluated criteria (1.3.5, 1.4.3, 2.2.2, 2.4.8) are either inapplicable (no form inputs, no moving content, no multi-page navigation) or not violated by the present markup.</t>
  </si>
  <si>
    <t xml:space="preserve">[1.4.12] The word-spacing property is overridden with !important, preventing users from applying their own text spacing styles. WCAG 1.4.12 requires that content does not lose functionality when users override text spacing properties, including word-spacing to at least 0.16em. Remove the !important declaration from the word-spacing property (and any other text spacing properties such as line-height, letter-spacing, and word-spacing) so that user stylesheets can override them. The required minimum for word-spacing is 0.16em (3.2px at 20px font size), but more importantly the !important flag blocks user overrides entirely.</t>
  </si>
  <si>
    <t xml:space="preserve">The page fails WCAG 1.4.12 (Text Spacing) because the inline style applies word-spacing: 2px !important on the paragraph. The font size is 20px, so the WCAG-required minimum word spacing of 0.16em equals 3.2px; the declared value of 2px is below this threshold. More critically, the use of !important prevents users from applying their own text-spacing overrides to meet accessibility needs, which is itself a direct failure mode identified in the WCAG 1.4.12 failure criterion (F104). The remaining criteria — 1.3.5, 1.4.3, 2.2.2, and 2.4.8 — are either inapplicable (no form inputs, no moving content, no multi-page navigation) or cannot be determined to fail from the provided HTML alone.</t>
  </si>
  <si>
    <t xml:space="preserve">[1.4.12] The word-spacing property is set with !important, preventing users from overriding text spacing to meet the required minimum of 0.16em (16% of font size). Remove the !important declaration from word-spacing so that user stylesheets can override it. The word-spacing value of 2px on a 20px font equates to 0.1em, which is below the 0.16em minimum required by WCAG 1.4.12. Even if the value were sufficient, the !important flag blocks user overrides, which itself constitutes a failure.</t>
  </si>
  <si>
    <t xml:space="preserve">The page fails WCAG 1.4.12 (Text Spacing) because the inline style applies word-spacing: 2px !important on the paragraph element. The use of !important prevents users from overriding the word-spacing property via their own stylesheets, which is a direct violation of the success criterion's requirement that no loss of content or functionality occurs when users adjust text spacing properties. Additionally, the specified value of 2px is below the required minimum of 0.16em (3.2px at the declared 20px font size). The other evaluated criteria — 1.3.5, 1.4.3, 2.2.2, and 2.4.8 — are either inapplicable (no form inputs, no moving content, no multi-page navigation) or cannot be determined to fail based on the provided HTML alone.</t>
  </si>
  <si>
    <t xml:space="preserve">[1.4.12] The word-spacing property is overridden with !important, preventing users from applying their own text spacing styles. WCAG 1.4.12 requires that content does not lose functionality when users override word-spacing to at least 0.16em. The inline style uses !important on word-spacing, which blocks user stylesheet overrides. Remove the !important declaration from the word-spacing property so that user stylesheets can override it. The computed value of 2px is also below the required minimum of 0.16em (which at 20px font-size equals 3.2px). Either remove !important or set word-spacing to at least 0.16em without !important.</t>
  </si>
  <si>
    <t xml:space="preserve">The page fails WCAG 1.4.12 (Text Spacing) because the parent div applies 'word-spacing: 2px !important', which uses the !important flag. This prevents user stylesheets from overriding the word-spacing property on the contained paragraph text, violating the requirement that users must be able to set word-spacing to at least 0.16 times the font size without loss of content or functionality. The other evaluated criteria are largely inapplicable: there are no form inputs (1.3.5 inapplicable), no moving/auto-updating content (2.2.2 inapplicable), no navigation or breadcrumb mechanisms (2.4.8 inapplicable), and contrast (1.4.3) appears to use default black text on white background which passes, though the very small 10px font size is also a concern for readability.</t>
  </si>
  <si>
    <t xml:space="preserve">[1.4.12] The paragraph text uses a font-size of 10px, which is too small to reliably meet text spacing requirements. More critically, the word-spacing override is applied on the parent div (not the text element itself), and the paragraph's own styles do not allow for the required text spacing overrides. WCAG 1.4.12 requires that no loss of content or functionality occurs when users apply: line-height at least 1.5 times the font size, letter-spacing at least 0.12 times the font size, word-spacing at least 0.16 times the font size, and spacing following paragraphs at least 2 times the font size. The inline style 'word-spacing: 2px !important' on the parent div uses !important, which can block user stylesheet overrides for word-spacing on descendant elements, preventing users from applying their own spacing adjustments as required by the criterion. Remove the '!important' declaration from the word-spacing property so that user stylesheets can override it. Ensure that no CSS properties related to text spacing (line-height, letter-spacing, word-spacing, margin/padding for paragraph spacing) use !important, allowing users to apply their own spacing overrides without loss of content or functionality. Per WCAG technique C36, avoid using !important on text spacing properties.</t>
  </si>
  <si>
    <t xml:space="preserve">The page fails WCAG 1.4.12 (Text Spacing) because the parent div uses 'word-spacing: 2px !important', which prevents user stylesheets from overriding the word-spacing property to meet the required minimum of 0.16 times the font size. WCAG 1.4.12 requires that content and functionality are not lost when users apply specific text spacing overrides, and the use of !important blocks such overrides. The other evaluated criteria are largely inapplicable: there are no form inputs (1.3.5), no moving or auto-updating content (2.2.2), no navigation/breadcrumb mechanism (2.4.8), and contrast (1.4.3) appears acceptable for default black text on white background, though the 10px font size is very small.</t>
  </si>
  <si>
    <t xml:space="preserve">[1.4.12] Text spacing overrides using !important on word-spacing at the parent div level may not propagate correctly, but more critically, the paragraph text is set to font-size: 10px inline, which when combined with required text spacing adjustments (line-height to at least 1.5 times font size, letter-spacing to at least 0.12 times font size, word-spacing to at least 0.16 times font size) could cause content loss or clipping if the author styles cannot be overridden by user stylesheets. The use of !important on word-spacing in the parent div prevents user agents or user stylesheets from overriding the word-spacing property to meet the required spacing ratios. Remove !important from the word-spacing declaration so that user stylesheets can override text spacing properties as needed. Ensure that no CSS property related to text spacing (line-height, letter-spacing, word-spacing, spacing following paragraphs) uses !important, allowing users to apply their own spacing overrides without loss of content or functionality. Also avoid setting very small font sizes inline that could compound spacing issues.</t>
  </si>
  <si>
    <t xml:space="preserve">The page fails WCAG 1.4.12 (Text Spacing) because the inline style on the outer div applies 'word-spacing: 2px !important', which prevents user stylesheets from overriding this property. WCAG 1.4.12 requires that no loss of content or functionality occurs when users apply the specified text spacing overrides (e.g., word-spacing of at least 0.16em). Using !important in author styles blocks such user overrides, directly violating the success criterion. The other evaluated criteria are largely inapplicable: there are no form inputs (1.3.5), no moving/auto-updating content (2.2.2), and no navigation/breadcrumb mechanism to evaluate location (2.4.8). Contrast (1.4.3) cannot be fully verified without computed color values, but default black text on a white background is presumed sufficient.</t>
  </si>
  <si>
    <t xml:space="preserve">[1.4.12] Text spacing is overridden using !important on word-spacing, preventing users from applying their own text spacing styles via user stylesheets. Remove the !important declaration from word-spacing (and any other text spacing properties) so that user-defined text spacing overrides can take effect. Per WCAG 1.4.12, content must not lose functionality when users override letter-spacing, word-spacing, line-height, and spacing following paragraphs using the specified values.</t>
  </si>
  <si>
    <t xml:space="preserve">The page fails WCAG 1.4.12 (Text Spacing) because the inline style applies word-spacing: 0.1em !important on the paragraph element. The use of !important prevents users or assistive technologies from overriding the word-spacing value to meet the minimum required spacing of 0.16 times the font size. WCAG 1.4.12 requires that no loss of content or functionality occurs when users adjust text spacing properties, including word spacing, to specified minimum values. By using !important, the author stylesheet takes precedence over any user-defined overrides, directly violating this criterion. The other evaluated criteria (1.3.5, 1.4.3, 2.2.2, 2.4.8) are inapplicable to this page as it contains no form inputs, no color-dependent text contrast issues identifiable from the source alone, no moving or auto-updating content, and no multi-page navigation context.</t>
  </si>
  <si>
    <t xml:space="preserve">[1.4.12] The word-spacing property is set with !important, preventing users from overriding text spacing to meet the required minimum of 0.16 times the font size. Remove the !important declaration from the word-spacing property so that user stylesheets can override it. WCAG 1.4.12 requires that word-spacing can be set to at least 0.16 times the font size without loss of content or functionality. Using !important blocks user overrides and violates SC 1.4.12 (technique C36).</t>
  </si>
  <si>
    <t xml:space="preserve">The page fails WCAG 1.4.12 (Text Spacing) because the inline style applies word-spacing: 0.1em !important to the paragraph. The use of !important prevents users or assistive technologies from overriding this value with their own text spacing preferences. WCAG 1.4.12 requires that no loss of content or functionality occurs when users set word-spacing to at least 0.16em, letter-spacing to at least 0.12em, line height to at least 1.5 times the font size, and spacing following paragraphs to at least 2 times the font size. By locking word-spacing below the required threshold with !important, the page actively blocks users from achieving the minimum spacing needed for readability. The other evaluated criteria (1.3.5, 1.4.3, 2.2.2, 2.4.8) are either inapplicable (no form inputs, no moving content, no multi-page navigation) or cannot be fully assessed from the static HTML alone.</t>
  </si>
  <si>
    <t xml:space="preserve">[1.4.12] The word-spacing property is overridden with !important, preventing users from applying their own text spacing styles. WCAG 1.4.12 requires that content does not lose functionality or readability when users override text spacing properties, including word-spacing to at least 0.16em. Remove the !important declaration from the word-spacing property so that user stylesheets can override it. The value should also meet or exceed the minimum threshold of 0.16em for word-spacing as specified in WCAG 1.4.12 (SC 1.4.12 requires content to remain functional when word-spacing is set to at least 0.16em by the user).</t>
  </si>
  <si>
    <t xml:space="preserve">The page fails WCAG 1.4.12 (Text Spacing) because the inline style applies word-spacing with an !important declaration (word-spacing: 0.1em !important). This prevents users or assistive technologies from overriding the text spacing via their own stylesheets, which is a direct violation of the success criterion. The criterion requires that no loss of content or functionality occurs when users adjust word spacing to at least 0.16 times the font size; the use of !important blocks such overrides entirely. The other evaluated criteria (1.3.5, 1.4.3, 2.2.2, 2.4.8) are either inapplicable (no form inputs, no moving content, no multi-page navigation) or cannot be assessed as failing based on the provided HTML.</t>
  </si>
  <si>
    <t xml:space="preserve">[1.4.12] The word-spacing property is overridden with !important, preventing users from applying their own text spacing styles. WCAG 1.4.12 requires that content does not lose functionality when word-spacing is set to at least 0.16 times the font size. Using !important blocks user stylesheet overrides. Remove the !important declaration from the word-spacing property so that user stylesheets can override it. If word-spacing must be set, ensure it does not use !important and that the value meets or exceeds 0.16em to comply with the minimum spacing requirement.</t>
  </si>
  <si>
    <t xml:space="preserve">Evaluating all five criteria against this minimal HTML page: (1) WCAG 1.3.5 Identify Input Purpose — inapplicable, as there are no form inputs. (2) WCAG 1.4.3 Contrast Minimum — the paragraph uses color #000000 (black) on background #666666 (medium gray). The contrast ratio between #000000 and #666666 is approximately 5.74:1, which exceeds the 4.5:1 minimum required for normal text (the font-size is 18pt, which qualifies as large text requiring only 3:1, making this even more comfortably passing). This passes via G18/G145. (3) WCAG 1.4.12 Text Spacing — no CSS overrides text spacing properties in a way that would cause content loss; the page does not restrict line-height, letter-spacing, word-spacing, or paragraph spacing, so it passes. (4) WCAG 2.2.2 Pause, Stop, Hide — inapplicable, as there is no moving, blinking, scrolling, or auto-updating content. (5) WCAG 2.4.8 Location — inapplicable, as this appears to be a single standalone page with no multi-page set or navigation structure requiring location indication. Overall, the page passes all applicable criteria with no violations identified.</t>
  </si>
  <si>
    <t xml:space="preserve">The page contains a paragraph with black text (#000000) on a gray background (#666666). The contrast ratio between #000000 and #666666 is approximately 5.74:1, which exceeds the WCAG 1.4.3 minimum requirement of 4.5:1 for normal text and 3:1 for large text. The text is rendered at 18pt, which qualifies as large text (equivalent to 24px), so even the 3:1 large-text threshold is comfortably met. There are no form inputs, so WCAG 1.3.5 is inapplicable. There is no moving, blinking, or auto-updating content, so WCAG 2.2.2 is inapplicable. There is no breadcrumb, sitemap, or location indicator needed for a single static page with no navigation context, making WCAG 2.4.8 effectively inapplicable. WCAG 1.4.12 Text Spacing is satisfied because the page does not restrict text spacing overrides — no CSS properties are set that would prevent user-applied text spacing adjustments from taking effect. Overall, the page passes all applicable evaluated criteria.</t>
  </si>
  <si>
    <t xml:space="preserve">The page is evaluated against WCAG 1.3.5, 1.4.3, 1.4.12, 2.2.2, and 2.4.8. For 1.3.5 (Identify Input Purpose): no form inputs are present, so this criterion is inapplicable. For 1.4.3 (Contrast Minimum): the paragraph uses color #000000 (black) on background #666666 (medium gray). The contrast ratio between #000000 and #666666 is approximately 5.74:1, which exceeds the 4.5:1 minimum required for normal text and the 3:1 minimum for large text (18pt qualifies as large text per WCAG). This passes. For 1.4.12 (Text Spacing): no CSS properties override line-height, letter-spacing, word-spacing, or paragraph spacing in a way that would prevent the page from adapting to user-applied text spacing overrides; the inline style only sets color, font-size, and background, so this criterion is effectively passed. For 2.2.2 (Pause, Stop, Hide): there is no moving, blinking, scrolling, or auto-updating content on the page, making this criterion inapplicable. For 2.4.8 (Location): there is no multi-page navigation structure or site map present; the page is a single standalone document, making this criterion inapplicable. Overall, the page passes all applicable criteria with no violations detected.</t>
  </si>
  <si>
    <t xml:space="preserve">This page contains only a single anchor link with no forms, no input fields, no moving/blinking content, no text with custom spacing, and no breadcrumb or site map navigation. Therefore, all five evaluated criteria are inapplicable: WCAG 1.3.5 (no form inputs to identify purpose), WCAG 1.4.3 (the link text 'W3C' on a white background with default black text passes contrast, but there is no custom styling to evaluate — technically passed by default), WCAG 1.4.12 (no author-specified text spacing properties that could restrict reflow), WCAG 2.2.2 (no moving, blinking, scrolling, or auto-updating content), and WCAG 2.4.8 (no multi-page navigation structure or location indicator is present, but the criterion is AAA and the page is a single standalone page with no site structure). The page is essentially a minimal stub with no accessibility violations detectable from the provided HTML.</t>
  </si>
  <si>
    <t xml:space="preserve">This page contains only a single hyperlink ('W3C') with no form inputs, no moving/animated content, no complex navigation structures, and minimal text. WCAG 1.3.5 (Identify Input Purpose) is inapplicable because there are no form input fields. WCAG 1.4.3 (Contrast Minimum) would technically apply to the link text, but without CSS styles defined, the browser default colors (typically blue on white) generally meet the 4.5:1 contrast ratio requirement, and no custom colors are set that could cause a failure. WCAG 1.4.12 (Text Spacing) is inapplicable as there are no author-specified text spacing properties that could be overridden to cause content loss. WCAG 2.2.2 (Pause, Stop, Hide) is inapplicable because there is no moving, blinking, scrolling, or auto-updating content. WCAG 2.4.8 (Location) is inapplicable because there is no multi-page navigation structure or site map context provided. Overall, none of the targeted criteria are violated by this minimal page.</t>
  </si>
  <si>
    <t xml:space="preserve">This page contains only a single anchor link with no forms, no input fields, no moving/blinking content, no text with custom spacing, and no breadcrumb or site-map navigation. Therefore, all five evaluated criteria are inapplicable: WCAG 1.3.5 (no form inputs to identify purpose), WCAG 1.4.3 (the single link 'W3C' on a white background with default browser styling renders in blue, which typically passes contrast, but there are no custom color declarations to evaluate), WCAG 1.4.12 (no author-specified text spacing properties), WCAG 2.2.2 (no moving, blinking, scrolling, or auto-updating content), and WCAG 2.4.8 (no multi-page navigation structure or location indicator is present or required for a single-page document with one link). None of the targeted success criteria are violated because none of their triggering conditions are met.</t>
  </si>
  <si>
    <t xml:space="preserve">The page fails WCAG 1.4.3 Contrast Minimum (Level AA). The button element uses a foreground color of #777777 on a background of #EEEEEE, producing a contrast ratio of approximately 4.48:1, which falls just below the required 4.5:1 threshold for normal text. WCAG 2.1 criterion 1.3.5 is inapplicable as there are no form input fields. Criterion 1.4.12 (Text Spacing) is technically applicable but no overriding text-spacing styles are present that would cause content loss. Criterion 2.2.2 (Pause, Stop, Hide) is inapplicable as there is no moving, blinking, or auto-updating content. Criterion 2.4.8 (Location) is inapplicable as there is no multi-page navigation context indicated. The sole failure is the insufficient contrast ratio on the button text.</t>
  </si>
  <si>
    <t xml:space="preserve">[1.4.3] Insufficient color contrast between the text and background. The foreground color #777777 on background #EEEEEE yields a contrast ratio of approximately 4.48:1, which fails the minimum 4.5:1 requirement for normal text. Increase the contrast ratio to at least 4.5:1 for normal-sized text. For example, darken the text color to #767676 or darker (e.g., #696969) against #EEEEEE, or lighten the background. Using color #595959 on #EEEEEE would achieve a ratio above 7:1.</t>
  </si>
  <si>
    <t xml:space="preserve">The page fails WCAG 1.4.3 Contrast Minimum (Level AA). The button element uses a foreground color of #777777 on a background of #EEEEEE, producing a contrast ratio of approximately 4.48:1, which falls just below the required minimum of 4.5:1 for normal text. The other evaluated criteria are largely inapplicable: there are no form inputs (1.3.5 N/A), no moving or auto-updating content (2.2.2 N/A), no breadcrumb or location indicators needed beyond a single-page context (2.4.8 N/A), and text spacing (1.4.12) does not present an obvious violation based on the HTML provided.</t>
  </si>
  <si>
    <t xml:space="preserve">[1.4.3] Insufficient color contrast between the text and background. The foreground color #777777 on background #EEEEEE yields a contrast ratio of approximately 4.48:1, which fails the required 4.5:1 minimum for normal text. Increase the contrast ratio to at least 4.5:1 for normal-sized text. For example, darken the foreground color to #767676 on white (#FFFFFF) achieves exactly 4.54:1, or use #595959 on #EEEEEE which achieves approximately 7:1.</t>
  </si>
  <si>
    <t xml:space="preserve">The page fails WCAG 1.4.3 Contrast Minimum (Level AA). The button element uses a foreground color of #777777 on a background of #EEEEEE, producing a contrast ratio of approximately 4.48:1, which falls just below the required minimum of 4.5:1 for normal text. WCAG 1.3.5 is inapplicable as there are no form input fields. WCAG 1.4.12 is inapplicable as there is no text spacing being restricted. WCAG 2.2.2 is inapplicable as there is no moving, blinking, or auto-updating content. WCAG 2.4.8 is inapplicable as this is a single-page snippet without navigation context.</t>
  </si>
  <si>
    <t xml:space="preserve">This page contains only an image element with no text content, no form inputs, no moving/blinking content, and no navigation aids. Therefore, all five evaluated criteria are inapplicable: WCAG 1.3.5 (Identify Input Purpose) does not apply because there are no form input fields; WCAG 1.4.3 (Contrast Minimum) does not apply because there is no text or text images to evaluate for contrast (the image is a non-text element); WCAG 1.4.12 (Text Spacing) does not apply because there is no text content whose spacing can be adjusted; WCAG 2.2.2 (Pause, Stop, Hide) does not apply because there is no moving, blinking, scrolling, or auto-updating content; and WCAG 2.4.8 (Location) does not apply because there is no multi-page navigation structure or breadcrumb/sitemap mechanism to evaluate.</t>
  </si>
  <si>
    <t xml:space="preserve">This page contains only an image element with no text content, no form inputs, no moving/blinking content, and no navigation/location indicators. Therefore, all five evaluated WCAG criteria are inapplicable: 1.3.5 (Identify Input Purpose) has no form inputs to evaluate; 1.4.3 (Contrast Minimum) has no text or text images to assess contrast for (the image is a non-text element); 1.4.12 (Text Spacing) has no text content whose spacing could be adjusted; 2.2.2 (Pause, Stop, Hide) has no moving, blinking, scrolling, or auto-updating content; and 2.4.8 (Location) has no multi-page navigation structure requiring location indication. The page passes all criteria by inapplicability.</t>
  </si>
  <si>
    <t xml:space="preserve">This page contains only an image element with no text content, no form inputs, no moving/blinking content, and no navigation/location indicators. Therefore, all five evaluated criteria are inapplicable: WCAG 1.3.5 (Identify Input Purpose) does not apply because there are no form input fields; WCAG 1.4.3 (Contrast Minimum) does not apply because there is no text or text images to evaluate for contrast (the image has an alt attribute but no rendered text); WCAG 1.4.12 (Text Spacing) does not apply because there is no text content on the page; WCAG 2.2.2 (Pause, Stop, Hide) does not apply because there is no moving, blinking, scrolling, or auto-updating content; and WCAG 2.4.8 (Location) does not apply because there is no multi-page navigation structure or breadcrumb context to evaluate.</t>
  </si>
  <si>
    <t xml:space="preserve">The page contains only a single paragraph with 'display: none', meaning no content is rendered or visible to any user. All five criteria under evaluation are inapplicable: there are no form inputs (ruling out 1.3.5), no visible text or UI components to assess contrast (ruling out 1.4.3), no visible text spacing to evaluate (ruling out 1.4.12), no moving or auto-updating content (ruling out 2.2.2), and no navigation or multi-page context to indicate location (ruling out 2.4.8). Since none of the targeted criteria apply to this page, the overall verdict is inapplicable.</t>
  </si>
  <si>
    <t xml:space="preserve">The page contains only a single paragraph with 'display: none', meaning no content is rendered or visible to any user. All five criteria under evaluation are inapplicable: there are no form inputs (so 1.3.5 Identify Input Purpose does not apply), no visible text or UI components to assess contrast (so 1.4.3 Contrast Minimum does not apply), no visible text whose spacing could be adjusted (so 1.4.12 Text Spacing does not apply), no moving, blinking, scrolling, or auto-updating content (so 2.2.2 Pause, Stop, Hide does not apply), and no navigation or multi-page structure to indicate location within (so 2.4.8 Location does not apply). The page passes all criteria by inapplicability.</t>
  </si>
  <si>
    <t xml:space="preserve">The page contains only a single paragraph element with 'display: none', making it entirely invisible to all users including assistive technologies. Since there is no visible text content, no form inputs, no moving/blinking content, no navigation structures, and no interactive elements, none of the evaluated WCAG criteria apply: 1.3.5 (no form inputs to identify), 1.4.3 (no visible text to check contrast), 1.4.12 (no visible text spacing to evaluate), 2.2.2 (no moving, blinking, scrolling, or auto-updating content), and 2.4.8 (no multi-page navigation structure to indicate location). All five criteria are inapplicable to this page.</t>
  </si>
  <si>
    <t xml:space="preserve">The page fails WCAG 1.4.3 Contrast Minimum (Level AA) due to the second paragraph using color #777777 on background #EEEEEE, which produces a contrast ratio of approximately 4.48:1 — just below the required 4.5:1 threshold for normal text. The first paragraph (#333333 on #FFFFFF) has a contrast ratio of approximately 10.4:1 and passes. WCAG 1.3.5 is inapplicable as there are no form inputs. WCAG 1.4.12 is technically applicable but no CSS properties override line-height, letter-spacing, or word-spacing in a way that would cause content loss. WCAG 2.2.2 is inapplicable as there is no moving, blinking, or auto-updating content. WCAG 2.4.8 is inapplicable as this criterion targets providing location information within a set of pages, and no navigation or breadcrumb context is present.</t>
  </si>
  <si>
    <t xml:space="preserve">[1.4.3] Insufficient color contrast between text and background in the second paragraph The color #777777 on background #EEEEEE yields a contrast ratio of approximately 4.48:1, which falls below the required 4.5:1 for normal-sized text. Darken the text color to at least #767676 on white or use a darker shade such as #696969 on #EEEEEE to meet the minimum 4.5:1 ratio (WCAG technique G18).</t>
  </si>
  <si>
    <t xml:space="preserve">The page fails WCAG 1.4.3 (Contrast Minimum, Level AA) due to the second paragraph using color #777777 on a #EEEEEE background, which produces a contrast ratio of approximately 4.48:1 — just below the required 4.5:1 threshold for normal-sized text. The first paragraph (#333333 on #FFFFFF) achieves a ratio of approximately 12.63:1 and passes. Criteria 1.3.5, 1.4.12, 2.2.2, and 2.4.8 are inapplicable: there are no form inputs, no dynamic content or animations, and no site navigation/breadcrumb structures present on this page.</t>
  </si>
  <si>
    <t xml:space="preserve">[1.4.3] Insufficient color contrast between text and background in the second paragraph The color #777777 on background #EEEEEE yields a contrast ratio of approximately 4.48:1, which falls below the required 4.5:1 for normal text. Darken the text color to at least #767676 on white, or use a darker shade such as #696969 on #EEEEEE to meet the 4.5:1 minimum ratio (WCAG technique G18).</t>
  </si>
  <si>
    <t xml:space="preserve">The page fails WCAG 1.4.3 Contrast Minimum (Level AA) due to the second paragraph using color #777777 on background #EEEEEE, which produces a contrast ratio of approximately 4.48:1 — just below the required 4.5:1 threshold for normal-sized text. The first paragraph (#333333 on #FFFFFF) achieves a ratio of approximately 12.63:1 and passes. Criteria 1.3.5, 1.4.12, 2.2.2, and 2.4.8 are inapplicable: there are no form inputs, no content that would be affected by text spacing overrides in a way that causes loss of content (though no explicit spacing is set), no auto-updating or moving content, and no site navigation or breadcrumb mechanism present.</t>
  </si>
  <si>
    <t xml:space="preserve">[1.4.3] Insufficient color contrast between text and background in the second paragraph The color #777777 on background #EEEEEE yields a contrast ratio of approximately 4.48:1, which falls below the required 4.5:1 for normal text. Darken the text color to at least #767676 on white or use a darker shade such as #696969 on #EEEEEE to meet the 4.5:1 minimum ratio (WCAG technique G18).</t>
  </si>
  <si>
    <t xml:space="preserve">The page invokes startUpdates() on load, which drives automatic updates to the &lt;span id='target'&gt; element via an external script. There are no controls present in the HTML to allow users to pause, stop, or hide this moving/updating content, violating WCAG 2.2.2 (Pause, Stop, Hide). The other evaluated criteria are largely inapplicable or cannot be confirmed as failing from the HTML alone (no form inputs for 1.3.5; minimal text for contrast 1.4.3; no complex layout for 1.4.12; no breadcrumb/sitemap for 2.4.8), but the auto-update without user control is a clear failure of 2.2.2.</t>
  </si>
  <si>
    <t xml:space="preserve">[2.2.2] The page uses an auto-updating mechanism (startUpdates() called on load, updating #target) with no visible controls to pause, stop, or hide the updating content. Provide a mechanism (e.g., a button) that allows users to pause, stop, or hide the auto-updating content in the #target span, or ensure the updates are not essential and can be controlled by the user per WCAG technique G186.</t>
  </si>
  <si>
    <t xml:space="preserve">The page automatically starts content updates via the 'startUpdates()' function called in the body's onload attribute, which continuously updates the content of the &lt;span id='target'&gt; element. No pause, stop, or hide mechanism is present in the HTML for users to control this auto-updating content. This violates WCAG 2.2.2 (Pause, Stop, Hide), which requires that any auto-updating content that starts automatically can be paused, stopped, or hidden by the user. The other evaluated criteria (1.3.5, 1.4.3, 1.4.12, 2.4.8) are either inapplicable (no form inputs, minimal text content, no breadcrumb/sitemap) or cannot be fully assessed from the static HTML alone, but the 2.2.2 failure is clear from the structure of the page.</t>
  </si>
  <si>
    <t xml:space="preserve">[2.2.2] The page uses an onload handler to start automatic updates to content (via 'startUpdates()'), and there is no visible mechanism provided to pause, stop, or hide the moving/updating content in the span#target element. Provide a mechanism (e.g., a button) that allows users to pause, stop, or hide the automatically updating content in the #target element, unless the updates are essential. Per WCAG technique G186, a control should be available to stop moving, blinking, scrolling, or auto-updating content.</t>
  </si>
  <si>
    <t xml:space="preserve">The page triggers automatic content updates via the onload handler ('startUpdates()') which modifies the content of the &lt;span id='target'&gt; element. No pause, stop, or hide mechanism is present in the HTML for this auto-updating content, violating WCAG 2.2.2 (Pause, Stop, Hide). The other evaluated criteria are largely inapplicable or not clearly violated: there are no form inputs (1.3.5 inapplicable), no moving/blinking content beyond the auto-update (2.2.2 is the primary concern), no breadcrumb or sitemap location indicator is present (2.4.8 inapplicable at AA scope), and insufficient information is available from the HTML alone to fully assess contrast (1.4.3) or text spacing (1.4.12) since no styled text content is present beyond a single character. The primary and clear failure is WCAG 2.2.2.</t>
  </si>
  <si>
    <t xml:space="preserve">[2.2.2] The page starts auto-updating content via JavaScript on load (onload='startUpdates()') that updates the content of the &lt;span id='target'&gt; element. There is no mechanism provided to pause, stop, or hide this automatically updating content. Provide a mechanism (e.g., a button or control) that allows users to pause, stop, or hide the auto-updating content in the &lt;span id='target'&gt; element. Alternatively, ensure the update frequency is user-controlled.</t>
  </si>
  <si>
    <t xml:space="preserve">This page is evaluated against WCAG 2.2.2 (Pause, Stop, Hide), which is the primary applicable criterion here. The page contains auto-updating content (a random number in a &lt;span id='target'&gt;) that is controlled by a JavaScript function started via the body's onload attribute. Critically, a button with id='control' and value='Pause changes' is provided, which calls toggleUpdates() to allow the user to pause the auto-updating content — satisfying the requirement of WCAG 2.2.2 that moving, blinking, scrolling, or auto-updating information can be paused, stopped, or hidden. For WCAG 1.3.5 (Identify Input Purpose), the only interactive element is a button, which is not a data-collection input field that requires autocomplete attributes, making this criterion inapplicable. For WCAG 1.4.3 (Contrast Minimum), no inline styles or color declarations are present in the HTML, so default browser colors apply and no contrast failure can be identified from the source alone; the criterion is effectively passed by absence of overriding styles. For WCAG 1.4.12 (Text Spacing), no CSS is defined that would restrict text spacing overrides, so the criterion passes. For WCAG 2.4.8 (Location), this is a single standalone page with no site navigation or breadcrumb context required, making the criterion inapplicable. Overall, the page passes all applicable criteria, most notably 2.2.2 by providing a clearly labeled pause control for the auto-updating content.</t>
  </si>
  <si>
    <t xml:space="preserve">This page is evaluated against WCAG 2.2.2 Pause, Stop, Hide. The page contains a dynamically updating element (`&lt;span id='target'&gt;`) that displays a random number updated via an external script loaded at page load (`onload='startUpdates()'`). Critically, a control is provided — `&lt;input type='button' id='control' onclick='toggleUpdates()' value='Pause changes' /&gt;` — that allows the user to pause the auto-updating content. This satisfies WCAG 2.2.2, which requires that moving, blinking, scrolling, or auto-updating information that starts automatically can be paused, stopped, or hidden by the user. The button labeled 'Pause changes' directly addresses this requirement. The other criteria are either inapplicable (1.3.5 — no personal data input fields; 2.4.8 — no breadcrumb or sitemap location indicator is required at Level AAA but the page is a standalone example; 2.2.2 is the primary applicable criterion here) or cannot be fully evaluated from static HTML alone (1.4.3 contrast, 1.4.12 text spacing), though no inline styles or color declarations are present that would suggest contrast or text-spacing violations. Overall, the page passes the evaluated criteria with no identified violations.</t>
  </si>
  <si>
    <t xml:space="preserve">The page contains auto-updating content (a random number in a &lt;span id='target'&gt;) controlled by a script, along with a pause/resume button (&lt;input type='button' id='control' value='Pause changes'&gt;). WCAG 2.2.2 (Pause, Stop, Hide) is satisfied because the user is provided a mechanism to pause the moving/auto-updating content via the 'Pause changes' button. WCAG 1.3.5 (Identify Input Purpose) is inapplicable as there are no form inputs collecting personal user information (the button is a control, not a data-entry field). WCAG 1.4.3 (Contrast Minimum) cannot be fully verified from HTML alone without computed styles, but no inline styles or color attributes are present that would suggest a contrast failure; default browser rendering is generally acceptable. WCAG 1.4.12 (Text Spacing) is satisfied as no inline styles restrict line-height, letter-spacing, word-spacing, or paragraph spacing in a way that would cause content loss. WCAG 2.4.8 (Location) is a AAA criterion; the page does not provide breadcrumbs or site map indicators, but this is a standalone example page and the criterion is effectively inapplicable in this minimal context. Overall, no violations of the evaluated criteria are identified.</t>
  </si>
  <si>
    <t xml:space="preserve">The page is evaluated against WCAG 2.2.2 (Pause, Stop, Hide). The page contains auto-updating content (a random number in a &lt;span id='target'&gt;) that begins updating on page load via the 'onload="startUpdates()"' attribute. Critically, the page provides a mechanism to stop this moving/auto-updating content: an &lt;input type='button' onclick='hide()' value='Hide changing content' /&gt; button, which satisfies the requirement of WCAG 2.2.2 that users be able to pause, stop, or hide auto-updating content. The other criteria are largely inapplicable or not violated: there are no form inputs with personal data (1.3.5 inapplicable), the page uses default browser colors so contrast cannot be definitively assessed but no custom low-contrast styling is present (1.4.3 passed by default), no CSS overrides text spacing properties (1.4.12 passed), and no breadcrumb or location indicator is required for a single-page document (2.4.8 inapplicable). The page passes the primary applicable criterion of 2.2.2 by providing the hide button.</t>
  </si>
  <si>
    <t xml:space="preserve">The page is evaluated against WCAG 2.2.2 (Pause, Stop, Hide), which is the primary applicable criterion here. The page contains auto-updating content (a random number in a &lt;span id='target'&gt;) that is started via the onload='startUpdates()' handler. Critically, a button with onclick='hide()' is provided, giving users a mechanism to stop or hide the changing content, satisfying the requirement of WCAG 2.2.2. For WCAG 1.3.5 (Identify Input Purpose), the only interactive element is a button (type='button'), which is not a data-collection input requiring autocomplete attributes, so this criterion is inapplicable. For WCAG 1.4.3 (Contrast Minimum), no explicit color or background styling is present in the HTML, so default browser colors apply and no contrast failure can be determined from the source alone — the criterion is effectively inapplicable from the HTML source. For WCAG 1.4.12 (Text Spacing), no CSS is defined in the HTML that would restrict text spacing overrides, so no failure is present. For WCAG 2.4.8 (Location), this is a AAA criterion and the page does not provide breadcrumbs or site map indicators, but since the criterion is AAA and the task scope includes it, the page does not implement location indicators; however, as a single standalone page with no navigation context, this is inapplicable. Overall, the page passes the evaluated criteria, most notably 2.2.2, by providing a hide control for the auto-updating content.</t>
  </si>
  <si>
    <t xml:space="preserve">The page is evaluated against WCAG 2.2.2 (Pause, Stop, Hide), which is the primary applicable criterion here. The page contains auto-updating content (a random number in a &lt;span id='target'&gt;) that is started via the onload='startUpdates()' handler. Crucially, a control is provided — &lt;input type='button' onclick='hide()' value='Hide changing content' /&gt; — that allows the user to hide the moving/auto-updating content, satisfying the requirement of WCAG 2.2.2 (SC 2.2.2 requires a mechanism to pause, stop, or hide auto-updating content). For WCAG 1.3.5 (Identify Input Purpose), the only input is a button (not a data-collection field), so autocomplete token requirements do not apply — inapplicable. For WCAG 1.4.3 (Contrast Minimum), no inline styles or color declarations are present in the HTML, so default browser colors apply and no contrast failure can be identified from the source alone — passed by default. For WCAG 1.4.12 (Text Spacing), no CSS that would restrict text spacing overrides is present in the HTML source — passed by default. For WCAG 2.4.8 (Location), this is a single standalone page with no multi-page navigation structure, so the criterion is inapplicable. Overall, the page passes the evaluated set of criteria, with 2.2.2 being the most relevant and satisfied by the provided hide button.</t>
  </si>
  <si>
    <t xml:space="preserve">This page contains no form inputs, no moving/blinking content, no text content visible to users (the paragraph is hidden via display:none), and no navigation aids. Evaluating against the five criteria: (1) WCAG 1.3.5 Identify Input Purpose — inapplicable, as there are no form input fields present. (2) WCAG 1.4.3 Contrast Minimum — inapplicable, as there is no visible text content rendered on the page (the only paragraph has display:none and the image has an alt attribute but no rendered text to measure contrast against). (3) WCAG 1.4.12 Text Spacing — inapplicable, as there is no visible text content to which text spacing properties would apply. (4) WCAG 2.2.2 Pause, Stop, Hide — inapplicable, as there is no moving, blinking, scrolling, or auto-updating content on the page. (5) WCAG 2.4.8 Location — inapplicable, as this appears to be a single standalone page with no multi-page set or navigation structure requiring location indication. None of the five criteria apply to this minimal page, so the overall verdict is inapplicable.</t>
  </si>
  <si>
    <t xml:space="preserve">This page contains only a static image with alt text and a hidden paragraph (display: none). There are no form inputs, so WCAG 1.3.5 (Identify Input Purpose) is inapplicable. There is no visible text content to evaluate for contrast (the paragraph is hidden via display:none and the image alt text is not rendered text), so WCAG 1.4.3 (Contrast Minimum) is inapplicable. There is no meaningful text content subject to text spacing adjustments, so WCAG 1.4.12 (Text Spacing) is inapplicable. There is no moving, blinking, scrolling, or auto-updating content, so WCAG 2.2.2 (Pause, Stop, Hide) is inapplicable. There is no multi-page navigation structure or breadcrumb/sitemap to evaluate location, so WCAG 2.4.8 (Location) is inapplicable. None of the targeted criteria apply to this minimal page.</t>
  </si>
  <si>
    <t xml:space="preserve">This page contains only an image with alt text and a hidden paragraph (display: none). Evaluating against the five criteria: (1) WCAG 1.3.5 Identify Input Purpose — there are no form input fields, so this criterion is inapplicable. (2) WCAG 1.4.3 Contrast Minimum — there is no visible text content rendered on the page (the paragraph is hidden via display:none and the image alt text is not rendered text), so contrast cannot be evaluated and the criterion is inapplicable. (3) WCAG 1.4.12 Text Spacing — there is no visible text content to which text spacing properties would apply, making this criterion inapplicable. (4) WCAG 2.2.2 Pause, Stop, Hide — there are no moving, blinking, scrolling, or auto-updating elements on the page, so this criterion is inapplicable. (5) WCAG 2.4.8 Location — while this criterion requires users to know where they are within a set of pages, a single standalone page with no navigation or site structure present means the criterion is effectively inapplicable. None of the five criteria are violated because none of their triggering conditions are met on this minimal page.</t>
  </si>
  <si>
    <t xml:space="preserve">The page fails WCAG 2.2.2 (Pause, Stop, Hide). The body's onload handler calls startUpdates(), which continuously updates the content of the #target span with a random number. No mechanism (e.g., a pause or stop button) is provided to allow users to halt this auto-updating content. The remaining criteria are largely inapplicable or not violated: there are no form inputs (1.3.5 inapplicable), the page has minimal static text with no obvious contrast issues (1.4.3 passed on available evidence), text spacing is not overridden (1.4.12 passed), and no breadcrumb or location indicator is required for a single standalone page (2.4.8 inapplicable).</t>
  </si>
  <si>
    <t xml:space="preserve">[2.2.2] Auto-updating content (random number) is started via onload and there is no mechanism provided to pause, stop, or hide the updates. Provide a button or control that allows users to pause, stop, or hide the auto-updating random number content, or ensure the updates are not essential and can be turned off. Per WCAG technique G186, a mechanism such as a 'Pause' button must be available.</t>
  </si>
  <si>
    <t xml:space="preserve">The page fails WCAG 2.2.2 (Pause, Stop, Hide). The body's onload handler calls startUpdates(), which continuously updates the random number displayed in the &lt;span id='target'&gt; element. No mechanism (e.g., a pause or stop button) is provided to allow users to pause, stop, or hide this auto-updating content. The remaining criteria are largely inapplicable or not violated: there are no form inputs so 1.3.5 does not apply; the page has minimal static text with no obvious contrast issues for 1.4.3; no inline styles that would prevent text spacing adjustments for 1.4.12; and no breadcrumb or location indicator is required for 2.4.8 at this page's scope (AAA, inapplicable here). The critical failure is the uncontrolled auto-updating content with no pause/stop/hide control.</t>
  </si>
  <si>
    <t xml:space="preserve">The page fails WCAG 2.2.2 (Pause, Stop, Hide) because it uses an onload handler to start automatic content updates (a random number displayed in a &lt;span&gt;) with no user control to pause, stop, or hide those updates. The other evaluated criteria are largely inapplicable or not violated: there are no form inputs so 1.3.5 does not apply; contrast cannot be fully assessed from HTML alone but no explicit low-contrast styling is present; 1.4.12 text spacing is not violated by the markup; and 2.4.8 location (breadcrumbs/site map) is not applicable to this single standalone page.</t>
  </si>
  <si>
    <t xml:space="preserve">[2.2.2] Auto-updating content (random number) is started via onload and there is no mechanism provided to pause, stop, or hide the updates. Provide a button or control that allows users to pause, stop, or hide the auto-updating content, or ensure the updates are not essential and can be turned off. For example, add a 'Pause updates' button that calls a function to stop the interval driving the random number changes.</t>
  </si>
  <si>
    <t xml:space="preserve">The page fails WCAG 2.2.2 (Pause, Stop, Hide) because it uses the &lt;blink&gt; element, which causes content to blink indefinitely with no mechanism provided for the user to pause, stop, or hide the blinking. WCAG 2.2.2 requires that any moving, blinking, or scrolling content that starts automatically, lasts more than five seconds, and is presented in parallel with other content must have a mechanism to pause, stop, or hide it. The &lt;blink&gt; element violates this requirement directly. The other evaluated criteria (1.3.5, 1.4.3, 1.4.12, 2.4.8) are either inapplicable due to the minimal page content (no form inputs, no complex text styling, no navigation breadcrumbs) or cannot be fully assessed without rendered styles, but the 2.2.2 failure is clear and unambiguous from the HTML source alone.</t>
  </si>
  <si>
    <t xml:space="preserve">[2.2.2] The &lt;blink&gt; element causes text to blink automatically with no mechanism to pause, stop, or hide the blinking content. Remove the &lt;blink&gt; element entirely. If animated or attention-drawing text is needed, use CSS animations with a user-controlled mechanism (e.g., a button) to pause, stop, or hide the animation, or ensure the blinking lasts no more than 5 seconds.</t>
  </si>
  <si>
    <t xml:space="preserve">The page fails WCAG 2.2.2 (Pause, Stop, Hide) because it uses the &lt;blink&gt; element, which causes content to blink indefinitely with no mechanism provided for the user to pause, stop, or hide the blinking. WCAG 2.2.2 requires that any moving, blinking, or scrolling content that starts automatically, lasts more than three seconds, and is presented in parallel with other content must have a mechanism to pause, stop, or hide it. The &lt;blink&gt; element violates this requirement directly. The other evaluated criteria (1.3.5, 1.4.3, 1.4.12, 2.4.8) are either inapplicable (no form inputs, no complex color styling, no breadcrumb/location indicators) or cannot be fully assessed from static HTML alone, but no clear violations are evident for those criteria on this minimal page.</t>
  </si>
  <si>
    <t xml:space="preserve">[2.2.2] The &lt;blink&gt; element causes text to blink automatically with no mechanism for the user to pause, stop, or hide the blinking content. Remove the &lt;blink&gt; element entirely. If animated or attention-drawing text is needed, use CSS animations with a user-controlled mechanism (e.g., a button) to pause, stop, or hide the animation, or ensure any blinking lasts no more than 3 seconds.</t>
  </si>
  <si>
    <t xml:space="preserve">The page fails WCAG 2.2.2 (Pause, Stop, Hide) because it uses the &lt;blink&gt; element, which causes text to blink continuously with no way for the user to pause, stop, or hide the animation. The &lt;blink&gt; element is a non-standard HTML element that produces indefinite blinking, violating the requirement that any moving, blinking, or scrolling content that starts automatically and lasts more than 5 seconds must have a mechanism for users to control it. The other evaluated criteria (1.3.5, 1.4.3, 1.4.12, 2.4.8) are either inapplicable (no form inputs, no breadcrumb/sitemap navigation) or cannot be fully assessed from static HTML alone, but the presence of the &lt;blink&gt; element constitutes a clear, critical failure of 2.2.2.</t>
  </si>
  <si>
    <t xml:space="preserve">[2.2.2] The &lt;blink&gt; element causes text to blink automatically with no mechanism to pause, stop, or hide the blinking content. Remove the &lt;blink&gt; element entirely. If animated or attention-drawing text is needed, use CSS animations with a duration of less than 5 seconds, or provide a mechanism (button or control) that allows users to pause, stop, or hide the blinking effect. Per WCAG 2.2.2, any blinking that lasts more than 5 seconds must have a user-controllable mechanism to stop it.</t>
  </si>
  <si>
    <t xml:space="preserve">The page fails primarily on WCAG 2.4.8 (Location, Level AAA): the navigation bar provides no indication of the user's current location within the site — no aria-current attribute, no breadcrumb, and no highlighted active link. Additionally, the page lacks explicit color declarations, making WCAG 1.4.3 compliance unverifiable and potentially at risk if user-agent defaults are overridden. WCAG 1.3.5 and 2.2.2 are inapplicable due to the absence of form inputs and moving content respectively. WCAG 1.4.12 is effectively passed by default since no restrictive CSS is present, though explicit color and spacing declarations would improve robustness.</t>
  </si>
  <si>
    <t xml:space="preserve">[1.3.5] No form inputs present on the page, so Identify Input Purpose is inapplicable. No action needed for this criterion on this page. || [1.4.3] No explicit foreground or background colors are declared. While browsers typically render black text on a white background (sufficient contrast), the absence of explicit color declarations means the page relies entirely on user-agent defaults and cannot be verified as compliant. If a user has overridden default colors, contrast cannot be guaranteed. Explicitly declare foreground and background colors using CSS (e.g., color: #000000; background-color: #ffffff;) to ensure a minimum contrast ratio of 4.5:1 for normal text and 3:1 for large text (WCAG technique G18). || [1.4.12] No CSS is present to control text spacing properties. While the absence of restrictive CSS means the page is unlikely to break under modified text spacing, there is no explicit support ensuring content remains readable when line-height, letter-spacing, word-spacing, and paragraph spacing are overridden per WCAG SC 1.4.12 thresholds. Ensure no CSS rules restrict text spacing overrides. Avoid using fixed-height containers or overflow:hidden on text containers. This page currently passes by default due to absence of restrictive CSS. || [2.2.2] No moving, blinking, scrolling, or auto-updating content is present on the page, so Pause, Stop, Hide is inapplicable. No action needed for this criterion on this page. || [2.4.8] The page does not provide any mechanism to inform the user of their current location within a set of web pages (e.g., breadcrumb trail, site map link, or highlighted navigation item). The navigation links exist but none are marked as the current page. Add aria-current="page" to the active navigation link, or provide a breadcrumb trail (WCAG technique G65) or other location indicator so users understand where this page sits within the site structure. For example: &lt;a href="/courses" aria-current="page"&gt;Courses&lt;/a&gt;.</t>
  </si>
  <si>
    <t xml:space="preserve">The page fails WCAG 2.4.8 (Location, Level AAA) because it provides no mechanism to inform users of their current location within the site. The primary navigation lists three links but none is marked as the current page (e.g., via aria-current="page") and there is no breadcrumb, site map, or other location indicator. The remaining evaluated criteria are either inapplicable or passed: 1.3.5 (Identify Input Purpose) is inapplicable as there are no form inputs; 1.4.3 (Contrast Minimum) cannot be confirmed to fail from the HTML alone since no inline styles or stylesheets are present, so default browser rendering is assumed adequate; 1.4.12 (Text Spacing) is inapplicable as no CSS restricts text spacing; and 2.2.2 (Pause, Stop, Hide) is inapplicable as there is no moving, blinking, scrolling, or auto-updating content.</t>
  </si>
  <si>
    <t xml:space="preserve">[2.4.8] No mechanism is provided to identify the user's current location within the site or set of pages. The navigation does not indicate which link is the current page, and there is no breadcrumb trail, site map link, or other location indicator. Use aria-current="page" on the active navigation link, or provide a breadcrumb trail (e.g., using the ARIA breadcrumb pattern with aria-label="Breadcrumb"), or include a site map link to help users understand where they are within the site structure. Technique G65 (breadcrumb trail) or G128 (indicating current location in navigation) would satisfy this criterion.</t>
  </si>
  <si>
    <t xml:space="preserve">The page fails WCAG 2.4.8 (Location, Level AAA) because it provides no mechanism to inform users of their current location within the site. The navigation bar lists links to Home, Courses, and Help, but none are marked as current (e.g., via aria-current='page'), and there is no breadcrumb trail or other location indicator. The remaining evaluated criteria are either inapplicable or passed: 1.3.5 (Identify Input Purpose) is inapplicable as there are no form inputs; 1.4.3 (Contrast Minimum) cannot be confirmed to fail from the HTML alone since no inline styles or stylesheets are present, so default browser rendering is assumed adequate; 1.4.12 (Text Spacing) is inapplicable as no CSS restricts text spacing; and 2.2.2 (Pause, Stop, Hide) is inapplicable as there is no moving, blinking, or auto-updating content.</t>
  </si>
  <si>
    <t xml:space="preserve">[2.4.8] The page does not provide a mechanism to indicate the user's current location within a set of pages (e.g., breadcrumb trail, site map highlight, or indication of current page in navigation). Add a breadcrumb trail (e.g., Home &gt; Courses &gt; Lab Procedure) or mark the current page in the navigation using aria-current="page" on the active link, or provide another mechanism such as a site map that shows the user's location within the site structure.</t>
  </si>
  <si>
    <t xml:space="preserve">The page fails WCAG 2.4.8 (Location, Level AAA) because the breadcrumb navigation does not include the current page ('Hardware troubleshooting') as the final item, nor does it use aria-current='page' or any other mechanism to indicate the user's current location within the site hierarchy. The breadcrumb only shows 'Home' and 'Support', leaving the user without a clear indication of where they are. The other evaluated criteria are largely inapplicable or not violated: there are no form inputs (1.3.5 inapplicable), no moving/auto-updating content (2.2.2 inapplicable), text spacing is not constrained by the markup (1.4.12 passes), and contrast cannot be fully assessed without CSS but the plain HTML uses default browser styles which generally meet minimum contrast ratios (1.4.3 likely passes).</t>
  </si>
  <si>
    <t xml:space="preserve">[2.4.8] The breadcrumb navigation does not indicate the current page/location within the breadcrumb trail. The current page 'Hardware troubleshooting' is missing from the breadcrumb, and no aria-current attribute is used to identify the user's current location. Add the current page as the last item in the breadcrumb list and mark it with aria-current="page". For example: &lt;li&gt;&lt;a href="/support/hardware-troubleshooting" aria-current="page"&gt;Hardware troubleshooting&lt;/a&gt;&lt;/li&gt;. This satisfies WCAG technique G65 and G128, ensuring users know where they are within the site structure.</t>
  </si>
  <si>
    <t xml:space="preserve">Evaluating all five criteria against this minimal HTML page: (1) WCAG 1.3.5 Identify Input Purpose — no form inputs are present, so this criterion is inapplicable. (2) WCAG 1.4.3 Contrast Minimum — no author-specified colors or styles are present; the page relies entirely on browser defaults, which are universally considered sufficient (black text on white background), so no contrast failure can be identified. (3) WCAG 1.4.12 Text Spacing — no inline styles constrain line-height, letter-spacing, word-spacing, or paragraph spacing, so user overrides would not be blocked; criterion passes. (4) WCAG 2.2.2 Pause, Stop, Hide — there is no moving, blinking, scrolling, or auto-updating content, making this criterion inapplicable. (5) WCAG 2.4.8 Location — a breadcrumb navigation (&lt;nav aria-label='Breadcrumb'&gt;&lt;ol&gt;&lt;li&gt;&lt;a href='/'&gt;Home&lt;/a&gt;&lt;/li&gt;&lt;li&gt;&lt;a href='/support'&gt;Support&lt;/a&gt;&lt;/li&gt;&lt;/ol&gt;&lt;/nav&gt;) is present and correctly marked up, providing the user with information about their location within the site, satisfying this AAA criterion (WCAG technique G65). Overall, the page passes all applicable criteria with no violations detected.</t>
  </si>
  <si>
    <t xml:space="preserve">The page fails WCAG 2.4.8 (Location, Level AAA) because the breadcrumb navigation does not include the current page ('Hardware troubleshooting') and does not use aria-current or any other mechanism to indicate the user's current location within the site hierarchy. The breadcrumb only shows 'Home' and 'Support', leaving the user without a clear indication of where they are. The other evaluated criteria are either inapplicable (1.3.5 — no form inputs present; 2.2.2 — no moving, blinking, or auto-updating content) or cannot be definitively assessed from HTML alone without computed styles (1.4.3 contrast, 1.4.12 text spacing), though no inline styles or known low-contrast color combinations are present that would indicate a failure.</t>
  </si>
  <si>
    <t xml:space="preserve">[2.4.8] The breadcrumb navigation does not indicate the current page/location within the breadcrumb trail. The current page 'Hardware troubleshooting' is missing from the breadcrumb, and no aria-current attribute is used to identify the active location. Add the current page as the last item in the breadcrumb list and mark it with aria-current="page". For example: &lt;li&gt;&lt;a href="/support/hardware-troubleshooting" aria-current="page"&gt;Hardware troubleshooting&lt;/a&gt;&lt;/li&gt;. This satisfies WCAG technique G65 and G128, ensuring users know their location within the site.</t>
  </si>
  <si>
    <t xml:space="preserve">This page contains no interactive form inputs (ruling out WCAG 1.3.5), no moving/auto-updating/blinking content (ruling out WCAG 2.2.2), and no complex multi-page navigation structure that would require a location indicator (ruling out WCAG 2.4.8). For WCAG 1.4.3 (Contrast Minimum), the page relies entirely on browser default styles with no author-specified foreground or background colors, so no contrast failure can be attributed to the page's markup. For WCAG 1.4.12 (Text Spacing), no author-defined CSS overrides text spacing properties, so there is nothing to override or fail. All five evaluated criteria are inapplicable to this minimal, static HTML page.</t>
  </si>
  <si>
    <t xml:space="preserve">This page contains no interactive form inputs (ruling out WCAG 1.3.5), no moving/auto-updating content (ruling out WCAG 2.2.2), and no custom text styling that would need to be evaluated against WCAG 1.4.12 overrides. For WCAG 1.4.3 contrast, the page uses only default browser colors with no author-specified foreground or background colors, so no contrast failure can be determined from the HTML source alone — the default black-on-white rendering of browsers typically passes, but since no colors are declared the criterion is effectively inapplicable from a source-code perspective. For WCAG 2.4.8 Location, the page is a single standalone page with no navigation structure (no breadcrumbs, site map, or multi-page context indicated), making the criterion inapplicable. Overall, none of the five evaluated criteria are violated or even triggered by the minimal content of this page.</t>
  </si>
  <si>
    <t xml:space="preserve">The page is a minimal unit converter with two numeric inputs and a button. For WCAG 1.3.5 (Identify Input Purpose), the inputs do not collect personal user information (they are conversion tool fields), making this criterion effectively inapplicable. For WCAG 1.4.3 (Contrast Minimum), no inline styles or color overrides are present, so contrast depends on browser defaults which are generally compliant — this passes by default. For WCAG 1.4.12 (Text Spacing), no CSS is defined that would restrict text spacing adjustments, so this passes. For WCAG 2.2.2 (Pause, Stop, Hide), there is no moving, blinking, scrolling, or auto-updating content, making this criterion inapplicable. For WCAG 2.4.8 (Location), the page lacks any breadcrumb, site map, or navigation indicator showing the user's location within a set of pages; however, if this is a completely standalone single-page application with no broader site context, the criterion may be inapplicable. Given the ambiguity around 2.4.8 and the absence of a navigation context, the overall verdict is failed due to the missing location indicator, rated as moderate severity.</t>
  </si>
  <si>
    <t xml:space="preserve">[1.3.5] Input fields collecting unit values do not have autocomplete attributes identifying their purpose. While these are conversion tool inputs (not personal data collection), the criterion requires that inputs collecting information about the user have appropriate autocomplete tokens. These inputs do not collect personal data, so 1.3.5 is technically inapplicable; however, if the intent were to collect personal measurements, no autocomplete attribute is present. If these inputs are intended to collect personal user data (e.g., the user's own height), add appropriate autocomplete attributes such as autocomplete="off" or a relevant token. If they are purely conversion tool inputs with no personal data purpose, 1.3.5 is inapplicable. || [2.4.8] The page provides no mechanism to indicate the user's current location within a set of pages (e.g., breadcrumb, site map link, or indication of current page in navigation). While this is a single standalone page with no navigation structure, the criterion requires that the user can determine where they are within a set of Web pages. No breadcrumb, navigation landmark with current-page indicator, or site map is present. Add a breadcrumb trail (e.g., Home &gt; Tools &gt; Unit Converter) or a navigation element with aria-current="page" on the current link to satisfy WCAG 2.4.8. If this is a truly standalone single-page site with no parent structure, the criterion may be considered inapplicable.</t>
  </si>
  <si>
    <t xml:space="preserve">The page is a simple unit converter with two numeric inputs and a button. WCAG 1.3.5 (Identify Input Purpose) is inapplicable because the inputs collect general measurement values, not personal user information requiring autocomplete tokens. WCAG 1.4.3 (Contrast Minimum) likely passes under default browser rendering (black on white), but no explicit color declarations are present, making it impossible to guarantee compliance across all environments. WCAG 1.4.12 (Text Spacing) passes by default since no CSS overrides line-height, letter-spacing, word-spacing, or paragraph spacing in a way that would clip or obscure content. WCAG 2.2.2 (Pause, Stop, Hide) is inapplicable as there is no moving, blinking, scrolling, or auto-updating content. WCAG 2.4.8 (Location) fails because the page provides no breadcrumb, highlighted navigation, or other mechanism to indicate the user's location within a set of web pages. The overall verdict is 'failed' due to the missing location indicator required by 2.4.8 (AAA).</t>
  </si>
  <si>
    <t xml:space="preserve">[1.3.5] Input fields collecting unit measurements do not have autocomplete attributes identifying their purpose. While these fields are for unit conversion (not personal data collection), the criterion requires autocomplete attributes on inputs that collect information about the user. These fields do not collect personal user data, so 1.3.5 is technically inapplicable. However, if the intent were to collect personal measurements, autocomplete would be missing. If these inputs collect personal user data (e.g., the user's own height), add appropriate autocomplete attributes such as autocomplete="off" or a relevant token. Since these are general conversion tools, 1.3.5 is inapplicable. || [1.4.3] No CSS is provided in the page. Browser default styles are used, which typically render black text on a white background (approximately 21:1 contrast ratio), passing the 4.5:1 minimum. However, without explicit color declarations, the actual rendered contrast depends on user agent and OS settings and cannot be fully verified from HTML alone. Explicitly declare foreground and background colors in CSS to ensure a contrast ratio of at least 4.5:1 for normal text and 3:1 for large text, per G18/G145. || [2.4.8] The page provides no mechanism to inform the user of their location within a set of web pages (e.g., breadcrumb trail, site map link, or indication within navigation). There is no navigation structure, breadcrumb, or site map present. Add a breadcrumb navigation (e.g., Home &gt; Tools &gt; Unit Converter) or another mechanism (site map, highlighted navigation item) to indicate the user's current location within the site, per G65 or G128.</t>
  </si>
  <si>
    <t xml:space="preserve">The page is a minimal unit-converter form with no personal-data inputs, no moving/auto-updating content, no custom colors, and no text-spacing overrides. WCAG 1.3.5 (Identify Input Purpose) is inapplicable because the inputs collect generic unit values, not personal user information. WCAG 1.4.3 (Contrast Minimum) cannot be confirmed to fail from the HTML alone since no inline colors are specified and browser defaults generally meet contrast requirements, so it is treated as passed. WCAG 1.4.12 (Text Spacing) is passed because no CSS that would break layout under increased text-spacing overrides is present. WCAG 2.2.2 (Pause, Stop, Hide) is inapplicable as there is no moving, blinking, scrolling, or auto-updating content. WCAG 2.4.8 (Location) is potentially failed if this page is part of a larger site, as no breadcrumb, highlighted navigation, or other location indicator is provided; the overall verdict is 'failed' on this basis.</t>
  </si>
  <si>
    <t xml:space="preserve">[1.3.5] Input fields collecting unit values do not have autocomplete attributes identifying their purpose. While these are unit-conversion fields (not personal data fields), WCAG 1.3.5 applies specifically to inputs that collect information about the user. These fields do not collect personal information, so 1.3.5 is technically inapplicable. However, if the page were intended to collect personal measurements, autocomplete tokens would be required. If these inputs collect personal user data (e.g., the user's own height), add appropriate autocomplete attributes such as autocomplete="off" or a relevant token. Since they appear to be general unit-conversion tools rather than personal-data collectors, 1.3.5 is inapplicable here. || [2.4.8] The page provides no mechanism to indicate the user's current location within a set of pages (e.g., breadcrumb, site map link, or highlighted navigation). There is no navigation structure at all, so it is unclear whether this is a standalone page or part of a larger site. If it is part of a multi-page site, no location indicator is present. If this page is part of a larger website, add a breadcrumb trail (e.g., Home &gt; Tools &gt; Unit Converter) or another mechanism (highlighted nav link, site map) to indicate the user's current location within the site, per WCAG technique G65 or G128.</t>
  </si>
  <si>
    <t xml:space="preserve">The page is evaluated against five WCAG 2.1 criteria. For 1.3.5 (Identify Input Purpose), there are no form inputs on the page, making this criterion inapplicable. For 1.4.3 (Contrast Minimum), no inline styles or custom colors are present; the page relies on browser defaults which are presumed to meet contrast requirements, and no evidence of failure exists in the source. For 1.4.12 (Text Spacing), no inline styles restrict line-height, letter-spacing, word-spacing, or paragraph spacing, so the criterion is satisfied. For 2.2.2 (Pause, Stop, Hide), there is no moving, blinking, scrolling, or auto-updating content, making this criterion inapplicable. For 2.4.8 (Location), the page implements a proper breadcrumb navigation using a &lt;nav aria-label='Breadcrumb'&gt; element with an ordered list, ancestor links (Home, Reports, 2026), and the current page identified via aria-current='page' on the final list item — satisfying WCAG technique G65 and H97. All applicable criteria pass, and inapplicable ones have no relevant content to evaluate.</t>
  </si>
  <si>
    <t xml:space="preserve">The page is evaluated against five WCAG 2.1 criteria. For 1.3.5 (Identify Input Purpose), there are no form inputs on the page, so the criterion is inapplicable. For 1.4.3 (Contrast Minimum), no inline styles or stylesheets are present, so browser defaults apply; no contrast violations can be identified from the source alone. For 1.4.12 (Text Spacing), no styles restrict line-height, letter-spacing, word-spacing, or paragraph spacing, so the criterion is satisfied. For 2.2.2 (Pause, Stop, Hide), there is no moving, blinking, scrolling, or auto-updating content, making the criterion inapplicable. For 2.4.8 (Location), the page implements a well-structured breadcrumb navigation using an ordered list inside a &lt;nav&gt; element with aria-label='Breadcrumb', and the current page is correctly identified with aria-current='page' on the last list item — satisfying WCAG technique G65 and H97. Overall, the page passes all applicable criteria.</t>
  </si>
  <si>
    <t xml:space="preserve">The page is evaluated against five WCAG 2.1 criteria. For 1.3.5 (Identify Input Purpose), there are no form inputs on the page, making this criterion inapplicable. For 1.4.3 (Contrast Minimum), no inline styles or CSS are present that would indicate contrast issues; the page relies on browser defaults which typically render black text on a white background, satisfying the 4.5:1 ratio requirement. For 1.4.12 (Text Spacing), no CSS is present that restricts text spacing properties, so the criterion is met by default. For 2.2.2 (Pause, Stop, Hide), there is no moving, blinking, scrolling, or auto-updating content on the page, making this criterion inapplicable. For 2.4.8 (Location), the page implements a proper breadcrumb navigation using an ordered list within a &lt;nav&gt; element with aria-label='Breadcrumb', and the current page is correctly identified with aria-current='page' on the last list item — satisfying WCAG technique G65 and H97. All applicable criteria pass, and inapplicable ones have no violations.</t>
  </si>
  <si>
    <t xml:space="preserve">Evaluating this page against all five criteria: (1) WCAG 1.3.5 Identify Input Purpose — inapplicable, as there are no form input fields on the page. (2) WCAG 1.4.3 Contrast Minimum — no inline styles or CSS are present that would indicate contrast violations; default browser rendering of black text on white background typically meets the 4.5:1 ratio requirement, so no failure can be identified from the source alone. (3) WCAG 1.4.12 Text Spacing — no CSS is applied that would restrict text spacing overrides; the page uses default browser styles, so no failure is evident. (4) WCAG 2.2.2 Pause, Stop, Hide — inapplicable, as there is no moving, blinking, scrolling, or auto-updating content on the page. (5) WCAG 2.4.8 Location — the page provides location information via `aria-current='page'` on the 'Admissions' navigation link, which satisfies WCAG technique G128 (indicating current location within a set of Web pages). The page title also reinforces location. Overall, the page passes all applicable criteria with no identified violations.</t>
  </si>
  <si>
    <t xml:space="preserve">Evaluating this page against all five criteria: (1) WCAG 1.3.5 Identify Input Purpose — inapplicable, as there are no form input fields on the page. (2) WCAG 1.4.3 Contrast Minimum — no inline styles or CSS are present that would indicate contrast issues; default browser rendering is assumed to meet minimum contrast. (3) WCAG 1.4.12 Text Spacing — no CSS is present that would restrict text spacing overrides; the page uses plain HTML with no fixed line-height, letter-spacing, or word-spacing declarations that could fail. (4) WCAG 2.2.2 Pause, Stop, Hide — inapplicable, as there is no moving, blinking, scrolling, or auto-updating content on the page. (5) WCAG 2.4.8 Location — the page provides location context through two complementary mechanisms: a breadcrumb-style navigation with `aria-current='page'` on the 'Admissions' link (`&lt;a href='/admissions' aria-current='page'&gt;Admissions&lt;/a&gt;`), which satisfies technique G128, and a matching `&lt;title&gt;Admissions&lt;/title&gt;` element. Together these clearly indicate the user's current location within the site. No violations were identified across any of the five criteria.</t>
  </si>
  <si>
    <t xml:space="preserve">Evaluating this page against all five criteria: (1) WCAG 1.3.5 Identify Input Purpose — inapplicable, as there are no form input fields on the page. (2) WCAG 1.4.3 Contrast Minimum — no inline styles or color declarations are present; default browser rendering is assumed to meet contrast requirements, and no violations can be identified from the source alone. (3) WCAG 1.4.12 Text Spacing — no CSS that would restrict text spacing overrides is present in the source; the page uses default browser styles, so no violation is detectable. (4) WCAG 2.2.2 Pause, Stop, Hide — there is no moving, blinking, scrolling, or auto-updating content on the page, making this criterion inapplicable. (5) WCAG 2.4.8 Location — the page provides location information via the navigation landmark with aria-label='Primary' and the current page link marked with aria-current='page' on the Admissions link, satisfying the requirement to inform users of their location within a set of pages. Overall, no violations are identified across the evaluated criteria; the page passes or the criteria are inapplicable.</t>
  </si>
  <si>
    <t xml:space="preserve">The page fails WCAG 1.3.1 (Info and Relationships) because the ARIA roles applied to the list and its child are semantically incompatible. The &lt;ol&gt; element is given role='tablist', which requires child elements with role='tab', but the &lt;li&gt; child retains role='listitem'. This invalid ARIA parent-child relationship means assistive technologies receive conflicting or incorrect structural information, violating the requirement that information and relationships conveyed through presentation can be programmatically determined. The other evaluated criteria (2.2.2, 2.4.6, 3.1.4, 3.1.5) are largely inapplicable or not violated given the minimal content of this page.</t>
  </si>
  <si>
    <t xml:space="preserve">[1.3.1] Conflicting ARIA roles on the list and list item create a mismatch between the visual/semantic structure and the programmatic representation. An &lt;ol&gt; element has an implicit role of 'list', but role='tablist' is applied, while the child &lt;li&gt; retains role='listitem'. A tablist must contain tab elements, not listitems. This breaks the required parent-child ARIA relationship and misrepresents the information structure to assistive technologies. Either use the correct semantic HTML without overriding roles (remove role='tablist' to preserve the ordered list semantics), or if a tablist widget is intended, use appropriate markup: &lt;div role='tablist'&gt; containing &lt;div role='tab'&gt; children, ensuring the ARIA role hierarchy is valid and accurately conveys the structure.</t>
  </si>
  <si>
    <t xml:space="preserve">The page fails WCAG 1.3.1 (Info and Relationships) because the ARIA roles applied to the list structure are contradictory and invalid. The &lt;ol&gt; element is assigned role='tablist', which requires child elements with role='tab', but the child &lt;li&gt; is assigned role='listitem', which is incompatible with a tablist context. This conflict means that the structural and relational information conveyed visually (an ordered list with one item) is not accurately communicated to assistive technologies, violating the requirement that information and relationships conveyed through presentation can be programmatically determined. The other evaluated criteria (2.2.2, 2.4.6, 3.1.4, 3.1.5) are largely inapplicable or not violated given the minimal content of this page.</t>
  </si>
  <si>
    <t xml:space="preserve">[1.3.1] Conflicting ARIA roles on the list and list item create a mismatch between the visual/structural presentation and the programmatic semantics. An &lt;ol&gt; element has an implicit 'list' role, but is overridden with role='tablist', while its child &lt;li&gt; retains role='listitem'. A tablist must contain tab-role children, not listitem-role children. This breaks the required parent-child ARIA relationship and misrepresents the structure to assistive technologies. Use consistent and semantically correct roles. If a tablist is intended, use role='tab' on the child elements (e.g., &lt;li role='tab'&gt;). If an ordered list is intended, remove the role='tablist' attribute from the &lt;ol&gt; element and remove role='listitem' from &lt;li&gt; (since it is the implicit role). Do not mix incompatible ARIA roles that conflict with the native HTML semantics.</t>
  </si>
  <si>
    <t xml:space="preserve">The page fails WCAG 1.3.1 (Info and Relationships) because the ARIA role 'tablist' is applied to an &lt;ol&gt; element whose child &lt;li&gt; retains the 'listitem' role. According to ARIA specifications, a 'tablist' must contain elements with the 'tab' role, not 'listitem'. This conflict means assistive technologies receive contradictory signals: the container claims to be a tablist (implying interactive tab navigation), but the child is a listitem (implying static list content). The programmatic structure does not accurately convey the information and relationships that are visually or structurally implied, violating WCAG 1.3.1. The other evaluated criteria (2.2.2, 2.4.6, 3.1.4, 3.1.5) are largely inapplicable or not violated given the minimal content of this page.</t>
  </si>
  <si>
    <t xml:space="preserve">[1.3.1] Conflicting ARIA roles on the list and list item create a mismatch between the visual/semantic structure and the programmatic representation. An &lt;ol&gt; element has an implicit role of 'list', but role='tablist' is applied, while the child &lt;li&gt; retains role='listitem'. A tablist must contain tab elements, not listitems. This breaks the required parent-child ARIA relationship and misrepresents the information structure to assistive technologies. Either use the correct semantic HTML for an ordered list (&lt;ol&gt;&lt;li&gt;Item 1&lt;/li&gt;&lt;/ol&gt;) without overriding roles, or if a tablist widget is intended, use appropriate markup such as &lt;div role='tablist'&gt;&lt;div role='tab'&gt;Item 1&lt;/div&gt;&lt;/div&gt; to ensure the programmatic structure matches the intended information and relationships.</t>
  </si>
  <si>
    <t xml:space="preserve">The page contains a layout table marked with role='presentation', which removes its semantic table role from the accessibility tree. The cells use 'headers' attributes referencing other cells, but since the table is explicitly marked as presentational, these are ignored by assistive technologies and do not create meaningful data relationships. WCAG 1.3.1 requires that information, structure, and relationships conveyed through presentation can be programmatically determined — since this is a presentation table with no data relationships intended, 1.3.1 is effectively satisfied. WCAG 2.2.2 is inapplicable as there is no moving, blinking, scrolling, or auto-updating content. WCAG 2.4.6 is inapplicable as there are no headings or form labels on the page. WCAG 3.1.4 is inapplicable as there are no abbreviations present. WCAG 3.1.5 is inapplicable as there is minimal text content ('Project Status', 'Objective', '15%', '10%') that does not constitute a passage of text requiring reading level assessment. Overall, no violations are found against the evaluated criteria.</t>
  </si>
  <si>
    <t xml:space="preserve">The page contains a layout table marked with role='presentation', which removes its semantic table role from the accessibility tree. The cells use 'headers' attributes referencing other cells, but since the table is explicitly marked as presentational, these are treated as layout cells with no data table semantics. WCAG 1.3.1 (Info and Relationships) is satisfied because the role='presentation' attribute correctly signals that this table is used for layout, not for conveying data relationships — no data relationships are implied that would need to be programmatically determinable. WCAG 2.2.2 (Pause, Stop, Hide) is inapplicable as there is no moving, blinking, scrolling, or auto-updating content. WCAG 2.4.6 (Headings and Labels) is inapplicable as there are no headings or form labels present. WCAG 3.1.4 (Abbreviations) is inapplicable as no abbreviations are used. WCAG 3.1.5 (Reading Level) is inapplicable as the minimal text content ('Project Status', 'Objective', '15%', '10%') does not constitute prose requiring a reading level assessment. No violations were identified.</t>
  </si>
  <si>
    <t xml:space="preserve">The page contains a layout table marked with role='presentation', which removes its semantic table role from the accessibility tree. WCAG 1.3.1 (Info and Relationships) is effectively satisfied because no data table relationships are being conveyed — the presentation role signals that the table is used purely for layout, so the headers/id attributes on the cells are ignored by assistive technologies and do not create misleading structure. WCAG 2.2.2 (Pause, Stop, Hide) is inapplicable as there is no moving, blinking, scrolling, or auto-updating content. WCAG 2.4.6 (Headings and Labels) is inapplicable as there are no headings or form labels present. WCAG 3.1.4 (Abbreviations) is inapplicable as no abbreviations (abbr elements or similar) are used. WCAG 3.1.5 (Reading Level) — the minimal text content ('Project Status', 'Objective', '15%', '10%') is simple and does not require a supplemental lower-reading-level version; no complex prose is present. Overall, no violations are identified against the evaluated criteria.</t>
  </si>
  <si>
    <t xml:space="preserve">The page contains a layout table (role='presentation') with no moving, blinking, scrolling, or auto-updating content, so WCAG 2.2.2 (Pause, Stop, Hide) is inapplicable. The table uses role='presentation' to remove its semantic table role, which is appropriate for a layout table and does not violate WCAG 1.3.1 (Info and Relationships) — though the presence of a &lt;th&gt; element inside a presentation table is semantically inconsistent, it does not constitute a programmatic relationship failure in this minimal context. There are no headings or form labels to evaluate under WCAG 2.4.6 (Headings and Labels). The text content ('Time' and '12:00') contains no abbreviations, so WCAG 3.1.4 (Abbreviations) is inapplicable. The reading level of the page is extremely simple with only two short text strings, satisfying WCAG 3.1.5 (Reading Level) or rendering it inapplicable due to minimal content. Overall, no violations of the evaluated criteria are identified.</t>
  </si>
  <si>
    <t xml:space="preserve">The page contains a layout table (role='presentation') with a single column showing a time value '12:00'. Evaluating against the five criteria: (1) WCAG 1.3.1 Info and Relationships — the table uses role='presentation' to indicate it is a layout table, removing semantic table structure from the accessibility tree. The 'th' element inside a presentation table loses its header semantics, but since the table is purely presentational and contains no complex data relationships that need to be conveyed programmatically, this is acceptable. The content is simple enough that no structural information is lost. (2) WCAG 2.2.2 Pause, Stop, Hide — there is no moving, blinking, scrolling, or auto-updating content on the page, so this criterion is inapplicable and no violation occurs. (3) WCAG 2.4.6 Headings and Labels — there are no headings or form labels on the page; the criterion is effectively inapplicable and no descriptive heading/label issues arise. (4) WCAG 3.1.4 Abbreviations — '12:00' is a time notation, not an abbreviation requiring expansion; no abbreviations are present without explanation. (5) WCAG 3.1.5 Reading Level — the page contains minimal text ('Time', '12:00') that is straightforward and requires no advanced reading level. Overall, no violations are identified against the evaluated criteria.</t>
  </si>
  <si>
    <t xml:space="preserve">The page contains a layout table marked with role='presentation', which removes its semantic table meaning from the accessibility tree. The &lt;th&gt; element inside a presentation table loses its header semantics, but since the table is explicitly marked as presentational, WCAG 1.3.1 (Info and Relationships) is not violated — the role='presentation' attribute is an intentional declaration that the table is used for layout, not data. There is no moving, blinking, or auto-updating content, so WCAG 2.2.2 (Pause, Stop, Hide) is inapplicable. There are no headings or form labels beyond the table context, and the single heading-like element (&lt;th&gt;) is neutralized by role='presentation', so WCAG 2.4.6 (Headings and Labels) has nothing meaningful to evaluate. There are no abbreviations present, making WCAG 3.1.4 (Abbreviations) inapplicable. The page content is minimal ('Time' and '12:00') and presents no reading-level concerns under WCAG 3.1.5. Overall, the page passes the evaluated criteria with no violations identified.</t>
  </si>
  <si>
    <t xml:space="preserve">The page fails WCAG 1.3.1 (Info and Relationships) due to improper use of HTML semantics. A &lt;li&gt; element is placed inside a &lt;div role='list'&gt; rather than inside a native &lt;ul&gt; or &lt;ol&gt;, creating a structural mismatch between native HTML semantics and ARIA roles. Additionally, a &lt;span role='link'&gt; is used as a sibling to the &lt;li&gt; element within the list container without being wrapped in a list item element, further breaking the expected list structure. These issues mean that the relationships and structure of the content are not accurately conveyed to assistive technologies. The other evaluated criteria (2.2.2, 2.4.6, 3.1.4, 3.1.5) are largely inapplicable to this minimal page, as there is no moving content, no headings or labels, no abbreviations, and the reading level concern is minimal given the trivial text content.</t>
  </si>
  <si>
    <t xml:space="preserve">[1.3.1] The list item element &lt;li&gt; is used outside of a proper list container context. The parent element has role='list' but &lt;li&gt; elements must be children of &lt;ul&gt; or &lt;ol&gt; elements in HTML. Using &lt;li&gt; inside a &lt;div&gt; (even with role='list') creates an implicit ARIA role mismatch, as the &lt;li&gt; element carries an implicit 'listitem' role but its parent is a &lt;div&gt; not a native list element, which may not be correctly conveyed to assistive technologies. Use a semantically correct list structure: replace the &lt;div role='list'&gt; with a &lt;ul&gt; or &lt;ol&gt; element, and ensure all list items use &lt;li&gt; elements. For example: &lt;ul&gt;&lt;li&gt;Item 1&lt;/li&gt;&lt;li&gt;&lt;a href='#'&gt;Item 2&lt;/a&gt;&lt;/li&gt;&lt;/ul&gt;. If a &lt;div&gt; must be used as the container, each list item should be a &lt;div&gt; or &lt;span&gt; with role='listitem' rather than a native &lt;li&gt; element. || [1.3.1] The &lt;span&gt; element with role='link' is used without an href attribute or any interactive behavior, and it is placed inside a list container alongside a native &lt;li&gt; element. The inconsistent mixing of native HTML semantics and ARIA roles within the same list structure fails to convey a consistent and accurate information structure to assistive technologies. Replace the &lt;span role='link'&gt; with a proper &lt;a&gt; element with an href attribute to convey link semantics correctly. If it must remain a &lt;span&gt;, ensure it has keyboard interactivity (tabindex='0', keydown handler) and is wrapped in a proper list item element (e.g., &lt;li&gt; or &lt;div role='listitem'&gt;).</t>
  </si>
  <si>
    <t xml:space="preserve">The page fails WCAG 1.3.1 (Info and Relationships) because the list structure is semantically invalid. A &lt;li&gt; element is placed directly inside a &lt;div role='list'&gt; without the required role='listitem' on the &lt;li&gt; (though &lt;li&gt; implicitly has listitem role, its use outside a native &lt;ul&gt;/&lt;ol&gt; is invalid HTML and may not be correctly conveyed by assistive technologies). Furthermore, the second child is a &lt;span role='link'&gt; rather than an element with role='listitem', meaning the list relationship is not properly conveyed for that item. The mixed use of native HTML list item elements and ARIA roles without consistent structure means the information and relationships conveyed visually through the list format are not programmatically determinable. WCAG 2.2.2, 2.4.6, 3.1.4, and 3.1.5 are inapplicable as there is no moving/auto-updating content, no headings or form labels, no abbreviations, and the reading level criterion cannot be meaningfully assessed on this minimal content.</t>
  </si>
  <si>
    <t xml:space="preserve">[1.3.1] A &lt;li&gt; element is used inside a div with role='list' without a proper list container. The &lt;li&gt; element is not a child of a &lt;ul&gt; or &lt;ol&gt; element, which breaks the semantic relationship between list items and their container. Additionally, a &lt;span&gt; with role='link' is used alongside a native &lt;li&gt; element, creating an inconsistent and semantically invalid structure. Use proper semantic HTML for lists. Either use &lt;ul&gt; or &lt;ol&gt; with &lt;li&gt; children, or use a &lt;div role='list'&gt; with children that have role='listitem'. For example: &lt;ul&gt;&lt;li&gt;Item 1&lt;/li&gt;&lt;li&gt;Item 2&lt;/li&gt;&lt;/ul&gt;. If ARIA roles are needed, ensure all children of role='list' have role='listitem', e.g., &lt;div role='list'&gt;&lt;div role='listitem'&gt;Item 1&lt;/div&gt;&lt;div role='listitem'&gt;Item 2&lt;/div&gt;&lt;/div&gt;.</t>
  </si>
  <si>
    <t xml:space="preserve">The page fails WCAG 1.3.1 (Info and Relationships) because the list structure is improperly implemented. A &lt;li&gt; element is placed directly inside a &lt;div role='list'&gt;, which is invalid HTML — &lt;li&gt; elements must be children of &lt;ul&gt;, &lt;ol&gt;, or &lt;menu&gt; elements. While the div has role='list', the &lt;li&gt; child's implicit listitem role may not be correctly associated by assistive technologies in this invalid context. Furthermore, a &lt;span&gt; is given role='link' without being a native anchor element, creating a semantic mismatch. The other criteria (2.2.2, 2.4.6, 3.1.4, 3.1.5) are largely inapplicable or not violated given the minimal content of this page.</t>
  </si>
  <si>
    <t xml:space="preserve">[1.3.1] A &lt;li&gt; element is used inside a div with role='list' without a proper list container. The &lt;li&gt; element is not a valid child of a &lt;div&gt; element in HTML, and its implicit list item role is not properly conveyed because it is not nested within a semantic &lt;ul&gt; or &lt;ol&gt; element. Additionally, a &lt;span&gt; with role='link' is used without an href or proper interactive semantics, creating a mismatch between the ARIA role and the native element. Use proper semantic HTML for lists: replace the &lt;div role='list'&gt; with a &lt;ul&gt; or &lt;ol&gt; element, and ensure all children are &lt;li&gt; elements. For the link, use a native &lt;a href='...'&gt; element instead of a &lt;span role='link'&gt;. This ensures that the structure and relationships conveyed visually are also available programmatically. Technique H48 recommends using ul, ol, and dl for lists.</t>
  </si>
  <si>
    <t xml:space="preserve">The page contains a simple data table with proper semantic markup. Column headers are defined using &lt;th&gt; elements with explicit id attributes ('header1' and 'header2'), and the data cell spanning both columns uses the 'headers' attribute to reference both header ids ('header1 header2'), correctly implementing WCAG technique H43. This satisfies WCAG 1.3.1 (Info and Relationships) by programmatically conveying the table structure. WCAG 2.2.2 (Pause, Stop, Hide) is inapplicable as there is no moving, blinking, or auto-updating content. WCAG 2.4.6 (Headings and Labels) is satisfied as the table headers ('Projects' and 'Exams') are descriptive and meaningful. WCAG 3.1.4 (Abbreviations) is inapplicable as no abbreviations are present. WCAG 3.1.5 (Reading Level) is effectively inapplicable given the minimal text content ('Projects', 'Exams', '15%') which requires no advanced reading level. Overall, the page passes all applicable criteria.</t>
  </si>
  <si>
    <t xml:space="preserve">The page contains a simple data table with proper semantic markup. Header cells use &lt;th&gt; elements with explicit id attributes ('header1', 'header2'), and the data cell spanning two columns uses the 'headers' attribute referencing both header ids ('header1 header2'), satisfying WCAG 1.3.1 (Info and Relationships) via technique H43. There is no moving, blinking, or auto-updating content, so WCAG 2.2.2 (Pause, Stop, Hide) is inapplicable. The page has no headings or form labels beyond the table headers, which are descriptive ('Projects', 'Exams'), satisfying WCAG 2.4.6 (Headings and Labels). There are no abbreviations present, so WCAG 3.1.4 (Abbreviations) is inapplicable. The content is minimal and straightforward, presenting no reading-level concerns under WCAG 3.1.5. Overall, the page passes all applicable criteria.</t>
  </si>
  <si>
    <t xml:space="preserve">The page contains a simple data table with proper semantic markup. Column headers are marked up using &lt;th&gt; elements with explicit id attributes ('header1' and 'header2'), and the data cell that spans both columns uses the 'headers' attribute referencing both header ids ('header1 header2'), correctly implementing WCAG technique H43. This satisfies WCAG 1.3.1 (Info and Relationships) by programmatically conveying the table structure. WCAG 2.2.2 (Pause, Stop, Hide) is inapplicable as there is no moving, blinking, or auto-updating content. WCAG 2.4.6 (Headings and Labels) is satisfied as the table headers are descriptive ('Projects', 'Exams'). WCAG 3.1.4 (Abbreviations) is inapplicable as no abbreviations are present. WCAG 3.1.5 (Reading Level) is inapplicable as the page contains minimal text content that does not constitute a passage requiring reading level assessment. No violations were identified.</t>
  </si>
  <si>
    <t xml:space="preserve">The page contains a simple list structure implemented via ARIA roles. The host element uses role='list' (WCAG technique ARIA4), and the shadow DOM children use role='listitem', correctly conveying the list structure and relationships programmatically (WCAG 1.3.1). There is no moving or auto-updating content, so WCAG 2.2.2 is inapplicable. There are no headings or form labels present, but the list role and its items are descriptively labeled by their text content, satisfying WCAG 2.4.6 to the extent it applies. There are no abbreviations (WCAG 3.1.4 inapplicable) and the text content is extremely simple and readable at any level (WCAG 3.1.5 effectively satisfied). No violations were identified against any of the evaluated criteria.</t>
  </si>
  <si>
    <t xml:space="preserve">The page contains a simple list structure implemented using ARIA roles. The host element uses role='list' and the shadow DOM children use role='listitem', correctly conveying the list relationship programmatically (WCAG 1.3.1). There is no moving, blinking, or auto-updating content, so WCAG 2.2.2 is inapplicable. There are no headings or labels present, so WCAG 2.4.6 is inapplicable. There are no abbreviations used, so WCAG 3.1.4 is inapplicable. The text content ('List item 1', 'List item 2') is extremely simple and requires no reading level consideration beyond primary school level, so WCAG 3.1.5 is effectively satisfied. No violations were identified across any of the evaluated criteria.</t>
  </si>
  <si>
    <t xml:space="preserve">The page contains a simple list structure implemented via ARIA roles. The host element uses role='list' (WCAG 1.3.1 — Info and Relationships), and its shadow DOM children use role='listitem', correctly conveying the list relationship programmatically (technique ARIA12). There is no moving, blinking, or auto-updating content, so WCAG 2.2.2 is inapplicable. There are no headings or form labels present, so WCAG 2.4.6 is effectively inapplicable. There are no abbreviations, so WCAG 3.1.4 is inapplicable. The text content ('List item 1', 'List item 2') is extremely simple and poses no reading-level concern, satisfying WCAG 3.1.5. No violations were identified against any of the evaluated criteria.</t>
  </si>
  <si>
    <t xml:space="preserve">The page fails primarily on WCAG 2.2.2 (Pause, Stop, Hide) because it initiates auto-updating content via the onload event handler (startUpdates()) that modifies the &lt;span id="target"&gt; element, yet provides no visible mechanism for users to pause, stop, or hide these updates. It also raises a concern under WCAG 1.3.1 (Info and Relationships) because the dynamically updated &lt;span&gt; lacks semantic structure or ARIA live region markup to communicate its role and relationship to assistive technology users. The other evaluated criteria (2.4.6, 3.1.4, 3.1.5) are largely inapplicable given the minimal content on the page, but the auto-update and structural issues make the overall verdict a failure.</t>
  </si>
  <si>
    <t xml:space="preserve">[2.2.2] Auto-updating content is started via onload without any mechanism to pause, stop, or hide it. Provide a mechanism (e.g., a button) that allows users to pause, stop, or hide the auto-updating content in the &lt;span id="target"&gt; element. Alternatively, ensure the updates are not essential and provide user control per WCAG technique G186. || [1.3.1] The dynamically updated content in the &lt;span&gt; element has no semantic role or label to convey its purpose or relationship to other content. If it represents a status or live region, it should use appropriate ARIA roles (e.g., aria-live) or semantic markup. Add an appropriate ARIA live region role (e.g., aria-live="polite" or role="status") and a label or surrounding context to convey the meaning of the updating value to assistive technology users.</t>
  </si>
  <si>
    <t xml:space="preserve">The page fails primarily on WCAG 2.2.2 (Pause, Stop, Hide) because it initiates auto-updating content via the onload event handler (startUpdates()) that continuously updates a &lt;span&gt; element, with no visible mechanism provided to pause, stop, or hide these updates. Additionally, the auto-updating &lt;span&gt; element lacks semantic markup (e.g., ARIA live region roles) to convey its informational relationships to assistive technologies, raising a concern under WCAG 1.3.1. WCAG 2.4.6, 3.1.4, and 3.1.5 are largely inapplicable given the minimal content, but the auto-update and semantic issues are clear violations.</t>
  </si>
  <si>
    <t xml:space="preserve">[2.2.2] Auto-updating content is started via onload without any mechanism to pause, stop, or hide it. Provide a mechanism (e.g., a button) that allows users to pause, stop, or hide the auto-updating content in the &lt;span id="target"&gt; element. Alternatively, ensure the updates are not essential and provide user control per WCAG technique G186. || [1.3.1] The dynamically updated content in the &lt;span&gt; element has no semantic role or label to convey its purpose or relationship to other content. If it represents a status or live region, it should use appropriate ARIA roles (e.g., aria-live, role='status'). Add an appropriate ARIA live region attribute (e.g., aria-live="polite" or role="status") and a descriptive label (e.g., aria-label) to convey the meaning and relationship of the auto-updating content to assistive technologies.</t>
  </si>
  <si>
    <t xml:space="preserve">The page fails primarily on WCAG 2.2.2 because it initiates auto-updating content (via onload calling startUpdates(), which modifies the #target span) without providing any visible mechanism for the user to pause, stop, or hide those updates. It also has a 1.3.1 concern because the dynamically updated &lt;span id="target"&gt; carries no semantic structure, ARIA live region role, or label to convey its informational relationship to assistive technologies. WCAG 2.4.6, 3.1.4, and 3.1.5 are largely inapplicable given the minimal content, though the absence of headings and labels is noted as a minor structural gap.</t>
  </si>
  <si>
    <t xml:space="preserve">[2.2.2] Auto-updating content is started via onload without providing a mechanism to pause, stop, or hide it. Provide a mechanism (e.g., a button) that allows users to pause, stop, or hide the auto-updating content in the #target span. Alternatively, ensure the updates are not essential and offer user control per WCAG technique G186. || [1.3.1] The span element used to display dynamically updated content conveys no semantic role or relationship; it is a generic inline element with no ARIA role or landmark to indicate its purpose or live region status. Add an appropriate ARIA live region attribute (e.g., aria-live="polite" or aria-live="assertive") and/or a descriptive label so that the purpose and relationship of the updating content is programmatically determinable.</t>
  </si>
  <si>
    <t xml:space="preserve">The page is evaluated against WCAG 1.3.1, 2.2.2, 2.4.6, 3.1.4, and 3.1.5. For WCAG 2.2.2 (Pause, Stop, Hide), the page contains auto-updating content (a random number in a &lt;span id='target'&gt;) that updates via a script, and a button labeled 'Pause changes' with onclick='toggleUpdates()' provides a mechanism to pause those updates — satisfying the criterion. For WCAG 1.3.1 (Info and Relationships), the page uses semantic HTML correctly: a paragraph for text, a button input for the control, and a span for the dynamic value; no structural relationships are misrepresented. For WCAG 2.4.6 (Headings and Labels), the page has no headings or form labels to evaluate beyond the button's value attribute ('Pause changes'), which is descriptive. For WCAG 3.1.4 (Abbreviations), the abbreviation 'WAI' is used and is immediately expanded inline as 'Web Accessibility Initiative (WAI)', and 'W3C' is used without expansion — however, this is a Level AAA criterion and while W3C is not expanded, WAI is. The page largely meets the spirit of the criterion. For WCAG 3.1.5 (Reading Level), the text is straightforward and written at a level accessible to a general audience. No failures are identified across the evaluated criteria.</t>
  </si>
  <si>
    <t xml:space="preserve">The page is evaluated against WCAG 1.3.1, 2.2.2, 2.4.6, 3.1.4, and 3.1.5. For WCAG 2.2.2 (Pause, Stop, Hide), the page contains auto-updating content (a random number in a &lt;span id='target'&gt;) that updates via a script loaded on page load ('onload="startUpdates()"'). A control button with value 'Pause changes' is provided ('onclick="toggleUpdates()"'), which satisfies the requirement to allow users to pause, stop, or hide moving or auto-updating content. For WCAG 1.3.1 (Info and Relationships), the page uses semantic paragraph elements and a button input appropriately; no tables, lists, or complex structures are misused. For WCAG 2.4.6 (Headings and Labels), the page has no headings or form labels, but the content is simple enough that headings are not required, and the button has a descriptive value attribute ('Pause changes'). For WCAG 3.1.4 (Abbreviations), the abbreviation 'WAI' is used and is immediately expanded inline as 'Web Accessibility Initiative (WAI)', and 'W3C' is used without expansion — however, this is a Level AAA criterion and W3C is a widely recognized abbreviation; nonetheless, it lacks a formal expansion mechanism such as &lt;abbr&gt; with a title attribute. For WCAG 3.1.5 (Reading Level), the text is straightforward and written at a level accessible to a general audience. Overall, the page passes the applicable criteria, with the auto-updating content properly controlled by a pause mechanism satisfying WCAG 2.2.2.</t>
  </si>
  <si>
    <t xml:space="preserve">The page is evaluated against WCAG 1.3.1, 2.2.2, 2.4.6, 3.1.4, and 3.1.5. For WCAG 1.3.1 (Info and Relationships): the page uses semantic HTML correctly — paragraphs are marked with &lt;p&gt; elements, and the button uses a native &lt;input type='button'&gt; with a descriptive value attribute; no tables, lists, or form groups are misused. For WCAG 2.2.2 (Pause, Stop, Hide): the page contains auto-updating content (a random number in &lt;span id='target'&gt; updated via script) and provides a 'Pause changes' button (&lt;input type='button' id='control' onclick='toggleUpdates()' value='Pause changes' /&gt;) that allows the user to pause the updates, satisfying the requirement. For WCAG 2.4.6 (Headings and Labels): the page has no headings or form labels, but the single interactive control has a descriptive value ('Pause changes') serving as its label; no headings are needed for a single-topic page of this simplicity, so no violations exist. For WCAG 3.1.4 (Abbreviations): the abbreviation 'WAI' is used and is immediately expanded inline as 'W3C Web Accessibility Initiative (WAI)', and 'W3C' is a well-known abbreviation; the expansion is provided in context, satisfying the criterion. For WCAG 3.1.5 (Reading Level): the text is straightforward and written at a level accessible to a general audience without requiring supplemental content, so no violation is identified. No failures were found across any of the evaluated criteria.</t>
  </si>
  <si>
    <t xml:space="preserve">The page is evaluated against WCAG 1.3.1, 2.2.2, 2.4.6, 3.1.4, and 3.1.5. For WCAG 1.3.1 (Info and Relationships): the page uses standard semantic HTML with paragraphs and a button input; no tables, lists, or form labels are misused, and the structure is conveyed programmatically. For WCAG 2.2.2 (Pause, Stop, Hide): the page contains auto-updating content (a random number in &lt;span id='target'&gt; updated via startUpdates()) and provides a 'Hide changing content' button (&lt;input type='button' onclick='hide()' value='Hide changing content' /&gt;) that allows the user to stop or hide the moving content, satisfying the requirement. For WCAG 2.4.6 (Headings and Labels): the page has no headings or form labels, so this criterion is effectively inapplicable; no misleading or non-descriptive headings/labels are present. For WCAG 3.1.4 (Abbreviations): the abbreviation 'WAI' is used and its expansion 'Web Accessibility Initiative' is provided inline in the same sentence, and 'W3C' is also expanded as 'W3C Web Accessibility Initiative' in context, satisfying the requirement. For WCAG 3.1.5 (Reading Level): the single paragraph of text is written at a clear, accessible reading level appropriate for a general audience. No violations were identified across any of the evaluated criteria.</t>
  </si>
  <si>
    <t xml:space="preserve">The page is evaluated against WCAG 1.3.1, 2.2.2, 2.4.6, 3.1.4, and 3.1.5. For WCAG 2.2.2 (Pause, Stop, Hide), the page contains auto-updating content (a random number updating in a &lt;span id='target'&gt;) that starts on page load via onload='startUpdates()'. A button is provided (&lt;input type='button' onclick='hide()' value='Hide changing content' /&gt;) that allows the user to hide the changing content, satisfying the requirement to pause, stop, or hide moving/auto-updating information. For WCAG 1.3.1, the page uses semantic paragraph elements and a button input appropriately; no tables, lists, or form labels are misused. For WCAG 2.4.6, there are no headings or form labels present, so the criterion is effectively inapplicable. For WCAG 3.1.4 (Abbreviations), the abbreviation 'WAI' and 'W3C' appear in the text without an expansion mechanism such as &lt;abbr&gt; tags; however, 'W3C Web Accessibility Initiative (WAI)' expands the abbreviation inline in the text itself, which partially addresses the concern, though 'W3C' is not expanded. This is a AAA criterion and the inline expansion of WAI is present. For WCAG 3.1.5 (Reading Level), the text is relatively straightforward and accessible. Overall, the most relevant criterion — WCAG 2.2.2 — is satisfied by the presence of the hide button for the auto-updating content. Minor concerns exist around unexpanded abbreviations (W3C) under the AAA criterion 3.1.4, but the page largely passes the evaluated criteria.</t>
  </si>
  <si>
    <t xml:space="preserve">The page is evaluated against WCAG 1.3.1, 2.2.2, 2.4.6, 3.1.4, and 3.1.5. For WCAG 2.2.2 (Pause, Stop, Hide), the page contains auto-updating content (a random number updating in a &lt;span id='target'&gt;) that starts on page load via onload='startUpdates()'. A button is provided ('Hide changing content') that triggers a hide() function, giving users a mechanism to stop or hide the moving/auto-updating content, satisfying the criterion. For WCAG 1.3.1, the page uses semantic paragraph elements and a button input appropriately; no tables, lists, or form labels are present that would require additional markup. There are no headings on the page, so WCAG 2.4.6 is effectively inapplicable (no headings or labels to evaluate). For WCAG 3.1.4 (Abbreviations), the abbreviation 'WAI' and 'W3C' appear in the text but are expanded inline ('W3C Web Accessibility Initiative (WAI)'), providing the full form on first use, which satisfies the spirit of the criterion. For WCAG 3.1.5 (Reading Level), the text is straightforward and written at a level accessible to a general audience. No violations are identified across the evaluated criteria.</t>
  </si>
  <si>
    <t xml:space="preserve">The page is evaluated against WCAG 1.3.1 (Info and Relationships), 2.2.2 (Pause, Stop, Hide), 2.4.6 (Headings and Labels), 3.1.4 (Abbreviations), and 3.1.5 (Reading Level). For 1.3.1: The page contains only an image with a proper alt attribute and a hidden paragraph (display:none), with no complex structures like tables, lists, or forms that would require semantic markup — no violations are present. For 2.2.2: There is no moving, blinking, scrolling, or auto-updating content on the page, making this criterion inapplicable. For 2.4.6: The page has no headings or form labels, so there are no descriptive heading or label requirements to evaluate — inapplicable. For 3.1.4: The hidden paragraph contains the abbreviation 'WAI' (Web Accessibility Initiative) which is expanded inline on first use ('W3C Web Accessibility Initiative (WAI)'), satisfying the criterion; however, since the paragraph is hidden via display:none it is not exposed to users at all, making this effectively inapplicable. For 3.1.5: The visible content is minimal (just an image alt text 'W3C logo') and does not constitute a body of text requiring reading level assessment — inapplicable. Overall, none of the targeted criteria are violated or meaningfully applicable given the minimal and largely hidden content of this page.</t>
  </si>
  <si>
    <t xml:space="preserve">The page contains a single image with an alt attribute and a hidden paragraph (display: none). Evaluating against the five criteria: (1) WCAG 1.3.1 – The image uses a proper alt attribute conveying its role as a logo, and no structural relationships (tables, lists, forms, headings) are present that could be misrepresented; no violation. (2) WCAG 2.2.2 – There is no moving, blinking, scrolling, or auto-updating content on the page; criterion is inapplicable. (3) WCAG 2.4.6 – There are no headings or form labels present; criterion is inapplicable. (4) WCAG 3.1.4 – The hidden paragraph contains the abbreviation 'WAI' which is expanded inline as 'Web Accessibility Initiative', satisfying the criterion; additionally the content is hidden from all users (display:none), making it inapplicable in practice. (5) WCAG 3.1.5 – The only visible text content is the image alt text ('W3C logo'), which is trivially simple; no complex reading-level issues apply. Overall, none of the five criteria are violated: moving content, complex headings/labels, and unexplained abbreviations are absent or properly handled, and the page is too minimal to trigger failures under any of the evaluated criteria.</t>
  </si>
  <si>
    <t xml:space="preserve">The page contains a single image with an alt attribute and a hidden paragraph (display: none). Evaluating against the five criteria: (1) WCAG 1.3.1 Info and Relationships — the image uses alt text correctly and there are no structural relationships (tables, lists, forms, headings) that need semantic markup; the single visible element is adequately marked up. (2) WCAG 2.2.2 Pause, Stop, Hide — there is no moving, blinking, scrolling, or auto-updating content on the page, making this criterion inapplicable. (3) WCAG 2.4.6 Headings and Labels — there are no headings or form labels present on the page, so this criterion is inapplicable. (4) WCAG 3.1.4 Abbreviations — the hidden paragraph contains the abbreviation 'WAI' but it is not exposed to users (display: none removes it from the accessibility tree entirely); no visible abbreviations appear without expansion or a mechanism to identify them, making this criterion effectively inapplicable to the rendered content. (5) WCAG 3.1.5 Reading Level — the only visible content is an image with a two-word alt text ('W3C logo'), which does not constitute prose requiring a reading-level assessment; the hidden paragraph is not rendered. Overall, none of the five criteria are violated by the visible, rendered content of this page, and most are inapplicable due to the absence of relevant content types.</t>
  </si>
  <si>
    <t xml:space="preserve">The page fails primarily on WCAG 2.2.2 (Pause, Stop, Hide) because it uses onload to trigger auto-updating content (a random number displayed in a &lt;span&gt;) with no user control to pause, stop, or hide those updates. It also fails WCAG 3.1.4 (Abbreviations, Level AAA) because 'W3C' and 'WAI' appear as plain text without &lt;abbr&gt; elements or other expansion mechanisms. WCAG 1.3.1 is largely satisfied as the page's simple structure uses standard paragraph elements with no complex relationships to convey. WCAG 2.4.6 is not meaningfully applicable since the page has no headings or form labels. WCAG 3.1.5 (Reading Level) is borderline but the text is reasonably clear for a general audience.</t>
  </si>
  <si>
    <t xml:space="preserve">[2.2.2] Auto-updating content (random number) is started via onload and there is no mechanism provided to pause, stop, or hide the updates. Provide a button or control that allows users to pause, stop, or hide the auto-updating random number. For example, add a 'Pause updates' button that calls a function to stop the interval/timeout driving the updates (WCAG technique G186). || [3.1.4] The abbreviation 'WAI' and the initialism 'W3C' are used in the paragraph without an expansion mechanism such as an &lt;abbr&gt; element with a title attribute. Wrap abbreviations and initialisms in &lt;abbr&gt; elements with a title attribute providing the full expansion, e.g., &lt;abbr title="World Wide Web Consortium"&gt;W3C&lt;/abbr&gt; and &lt;abbr title="Web Accessibility Initiative"&gt;WAI&lt;/abbr&gt; (WCAG technique H28).</t>
  </si>
  <si>
    <t xml:space="preserve">The page fails WCAG 2.2.2 (Pause, Stop, Hide) because it initiates auto-updating content (a randomly changing number in the #target span) via the body's onload handler, and no mechanism is provided for the user to pause, stop, or hide these updates. The remaining evaluated criteria are either inapplicable or passed: WCAG 1.3.1 has no structural markup issues evident in the HTML; WCAG 2.4.6 has no headings or form labels present so it is largely inapplicable; WCAG 3.1.4 contains one abbreviation ('WAI') that is expanded inline ('W3C Web Accessibility Initiative (WAI)'), satisfying the abbreviation criterion; and WCAG 3.1.5 content appears to be written at a generally accessible reading level.</t>
  </si>
  <si>
    <t xml:space="preserve">[2.2.2] Auto-updating content (random number) is started via onload and there is no mechanism provided to pause, stop, or hide the updates. Provide a button or control that allows users to pause, stop, or hide the auto-updating content. For example, add a 'Pause Updates' button that calls a function to stop the interval/timeout driving the updates (WCAG technique G186).</t>
  </si>
  <si>
    <t xml:space="preserve">The page fails on two criteria. First, under WCAG 2.2.2 (Pause, Stop, Hide), the page uses onload to trigger auto-updating content (a random number displayed in a &lt;span&gt;) with no user control to pause, stop, or hide the updates, which is a serious violation. Second, under WCAG 3.1.4 (Abbreviations), the abbreviations 'W3C' and 'WAI' appear in the text without being marked up with &lt;abbr&gt; elements or otherwise having their expansions programmatically available, though 'WAI' is partially expanded inline as 'Web Accessibility Initiative'. WCAG 1.3.1 and 2.4.6 are largely satisfied as the page has simple paragraph structure with no complex relationships or labels to convey, and 3.1.5 (Reading Level) is not clearly violated given the straightforward prose, though the technical nature of the content may be a concern.</t>
  </si>
  <si>
    <t xml:space="preserve">[2.2.2] Auto-updating content (random number) is started via onload but no mechanism is provided to pause, stop, or hide the updates. Provide a button or control that allows users to pause, stop, or hide the auto-updating random number. For example, add a 'Pause Updates' button that calls a function to stop the interval/timeout driving the updates (WCAG technique G186). || [3.1.4] The abbreviation 'WAI' is used without providing the expanded form inline or via an &lt;abbr&gt; element with a title attribute. Wrap 'WAI' in an &lt;abbr&gt; element with a title attribute: &lt;abbr title="Web Accessibility Initiative"&gt;WAI&lt;/abbr&gt;. Similarly, wrap 'W3C' in &lt;abbr title="World Wide Web Consortium"&gt;W3C&lt;/abbr&gt; (WCAG technique H28).</t>
  </si>
  <si>
    <t xml:space="preserve">The page fails WCAG 2.2.2 (Pause, Stop, Hide) due to the use of the &lt;blink&gt; element, which causes text to blink indefinitely with no mechanism provided for the user to pause, stop, or hide the blinking. The &lt;blink&gt; element is a deprecated HTML element that produces continuous blinking with no built-in control for users. This is particularly problematic for users with photosensitive epilepsy, attention disorders, or cognitive disabilities. The other evaluated criteria (1.3.1, 2.4.6, 3.1.4, 3.1.5) are either passed or largely inapplicable given the minimal content of the page: the single &lt;h1&gt; heading is semantically correct, there are no labels, forms, abbreviations, or complex reading-level content to evaluate.</t>
  </si>
  <si>
    <t xml:space="preserve">[2.2.2] The &lt;blink&gt; element causes text to blink continuously with no mechanism to pause, stop, or hide the blinking content. Remove the &lt;blink&gt; element entirely. If animated or attention-drawing text is needed, use CSS animations with a duration of less than 5 seconds, or provide a mechanism (button or control) that allows users to pause, stop, or hide the blinking effect. Per WCAG 2.2.2, any blinking that lasts more than 5 seconds must have a user-controllable mechanism to stop it.</t>
  </si>
  <si>
    <t xml:space="preserve">The page fails WCAG 2.2.2 (Pause, Stop, Hide) because it uses the deprecated &lt;blink&gt; element, which causes text to blink indefinitely with no user-accessible mechanism to pause, stop, or hide the blinking. WCAG 2.2.2 requires that any moving, blinking, or scrolling content that starts automatically, lasts more than five seconds, and is presented in parallel with other content must have a mechanism for the user to pause, stop, or hide it. The &lt;blink&gt; element provides no such mechanism. The other evaluated criteria (1.3.1, 2.4.6, 3.1.4, 3.1.5) are either passed or largely inapplicable given the minimal content of the page, but the blinking violation alone is sufficient to fail the overall evaluation.</t>
  </si>
  <si>
    <t xml:space="preserve">[2.2.2] The &lt;blink&gt; element causes text to blink continuously with no mechanism for the user to pause, stop, or hide the blinking content. Remove the &lt;blink&gt; element entirely and use static text or CSS animations that either do not blink or provide a user-controlled mechanism (e.g., a button) to pause, stop, or hide the animation. Per WCAG 2.2.2, any blinking that lasts more than 5 seconds must have a mechanism to stop it.</t>
  </si>
  <si>
    <t xml:space="preserve">The page fails WCAG 2.2.2 (Pause, Stop, Hide) because it uses the &lt;blink&gt; element, which causes text to blink indefinitely with no mechanism provided for the user to pause, stop, or hide the blinking. The &lt;blink&gt; element is deprecated in HTML and inherently violates this criterion since it produces continuous blinking well beyond the 5-second threshold without any user control. The other evaluated criteria (1.3.1, 2.4.6, 3.1.4, 3.1.5) are either passed or largely inapplicable given the minimal page content: the page has a properly marked-up heading (h1), uses the lang attribute, and contains no abbreviations, complex content, or form elements that would trigger failures under those criteria.</t>
  </si>
  <si>
    <t xml:space="preserve">The page fails primarily on WCAG 1.3.1 (Info and Relationships) and 2.4.6 (Headings and Labels) due to critically malformed HTML structure — the &lt;label&gt; and &lt;input&gt; are placed directly inside &lt;html&gt; without &lt;head&gt; or &lt;body&gt; elements, which undermines proper semantic structure and assistive technology parsing. The label association is implicit but lacks an explicit 'for' attribute for robustness. There are no headings or page title, violating 2.4.6. WCAG 2.2.2 is inapplicable as there is no animated or auto-updating content. WCAG 3.1.4 (Abbreviations) is inapplicable as no abbreviations are present. WCAG 3.1.5 (Reading Level) is largely inapplicable given the minimal text content ('Date of birth:'), which is simple and clear.</t>
  </si>
  <si>
    <t xml:space="preserve">[1.3.1] The page is missing structural elements required for proper information and relationships. There is no &lt;head&gt;, &lt;body&gt;, or any landmark elements. The &lt;label&gt; element is placed directly inside &lt;html&gt;, which is invalid HTML and may cause assistive technologies to misinterpret the document structure. Wrap content in proper &lt;head&gt; and &lt;body&gt; elements. Ensure the document has valid structural markup so that relationships between elements (like labels and inputs) are correctly conveyed to assistive technologies. Example: &lt;html lang="en"&gt;&lt;head&gt;&lt;title&gt;Form&lt;/title&gt;&lt;/head&gt;&lt;body&gt;&lt;label for="dob"&gt;Date of birth:&lt;input id="dob" type="date" name="dob"/&gt;&lt;/label&gt;&lt;/body&gt;&lt;/html&gt; || [1.3.1] The &lt;label&gt; element wraps the input (implicit association), which is acceptable, but the label lacks a 'for' attribute explicitly associating it with the input's id. While implicit labeling can work, explicit association via 'for'/'id' pairing is more robust for assistive technologies. Add a 'for' attribute to the &lt;label&gt; matching the input's id: &lt;label for="dob"&gt;Date of birth:&lt;input id="dob" type="date" name="dob"/&gt;&lt;/label&gt; || [2.4.6] The page has no headings or descriptive page title to help users understand the purpose or context of the form field. There is no &lt;title&gt; element and no heading elements. Add a meaningful &lt;title&gt; in the &lt;head&gt; and consider adding a heading (e.g., &lt;h1&gt;) to describe the purpose of the form or page. || [2.2.2] No moving, blinking, scrolling, or auto-updating content is present on this page. No action needed for this criterion.</t>
  </si>
  <si>
    <t xml:space="preserve">The page fails primarily on WCAG 1.3.1 (Info and Relationships) because the HTML document is structurally invalid — the &lt;label&gt; element is placed directly inside &lt;html&gt; without &lt;head&gt; or &lt;body&gt; elements, which undermines the ability of assistive technologies to correctly interpret the document structure. It also fails WCAG 2.4.6 (Headings and Labels) because there are no headings on the page to describe its content or purpose. WCAG 2.2.2 (Pause, Stop, Hide) is inapplicable as there is no moving or auto-updating content. WCAG 3.1.4 (Abbreviations) is inapplicable as no abbreviations are present. WCAG 3.1.5 (Reading Level) is largely inapplicable given the minimal text content, though the label text 'Date of birth' is simple and clear.</t>
  </si>
  <si>
    <t xml:space="preserve">[1.3.1] The page lacks proper structural elements. There is no &lt;head&gt;, &lt;body&gt;, or any heading/landmark structure. The &lt;label&gt; element is placed directly inside &lt;html&gt;, which is invalid HTML and may cause assistive technologies to misinterpret the document structure. Wrap content in proper &lt;head&gt; and &lt;body&gt; elements. Ensure the page has appropriate landmark regions (e.g., &lt;main&gt;, &lt;form&gt;) and that the label-input association is semantically valid within a proper document structure. Consider using &lt;label for="dob"&gt; with a matching id, or wrapping the input inside the label as currently done, but within a valid document structure. || [2.4.6] The page contains no headings to describe the page content or section. A form field exists without any heading or descriptive label for the overall page or form context. Add at least one descriptive heading (e.g., &lt;h1&gt;) to describe the purpose of the page or form, and ensure the form has a meaningful label or legend (e.g., using &lt;fieldset&gt; and &lt;legend&gt;). || [2.2.2] No moving, blinking, scrolling, or auto-updating content is present on the page. N/A — this criterion is inapplicable to this page.</t>
  </si>
  <si>
    <t xml:space="preserve">The page fails primarily on WCAG 1.3.1 (Info and Relationships) because the HTML document is malformed — the &lt;label&gt; and &lt;input&gt; elements are placed directly inside &lt;html&gt; without &lt;head&gt; or &lt;body&gt; elements, breaking the semantic document structure that assistive technologies rely on. Additionally, the label uses an implicit association (wrapping) rather than an explicit for/id pairing, and there is no &lt;form&gt; element to semantically group the control. The page also fails WCAG 2.4.6 due to the complete absence of headings and a page title, leaving users without orientation context. WCAG 2.2.2, 3.1.4, and 3.1.5 are effectively inapplicable given the minimal content, but are noted as passing by default.</t>
  </si>
  <si>
    <t xml:space="preserve">[1.3.1] The HTML document is missing required structural elements. The &lt;label&gt; element is placed directly inside &lt;html&gt;, outside of &lt;head&gt; and &lt;body&gt;, which means the document lacks proper semantic structure. Form controls should be contained within a &lt;body&gt; element, and the page has no landmark regions or proper document structure to convey relationships programmatically. Wrap content in proper &lt;head&gt; and &lt;body&gt; elements. Place the &lt;label&gt; and &lt;input&gt; inside a &lt;body&gt;, ideally within a &lt;form&gt; element with appropriate fieldset/legend if part of a group. Ensure the label-input association is explicit using 'for' and 'id' attributes: &lt;label for="dob"&gt;Date of birth:&lt;/label&gt;&lt;input id="dob" type="date" name="dob"/&gt;. || [2.4.6] While the label text 'Date of birth:' is present and descriptive, the page has no headings whatsoever to provide orientation or context for the form field. A standalone input with no page title, heading, or surrounding context makes it difficult for users to understand the purpose or context of the form. Add a meaningful page &lt;title&gt; in a &lt;head&gt; element and at least one heading (e.g., &lt;h1&gt;) to describe the purpose of the page or form, such as &lt;h1&gt;Registration Form&lt;/h1&gt;. || [2.2.2] No moving, blinking, scrolling, or auto-updating content is present on this page. No action needed for this criterion. || [3.1.4] No abbreviations are present in the visible content of this page. No action needed for this criterion. || [3.1.5] The page contains only a single short label ('Date of birth:') with no body text or prose content requiring reading level assessment. No action needed for this criterion given the minimal text content.</t>
  </si>
  <si>
    <t xml:space="preserve">The page is evaluated against WCAG 1.3.1, 2.2.2, 2.4.6, 3.1.4, and 3.1.5. For 1.3.1 (Info and Relationships): the page uses a semantically appropriate &lt;h1&gt; heading and a &lt;dl&gt; (description list) with proper &lt;dt&gt;/&lt;dd&gt; pairs to convey the term-definition relationship programmatically — this passes. For 2.2.2 (Pause, Stop, Hide): there is no moving, blinking, scrolling, or auto-updating content on the page — this criterion is inapplicable. For 2.4.6 (Headings and Labels): the single &lt;h1&gt; heading 'A' is present and describes the section (an alphabetical grouping of terms starting with 'A'), which is sufficiently descriptive in context; no form labels are present — this passes. For 3.1.4 (Abbreviations): no abbreviations are used in the page content — this criterion is inapplicable. For 3.1.5 (Reading Level): the content consists of simple dictionary-style definitions using plain, common language well within a lower-secondary education reading level — this passes. No violations were identified across any of the evaluated criteria.</t>
  </si>
  <si>
    <t xml:space="preserve">The page is evaluated against WCAG 1.3.1, 2.2.2, 2.4.6, 3.1.4, and 3.1.5. For 1.3.1 (Info and Relationships): the page uses a semantically appropriate &lt;dl&gt; (description list) with &lt;dt&gt; and &lt;dd&gt; elements to convey term-definition relationships, and an &lt;h1&gt; heading to label the section — structure is correctly conveyed through markup. For 2.2.2 (Pause, Stop, Hide): there is no moving, blinking, scrolling, or auto-updating content on the page, making this criterion inapplicable. For 2.4.6 (Headings and Labels): the single &lt;h1&gt; heading 'A' is present and describes the section (an alphabetical glossary group), which is descriptive enough in context; no form labels are present. For 3.1.4 (Abbreviations): no abbreviations are used in the page content, making this criterion inapplicable. For 3.1.5 (Reading Level): the content consists of simple dictionary-style definitions written in plain, accessible English that does not require reading ability more advanced than lower secondary education level, so this criterion is satisfied. Overall, the page passes all applicable criteria with no violations identified.</t>
  </si>
  <si>
    <t xml:space="preserve">The page is evaluated against WCAG 1.3.1, 2.2.2, 2.4.6, 3.1.4, and 3.1.5. For 1.3.1 (Info and Relationships): the page uses a semantically appropriate &lt;dl&gt; (definition list) with &lt;dt&gt; and &lt;dd&gt; elements to convey the relationship between terms and their definitions, and an &lt;h1&gt; heading to label the section — structure is correctly conveyed through markup. For 2.2.2 (Pause, Stop, Hide): there is no moving, blinking, scrolling, or auto-updating content on the page, making this criterion inapplicable but not a failure. For 2.4.6 (Headings and Labels): the single &lt;h1&gt;A&lt;/h1&gt; heading is present and describes the section (an alphabetical grouping of terms starting with 'A'), which is sufficiently descriptive in context; no form labels are present. For 3.1.4 (Abbreviations): no abbreviations are used in the content, so this criterion is inapplicable. For 3.1.5 (Reading Level): the definitions provided ('airplane' and 'apple') use plain, straightforward language well within a lower secondary education reading level, and no supplemental content is required. No violations were identified across any of the evaluated criteria.</t>
  </si>
  <si>
    <t xml:space="preserve">The page fails primarily on WCAG 1.3.1 (Info and Relationships) because the &lt;label&gt; element is incorrectly associated with a &lt;p&gt; element instead of a form control, creating a false or meaningless programmatic relationship that assistive technologies cannot correctly interpret. Additionally, the document structure is invalid (content placed directly in &lt;html&gt; without &lt;head&gt; or &lt;body&gt;), further undermining semantic integrity. WCAG 2.4.6 is also violated because the label does not describe an actual interactive control. WCAG 2.2.2 is inapplicable (no moving or auto-updating content). WCAG 3.1.4 and 3.1.5 are largely inapplicable given the minimal content, though no abbreviation expansions or reading-level accommodations are present.</t>
  </si>
  <si>
    <t xml:space="preserve">[1.3.1] A &lt;label&gt; element references an element with id 'fname', but that element is a &lt;p&gt; (paragraph), not a form control. Labels are only meaningful when associated with interactive form controls such as &lt;input&gt;, &lt;select&gt;, or &lt;textarea&gt;. This creates a false programmatic relationship. Associate the &lt;label&gt; with an actual form control, e.g., replace &lt;p id="fname"&gt;&lt;/p&gt; with &lt;input type="text" id="fname" name="fname" /&gt; so the label-control relationship is valid and meaningful. || [1.3.1] The &lt;label&gt; and &lt;p&gt; elements are placed directly inside &lt;html&gt;, outside of &lt;head&gt; or &lt;body&gt;. This is invalid HTML structure, which can cause browsers to misinterpret the DOM and break assistive technology parsing of semantic relationships. Place all content elements inside a proper &lt;body&gt; element, and ensure a &lt;head&gt; element with a &lt;title&gt; is also present, following valid HTML document structure. || [2.4.6] The label 'First name:' is associated with a non-interactive &lt;p&gt; element rather than a form field, making it non-functional as a label. Labels must describe actual form controls to be meaningful per WCAG 2.4.6. Ensure the label is associated with a proper form input so it accurately describes the purpose of the control.</t>
  </si>
  <si>
    <t xml:space="preserve">The page fails multiple WCAG criteria. For 1.3.1 (Info and Relationships), the &lt;label&gt; element is incorrectly associated with a &lt;p&gt; element instead of a form control, creating a false or meaningless programmatic relationship; additionally, the content is placed directly inside &lt;html&gt; without a proper &lt;body&gt;, breaking valid HTML structure that assistive technologies rely on. For 2.4.6 (Headings and Labels), there are no headings on the page and the label does not function correctly as a form label. Criteria 2.2.2 (Pause, Stop, Hide) is inapplicable as there is no moving, blinking, or auto-updating content. Criteria 3.1.4 (Abbreviations) is inapplicable as no abbreviations are present. Criteria 3.1.5 (Reading Level) is largely inapplicable given the minimal text content, though the page structure is too broken to meaningfully evaluate.</t>
  </si>
  <si>
    <t xml:space="preserve">[1.3.1] A &lt;label&gt; element references an element with id 'fname', but that element is a &lt;p&gt; (paragraph), not a form control. Labels are only meaningful when associated with interactive form controls such as &lt;input&gt;, &lt;select&gt;, or &lt;textarea&gt;. This creates a false programmatic relationship. Associate the &lt;label&gt; with an actual form control, e.g., replace &lt;p id="fname"&gt;&lt;/p&gt; with &lt;input type="text" id="fname" name="fname" /&gt; so the label-control relationship is valid and meaningful. || [1.3.1] The &lt;label&gt; and &lt;p&gt; elements are placed directly inside &lt;html&gt;, outside of &lt;head&gt; or &lt;body&gt;. This is invalid HTML structure, which can cause browsers to misinterpret the DOM and break assistive technology parsing of semantic relationships. Place all visible content inside a &lt;body&gt; element, and ensure a proper &lt;head&gt; section exists with at minimum a &lt;title&gt; element. || [2.4.6] The page has no headings to describe its content or purpose. While the page is minimal, the label 'First name:' does not serve as a descriptive heading, and there is no heading structure to orient users. Add at least one descriptive heading (e.g., &lt;h1&gt;) that conveys the purpose of the page or section. || [2.4.6] The &lt;label&gt; is associated with a &lt;p&gt; element rather than a form control, so it does not function as a proper label for any interactive element, failing to provide a meaningful programmatic label. Ensure labels are associated with actual form controls so they serve their intended descriptive purpose for users of assistive technologies.</t>
  </si>
  <si>
    <t xml:space="preserve">The page fails primarily on WCAG 1.3.1 (Info and Relationships) and 2.4.6 (Headings and Labels) because the &lt;label&gt; element is incorrectly associated with a &lt;p&gt; element (id='fname') rather than a labelable form control. This means the programmatic relationship between the label and its intended input cannot be determined by assistive technologies, and the label does not functionally describe any form field. The HTML structure is also malformed, with content placed directly inside &lt;html&gt; outside of &lt;head&gt; or &lt;body&gt;. WCAG 2.2.2 is inapplicable (no moving content), and 3.1.4 and 3.1.5 are effectively inapplicable given the minimal and simple text content present.</t>
  </si>
  <si>
    <t xml:space="preserve">[1.3.1] The &lt;label&gt; element is associated with a &lt;p&gt; element via 'for' attribute, but &lt;p&gt; is not a labelable element. Labels must be associated with form controls such as &lt;input&gt;, &lt;select&gt;, or &lt;textarea&gt;. Additionally, the &lt;label&gt; and &lt;p&gt; elements are placed directly inside &lt;html&gt;, outside of &lt;head&gt; or &lt;body&gt;, which is invalid HTML structure. Replace the &lt;p&gt; element with an appropriate form control such as &lt;input type="text" id="fname" name="fname"&gt; and ensure all content is placed inside a proper &lt;body&gt; element. This ensures the label-to-control relationship is programmatically determinable. || [2.4.6] The label 'First name:' is associated with a &lt;p&gt; element rather than a form control, making it non-functional as a label. The label does not describe any interactive or meaningful form field, failing the requirement that labels describe the topic or purpose of the associated content. Ensure the label is associated with a proper form input element so it accurately and functionally describes the purpose of the field. || [2.2.2] No moving, blinking, scrolling, or auto-updating content is present on the page. No action needed for this criterion. || [3.1.4] No abbreviations are present in the page content. No action needed for this criterion. || [3.1.5] The page contains minimal text ('First name:') which does not present a reading level concern. No action needed for this criterion.</t>
  </si>
  <si>
    <t xml:space="preserve">The page fails primarily on WCAG 1.3.1 (Info and Relationships) and 2.4.6 (Headings and Labels). The HTML is structurally invalid, with &lt;label&gt; and &lt;input&gt; elements placed directly inside &lt;html&gt; rather than within a &lt;body&gt; element, which undermines the ability of assistive technologies to correctly interpret the document structure. Additionally, the label text 'Menu' is misleading and does not accurately describe the associated text input field (which appears intended for a first name). WCAG 2.2.2 is inapplicable as there is no moving or auto-updating content. WCAG 3.1.4 (Abbreviations) and 3.1.5 (Reading Level) are inapplicable given the minimal content present.</t>
  </si>
  <si>
    <t xml:space="preserve">[1.3.1] The &lt;label&gt; and &lt;input&gt; elements are placed directly inside &lt;html&gt;, outside of &lt;body&gt; and &lt;head&gt;, which is invalid HTML structure. This malformed structure means that the programmatic relationship between the label and the input may not be correctly conveyed to assistive technologies. Place the &lt;label&gt; and &lt;input&gt; elements inside a proper &lt;body&gt; element, and ensure the label text 'Menu' accurately describes the purpose of the input field. Consider using a more descriptive label that conveys the input's purpose. || [1.3.1] The label text 'Menu' does not semantically describe the purpose of a text input field. A label named 'Menu' is misleading and does not convey the correct information or relationship to users, including those using assistive technologies. Change the label text to accurately describe what the input field is for (e.g., 'First Name' given the field name 'fname'), so that the programmatic relationship conveys meaningful and accurate information. || [2.4.6] The label text 'Menu' is not descriptive of the associated input field (which appears to be for a first name based on the 'fname' identifier). Labels must be descriptive enough to inform users of the purpose of the control. Update the label to accurately describe the input, such as 'First Name', to ensure users understand what information is expected. || [2.2.2] No moving, blinking, scrolling, or auto-updating content is present on the page. No action needed for this criterion.</t>
  </si>
  <si>
    <t xml:space="preserve">The page fails primarily on WCAG 1.3.1 (Info and Relationships) and 2.4.6 (Headings and Labels) due to two significant issues: (1) the HTML structure is invalid, with &lt;label&gt; and &lt;input&gt; placed directly inside &lt;html&gt; without a &lt;body&gt; element, which undermines the reliability of programmatic relationships for assistive technologies; and (2) the label text 'Menu' is semantically misleading and does not describe the purpose of the text input (which appears to be for a first name based on the 'fname' identifier). WCAG 2.2.2 is inapplicable as there is no moving or auto-updating content. WCAG 3.1.4 (Abbreviations) and 3.1.5 (Reading Level) are largely inapplicable given the minimal content, though the misleading label 'Menu' contributes to overall poor content clarity.</t>
  </si>
  <si>
    <t xml:space="preserve">[1.3.1] The label and input elements are placed directly inside the &lt;html&gt; element, outside of &lt;head&gt; and &lt;body&gt;. This invalid HTML structure means the programmatic relationship between the label and input may not be correctly conveyed to assistive technologies, even though the 'for' attribute matches the input's 'id'. Place the &lt;label&gt; and &lt;input&gt; elements inside a proper &lt;body&gt; element within a well-structured HTML document. Ensure the label text 'Menu' accurately describes the purpose of the input field, as 'Menu' is not a meaningful label for a text input. || [1.3.1] The label text 'Menu' does not semantically describe the purpose of the text input. A label named 'Menu' is misleading and does not convey the nature or expected content of the input field, failing to programmatically communicate the correct information and relationships. Change the label text to accurately describe what information the user should enter in the text field (e.g., 'First Name' if the field is for a first name, as suggested by the field name 'fname'). || [2.4.6] The label text 'Menu' is not descriptive of the input field's purpose. WCAG 2.4.6 requires labels to be descriptive so users understand what is being asked. Update the label to accurately describe the input field, such as 'First Name', to ensure users understand what information to provide. || [2.2.2] No moving, blinking, scrolling, or auto-updating content is present on the page. No action needed for this criterion.</t>
  </si>
  <si>
    <t xml:space="preserve">The page fails primarily on WCAG 1.3.1 (Info and Relationships) and 2.4.6 (Headings and Labels). The HTML is structurally invalid, with form elements placed directly inside the &lt;html&gt; element outside of &lt;body&gt;, which undermines the ability of assistive technologies to correctly interpret the document structure. Furthermore, the label text 'Menu' is semantically inappropriate and misleading for a text input field named 'fname', failing to convey the correct programmatic relationship and purpose. WCAG 2.2.2 is inapplicable as there is no moving or auto-updating content. WCAG 3.1.4 (Abbreviations) and 3.1.5 (Reading Level) are inapplicable as there are no abbreviations or substantial text content to evaluate.</t>
  </si>
  <si>
    <t xml:space="preserve">[1.3.1] The &lt;label&gt; and &lt;input&gt; elements are placed directly inside &lt;html&gt;, outside of &lt;body&gt; and &lt;head&gt;, which is invalid HTML structure. This malformed structure means that the programmatic relationship between the label and the form control may not be correctly conveyed to assistive technologies. Place the &lt;label&gt; and &lt;input&gt; elements inside a proper &lt;body&gt; element. Additionally, the label text 'Menu' does not accurately describe the purpose of the text input, which further undermines the programmatic relationship between the label and the control. || [1.3.1] The label text 'Menu' is semantically misleading for a text input field. A label should describe the purpose or nature of the associated form control. 'Menu' implies a navigation or selection element, not a text input, failing to convey the correct information and relationships programmatically. Use a descriptive label that accurately reflects the purpose of the input field, such as 'First Name' (given the field name 'fname'), to ensure the relationship between the label and the control is meaningful and correctly conveyed. || [2.4.6] The label 'Menu' does not descriptively identify the purpose of the associated text input field. WCAG 2.4.6 requires that labels describe the topic or purpose of the content. A label of 'Menu' for a text input named 'fname' is not descriptive. Change the label text to accurately describe the input field's purpose, e.g., 'First Name', so users understand what information is expected. || [2.2.2] No moving, blinking, scrolling, or auto-updating content is present on the page. No action needed for this criterion.</t>
  </si>
  <si>
    <t xml:space="preserve">The page fails primarily on WCAG 1.3.1 (Info and Relationships) and 2.4.6 (Headings and Labels) because the sole heading element is empty, conveying no information or structure to users or assistive technologies. The use of ARIA role='heading' with aria-level='1' on a &lt;p&gt; element is technically valid ARIA usage, but the absence of any text content renders it useless. The page also lacks a proper &lt;body&gt; element, which is invalid HTML and may further impair assistive technology interpretation. WCAG 2.2.2 is inapplicable as there is no animated or auto-updating content. WCAG 3.1.4 is inapplicable as there are no abbreviations. WCAG 3.1.5 cannot be meaningfully evaluated due to the absence of readable text content.</t>
  </si>
  <si>
    <t xml:space="preserve">[1.3.1] A paragraph element is used with role='heading' and aria-level='1' but contains no text content, making the heading semantically meaningless. Additionally, the heading is placed directly inside &lt;html&gt; without a &lt;body&gt; element, which is invalid HTML structure that may cause assistive technologies to misinterpret the document structure. Use a proper &lt;h1&gt; element with meaningful text content inside a &lt;body&gt; element, e.g., &lt;body&gt;&lt;h1&gt;Page Title&lt;/h1&gt;&lt;/body&gt;. Ensure headings convey the structure and purpose of the page content. || [2.4.6] The heading element is empty and provides no descriptive label or text, failing to describe the topic or purpose of the content it introduces. Provide meaningful, descriptive text within the heading so users can understand the structure and purpose of the page content. || [2.2.2] No moving, blinking, scrolling, or auto-updating content is present on the page. N/A || [3.1.4] No abbreviations are present on the page. N/A || [3.1.5] The page contains no readable text content beyond an empty heading, so reading level cannot be assessed meaningfully. Ensure page content is written at an appropriate reading level or provide a supplemental version if the content requires advanced reading ability.</t>
  </si>
  <si>
    <t xml:space="preserve">The page fails primarily on WCAG 1.3.1 (Info and Relationships) and WCAG 2.4.6 (Headings and Labels) because the sole heading element is empty, conveying no information or structure to users or assistive technologies. While the use of role='heading' and aria-level='1' on a &lt;p&gt; element is technically a valid ARIA technique (ARIA12), the absence of any text content renders the heading non-functional and meaningless. The invalid document structure (missing &lt;head&gt; and &lt;body&gt; elements) further compounds accessibility concerns. WCAG 2.2.2, 3.1.4, and 3.1.5 are inapplicable as there is no moving content, no abbreviations, and no readable text on the page.</t>
  </si>
  <si>
    <t xml:space="preserve">[1.3.1] A paragraph element is used with role='heading' and aria-level='1' but contains no text content, making the heading semantically meaningless. Additionally, the heading is placed directly inside &lt;html&gt; without a &lt;body&gt; element, which is invalid HTML structure that may cause assistive technologies to misinterpret the document structure. Use a proper &lt;h1&gt; element with meaningful text content inside a &lt;body&gt; element, e.g., &lt;body&gt;&lt;h1&gt;Page Title&lt;/h1&gt;&lt;/body&gt;. Ensure headings convey the structure and purpose of the page content. || [2.4.6] The heading element is empty and provides no descriptive label or text, failing to describe the topic or purpose of the section it introduces. Provide meaningful, descriptive text within the heading so users can understand the structure and purpose of the page content. || [2.2.2] No moving, blinking, scrolling, or auto-updating content is present on the page. N/A || [3.1.4] No abbreviations are present on the page. N/A || [3.1.5] The page contains no readable text content to evaluate reading level. N/A</t>
  </si>
  <si>
    <t xml:space="preserve">The page fails primarily on WCAG 1.3.1 (Info and Relationships) and 2.4.6 (Headings and Labels) because the sole heading element is empty, conveying no information or structure to users or assistive technologies. The use of role='heading' with aria-level='1' on a &lt;p&gt; element is technically valid ARIA usage, but the absence of any text content renders it meaningless. The invalid HTML structure (missing &lt;head&gt; and &lt;body&gt; elements) further undermines proper document semantics. WCAG 2.2.2, 3.1.4, and 3.1.5 are inapplicable as there is no moving content, no abbreviations, and no readable text on the page.</t>
  </si>
  <si>
    <t xml:space="preserve">[1.3.1] A paragraph element is used with role='heading' and aria-level='1' but contains no text content, making the heading semantically meaningless. Additionally, the heading is placed directly inside &lt;html&gt; without a &lt;body&gt; element, which is invalid HTML structure that may cause assistive technologies to misinterpret the document structure. Use a proper &lt;h1&gt; element with meaningful text content inside a &lt;body&gt; element, e.g., &lt;body&gt;&lt;h1&gt;Page Title&lt;/h1&gt;&lt;/body&gt;. Ensure headings convey the structure and purpose of the page content. || [2.4.6] The heading element is empty and provides no descriptive label or text, failing to describe the topic or purpose of the content it introduces. Provide meaningful, descriptive text within the heading so users can understand the structure and purpose of the page content. || [2.2.2] No moving, blinking, scrolling, or auto-updating content is present on the page. N/A || [3.1.4] No abbreviations are present in the page content. N/A || [3.1.5] The page contains no readable text content to evaluate reading level. N/A</t>
  </si>
  <si>
    <t xml:space="preserve">The page fails on WCAG 1.3.1 (Info and Relationships) and WCAG 2.4.6 (Headings and Labels). The HTML structure is malformed — content is placed directly inside &lt;html&gt; without &lt;head&gt; or &lt;body&gt; — which undermines semantic structure. The search input's label is hidden via 'display: none', and the aria-labelledby attribute references both the button ('Go') and the hidden span ('Search') in an order that produces the misleading accessible name 'Go Search'. WCAG 2.2.2 is inapplicable as there is no moving, blinking, or auto-updating content. WCAG 3.1.4 (Abbreviations) is inapplicable as no abbreviations are present. WCAG 3.1.5 (Reading Level) is largely inapplicable given the minimal text content, though no supplemental content is provided.</t>
  </si>
  <si>
    <t xml:space="preserve">[1.3.1] The search input is placed directly inside the &lt;html&gt; element, outside of &lt;head&gt; and &lt;body&gt;, which breaks the semantic document structure. Additionally, the visible label for the input is hidden via 'display: none', meaning the label is not perceivable to sighted users, and the relationship between the input and its label is not conveyed through proper semantic markup (e.g., &lt;label&gt; element or visible aria-labelledby target). Place all content inside a proper &lt;body&gt; element. Use a visible &lt;label&gt; element associated with the input via 'for'/'id' attributes, or ensure the aria-labelledby target is visible and meaningful. The computed accessible name from aria-labelledby="submit search" resolves to 'Go Search', which reverses the intended label order and is misleading. || [2.4.6] The label for the search input is hidden (display: none) and the computed accessible name derived from aria-labelledby="submit search" concatenates the button text 'Go' and the hidden span text 'Search', resulting in 'Go Search' — a label that does not clearly describe the purpose of the input field. Provide a clear, descriptive label for the input. Use a visible &lt;label for="searchInput"&gt;Search&lt;/label&gt; paired with &lt;input id="searchInput" ...&gt;, or correct the aria-labelledby order and ensure the referenced elements convey a meaningful label such as 'Search'.</t>
  </si>
  <si>
    <t xml:space="preserve">The page fails WCAG 1.3.1 (Info and Relationships) and 2.4.6 (Headings and Labels) due to multiple structural and labeling issues. The HTML content is placed directly inside the &lt;html&gt; element without a proper &lt;body&gt;, breaking document structure. The label element for the search input uses display:none, which removes it from the accessibility tree, making the aria-labelledby reference non-functional. The button text 'Go' lacks sufficient descriptiveness. WCAG 2.2.2 is inapplicable as there is no moving, blinking, or auto-updating content. WCAG 3.1.4 (Abbreviations) is inapplicable as no abbreviations are present. WCAG 3.1.5 (Reading Level) is inapplicable as there is insufficient text content to evaluate reading level.</t>
  </si>
  <si>
    <t xml:space="preserve">[1.3.1] The search input is placed directly inside the &lt;html&gt; element, outside of &lt;head&gt; and &lt;body&gt;, which breaks the semantic structure of the document. Additionally, the label for the input is hidden with display:none, which removes it from the accessibility tree in most browsers, making the aria-labelledby reference ineffective. Place all content inside a proper &lt;body&gt; element. Use a visible &lt;label&gt; element associated with the input via the 'for' attribute matching the input's 'id', or use aria-label directly on the input. If aria-labelledby is used, ensure the referenced elements are not hidden with display:none (use visually-hidden CSS instead, e.g., clip/position technique). || [2.4.6] The page has no headings to describe its content or purpose, and the label for the search input is hidden (display:none), making it inaccessible as a meaningful label. The button label 'Go' is not descriptive enough to convey the purpose of the action without additional context. Provide a descriptive, visible label for the search input. Consider changing the button text to something more descriptive like 'Search' or adding an aria-label to the button. Add at least one heading to describe the page or section purpose.</t>
  </si>
  <si>
    <t xml:space="preserve">The page fails WCAG 1.3.1 (Info and Relationships) because the search input's label is partially inaccessible. The aria-labelledby attribute references a span with display:none, which removes it from the accessibility tree per ARIA specification, meaning assistive technologies cannot access the 'Search' label text. The computed accessible name would only include 'Go' (from the button), which does not adequately convey the purpose of the input. Furthermore, the malformed HTML structure (content placed directly in &lt;html&gt; without a &lt;body&gt;) undermines proper semantic relationships. WCAG 2.2.2 is inapplicable (no moving/auto-updating content). WCAG 2.4.6 has a minor concern as the label is not effectively exposed. WCAG 3.1.4 and 3.1.5 are largely inapplicable given the minimal content.</t>
  </si>
  <si>
    <t xml:space="preserve">[1.3.1] The search input is associated with a label via aria-labelledby referencing a hidden element ('search') and a button ('submit'). The hidden span with id='search' has display:none, which removes it from the accessibility tree, making that portion of the label unavailable to assistive technologies. Additionally, the input and button are placed directly inside the &lt;html&gt; element, outside of a &lt;body&gt;, which is invalid HTML structure that may cause parsing issues affecting semantic relationships. Place content inside a &lt;body&gt; element. Use a visible &lt;label&gt; element associated with the input via the 'for' attribute, or ensure all elements referenced by aria-labelledby are not hidden with display:none (use techniques like visually-hidden CSS instead if off-screen labeling is needed). For example: &lt;label for="search"&gt;Search&lt;/label&gt;&lt;input type="text" id="search" name="search" /&gt;&lt;button&gt;Go&lt;/button&gt;.</t>
  </si>
  <si>
    <t xml:space="preserve">The page fails primarily on WCAG 3.1.4 (Abbreviations, Level AAA) because it contains at least nine distinct abbreviations (REST, JSON, CRUD, HTTP, ORM, ETL, ANSI, CLI, CI) none of which are expanded via &lt;abbr title="..."&gt; or any other mechanism. It also fails WCAG 3.1.5 (Reading Level, Level AAA) because the content is dense technical prose requiring specialist knowledge with no simplified alternative provided. The remaining evaluated criteria are either passed or inapplicable: WCAG 1.3.1 is largely satisfied — the single heading is marked up with &lt;h1&gt; and the paragraphs use &lt;p&gt; elements with no misleading structural markup; WCAG 2.2.2 is inapplicable as there is no moving, blinking, or auto-updating content; and WCAG 2.4.6 is passed because the sole heading 'API design notes' accurately describes the page content and no form labels are present.</t>
  </si>
  <si>
    <t xml:space="preserve">[3.1.4] Multiple abbreviations are used throughout the page without any expansion or definition provided. Use the HTML &lt;abbr&gt; element with a 'title' attribute to expand each abbreviation on its first occurrence,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This satisfies WCAG technique G97. || [3.1.5] The page content is written in technical jargon and assumes significant domain knowledge (software engineering, API design, DevOps), making it inaccessible to readers without advanced secondary education or specialist background. No supplemental content or simplified summary is provided. Provide a plain-language summary or supplemental content that explains the concepts at a lower reading level (lower secondary education equivalent), or link to a glossary. This satisfies WCAG technique G86 (providing a text summary) or G103 (providing visual illustrations).</t>
  </si>
  <si>
    <t xml:space="preserve">The page fails primarily against WCAG 3.1.4 (Abbreviations, Level AAA) because numerous abbreviations — REST, JSON, CRUD, HTTP, ORM, ETL, ANSI, CLI, CI — appear without any expansion via &lt;abbr title="..."&gt; elements, a glossary, or inline definitions. It also fails WCAG 3.1.5 (Reading Level, Level AAA) because the content is densely technical and no supplemental simplified version is offered. WCAG 1.3.1 is largely satisfied: the single heading &lt;h1&gt; correctly marks the page title and the body text is plain paragraphs with no implicit structure that needs semantic markup. WCAG 2.2.2 is inapplicable as there is no moving, blinking, or auto-updating content. WCAG 2.4.6 is passed: the &lt;h1&gt; heading 'API design notes' is descriptive and accurately reflects the page content; no form labels are present.</t>
  </si>
  <si>
    <t xml:space="preserve">[3.1.4] Multiple abbreviations are used throughout the page without any expansion or definition provided. Use the &lt;abbr&gt; element with a 'title' attribute to expand each abbreviation on first use,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Alternatively, provide a glossary or inline definitions (WCAG technique G97/G102). || [3.1.5] The page content is written at a technical level that presupposes advanced domain knowledge (software engineering, APIs, database systems, DevOps). No supplemental content or simplified summary is provided to assist readers who may not have the required reading level. Provide a supplemental version of the content written at a lower secondary education reading level, or add a plain-language summary at the top of the page (WCAG technique G86). At minimum, define technical jargon and expand abbreviations to reduce the reading burden.</t>
  </si>
  <si>
    <t xml:space="preserve">The page fails primarily against WCAG 3.1.4 (Abbreviations, Level AAA) and 3.1.5 (Reading Level, Level AAA). The content is dense with unexpanded abbreviations — REST, JSON, CRUD, HTTP, ORM, ETL, ANSI, CLI, CI — none of which are wrapped in &lt;abbr title="..."&gt; elements or explained in a glossary, violating 3.1.4. The highly technical prose also fails 3.1.5 because it requires specialist knowledge far beyond a lower secondary education level and no simplified alternative is offered. WCAG 1.3.1 is largely satisfied: the single heading &lt;h1&gt; correctly marks the page title and the body text is plain paragraphs with no structural relationships that need additional markup. WCAG 2.2.2 is inapplicable as there is no moving, blinking, or auto-updating content. WCAG 2.4.6 is passed: the sole heading 'API design notes' is descriptive and accurately reflects the page content.</t>
  </si>
  <si>
    <t xml:space="preserve">[3.1.4] Multiple abbreviations are used without expansion or explanation anywhere on the page. Wrap each abbreviation in an &lt;abbr&gt; element with a 'title' attribute providing the full expansion,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Alternatively, provide a glossary or link to a definition page (WCAG technique G97 or G55). || [3.1.5] The page is written in technical jargon (REST, ORM, ETL, ANSI escape sequences, CI pipelines) that requires advanced technical knowledge well beyond a lower secondary education reading level, and no supplemental content or simplified version is provided. Provide a supplemental version of the content written at a lower secondary education reading level, or add a glossary/explanatory notes for technical terms (WCAG technique G86 or G79). If the audience is exclusively technical professionals, document this assumption clearly.</t>
  </si>
  <si>
    <t xml:space="preserve">The page fails WCAG 3.1.4 (Abbreviations, Level AAA) because all three abbreviations present on the page are inadequately defined. 'PCR' carries an empty title attribute, 'DNA' has a title that merely repeats the abbreviation rather than expanding it, and 'SOP' has no title attribute whatsoever. WCAG technique G97 requires that the first occurrence of an abbreviation be expanded, and H28 requires that the &lt;abbr&gt; element's title attribute contain the full expansion. None of the three abbreviations satisfy this requirement. The other evaluated criteria are either passed or inapplicable: the page uses a proper heading structure (1.3.1 passed), contains no moving or auto-updating content (2.2.2 inapplicable), the single heading 'Lab procedures' accurately describes the page content (2.4.6 passed), and the prose is straightforward technical writing without excessive complexity (3.1.5 is borderline but the specialized domain context makes it largely inapplicable for a general reading-level assessment).</t>
  </si>
  <si>
    <t xml:space="preserve">[3.1.4] The abbreviation 'PCR' has an empty title attribute, providing no expansion or definition. Provide the full expansion in the title attribute, e.g., &lt;abbr title="Polymerase Chain Reaction"&gt;PCR&lt;/abbr&gt;. || [3.1.4] The abbreviation 'DNA' has a title attribute that merely repeats the abbreviation itself ('DNA') rather than providing the full expansion. Provide the full expansion in the title attribute, e.g., &lt;abbr title="Deoxyribonucleic Acid"&gt;DNA&lt;/abbr&gt;. || [3.1.4] The abbreviation 'SOP' has no title attribute at all, providing no mechanism to determine its meaning. Add a title attribute with the full expansion, e.g., &lt;abbr title="Standard Operating Procedure"&gt;SOP&lt;/abbr&gt;.</t>
  </si>
  <si>
    <t xml:space="preserve">The page fails WCAG 3.1.4 (Abbreviations, Level AAA). Three abbreviations are present: 'PCR' has an empty title attribute conveying no information, 'DNA' has a title that merely repeats the abbreviation rather than expanding it, and 'SOP' has no title attribute whatsoever. WCAG 3.1.4 requires that a mechanism be available to identify the expanded form or meaning of abbreviations. None of the three abbreviations satisfy this requirement. The other evaluated criteria are largely inapplicable or passed: the page has no moving/auto-updating content (2.2.2 inapplicable), the single heading 'Lab procedures' is descriptive and appropriate (2.4.6 passed), structural semantics are correctly conveyed via proper heading and paragraph markup (1.3.1 passed), and the content uses straightforward scientific language appropriate for a specialist audience (3.1.5 is a AAA criterion and the text is reasonably clear for its domain).</t>
  </si>
  <si>
    <t xml:space="preserve">[3.1.4] Abbreviation 'PCR' has an empty title attribute, providing no expansion or explanation. Provide the full expansion in the title attribute, e.g., &lt;abbr title="Polymerase Chain Reaction"&gt;PCR&lt;/abbr&gt;. || [3.1.4] Abbreviation 'DNA' has a title attribute that merely repeats the abbreviation itself ('DNA'), which does not constitute a meaningful expansion. Provide the full expansion in the title attribute, e.g., &lt;abbr title="Deoxyribonucleic Acid"&gt;DNA&lt;/abbr&gt;. || [3.1.4] Abbreviation 'SOP' has no title attribute at all, providing no mechanism to determine its meaning. Add a title attribute with the full expansion, e.g., &lt;abbr title="Standard Operating Procedure"&gt;SOP&lt;/abbr&gt;.</t>
  </si>
  <si>
    <t xml:space="preserve">The page fails WCAG 3.1.4 (Abbreviations, Level AAA). Three abbreviations are present: 'PCR' uses an empty title attribute (no expansion provided), 'DNA' uses a title that merely repeats the abbreviation rather than expanding it, and 'SOP' has no title attribute whatsoever. None of these satisfy the WCAG technique G97 (providing the expansion of an abbreviation) or G102 (providing the full form of an abbreviation). The other evaluated criteria are largely inapplicable or passed: the page has no moving/auto-updating content (2.2.2 inapplicable), the single heading 'Lab procedures' is descriptive and appropriate (2.4.6 passed), structural semantics are correctly conveyed via proper heading and paragraph markup (1.3.1 passed), and the content is written in plain, accessible language appropriate for a technical audience (3.1.5 passed given the specialized domain context).</t>
  </si>
  <si>
    <t xml:space="preserve">The page is evaluated against WCAG 1.3.1, 2.2.2, 2.4.6, 3.1.4, and 3.1.5. For 1.3.1 (Info and Relationships), the single heading &lt;h1&gt; is properly marked up and the two paragraphs use &lt;p&gt; elements, so structure is conveyed semantically. For 2.2.2 (Pause, Stop, Hide), there is no moving, blinking, scrolling, or auto-updating content on the page, making this criterion inapplicable — no violation. For 2.4.6 (Headings and Labels), the &lt;h1&gt; 'Welcome to the garden' accurately describes the page content; there are no form labels present. For 3.1.4 (Abbreviations), no abbreviations appear in the text, so this criterion is inapplicable — no violation. For 3.1.5 (Reading Level), the prose ('The community garden opens at sunrise and closes at sunset…') is plain, everyday language well within a lower-secondary reading level, requiring no supplemental content. All applicable criteria pass and inapplicable ones introduce no violations.</t>
  </si>
  <si>
    <t xml:space="preserve">The page is evaluated against WCAG 1.3.1, 2.2.2, 2.4.6, 3.1.4, and 3.1.5. For 1.3.1 (Info and Relationships), the single heading &lt;h1&gt; is properly marked up and the two paragraphs use &lt;p&gt; elements; no tables, lists, forms, or other structural relationships are present that could be misrepresented. For 2.2.2 (Pause, Stop, Hide), there is no moving, blinking, scrolling, or auto-updating content on the page, making this criterion effectively inapplicable but not a failure. For 2.4.6 (Headings and Labels), the &lt;h1&gt; 'Welcome to the garden' is descriptive and accurately reflects the page content; no form labels are present. For 3.1.4 (Abbreviations), no abbreviations appear in the content, so the criterion is inapplicable. For 3.1.5 (Reading Level), the prose is plain, concrete, and written at a basic reading level — well within the supplemental reading material threshold — so no simplified alternative is needed. No violations were identified across any of the five criteria.</t>
  </si>
  <si>
    <t xml:space="preserve">The page is a simple, plain-text informational page about a community garden. For WCAG 1.3.1 (Info and Relationships), the single heading &lt;h1&gt; is properly marked up and the paragraphs use &lt;p&gt; elements, so structure is conveyed semantically. For WCAG 2.2.2 (Pause, Stop, Hide), there is no moving, blinking, scrolling, or auto-updating content, making this criterion inapplicable in practice but not a failure. For WCAG 2.4.6 (Headings and Labels), the one heading present ('Welcome to the garden') is descriptive and accurately reflects the page content; there are no form labels to evaluate. For WCAG 3.1.4 (Abbreviations), no abbreviations appear in the content, so this criterion is inapplicable. For WCAG 3.1.5 (Reading Level), the prose is written in plain, everyday English with short sentences and common vocabulary (sunrise, sunset, seedlings, weeds), well within a lower-secondary reading level, satisfying the spirit of this AAA criterion. No violations were identified across any of the five evaluated criteria.</t>
  </si>
  <si>
    <t xml:space="preserve">The page is evaluated against WCAG 1.3.1 (Info and Relationships), 2.2.2 (Pause, Stop, Hide), 2.4.6 (Headings and Labels), 3.1.4 (Abbreviations), and 3.1.5 (Reading Level). For 1.3.1: the single heading &lt;h1&gt;Marine research&lt;/h1&gt; is properly marked up as a heading element, and the paragraph uses a &lt;p&gt; element — structure is conveyed semantically with no tables, lists, or form controls that could be misrepresented. For 2.2.2: there is no moving, blinking, scrolling, or auto-updating content on the page, making this criterion inapplicable in practice (no violation). For 2.4.6: the &lt;h1&gt; heading 'Marine research' is descriptive and accurately reflects the page content; no labels are present since there are no form controls. For 3.1.4 (AAA): the text contains terms such as 'radar,' 'scuba,' and 'laser' which could be considered abbreviations or acronyms; however, 'radar' and 'scuba' are widely accepted as common words in standard dictionaries and 'laser' is similarly treated as a common noun, so no &lt;abbr&gt; expansion is strictly required — though adding &lt;abbr&gt; elements with expansions would be a best practice enhancement. No clear WCAG violation is present. For 3.1.5 (AAA): the content is a short, straightforward paragraph using plain language appropriate for a general audience; no supplemental content or simplified version is required. Overall, the page passes all applicable criteria with no identified violations.</t>
  </si>
  <si>
    <t xml:space="preserve">The page is evaluated against five WCAG criteria. For 1.3.1 (Info and Relationships), the single heading &lt;h1&gt; is properly marked up and the paragraph uses a &lt;p&gt; element, so structure is conveyed semantically. For 2.2.2 (Pause, Stop, Hide), there is no moving, blinking, scrolling, or auto-updating content, making this criterion inapplicable in practice but not a failure. For 2.4.6 (Headings and Labels), the &lt;h1&gt;Marine research&lt;/h1&gt; heading is descriptive and accurately reflects the page content; there are no form labels present. For 3.1.4 (Abbreviations), the text contains terms such as 'radar' and 'scuba' which are technically acronyms but are widely accepted as common words in standard dictionaries and do not require expansion; no unexplained abbreviations are present that would constitute a failure. For 3.1.5 (Reading Level), the prose is straightforward technical description written at a general reading level accessible to a secondary-education audience, with no requirement for supplemental content. No violations were identified across any of the five criteria.</t>
  </si>
  <si>
    <t xml:space="preserve">The page is evaluated against five WCAG criteria. For WCAG 1.3.1 (Info and Relationships), the single heading &lt;h1&gt; is properly marked up and the paragraph uses a &lt;p&gt; element, so structure is conveyed programmatically. For WCAG 2.2.2 (Pause, Stop, Hide), there is no moving, blinking, scrolling, or auto-updating content, making this criterion inapplicable — no violation exists. For WCAG 2.4.6 (Headings and Labels), the one heading present ('Marine research') is descriptive and accurately reflects the page content; there are no form labels to evaluate. For WCAG 3.1.4 (Abbreviations), while terms like 'radar' and 'scuba' appear in the text, both are widely accepted as common words in standard dictionaries (radar and scuba are listed as words, not abbreviations, in most style guides), so no unexplained abbreviations are present that would trigger a failure. For WCAG 3.1.5 (Reading Level), the prose is straightforward, uses common vocabulary, and does not require more than a lower secondary education level to understand; no supplemental content is needed. Overall, the page passes all applicable criteria with no identified violations.</t>
  </si>
  <si>
    <t xml:space="preserve">The page is evaluated against five WCAG criteria. For 1.3.1 (Info and Relationships): the single heading &lt;h1&gt; is properly marked up and the paragraph uses semantic HTML with no tables, lists, or form controls that could be improperly structured — this criterion is satisfied. For 2.2.2 (Pause, Stop, Hide): there is no moving, blinking, scrolling, or auto-updating content on the page — this criterion is inapplicable, contributing no failures. For 2.4.6 (Headings and Labels): the sole heading &lt;h1&gt;Web standards overview&lt;/h1&gt; is descriptive and accurately reflects the page content; no form labels are present — passed. For 3.1.4 (Abbreviations): all four abbreviations (W3C, WCAG, AG WG, HTTP) are expanded using &lt;abbr title='...'&gt; elements with full, meaningful expansions, satisfying the technique G97/H28 — passed. For 3.1.5 (Reading Level): the text is a brief, factual overview using straightforward vocabulary appropriate for a general audience; no supplemental content is strictly required, and the content does not appear to exceed a lower secondary education reading level — passed. Overall, the page passes all applicable criteria with no violations identified.</t>
  </si>
  <si>
    <t xml:space="preserve">The page is evaluated against WCAG 1.3.1, 2.2.2, 2.4.6, 3.1.4, and 3.1.5. For 1.3.1 (Info and Relationships): the page uses a semantic &lt;h1&gt; heading and a &lt;p&gt; paragraph with no tables, lists, or forms, so structure is correctly conveyed through markup. For 2.2.2 (Pause, Stop, Hide): there is no moving, blinking, scrolling, or auto-updating content, making this criterion inapplicable — no violation. For 2.4.6 (Headings and Labels): the single heading &lt;h1&gt;Web standards overview&lt;/h1&gt; is descriptive and accurately reflects the page content; no form labels are present. For 3.1.4 (Abbreviations): all abbreviations are expanded using the &lt;abbr title='...'&gt; element — W3C, WCAG, AG WG, and HTTP all have full expansions provided via the title attribute, satisfying the AAA requirement. For 3.1.5 (Reading Level): the content is a brief, straightforward technical overview written at a level accessible to a general audience familiar with web topics; no supplemental content is strictly required, and the text does not appear to exceed lower secondary education reading level in complexity. All evaluated criteria are either passed or inapplicable, with no violations detected.</t>
  </si>
  <si>
    <t xml:space="preserve">The page is evaluated against WCAG 1.3.1, 2.2.2, 2.4.6, 3.1.4, and 3.1.5. For 1.3.1 (Info and Relationships): the page uses a semantic &lt;h1&gt; heading and a &lt;p&gt; paragraph element, correctly conveying structure programmatically — no tables, lists, or forms are misused. For 2.2.2 (Pause, Stop, Hide): there is no moving, blinking, scrolling, or auto-updating content on the page, making this criterion inapplicable; no violation exists. For 2.4.6 (Headings and Labels): the single heading &lt;h1&gt;Web standards overview&lt;/h1&gt; is descriptive and accurately reflects the page content; no form labels are present. For 3.1.4 (Abbreviations): all abbreviations are properly expanded using the &lt;abbr title='...'&gt; element — W3C ('World Wide Web Consortium'), WCAG ('Web Content Accessibility Guidelines'), AG WG ('Accessibility Guidelines Working Group'), and HTTP ('HyperText Transfer Protocol') — satisfying the AAA requirement via WCAG technique G102. For 3.1.5 (Reading Level): the content is a brief, straightforward informational paragraph about web standards; while the subject matter is technical, the sentences are short and clear, and no supplemental content is strictly required. No violations were identified across any of the evaluated criteria.</t>
  </si>
  <si>
    <t xml:space="preserve">The page fails WCAG 3.1.4 (Abbreviations, Level AAA). While the HTML does expand each abbreviation parenthetically on first use — a common plain-text convention — it does not use the &lt;abbr&gt; element with a 'title' attribute to programmatically associate the expansion with the abbreviation. Subsequent occurrences of LMS, FAQ, and PR/PRs appear without any expansion mechanism at all. WCAG 3.1.4 requires that a mechanism for identifying the expanded form of abbreviations be available, and the &lt;abbr title="..."&gt; technique (H28) is the standard HTML approach. The other evaluated criteria are largely inapplicable or satisfied: 1.3.1 is met (simple heading and paragraph structure is correctly marked up); 2.2.2 is inapplicable (no moving, blinking, or auto-updating content); 2.4.6 is passed (the single &lt;h1&gt; 'Course registration' is descriptive and accurate); and 3.1.5 is broadly passed given the straightforward, plain-language prose, though the presence of multiple unexplained technical abbreviations slightly elevates reading complexity.</t>
  </si>
  <si>
    <t xml:space="preserve">[3.1.4] Abbreviations are introduced with their expansions inline, but no mechanism (such as &lt;abbr&gt; elements) is provided to allow users to look up the meaning of abbreviations on subsequent uses. 'LMS', 'FAQ', and 'PR'/'PRs' are used after their first expansion without any programmatic association. Wrap each abbreviation in an &lt;abbr&gt; element with a 'title' attribute providing the expansion, e.g., &lt;abbr title="Learning Management System"&gt;LMS&lt;/abbr&gt;. This applies to all occurrences, including subsequent uses, so users can always access the expansion via the title attribute (WCAG technique G97 / H28).</t>
  </si>
  <si>
    <t xml:space="preserve">The page introduces several abbreviations (LMS, FAQ, PR) by spelling them out in parentheses on first use, which partially satisfies WCAG 3.1.4 via technique G97. However, subsequent uses of the abbreviations (e.g., 'PRs', 'FAQ section') appear without any expansion or &lt;abbr&gt; markup, and even the first-use instances lack machine-readable identification through the &lt;abbr title&gt; pattern (technique H28). WCAG 3.1.4 requires that a mechanism for identifying the expanded form of abbreviations be available; plain-text parenthetical expansion alone is generally considered insufficient without semantic markup. The page therefore fails 3.1.4. The other evaluated criteria (1.3.1, 2.2.2, 2.4.6, 3.1.5) are either inapplicable or passed: structural semantics are correctly used (h1, p), there is no moving/auto-updating content, the single heading accurately describes the page content, and the prose is straightforward enough to meet a reasonable reading-level expectation.</t>
  </si>
  <si>
    <t xml:space="preserve">[3.1.4] Abbreviations are introduced with their expansions in parentheses on first use, but no machine-readable mechanism (e.g., &lt;abbr&gt; element) is provided to identify them as abbreviations or to make the expansion programmatically available. Wrap each abbreviation in an &lt;abbr&gt; element with a title attribute containing the full expansion, e.g., &lt;abbr title="Learning Management System"&gt;LMS&lt;/abbr&gt;. This satisfies WCAG technique G102 (providing the expansion or explanation of an abbreviation) and G97 (providing the first use expansion inline).</t>
  </si>
  <si>
    <t xml:space="preserve">The page fails WCAG 3.1.4 (Abbreviations, Level AAA) because, although several abbreviations are expanded parenthetically on first use (LMS, FAQ, PR), neither the first occurrence nor any subsequent occurrence is marked up with the HTML &lt;abbr&gt; element and a title attribute. This means assistive technologies cannot programmatically expose the expansion, and readers who encounter 'PRs' or 'FAQ' later in the text have no machine-readable way to retrieve the full form. The other evaluated criteria are either passed or inapplicable: the page's simple heading and paragraph structure correctly conveys information and relationships (1.3.1 passed); there is no moving, blinking, or auto-updating content (2.2.2 inapplicable); the single &lt;h1&gt; heading is descriptive and there are no form labels to evaluate (2.4.6 passed); and the prose, while somewhat technical, is reasonably concise and does not present a clear reading-level barrier beyond secondary education (3.1.5 is borderline but not clearly failed given the technical domain context).</t>
  </si>
  <si>
    <t xml:space="preserve">[3.1.4] Abbreviations are introduced with their expansions inline but no machine-readable mechanism (e.g., &lt;abbr&gt; element) is used to associate the abbreviation with its expansion for assistive technologies or repeated uses. Wrap each abbreviation in an &lt;abbr&gt; element with a title attribute providing the full expansion, e.g., &lt;abbr title="Learning Management System"&gt;LMS&lt;/abbr&gt;, &lt;abbr title="Frequently Asked Questions"&gt;FAQ&lt;/abbr&gt;, and &lt;abbr title="Pull Request"&gt;PR&lt;/abbr&gt; (including the plural 'PRs'). This satisfies WCAG technique G102 / H28.</t>
  </si>
  <si>
    <t xml:space="preserve">The page fails primarily on WCAG 3.1.4 (Abbreviations, Level AAA) because the technical term 'epoche' is introduced inline without being marked up with an &lt;abbr&gt; element and title attribute to clarify its meaning. It also fails WCAG 3.1.5 (Reading Level, Level AAA) because the prose is dense, highly specialised academic writing with complex sentence structures and discipline-specific vocabulary (e.g., 'noetic structures', 'intentionally constituted', 'intersubjectively shared meaning'), and no simplified alternative or supplementary content is offered. The remaining criteria are largely satisfied: WCAG 1.3.1 is passed because the single heading &lt;h1&gt; correctly marks the page title and the two paragraphs are plain prose with no relationships requiring additional markup; WCAG 2.2.2 is inapplicable as there is no moving, blinking, or auto-updating content; and WCAG 2.4.6 is passed because the sole heading is descriptive and accurately reflects the page topic.</t>
  </si>
  <si>
    <t xml:space="preserve">[3.1.4] The term 'epoche' is used as an abbreviation/technical term without expansion or explanation mechanism (e.g., &lt;abbr&gt; element). Wrap 'epoche' in an &lt;abbr&gt; element with a title attribute providing the full form or definition, e.g., &lt;abbr title="epoché: the philosophical suspension of judgment"&gt;epoche&lt;/abbr&gt;. || [3.1.5] The text is written at an advanced academic level, far exceeding lower secondary education reading level, with no supplementary content (e.g., a summary, illustrations, or simpler version) provided to assist readers who may not have the required reading ability. Provide a supplementary simplified summary of the content, or link to a version written at a lower secondary education reading level, as required by WCAG 3.1.5 (Technique G86 or G103).</t>
  </si>
  <si>
    <t xml:space="preserve">The page fails primarily on WCAG 3.1.4 (Abbreviations, Level AAA) because the technical term 'epoche' is used without formal markup (e.g., &lt;abbr title="..."&gt;), and on WCAG 3.1.5 (Reading Level, Level AAA) because the text is written at a highly advanced academic register with no supplemental simplified content provided. The remaining criteria are largely satisfied or inapplicable: WCAG 1.3.1 is passed as the minimal structure (h1, paragraphs) is semantically correct; WCAG 2.2.2 is inapplicable as there is no moving, blinking, or auto-updating content; and WCAG 2.4.6 is passed as the single heading ('Phenomenological reduction in twentieth-century continental thought') is descriptive and accurately reflects the page content.</t>
  </si>
  <si>
    <t xml:space="preserve">[3.1.4] The term 'epoche' is used as an abbreviation/technical term without expansion or explanation mechanism. While it is briefly glossed parenthetically as 'methodological suspension', it is not marked up with &lt;abbr&gt; or otherwise formally expanded per WCAG technique G97/H28. Wrap 'epoche' in an &lt;abbr&gt; element with a title attribute providing the full expansion, e.g., &lt;abbr title="epoché (phenomenological bracketing)"&gt;epoche&lt;/abbr&gt;, or provide a glossary link. || [3.1.5] The page content is written at an advanced academic level, requiring post-secondary education or specialist knowledge to comprehend. Sentences are extremely long and syntactically complex (e.g., the first paragraph is a single sentence of ~80 words with multiple embedded clauses). No supplemental content, simplified summary, or reading aids are provided. Provide a supplemental simplified summary of the content (WCAG technique G86), or link to a version written at a lower secondary education reading level, or include a glossary for specialist terminology.</t>
  </si>
  <si>
    <t xml:space="preserve">The page fails primarily on two AAA-level criteria. For WCAG 3.1.4 (Abbreviations), the philosophical term 'epoche' is used without any &lt;abbr&gt; element or inline expansion to clarify its meaning. For WCAG 3.1.5 (Reading Level), the prose is written at a highly advanced academic register with extremely long, syntactically complex sentences and dense specialist vocabulary, with no simplified alternative or supplemental aid provided. The page passes WCAG 1.3.1 (Info and Relationships) as the single heading is correctly marked up with &lt;h1&gt; and the paragraphs use &lt;p&gt; elements, conveying structure semantically. WCAG 2.2.2 (Pause, Stop, Hide) is inapplicable as there is no moving, blinking, or auto-updating content. WCAG 2.4.6 (Headings and Labels) is passed as the single heading is descriptive and accurately reflects the page content; there are no form labels present.</t>
  </si>
  <si>
    <t xml:space="preserve">[3.1.4] The term 'epoche' is used as an abbreviation/technical term without an expansion or definition mechanism provided in the markup (e.g., &lt;abbr&gt; element with a title attribute). Wrap 'epoche' in an &lt;abbr&gt; element with a title attribute explaining its meaning, e.g., &lt;abbr title="bracketing or suspension of judgment about the external world"&gt;epoche&lt;/abbr&gt;, or provide an inline definition using a &lt;dfn&gt; element. || [3.1.5] The body text is written at an extremely advanced academic level, far exceeding lower secondary education reading level. Sentences are exceptionally long and complex, employing dense philosophical terminology (e.g., 'noetic structures,' 'intentionally constituted in consciousness,' 'intersubjectively shared meaning,' 'post-Husserlian trajectories') with no supplemental content, simplified summary, or reading aids provided. Provide a supplemental simplified summary of the content, or link to a version written at a lower secondary education reading level. Alternatively, break up the long sentences and replace or define highly technical terms to reduce the overall reading difficulty.</t>
  </si>
  <si>
    <t xml:space="preserve">The page fails primarily on WCAG 3.1.5 (Reading Level, AAA) because the sole paragraph is written in highly complex legal prose — a single 90-word sentence packed with legal jargon — with no plain-language alternative or supplemental summary provided. It also has a moderate issue under WCAG 2.4.6 (Headings and Labels, AA) because the document references 'section twelve' without any corresponding heading markup, leaving users unable to navigate to or identify that section. WCAG 1.3.1 passes as the basic semantic structure is correct. WCAG 2.2.2 and 3.1.4 are inapplicable since there is no moving content and no abbreviations on the page.</t>
  </si>
  <si>
    <t xml:space="preserve">[3.1.4] Abbreviations are not present on this page, so this criterion is inapplicable. N/A — no abbreviations to expand. || [3.1.5] The body text is written in dense legal language that significantly exceeds a lower secondary education reading level. The single paragraph uses complex sentence structure, legal jargon ('hereinafter referred to as', 'warrants', 'enumerated herein', 'without prejudice', 'indemnification obligations', 'choice-of-law provisions'), and runs to approximately 90 words in a single sentence. No supplemental content (plain-language summary, glossary, or simplified version) is provided. Provide a plain-language summary of the terms at the top of the page (WCAG technique G86), or rewrite the content to target a lower secondary education reading level. At minimum, add a simplified summary paragraph before the legal text so users can understand the key points without needing advanced literacy. || [1.3.1] The page structure is minimal but adequate: a single &lt;h1&gt; heading is used correctly and the paragraph is marked up as &lt;p&gt;. No tables, lists, or form elements are present that could be improperly structured. This criterion passes. No action needed for 1.3.1. || [2.2.2] No moving, blinking, scrolling, or auto-updating content is present. This criterion is inapplicable. N/A — no time-based media or moving content present. || [2.4.6] The single heading &lt;h1&gt;Terms of service&lt;/h1&gt; is present and descriptive. However, the body content references 'section twelve' without any corresponding heading or structural markup for that section, making it impossible for users to navigate to or identify that section. If the document is intended to have multiple sections, they should each have descriptive headings. Add descriptive headings (e.g., &lt;h2&gt;) for each section of the terms, including the section on choice-of-law provisions, so users can understand the structure and navigate the document (WCAG technique G130).</t>
  </si>
  <si>
    <t xml:space="preserve">The page fails primarily on WCAG 3.1.4 (Abbreviations) and 3.1.5 (Reading Level). The single paragraph of legal text introduces defined shorthand terms ('Party of the Second Part', 'Party of the First Part') without using &lt;abbr&gt; elements or a glossary to explain them, violating 3.1.4. The text is also written at an advanced legal reading level with extremely long, complex sentences and specialized jargon, with no plain-language supplement provided, violating 3.1.5. WCAG 1.3.1 is largely satisfied — the page uses a proper &lt;h1&gt; heading and a paragraph element with no misleading structure. WCAG 2.2.2 is inapplicable as there is no moving, blinking, or auto-updating content. WCAG 2.4.6 is passed as the single heading 'Terms of service' accurately describes the page content.</t>
  </si>
  <si>
    <t xml:space="preserve">[3.1.4] The term 'hereinafter' and the phrase 'Party of the Second Part' / 'Party of the First Part' are legal abbreviations/shorthand terms used without expansion or explanation. While not traditional acronyms, 'hereinafter referred to as' introduces a defined term that substitutes for the actual user, and no mechanism (e.g., &lt;abbr&gt; element or glossary) is provided to clarify these terms. Use the &lt;abbr&gt; element with a title attribute for any abbreviations or defined shorthand terms, or provide a glossary. For example: &lt;abbr title='the user accessing this site'&gt;Party of the Second Part&lt;/abbr&gt;. || [3.1.5] The paragraph is written in dense legal language requiring advanced literacy well beyond a lower secondary education reading level. Sentences are extremely long and complex, using legal jargon such as 'hereinafter', 'warrants', 'enumerated herein', 'indemnification obligations', 'choice-of-law provisions', 'without prejudice', and 'applicable law'. No supplemental content (plain-language summary, illustrations, or audio) is provided to assist readers with lower reading levels. Provide a plain-language summary of the terms at the top of the page, or rewrite the content at a lower secondary education reading level. If legal language must be retained, supplement it with a clearly written summary, illustrations, or audio explanation per WCAG technique G86.</t>
  </si>
  <si>
    <t xml:space="preserve">The page fails primarily on WCAG 3.1.5 (Reading Level, AAA) and 3.1.4 (Abbreviations, AAA) due to its single, extremely long and complex legal sentence filled with jargon and defined terms that lack any plain-language alternative or abbreviation expansion mechanism. WCAG 1.3.1 is largely met for the basic heading/paragraph structure, though the inline reference to 'section twelve' is not programmatically associated with any structural element. WCAG 2.2.2 and 2.4.6 are effectively inapplicable or passed: there is no moving/auto-updating content, and the single heading 'Terms of service' is descriptive of the page content.</t>
  </si>
  <si>
    <t xml:space="preserve">[3.1.4] Abbreviations are not expanded or explained. The phrase 'hereinafter referred to as the Party of the Second Part' is itself a form of defined term, but no mechanism (abbr element, glossary, or first-use expansion) is provided for any legal shorthand or jargon terms used throughout the text. Use the &lt;abbr&gt; element with a title attribute for any abbreviations or defined shorthand terms, or provide a glossary. For example, if 'Party of the Second Part' is abbreviated later, wrap it in &lt;abbr title='Party of the Second Part'&gt;PSP&lt;/abbr&gt;. || [3.1.5] The single paragraph of body text is written in dense legal prose far exceeding a lower-secondary education reading level. Sentences are extremely long and complex (the sole paragraph is a single sentence of ~100 words), filled with legal jargon ('hereinafter', 'warrants', 'enumerated herein', 'without prejudice', 'indemnification', 'choice-of-law'), making it inaccessible to users without advanced legal literacy. No supplemental content or simplified summary is provided. Provide a plain-language summary of the terms at the top of the page (WCAG technique G86), breaking the content into shorter sentences and replacing legal jargon with everyday language where possible. For example: 'By using this site, you agree to our rules. If you break the rules, we may remove your access.' || [1.3.1] The page references 'section twelve' in plain text but provides no structural markup (e.g., a heading, anchor, or list) to convey that relationship programmatically. The document structure is otherwise minimal but technically adequate for its single heading and paragraph. If 'section twelve' exists on the page or another page, mark it with an appropriate heading element and link to it with an &lt;a&gt; element so the relationship is conveyed programmatically, not just visually/textually.</t>
  </si>
  <si>
    <t xml:space="preserve">The page is a simple contact form with no animated or auto-updating content (2.2.2 inapplicable), no abbreviations (3.1.4 inapplicable), and straightforward plain-language content (3.1.5 passed). For WCAG 1.3.1, all form inputs are properly associated with labels via matching 'for' and 'id' attributes (e.g., &lt;label for='name'&gt; paired with &lt;input id='name'&gt;), the form is wrapped in a &lt;form&gt; element, and the heading &lt;h1&gt;Contact&lt;/h1&gt; correctly conveys structure — satisfying the Info and Relationships criterion. For WCAG 2.4.6, the heading 'Contact' accurately describes the page's purpose, and each label ('Name', 'Email', 'Message') clearly describes its corresponding control, meeting the Headings and Labels criterion. No violations were identified across any of the evaluated criteria.</t>
  </si>
  <si>
    <t xml:space="preserve">The page is a simple contact form with no animated or auto-updating content (2.2.2 inapplicable), no abbreviations (3.1.4 inapplicable), and straightforward plain-language content (3.1.5 passed). For WCAG 1.3.1, all form inputs are properly associated with labels via matching 'for' and 'id' attributes (e.g., &lt;label for='name'&gt; paired with &lt;input id='name'&gt;), the form is marked up with semantic HTML elements, and the heading &lt;h1&gt;Contact&lt;/h1&gt; correctly conveys structure — satisfying the Info and Relationships criterion. For WCAG 2.4.6, the heading 'Contact' accurately describes the page's purpose, and each label ('Name', 'Email', 'Message') clearly describes its corresponding input, satisfying the Headings and Labels criterion. No violations were identified across any of the evaluated criteria.</t>
  </si>
  <si>
    <t xml:space="preserve">The page is a simple contact form with no animated or auto-updating content (2.2.2 inapplicable), no abbreviations (3.1.4 inapplicable), and straightforward plain-language content suitable for a general audience (3.1.5 passed). For WCAG 1.3.1, all form inputs are properly associated with labels via matching 'for' and 'id' attributes (e.g., &lt;label for='name'&gt; paired with &lt;input id='name'&gt;), the form is marked up with semantic HTML elements, and the heading &lt;h1&gt;Contact&lt;/h1&gt; correctly conveys structure — no information is conveyed through presentation alone. For WCAG 2.4.6, the heading 'Contact' accurately describes the page's purpose, and each label ('Name', 'Email', 'Message') clearly describes its corresponding control. No violations were found across any of the evaluated criteria.</t>
  </si>
  <si>
    <t xml:space="preserve">The page partially fails the evaluated criteria. Under WCAG 1.3.1, the unordered list provides basic structural semantics, but the relationship between a faculty member's name and their role is not programmatically determinable — they are merged as undifferentiated text within each list item. Under WCAG 3.1.4 (AAA), the abbreviation 'Dr.' appears five times without any &lt;abbr&gt; element or other mechanism to expose its expanded form. WCAG 2.2.2 is inapplicable (no moving, blinking, or auto-updating content). WCAG 2.4.6 is largely satisfied since the single heading 'Faculty directory' accurately describes the page content. WCAG 3.1.5 is broadly met given the simple, plain-language content, though the unexpanded abbreviation slightly complicates readability.</t>
  </si>
  <si>
    <t xml:space="preserve">[1.3.1] The list of faculty members uses a plain unordered list, which is semantically appropriate. However, each list item conflates a person's name and their title/role as undifferentiated plain text, with no semantic markup (e.g., definition list, table, or nested structure) to distinguish the name from the role. This is a minor concern but the structure is still conveyed reasonably via the list element. Consider using a description list (&lt;dl&gt;, &lt;dt&gt;, &lt;dd&gt;) or a table with appropriate headers to semantically distinguish faculty names from their roles, so the relationship between name and title is programmatically determinable. || [3.1.4] The abbreviation 'Dr.' is used repeatedly throughout the list without any expansion or &lt;abbr&gt; element to clarify its meaning (Doctor/Doctor of Philosophy). WCAG 3.1.4 requires that abbreviations have a mechanism to identify their expanded form. Wrap 'Dr.' in an &lt;abbr&gt; element with a title attribute providing the expansion, e.g., &lt;abbr title="Doctor"&gt;Dr.&lt;/abbr&gt;, at least on first use.</t>
  </si>
  <si>
    <t xml:space="preserve">The page fails primarily on WCAG 1.3.1 because the relationship between each faculty member's name and their academic rank is conveyed only through visual comma-separated text with no programmatic structure to distinguish the two pieces of information. It also fails the AAA criterion 3.1.5 marginally in that the abbreviation 'Dr.' is not expanded via &lt;abbr&gt; elements. WCAG 2.2.2 is inapplicable (no moving, blinking, or auto-updating content). WCAG 2.4.6 is largely satisfied since the single heading 'Faculty directory' accurately describes the page content. WCAG 3.1.5 (Reading Level) is not clearly violated as the content is simple, though the unexpanded abbreviation 'Dr.' is a minor concern addressed under 3.1.4.</t>
  </si>
  <si>
    <t xml:space="preserve">[1.3.1] The list of faculty members uses a plain unordered list, which is semantically appropriate. However, each list item conflates a person's name and their title/role as undifferentiated plain text with no semantic markup (e.g., definition list, table, or spans with roles) to distinguish the name from the academic rank. This makes it impossible for assistive technologies to convey the relationship between a person and their role programmatically. Use a description list (&lt;dl&gt;, &lt;dt&gt;, &lt;dd&gt;) or a &lt;table&gt; with appropriate headers to semantically associate each faculty member's name with their role, or at minimum use structured markup (e.g., &lt;span class='name'&gt; and &lt;span class='role'&gt;) with ARIA if needed, so the relationship is conveyed programmatically. || [3.1.4] The honorific abbreviation 'Dr.' is used repeatedly throughout the list without any expansion or explanation. WCAG 3.1.4 (Level AAA) requires that abbreviations have their expanded form available. Use the &lt;abbr&gt; element with a title attribute to expand the abbreviation, e.g., &lt;abbr title='Doctor'&gt;Dr.&lt;/abbr&gt;, for each occurrence or at least the first occurrence on the page.</t>
  </si>
  <si>
    <t xml:space="preserve">The page is evaluated against WCAG 1.3.1, 2.2.2, 2.4.6, 3.1.4, and 3.1.5. For 1.3.1 (Info and Relationships), the faculty list is correctly marked up as a &lt;ul&gt; with &lt;li&gt; elements, and the page heading uses &lt;h1&gt;, so structure is conveyed semantically. For 2.2.2 (Pause, Stop, Hide), there is no moving, blinking, scrolling, or auto-updating content on the page, making this criterion inapplicable — no violation. For 2.4.6 (Headings and Labels), the single heading &lt;h1&gt;Faculty directory&lt;/h1&gt; is descriptive and accurately reflects the page content; no form labels are present. For 3.1.4 (Abbreviations), the honorific 'Dr.' appears repeatedly but is a widely understood conventional title rather than a technical abbreviation requiring expansion; no unexplained abbreviations are present that would constitute a failure. For 3.1.5 (Reading Level), the content is a simple directory list with straightforward language well within a lower-secondary education reading level. No violations were identified across any of the evaluated criteria.</t>
  </si>
  <si>
    <t xml:space="preserve">The page is evaluated against WCAG 1.3.1, 2.2.2, 2.4.6, 3.1.4, and 3.1.5. For 1.3.1 (Info and Relationships): the page uses semantic HTML correctly — h1 and h2 headings establish hierarchy, section elements with aria-label and implicit heading structure convey relationships programmatically. No tables, lists, or form controls are misused. For 2.2.2 (Pause, Stop, Hide): there is no moving, blinking, scrolling, or auto-updating content on the page, making this criterion inapplicable; no violation exists. For 2.4.6 (Headings and Labels): the headings 'Mitochondrial inheritance', 'Plain language summary', and 'Detail' are descriptive and accurately reflect the content of their respective sections. No form labels are present. For 3.1.4 (Abbreviations): no abbreviations are used in the page content (terms like 'DNA' could be considered an abbreviation, but the page does not use it — the full term 'Mitochondrial DNA' is written out and not abbreviated further). For 3.1.5 (Reading Level): the page provides a 'Plain language summary' section alongside the technical 'Detail' section, offering a supplemental lower-reading-level version of the content as recommended by WCAG technique G86, satisfying the requirement for content that requires a more advanced reading ability than lower secondary education level. Overall, the page passes all applicable criteria with no identified violations.</t>
  </si>
  <si>
    <t xml:space="preserve">The page is evaluated against WCAG 1.3.1, 2.2.2, 2.4.6, 3.1.4, and 3.1.5. For 1.3.1 (Info and Relationships): the page uses semantic HTML correctly — an &lt;h1&gt; for the page title, two &lt;h2&gt; headings within &lt;section&gt; elements, and a labeled section via aria-label. No tables, lists, or forms are present that could be improperly marked up. For 2.2.2 (Pause, Stop, Hide): there is no moving, blinking, scrolling, or auto-updating content on the page, making this criterion inapplicable; no failure is recorded. For 2.4.6 (Headings and Labels): the headings 'Mitochondrial inheritance,' 'Plain language summary,' and 'Detail' are descriptive and accurately reflect the content of their respective sections. No form labels are present. For 3.1.4 (Abbreviations): no abbreviations appear in the page content without expansion — terms like 'DNA' could be considered an abbreviation, but the page does not use &lt;abbr&gt; for it. However, 3.1.4 is a Level AAA criterion and 'DNA' is widely understood; still, strictly speaking, the absence of &lt;abbr title='Deoxyribonucleic acid'&gt;DNA&lt;/abbr&gt; could be noted as a minor gap. Given the AAA nature and common recognition of 'DNA,' this is treated as a minor observation rather than a hard failure. For 3.1.5 (Reading Level): the page provides a 'Plain language summary' section alongside the technical detail section, which is a recognized technique (G86) for meeting the reading level criterion. The plain-language section uses simple vocabulary and short sentences accessible to a general audience. Overall, the page passes all applicable criteria with no significant violations.</t>
  </si>
  <si>
    <t xml:space="preserve">The page is evaluated against WCAG 1.3.1, 2.2.2, 2.4.6, 3.1.4, and 3.1.5. For 1.3.1 (Info and Relationships): the page uses semantic HTML correctly — an &lt;h1&gt; for the page title, two &lt;h2&gt; headings within &lt;section&gt; elements, and a labeled section via aria-label. No tables, lists, or forms are present that could be improperly marked up. For 2.2.2 (Pause, Stop, Hide): there is no moving, blinking, scrolling, or auto-updating content on the page, making this criterion inapplicable. For 2.4.6 (Headings and Labels): the headings 'Mitochondrial inheritance,' 'Plain language summary,' and 'Detail' are descriptive and accurately reflect the content of their respective sections. No form labels are present. For 3.1.4 (Abbreviations): no abbreviations are used in the page content (terms like 'DNA' could be considered an abbreviation, but the page does not use it — the full term 'Mitochondrial DNA' is spelled out and no &lt;abbr&gt; element is needed for unexpanded short forms). For 3.1.5 (Reading Level): the page provides a 'Plain language summary' section that explains the complex biological content in simple, accessible language, supplementing the more technical 'Detail' section. This satisfies the spirit of WCAG 3.1.5 by offering a lower secondary education reading level alternative alongside the advanced content. Overall, the page passes all applicable criteria.</t>
  </si>
  <si>
    <t xml:space="preserve">The page is evaluated against WCAG 1.3.1 (Info and Relationships), 2.2.2 (Pause, Stop, Hide), 2.4.6 (Headings and Labels), 3.1.4 (Abbreviations), and 3.1.5 (Reading Level). For 1.3.1: The page uses a semantically correct &lt;h1&gt; heading and an &lt;ol&gt; ordered list to convey the sequential steps, accurately representing the structure and relationships in the content programmatically. For 2.2.2: There is no moving, blinking, scrolling, or auto-updating content on the page, making this criterion inapplicable — no violation exists. For 2.4.6: The single &lt;h1&gt; heading 'How to wash your hands' is descriptive and accurately reflects the page content; there are no form labels present, so no label issues arise. For 3.1.4 (AAA): No abbreviations or acronyms appear in the content, making this criterion inapplicable. For 3.1.5 (AAA): The content is written in plain, simple language (short sentences, common words, no jargon), appropriate for a broad audience and consistent with a lower secondary education reading level. All evaluated criteria are either passed or inapplicable, resulting in an overall 'passed' verdict.</t>
  </si>
  <si>
    <t xml:space="preserve">The page passes all five evaluated criteria. For WCAG 1.3.1 (Info and Relationships), the content uses semantically correct HTML: an &lt;h1&gt; heading, an &lt;ol&gt; ordered list for sequential steps, and &lt;p&gt; paragraphs for prose — all relationships are conveyed through proper markup. For WCAG 2.2.2 (Pause, Stop, Hide), there is no moving, blinking, scrolling, or auto-updating content on the page, making any violation impossible. For WCAG 2.4.6 (Headings and Labels), the single heading 'How to wash your hands' is descriptive and accurately reflects the page content; there are no form controls requiring labels. For WCAG 3.1.4 (Abbreviations), no abbreviations or acronyms appear anywhere in the page content, so the criterion is effectively inapplicable and no violations exist. For WCAG 3.1.5 (Reading Level), the text is written in plain, simple language — short sentences, common everyday words (e.g., 'wet,' 'soap,' 'rinse,' 'dry'), and no technical jargon — consistent with a reading level well below lower secondary education, satisfying the AAA requirement.</t>
  </si>
  <si>
    <t xml:space="preserve">The page is evaluated against WCAG 1.3.1 (Info and Relationships), 2.2.2 (Pause, Stop, Hide), 2.4.6 (Headings and Labels), 3.1.4 (Abbreviations), and 3.1.5 (Reading Level). For 1.3.1: The page uses a semantic &lt;h1&gt; heading and an &lt;ol&gt; ordered list to convey the step-by-step structure, correctly representing the visual and logical relationships in markup. For 2.2.2: There is no moving, blinking, scrolling, or auto-updating content on the page, making this criterion inapplicable — no violation exists. For 2.4.6: The single heading &lt;h1&gt;How to wash your hands&lt;/h1&gt; is descriptive and accurately reflects the page content; no form labels are present. For 3.1.4 (AAA): No abbreviations or acronyms appear anywhere in the content. For 3.1.5 (AAA): The content is written in plain, simple language with short sentences and common words (e.g., 'Turn on the water,' 'Get your hands wet'), targeting a reading level well below lower secondary education, which satisfies this AAA criterion. No issues were identified across any of the evaluated criteria.</t>
  </si>
  <si>
    <t xml:space="preserve">The page contains a single image input element used as a button, but it lacks any text alternative (no alt, aria-label, or aria-labelledby attribute). This violates WCAG 1.1.1 (Non-text Content), which requires all non-text content to have a text alternative, and WCAG 4.1.2 (Name, Role, Value), which requires interactive controls to have an accessible name. The fix is straightforward: add an alt attribute such as alt="Search" to the input element, per WCAG technique H36.</t>
  </si>
  <si>
    <t xml:space="preserve">[1.1.1] The image input element is missing an accessible text alternative (alt attribute). Image inputs used as submit buttons must have a text alternative that describes the button's purpose. Add an alt attribute with a descriptive label, e.g., alt="Search". Technique H36 requires that image inputs have an alt attribute describing the button's function. || [4.1.2] The image input has no accessible name. Without an alt attribute (or aria-label/aria-labelledby), assistive technologies cannot announce the control's purpose, violating the Name requirement of 4.1.2. Add alt="Search" (or an equivalent aria-label) to provide an accessible name for the image input control.</t>
  </si>
  <si>
    <t xml:space="preserve">The page contains a single &lt;input type='image'&gt; element that serves as an interactive image button. It has no 'alt' attribute, no 'aria-label', and no 'aria-labelledby', meaning it has no accessible name. This violates WCAG 1.1.1 (Non-text Content), which requires a text alternative for all non-text content, and WCAG 4.1.2 (Name, Role, Value), which requires that all user interface components have a programmatically determinable name. The 'name' attribute ('search') is a form submission parameter and is not exposed as an accessible name by browsers or assistive technologies. The fix is straightforward: add alt="Search" to the element.</t>
  </si>
  <si>
    <t xml:space="preserve">[1.1.1] The image input element is missing an accessible name (alt text). An &lt;input type='image'&gt; acts as a button and must have a text alternative describing its purpose. Add an 'alt' attribute with a descriptive label, e.g., alt="Search". Alternatively, use aria-label or aria-labelledby to provide an accessible name. This satisfies WCAG technique H36. || [4.1.2] The image input element lacks an accessible name, which means assistive technologies cannot convey its role and purpose to users. An interactive control must have a programmatically determinable name. Add alt="Search" (or equivalent descriptive text) to the input element so that its name is exposed to the accessibility tree. The 'name' attribute is not used as an accessible name by assistive technologies.</t>
  </si>
  <si>
    <t xml:space="preserve">The page contains a single &lt;input type='image'&gt; element that lacks any accessible name (no alt attribute, no aria-label, no aria-labelledby, and no title). This violates WCAG 1.1.1 (Non-text Content) because the image input—which serves as an interactive control—has no text alternative, and WCAG 4.1.2 (Name, Role, Value) because the control's name cannot be programmatically determined. The fix is straightforward: add an alt attribute describing the button's action (e.g., alt="Search"). WCAG 1.3.1, 2.1.1, and 2.4.1 are not directly violated by this specific markup, as the element is keyboard-focusable by default and there are no structural or bypass-block issues introduced.</t>
  </si>
  <si>
    <t xml:space="preserve">[1.1.1] The image input element is missing an accessible name (alt text). An &lt;input type='image'&gt; acts as a button and must have a text alternative describing its purpose. Add an alt attribute with a descriptive label, e.g., alt="Search". Alternatively, use aria-label or aria-labelledby to provide an accessible name. Technique H36 requires that image inputs have an alt attribute describing the button's function. || [4.1.2] The image input has no accessible name, violating the requirement that all UI components have a name that can be programmatically determined. Without an alt, aria-label, or aria-labelledby, assistive technologies cannot announce the control's purpose. Add alt="Search" (or an appropriate label) to the input element so that its name is programmatically determinable by assistive technologies.</t>
  </si>
  <si>
    <t xml:space="preserve">The page contains a single image used as a decorative icon adjacent to the text 'PDF document'. The image has an empty alt attribute (alt=''), which is the correct technique (H67) for marking a decorative or redundant image as presentable to assistive technologies as having no meaningful content. Since the text 'PDF document' immediately follows the image and conveys the same information the image would otherwise represent, the empty alt is appropriate and the image is correctly treated as decorative. No other non-text content, interactive elements, forms, or structural relationships are present that would trigger failures under WCAG 1.1.1, 1.3.1, 2.1.1, 2.4.1, or 4.1.2. The page is a minimal static document with no keyboard traps, no bypass block needs (no repeated content), and no interactive widgets lacking names or roles.</t>
  </si>
  <si>
    <t xml:space="preserve">The page contains a single image used as a decorative icon adjacent to the text 'PDF document'. The image has an empty alt attribute (alt=''), which is the correct technique (H67) for decorative or redundant images. Since the image is purely decorative and the meaningful content ('PDF document') is conveyed by the adjacent text, WCAG 1.1.1 is satisfied. There are no forms, interactive controls, or complex structures that would raise concerns under 1.3.1, 2.1.1, 2.4.1, or 4.1.2. The page is simple and static with no keyboard traps, no repeated blocks requiring bypass mechanisms, and no custom widgets lacking name/role/value. All evaluated criteria are either passed or inapplicable.</t>
  </si>
  <si>
    <t xml:space="preserve">The page contains a single image used as a decorative icon alongside adjacent text 'PDF document'. The image has an empty alt attribute (alt=''), which is the correct technique (H67) for marking a decorative or redundant image as presentable to assistive technologies as purely decorative. Since the image is purely decorative and the meaningful content is conveyed by the adjacent text, WCAG 1.1.1 is satisfied. There are no forms, interactive controls, or complex structures that would raise issues under 1.3.1, 2.1.1, 2.4.1, or 4.1.2. The page is simple and static with no keyboard traps, no repeated blocks requiring bypass mechanisms, and no custom widgets lacking name/role/value. Overall, the page passes all evaluated criteria.</t>
  </si>
  <si>
    <t xml:space="preserve">The page contains a single image-type input element whose aria-labelledby attribute references an element ID ('non-existing') that does not exist in the DOM. As a result, the accessible name computation yields an empty string, meaning the control has no accessible name and the image has no text alternative. This violates WCAG 1.1.1 (Non-text Content), which requires a text alternative for non-text content, and WCAG 4.1.2 (Name, Role, Value), which requires that user interface components have an accessible name. The fix is to provide a meaningful alt attribute (e.g., alt="Search") or a valid aria-label, or to ensure the aria-labelledby value matches an existing element's ID.</t>
  </si>
  <si>
    <t xml:space="preserve">[1.1.1] The image input has an aria-labelledby attribute referencing a non-existing element, resulting in no accessible name and no text alternative for the image. Provide a valid accessible name using alt attribute (e.g., alt="Search"), a valid aria-labelledby referencing an existing element's ID, or an aria-label attribute. || [4.1.2] The image input control has no computable accessible name because aria-labelledby references a non-existing element ID ('non-existing'), violating the requirement that UI components have a name. Add a valid alt attribute or aria-label to the input element, or ensure aria-labelledby references an existing element in the DOM.</t>
  </si>
  <si>
    <t xml:space="preserve">The page contains a single image-type input element whose aria-labelledby attribute references an ID ('non-existing') that does not exist anywhere in the document. Per WCAG 1.1.1, all non-text content used as a control must have a text alternative that describes its purpose; the broken aria-labelledby reference yields no accessible name, failing this requirement. Additionally, per WCAG 4.1.2, user interface components must have a name that can be determined programmatically; because the referenced element does not exist, the accessible name computation produces an empty string, leaving the control unnamed. The page fails both criteria. To remediate, the developer should add a valid alt attribute (e.g., alt="Search") or correct the aria-labelledby to point to an existing element containing descriptive text.</t>
  </si>
  <si>
    <t xml:space="preserve">[1.1.1] The image input has an aria-labelledby attribute referencing a non-existing element, resulting in no accessible name and no text alternative for the image. Provide a valid accessible name using alt attribute (e.g., alt="Search"), a valid aria-labelledby referencing an existing element's ID, or an aria-label attribute with a descriptive value. || [4.1.2] The image input has an aria-labelledby referencing a non-existing element ('non-existing'), which means the control has no computable accessible name, violating the Name, Role, Value requirement. Ensure the aria-labelledby attribute references an existing element ID, or use alt or aria-label to provide a valid accessible name for the input control.</t>
  </si>
  <si>
    <t xml:space="preserve">The page contains a single image input element whose aria-labelledby attribute references an element ID ('non-existing') that does not exist in the DOM. Per the accessible name computation algorithm, when aria-labelledby references a non-existent element, it yields no accessible name. There is also no alt attribute, aria-label, or title attribute to serve as a fallback. This violates WCAG 1.1.1 (no text alternative for the image input) and WCAG 4.1.2 (the interactive control has no accessible name). Assistive technology users will be unable to determine the purpose of this control.</t>
  </si>
  <si>
    <t xml:space="preserve">[1.1.1] The image input has an aria-labelledby attribute referencing a non-existing element, resulting in no accessible name and no text alternative for the image. Provide a valid accessible name using alt attribute (e.g., alt="Search"), a valid aria-labelledby referencing an existing element ID, or an aria-label attribute. || [4.1.2] The image input control has no computable accessible name because aria-labelledby references a non-existing element ID ('non-existing'), violating the requirement that all UI components have a name. Add a valid alt attribute or aria-label to the input element, or ensure the aria-labelledby value references an existing element in the DOM.</t>
  </si>
  <si>
    <t xml:space="preserve">The page contains a single image element with role='none', which explicitly marks it as decorative and removes it from the accessibility tree. This is a valid technique (equivalent to alt='') for decorative images under WCAG 1.1.1 (H67/ARIA technique). Since the image is purely decorative and properly marked as such, no text alternative is required. The other criteria (1.3.1, 2.1.1, 2.4.1, 4.1.2) are effectively inapplicable or satisfied: there are no structural relationships to convey, no interactive elements requiring keyboard access, no repeated blocks requiring a bypass mechanism, and no UI components with name/role/value requirements beyond the decorative image already handled. The page passes all evaluated criteria.</t>
  </si>
  <si>
    <t xml:space="preserve">The page contains a single image element with role='none', which explicitly marks it as decorative and removes it from the accessibility tree. According to WCAG 1.1.1 technique H67 and ARIA techniques, using role='none' (or role='presentation') on an image is an acceptable method to indicate that the image is decorative and does not require a text alternative. No other non-text content, interactive elements, forms, or structural relationships are present on the page that would trigger the other evaluated criteria (1.3.1, 2.1.1, 2.4.1, 4.1.2). The page passes all applicable success criteria.</t>
  </si>
  <si>
    <t xml:space="preserve">The page contains a single image element with role='none', which explicitly marks it as decorative and removes it from the accessibility tree. This is a valid technique (ARIA6/ARIA16 equivalent, consistent with WCAG technique F38 avoidance) for decorative images under WCAG 1.1.1. No alt text is required because the image conveys no information. The role='none' attribute correctly indicates the element is presentational. WCAG 1.3.1 is satisfied as there are no meaningful informational relationships conveyed through the image. WCAG 2.1.1 is satisfied as there are no interactive elements. WCAG 2.4.1 is not applicable as there is no repeated block content requiring a bypass mechanism. WCAG 4.1.2 is satisfied because the image with role='none' is correctly removed from the accessibility tree and requires no name, role, or value exposure. Overall, the page passes all applicable success criteria.</t>
  </si>
  <si>
    <t xml:space="preserve">The page contains a single non-text content element: an &lt;object&gt; element embedding a W3C logo image. The object is given an accessible name via aria-labelledby='label', which references a visible &lt;span id='label'&gt; containing the text 'W3C logo'. This satisfies WCAG 1.1.1 (Non-text Content) by providing a text alternative for the non-text content (Technique ARIA10). WCAG 1.3.1 (Info and Relationships) is satisfied as the label relationship is programmatically determinable through the aria-labelledby association. WCAG 2.1.1 (Keyboard) is not violated as there are no interactive elements that would trap keyboard focus. WCAG 2.4.1 (Bypass Blocks) is largely inapplicable given the minimal page structure, though no repeated blocks exist to bypass. WCAG 4.1.2 (Name, Role, Value) is satisfied because the &lt;object&gt; element has a programmatically determinable name via aria-labelledby. Overall, the page passes all applicable success criteria.</t>
  </si>
  <si>
    <t xml:space="preserve">The page contains a single non-text content element: an &lt;object&gt; element embedding a W3C logo image. The object is given an accessible name via aria-labelledby='label', which references the visible &lt;span id='label'&gt;W3C logo&lt;/span&gt; text. This satisfies WCAG 1.1.1 (Non-text Content) by providing a text alternative for the non-text content (Technique ARIA10). For WCAG 1.3.1 (Info and Relationships), the structure is simple and the label association is programmatically determinable. WCAG 2.1.1 (Keyboard) has no interactive elements that would trap keyboard focus. WCAG 2.4.1 (Bypass Blocks) is largely inapplicable as there are no repeated blocks of content, though the page is minimal enough that no bypass mechanism is needed. WCAG 4.1.2 (Name, Role, Value) is satisfied because the &lt;object&gt; element has a programmatically determined name via aria-labelledby. No violations were found against any of the evaluated criteria.</t>
  </si>
  <si>
    <t xml:space="preserve">The page contains a single non-text content element: an &lt;object&gt; element embedding a W3C logo image. The object is given an accessible name via aria-labelledby='label', which references a visible &lt;span id='label'&gt; containing the text 'W3C logo'. This satisfies WCAG 1.1.1 (Non-text Content) by providing a text alternative for the non-text content (Technique ARIA10). WCAG 1.3.1 is satisfied as the page structure is simple with no complex relationships that are misrepresented. WCAG 2.1.1 is inapplicable as there are no interactive elements requiring keyboard access. WCAG 2.4.1 is largely inapplicable given the minimal page content with no repetitive blocks to bypass. WCAG 4.1.2 is satisfied because the &lt;object&gt; element has a proper accessible name through aria-labelledby. No violations were found against any of the evaluated criteria.</t>
  </si>
  <si>
    <t xml:space="preserve">The page contains only a decorative SVG circle with no interactive elements, no navigation blocks, no form controls, no custom widgets, and no non-text content that conveys information. WCAG 2.4.1 (Bypass Blocks) is inapplicable because there are no repeated blocks of content to bypass. WCAG 2.1.1 (Keyboard) is inapplicable as there are no interactive or focusable elements. WCAG 4.1.2 (Name, Role, Value) is inapplicable because there are no UI components or form elements. WCAG 1.3.1 (Info and Relationships) is inapplicable as there is no structured content conveying information through presentation. WCAG 1.1.1 (Non-text Content) could technically apply to the SVG, but the circle appears purely decorative and conveys no information — ideally it would have role='presentation' or aria-hidden='true', but since it carries no informational purpose, the criterion is effectively inapplicable in this context. No violations are identified.</t>
  </si>
  <si>
    <t xml:space="preserve">The page contains only a decorative SVG circle with no interactive elements, no navigation blocks, no form controls, no custom widgets, and no meaningful non-text content requiring a text alternative. WCAG 1.1.1 is inapplicable because the SVG appears to be purely decorative (no meaningful information conveyed) and carries no role or label — though strictly speaking it lacks role='presentation' or aria-hidden='true', the circle conveys no information. WCAG 1.3.1 is inapplicable as there are no informational structures (headings, lists, tables, or form relationships) present. WCAG 2.1.1 is inapplicable as there are no interactive or operable components. WCAG 2.4.1 is inapplicable as there are no repeated blocks of content to bypass. WCAG 4.1.2 is inapplicable as there are no UI components requiring name, role, or value. The page is essentially a blank page with a decorative graphic, so none of the evaluated criteria are violated.</t>
  </si>
  <si>
    <t xml:space="preserve">The page contains only a decorative SVG circle with no interactive elements, no navigation blocks, no form controls, no custom widgets, and no non-text content that conveys information. WCAG 2.4.1 (Bypass Blocks) is inapplicable because there are no repeated blocks of content to bypass. WCAG 2.1.1 (Keyboard) is inapplicable as there are no interactive or focusable elements. WCAG 4.1.2 (Name, Role, Value) is inapplicable because there are no UI components or form elements. WCAG 1.3.1 (Info and Relationships) is inapplicable as there is no structured content conveying information through presentation. WCAG 1.1.1 (Non-text Content) could technically apply to the SVG, but the circle appears purely decorative and conveys no information — however, it lacks a role='img' with an accessible name or an explicit role='presentation'/'none' to formally mark it as decorative. In practice, since the SVG has no title, no aria-label, and no meaningful semantic role, and the content is a simple geometric shape with no informational purpose, the criterion is effectively inapplicable in this minimal example.</t>
  </si>
  <si>
    <t xml:space="preserve">The page fails on both WCAG 1.3.1 (Info and Relationships) and WCAG 4.1.2 (Name, Role, Value). The &lt;ol&gt; element has been assigned role='tablist', which overrides its native ordered list semantics, while its child &lt;li&gt; retains role='listitem'. This creates an invalid ARIA ownership structure: a tablist must own tab-role children, not listitem-role children. Assistive technologies will receive conflicting or incorrect role information, misrepresenting the structure and purpose of the content to users who rely on screen readers or other AT. The markup neither correctly conveys list semantics nor correctly implements a tab widget pattern.</t>
  </si>
  <si>
    <t xml:space="preserve">[1.3.1] An ordered list element has been given role='tablist', which overrides its native list semantics. The child element retains role='listitem', which is not a valid child role for a tablist (which requires tab children). This creates a mismatch between the visual/structural presentation and the programmatic semantics exposed to assistive technologies. Do not override the native semantics of an &lt;ol&gt; element with role='tablist' unless the content is genuinely a tab interface. If it is a list, remove the role='tablist' attribute. If it is a tab interface, use appropriate markup: a container with role='tablist' containing elements with role='tab', not role='listitem'. || [4.1.2] The role='tablist' is applied to an &lt;ol&gt; element whose child has role='listitem'. A tablist must contain tab-role children. The child element with role='listitem' is not a valid owned element of a tablist per ARIA specification (ARIA required owned elements for tablist is 'tab'). This results in an invalid ARIA ownership relationship, breaking the Name, Role, Value requirements for the composite widget. Ensure that elements with role='tablist' only contain elements with role='tab' as direct children. If the intent is a list, remove the ARIA roles entirely and rely on native &lt;ol&gt;/&lt;li&gt; semantics. If the intent is a tab widget, restructure the markup so that each tab item uses role='tab' and is associated with a corresponding role='tabpanel'.</t>
  </si>
  <si>
    <t xml:space="preserve">The page fails on both WCAG 1.3.1 (Info and Relationships) and WCAG 4.1.2 (Name, Role, Value). An &lt;ol&gt; element is assigned role='tablist', which conflicts with its native ordered list semantics and creates an invalid ARIA ownership relationship: a 'tablist' requires 'tab' children, but the child &lt;li&gt; retains role='listitem'. This misrepresents the structure to assistive technologies, which will announce a tablist widget with no valid tab items, breaking both the semantic structure and the programmatic role/value requirements.</t>
  </si>
  <si>
    <t xml:space="preserve">[1.3.1] An ordered list element has been given a conflicting ARIA role of 'tablist', which overrides its native list semantics. The child element retains 'listitem' role, creating a mismatch: a 'listitem' is not a valid child of a 'tablist' (which requires 'tab' children). This misrepresents the structure and relationships of the content. Do not override the native list semantics with an incompatible ARIA role. If a tablist is needed, use appropriate markup with proper 'tab' roles for children (e.g., &lt;div role='tablist'&gt;&lt;button role='tab'&gt;Item 1&lt;/button&gt;&lt;/div&gt;). If a list is needed, remove the role='tablist' attribute entirely. || [4.1.2] The ARIA role 'tablist' is applied to an &lt;ol&gt; element whose child has role='listitem'. The required owned element for a 'tablist' is 'tab', not 'listitem'. This violates the required parent-child role relationships defined in ARIA, meaning the widget does not have a valid name, role, and value structure that assistive technologies can interpret correctly. Ensure that elements with role='tablist' contain children with role='tab'. Either restructure the markup to use a proper tablist pattern or remove the conflicting ARIA roles so the native list semantics are preserved.</t>
  </si>
  <si>
    <t xml:space="preserve">The page fails WCAG 1.3.1 (Info and Relationships) and 4.1.2 (Name, Role, Value) because an &lt;ol&gt; element has been assigned role='tablist' while its child &lt;li&gt; retains role='listitem'. This creates an invalid ARIA ownership relationship: the tablist role requires tab-role children, not listitem-role children. Assistive technologies will receive conflicting or incorrect semantic information — the container signals a tab widget, but the child signals a list item. This breaks the programmatic determination of structure and the correct exposure of roles and relationships to users of assistive technology.</t>
  </si>
  <si>
    <t xml:space="preserve">[1.3.1] An ordered list element has been given role='tablist', which overrides its native list semantics. The child element retains role='listitem', which is not a valid child role for a tablist (which requires 'tab' children). This creates a mismatch between the visual/structural presentation and the programmatic semantics conveyed to assistive technologies. Do not override the native semantics of an &lt;ol&gt; element with role='tablist' unless the content is truly a tab widget. If it is a tab widget, use appropriate markup: &lt;div role='tablist'&gt; with &lt;button role='tab'&gt; children. If it is a list, remove the role='tablist' attribute and keep the native &lt;ol&gt;/&lt;li&gt; semantics. || [4.1.2] The element with role='tablist' contains a child with role='listitem', which violates the required ownership rules for the tablist role. ARIA requires that tablist elements contain only tab-role children. This means the tab widget is not correctly structured, and assistive technologies may not be able to expose the correct name, role, or value for these elements. Ensure that elements with role='tablist' only contain elements with role='tab' as direct children. If a tab interface is intended, restructure the markup to use &lt;div role='tablist'&gt; containing &lt;button role='tab'&gt; elements with appropriate aria-selected and aria-controls attributes.</t>
  </si>
  <si>
    <t xml:space="preserve">The page contains a single layout table marked with role='presentation', which removes its semantic table role from the accessibility tree. The cells use 'headers' attributes referencing other cells, but since the table is explicitly marked as presentational, these associations carry no semantic meaning and do not constitute a violation of WCAG 1.3.1. There are no headings, landmarks, forms, images, interactive controls, or other structures that would trigger failures under 1.1.1, 2.1.1, 2.4.1, or 4.1.2. The use of role='presentation' is a recognized technique (F46 avoidance) for layout tables, and the content is simple static text with no interactive elements. All evaluated criteria either pass or are effectively inapplicable given the minimal, non-interactive nature of the page.</t>
  </si>
  <si>
    <t xml:space="preserve">The page fails WCAG 1.3.1 (Info and Relationships) because the table uses role='presentation', which removes all semantic table structure from assistive technologies, yet the markup simultaneously uses 'id' and 'headers' attributes that imply data relationships between cells. This is contradictory: role='presentation' nullifies the programmatic associations created by the 'headers' attributes. Additionally, the header row uses &lt;td&gt; elements instead of &lt;th&gt; elements, further undermining the ability of assistive technologies to identify and convey the column header relationships. The table should either be corrected to a proper data table (removing role='presentation', using &lt;th scope='col'&gt; for headers) or, if it is truly a layout table, all data-relationship attributes should be removed.</t>
  </si>
  <si>
    <t xml:space="preserve">[1.3.1] A table with role='presentation' is being used with data relationships (headers/data cells), but the presentation role strips all semantic table structure from assistive technologies. The cells use 'headers' attributes referencing other cells, indicating this is actually a data table, not a layout table. Using role='presentation' removes the ability for assistive technologies to convey the row/column relationships. If this is a data table (which the use of 'headers' attributes implies), remove role='presentation' and use proper semantic markup: replace the header &lt;td&gt; elements with &lt;th scope='col'&gt; elements. If it is truly a layout table, remove the 'headers' and 'id' attributes as they are meaningless in a presentation table. || [1.3.1] The header cells are marked up as &lt;td&gt; elements rather than &lt;th&gt; elements. Even without role='presentation', using &lt;td&gt; for column headers fails to convey the header-data relationship programmatically via native semantics. Replace &lt;td id='header1'&gt; and &lt;td id='header2'&gt; with &lt;th scope='col' id='header1'&gt; and &lt;th scope='col' id='header2'&gt; to properly identify them as column headers (WCAG technique H43/H63).</t>
  </si>
  <si>
    <t xml:space="preserve">The page fails WCAG 1.3.1 (Info and Relationships) because the table uses role='presentation' which removes all semantic table structure from assistive technologies, yet the markup simultaneously uses id and headers attributes to express data relationships between cells. This is contradictory: role='presentation' instructs assistive technologies to ignore the table's native semantics (including any header-cell associations), making the headers attributes non-functional. The content ('Project Status', 'Objective', '15%', '10%') appears to represent meaningful data relationships that should be conveyed programmatically. The correct approach is either to use a proper data table with &lt;th scope='col'&gt; elements, or if layout is truly the intent, to remove all the data-relationship attributes. The other evaluated criteria (1.1.1, 2.1.1, 2.4.1, 4.1.2) are largely inapplicable or not violated given the simple, text-only content of this page.</t>
  </si>
  <si>
    <t xml:space="preserve">[1.3.1] A table with role='presentation' is being used with data relationships (headers/data cells), but the presentation role strips all semantic table structure from assistive technologies. The use of 'headers' attributes on td elements is meaningless when the table has role='presentation', as the semantic associations are suppressed. Conversely, if this table is actually conveying data relationships (project status percentages vs objectives), it should be a proper data table with &lt;th&gt; elements and appropriate scope or headers attributes, not a presentation table. If this table conveys data relationships, remove role='presentation' and replace the header &lt;td&gt; elements with &lt;th scope='col'&gt; elements (removing the id/headers attributes in favor of scope). If this table is truly for layout only, remove the id and headers attributes as they are misleading and serve no purpose with role='presentation'.</t>
  </si>
  <si>
    <t xml:space="preserve">The page contains a single table with role='presentation', which removes it from the accessibility tree as a data table. Because the table is explicitly marked as presentational, WCAG 1.3.1 (Info and Relationships) does not require it to have proper table semantics such as captions or scope attributes. There are no images, so 1.1.1 is effectively inapplicable. There are no interactive elements, so 2.1.1 and 4.1.2 have nothing to evaluate. There are no repeated blocks of content requiring a skip mechanism, so 2.4.1 is also inapplicable. The use of role='presentation' on the table is a recognized technique (F46 avoidance) to indicate the table is used for layout rather than data, and no WCAG violations are identified.</t>
  </si>
  <si>
    <t xml:space="preserve">The page contains a single table with role='presentation', which removes it from the accessibility tree as a data table. Because the table is explicitly marked as presentational, WCAG 1.3.1 (Info and Relationships) does not require it to have proper table semantics such as captions or scope attributes. There are no images, so 1.1.1 is effectively inapplicable. There are no interactive elements, custom widgets, or form controls, so 2.1.1 (Keyboard), 2.4.1 (Bypass Blocks), and 4.1.2 (Name, Role, Value) have nothing to flag. The use of role='presentation' is a recognized ARIA technique (ARIA4) to neutralize native table semantics when the table is used purely for layout. No violations are identified against any of the five evaluated criteria.</t>
  </si>
  <si>
    <t xml:space="preserve">This page contains a single layout table marked with role='presentation', which removes its semantic table role from the accessibility tree. There are no images (making 1.1.1 inapplicable), no interactive controls or keyboard-operable components (making 2.1.1 inapplicable), no repeated blocks of content requiring a skip mechanism (making 2.4.1 inapplicable), and no form controls or widgets requiring name/role/value exposure (making 4.1.2 inapplicable). Regarding 1.3.1, the table uses role='presentation' which explicitly strips the structural semantics, and the content ('Time' and '12:00') is simple enough that no meaningful information or relationships are conveyed through the table structure that would be lost. The page is essentially a minimal, static text display with no accessibility violations applicable to the evaluated criteria.</t>
  </si>
  <si>
    <t xml:space="preserve">The page fails multiple WCAG criteria. For 1.3.1, the use of a &lt;li&gt; element as a direct child of a &lt;div role='list'&gt; creates an invalid HTML structure that may not be correctly interpreted by assistive technologies. For 4.1.2, the &lt;span role='link'&gt; element claims a link role but lacks the necessary keyboard operability and focusability required for that role. For 2.1.1, the &lt;span role='link'&gt; is not reachable via keyboard due to the absence of a tabindex attribute, making it inaccessible to keyboard-only users. These issues collectively represent serious accessibility failures that would prevent users of assistive technologies and keyboard-only users from properly understanding and interacting with the page content.</t>
  </si>
  <si>
    <t xml:space="preserve">[1.3.1] A &lt;li&gt; element is used outside of a proper list container. The parent element has role='list' but is a &lt;div&gt;, and the &lt;li&gt; element is not a valid child of a &lt;div&gt;. This creates an invalid DOM structure where the semantic meaning of the list item is not properly conveyed. Use a proper &lt;ul&gt; or &lt;ol&gt; element as the list container instead of a &lt;div&gt; with role='list', or replace &lt;li&gt; with &lt;div role='listitem'&gt; to maintain valid HTML structure. || [4.1.2] A &lt;span&gt; element has role='link' but lacks an href attribute or any keyboard interaction handler, meaning it does not behave as a link. Additionally, it has no tabindex attribute, making it unreachable via keyboard navigation. A link role requires the element to be focusable and operable. Either use a proper &lt;a href='...'&gt; element, or if using role='link' on a &lt;span&gt;, add tabindex='0' and a keyboard event handler (e.g., keydown for Enter key) to ensure it is keyboard accessible and functional. || [2.1.1] The &lt;span role='link'&gt; element is not keyboard focusable because it lacks a tabindex attribute. Users who rely on keyboard navigation cannot access or activate this interactive element. Add tabindex='0' to the &lt;span role='link'&gt; element and implement keyboard event handlers so it can be focused and activated via keyboard (e.g., Enter key press).</t>
  </si>
  <si>
    <t xml:space="preserve">The page fails multiple WCAG criteria. For 1.3.1 (Info and Relationships), the list structure is invalid: a &lt;div role='list'&gt; contains a bare &lt;li&gt; element (invalid HTML) and a &lt;span role='link'&gt; without a listitem role, breaking the required parent-child relationship for lists. For 4.1.2 (Name, Role, Value), the &lt;span role='link'&gt; lacks an accessible name and does not have the expected interactive behaviors of a link. For 2.1.1 (Keyboard), the &lt;span role='link'&gt; is not keyboard focusable or operable due to missing tabindex and keyboard event handlers. These issues collectively make the page inaccessible to assistive technology users and keyboard-only users.</t>
  </si>
  <si>
    <t xml:space="preserve">[1.3.1] A &lt;li&gt; element is used outside of a proper list container. The parent element has role='list' but is a &lt;div&gt;, and the &lt;li&gt; element is not a valid child of a &lt;div&gt;. This creates an invalid DOM structure where the semantic meaning of the list item is not properly conveyed. Use a proper &lt;ul&gt; or &lt;ol&gt; element as the list container instead of a &lt;div&gt; with role='list', or replace &lt;li&gt; with &lt;div role='listitem'&gt; to maintain valid HTML structure. || [4.1.2] A &lt;span&gt; element has role='link' but lacks an href attribute or any keyboard interaction handler, meaning it cannot be activated via keyboard and does not have the expected behavior of a link. Additionally, it has no accessible name. Either use a native &lt;a&gt; element with an href attribute, or if using role='link' on a &lt;span&gt;, add tabindex='0' and keyboard event handlers (keydown for Enter key) to make it keyboard operable, and ensure it has an accessible name. || [2.1.1] The &lt;span&gt; element with role='link' is not keyboard focusable or operable because it lacks tabindex and keyboard event handlers. Users who rely on keyboard navigation cannot access or activate this interactive element. Add tabindex='0' to make the element focusable, and add a keydown event listener to handle Enter key activation, or replace with a native &lt;a&gt; element. || [1.3.1] The &lt;span&gt; element with role='listitem' is not used; instead a &lt;span&gt; with role='link' is placed directly inside the role='list' container without a listitem role, breaking the required list structure (list must contain listitems). Wrap the &lt;span role='link'&gt; in a &lt;div role='listitem'&gt; or &lt;li&gt; element to maintain proper list semantics.</t>
  </si>
  <si>
    <t xml:space="preserve">The page fails multiple WCAG criteria. The list structure is semantically broken: a &lt;div role='list'&gt; contains a native &lt;li&gt; element (invalid HTML, as &lt;li&gt; must be a child of &lt;ul&gt;, &lt;ol&gt;, or &lt;menu&gt;) and a &lt;span role='link'&gt; (which should be role='listitem' to maintain list semantics). This violates WCAG 1.3.1 (Info and Relationships) because the programmatic structure does not correctly convey the intended list relationship. The &lt;span role='link'&gt; violates WCAG 4.1.2 (Name, Role, Value) because while it has a role, it lacks the necessary keyboard operability (no tabindex) and may lack a properly exposed accessible name in context. It also violates WCAG 2.1.1 (Keyboard) because without tabindex='0' and keyboard event handlers, keyboard users cannot interact with the element. The page should use proper semantic HTML: a &lt;ul&gt; or &lt;ol&gt; with &lt;li&gt; children, and a native &lt;a&gt; element for the link.</t>
  </si>
  <si>
    <t xml:space="preserve">[1.3.1] A &lt;li&gt; element is used outside of a proper list container. The parent element has role='list' but is a &lt;div&gt;, and the &lt;li&gt; element is not a valid child of a &lt;div&gt;. This creates an invalid DOM structure where the semantic meaning of the list item is not properly conveyed. Use a proper &lt;ul&gt; or &lt;ol&gt; element as the list container instead of a &lt;div role='list'&gt;, and ensure all list items use &lt;li&gt; elements as direct children. Alternatively, if using a &lt;div&gt; with role='list', use child elements with role='listitem' instead of native &lt;li&gt; elements. || [4.1.2] The &lt;span role='link'&gt; element does not have a focusable attribute (tabindex) and lacks an accessible name, making it non-functional as a link for keyboard users and assistive technologies. A link role requires an accessible name and must be keyboard operable. If this element is intended to function as a link, use a native &lt;a href='...'&gt; element instead. If a &lt;span&gt; must be used, add tabindex='0' to make it keyboard focusable, ensure it has an accessible name, and add keyboard event handlers for Enter key activation. || [2.1.1] The &lt;span role='link'&gt; element is not keyboard accessible because it lacks a tabindex attribute. Users who rely on keyboard navigation cannot reach or activate this interactive element. Add tabindex='0' to the &lt;span role='link'&gt; element and implement keyboard event handlers (at minimum, Enter key) to activate the link behavior. Better yet, replace with a native &lt;a&gt; element. || [1.3.1] The &lt;li&gt; element inside a &lt;div role='list'&gt; creates a mismatch between the ARIA role hierarchy and the native HTML semantics. The &lt;li&gt; element has an implicit role of 'listitem', but its parent is a &lt;div&gt; (not a &lt;ul&gt; or &lt;ol&gt;), which is invalid HTML and may cause assistive technologies to ignore or misrepresent the list structure. Ensure consistent use of either native HTML list elements (&lt;ul&gt;/&lt;ol&gt; with &lt;li&gt;) or ARIA roles (&lt;div role='list'&gt; with &lt;div role='listitem'&gt;), but do not mix them. The second ite...</t>
  </si>
  <si>
    <t xml:space="preserve">The page contains a simple data table with proper semantic markup. Column headers are defined using &lt;th&gt; elements with explicit id attributes ('header1' and 'header2'), and the data cell that spans both columns uses the 'headers' attribute to reference both header ids ('header1 header2'), correctly implementing WCAG technique H43. This satisfies WCAG 1.3.1 (Info and Relationships) by programmatically conveying the table structure. There are no images, so 1.1.1 is effectively inapplicable but not violated. There are no interactive elements, so 2.1.1 and 4.1.2 have minimal applicability, and no repeated blocks exist to require a bypass mechanism for 2.4.1. The page passes all evaluated criteria.</t>
  </si>
  <si>
    <t xml:space="preserve">The page contains a simple data table with proper semantic markup. Column headers are defined using &lt;th&gt; elements with explicit id attributes ('header1' and 'header2'), and the data cell that spans both columns uses the 'headers' attribute to reference both header ids ('header1 header2'), correctly implementing WCAG technique H43. This satisfies WCAG 1.3.1 (Info and Relationships) by programmatically conveying the table structure. There are no images, so 1.1.1 is not applicable. There are no interactive elements, so 2.1.1 and 4.1.2 are effectively not applicable in a meaningful way (native HTML elements are used correctly). There are no repeated blocks of content requiring a skip mechanism, so 2.4.1 is not applicable. The page passes all evaluated criteria.</t>
  </si>
  <si>
    <t xml:space="preserve">The page contains a simple data table with proper semantic markup. The table uses &lt;thead&gt; and &lt;tbody&gt; elements to distinguish header and body sections (WCAG 1.3.1). Header cells use &lt;th&gt; elements with explicit 'id' attributes ('header1', 'header2'), and the data cell spanning two columns uses the 'headers' attribute referencing both header IDs ('headers="header1 header2"'), correctly associating the cell with its headers per H43. There are no images, so WCAG 1.1.1 is satisfied by default. The page contains no interactive elements requiring keyboard access (WCAG 2.1.1) or custom widgets needing name/role/value (WCAG 4.1.2). There is no repeated block content requiring a bypass mechanism (WCAG 2.4.1). All evaluated criteria are either passed or inapplicable, with no violations detected.</t>
  </si>
  <si>
    <t xml:space="preserve">The page contains a single `&lt;div id='host' role='list'&gt;` element that serves as a shadow DOM host. Via JavaScript, a shadow root is attached and populated with two `&lt;div role='listitem'&gt;` elements containing text content ('List item 1' and 'List item 2'). Evaluating against the five criteria: (1.1.1) There are no non-text content elements (no images, icons, or controls without labels), so this criterion is inapplicable. (1.3.1) The list structure is conveyed programmatically using ARIA roles: `role='list'` on the host and `role='listitem'` on each child within the shadow DOM, correctly representing the list relationship — this passes. (2.1.1) There are no interactive elements requiring keyboard operability; the content is purely informational, so this criterion is inapplicable. (2.4.1) There are no repeated blocks of navigation content requiring a bypass mechanism on this minimal single-purpose page, so this criterion is inapplicable. (4.1.2) The ARIA roles (`list` and `listitem`) are valid and correctly applied; the list items have accessible names derived from their text content; no interactive widgets are present that would require additional name/role/value attributes — this passes. Overall, the page has no accessibility violations against the evaluated criteria.</t>
  </si>
  <si>
    <t xml:space="preserve">The page contains a div with role='list' that hosts a shadow DOM containing two divs with role='listitem'. This correctly establishes a semantic list structure using ARIA roles, satisfying WCAG 1.3.1 (Info and Relationships) by conveying the list structure programmatically. There are no images, so WCAG 1.1.1 is inapplicable. There are no interactive elements, so WCAG 2.1.1 (Keyboard) and WCAG 4.1.2 (Name, Role, Value) concerns are minimal — the ARIA roles are properly applied to non-interactive container elements. There is no repeated block content requiring a skip mechanism, so WCAG 2.4.1 (Bypass Blocks) is effectively inapplicable. The ARIA list/listitem role pairing is valid per ARIA specifications, and the shadow DOM content is part of the accessibility tree in supporting browsers. No violations were identified.</t>
  </si>
  <si>
    <t xml:space="preserve">The page contains a div with role='list' that hosts a shadow DOM containing two divs with role='listitem'. This correctly establishes a semantic list structure using ARIA roles, satisfying WCAG 1.3.1 (Info and Relationships) by conveying the list structure programmatically. There are no images, so WCAG 1.1.1 is inapplicable. There are no interactive elements, so WCAG 2.1.1 and 4.1.2 are effectively satisfied (no keyboard traps, no form controls without names). There are no repeated blocks of content, so WCAG 2.4.1 is inapplicable. The ARIA roles are used correctly: 'list' contains 'listitem' children, which is a valid parent-child relationship per ARIA specifications (technique ARIA4). The shadow DOM content is accessible to assistive technologies in browsers that support shadow DOM accessibility. No violations were identified against any of the five evaluated criteria.</t>
  </si>
  <si>
    <t xml:space="preserve">The page contains only a hidden iframe with tabindex='-1', which is not exposed to assistive technologies and cannot receive keyboard focus. There are no interactive controls, images, headings, landmarks, forms, or other content that would trigger evaluation under WCAG 1.1.1, 1.3.1, 2.1.1, 2.4.1, or 4.1.2. The iframe is hidden via the HTML 'hidden' attribute, removing it from the accessibility tree entirely, and tabindex='-1' further ensures it cannot be reached via keyboard navigation. Because there is no meaningful or perceivable content on the page, all five evaluated criteria are inapplicable.</t>
  </si>
  <si>
    <t xml:space="preserve">The page contains only a hidden iframe (with the 'hidden' attribute) set to tabindex='-1', which removes it from both the visual rendering and the tab order. There are no visible interactive elements, no images, no form controls, no meaningful structure, and no perceivable content for users. Because the iframe is hidden from all users (sighted, keyboard, and assistive technology users alike), none of the evaluated WCAG 2.1 criteria — 1.1.1 Non-text Content, 1.3.1 Info and Relationships, 2.1.1 Keyboard, 2.4.1 Bypass Blocks, and 4.1.2 Name, Role, Value — are applicable to this page. The hidden attribute suppresses the element from the accessibility tree entirely, making all five criteria inapplicable.</t>
  </si>
  <si>
    <t xml:space="preserve">The page contains only a hidden iframe with tabindex='-1', which is not exposed to assistive technologies and cannot receive keyboard focus. There are no visible interactive elements, images, form controls, headings, landmarks, or other content that would trigger evaluation under WCAG 1.1.1, 1.3.1, 2.1.1, 2.4.1, or 4.1.2. The iframe is hidden via the HTML 'hidden' attribute, removing it from the accessibility tree entirely, and tabindex='-1' further prevents keyboard focus. Since none of the targeted criteria apply to this effectively empty, hidden page, all criteria are inapplicable.</t>
  </si>
  <si>
    <t xml:space="preserve">The page contains a single iframe with tabindex='-1' and the 'inert' attribute, which removes it from the accessibility tree and prevents any keyboard interaction with its contents. There are no interactive elements, images, form controls, headings, landmarks, or other content on the main page that would trigger evaluation under WCAG 1.1.1, 1.3.1, 2.1.1, 2.4.1, or 4.1.2. The iframe's inert attribute ensures its content (a link to '/') is not reachable via keyboard or exposed to assistive technologies, making all five criteria inapplicable to this page.</t>
  </si>
  <si>
    <t xml:space="preserve">The page contains a single iframe with tabindex='-1' and the 'inert' attribute, which removes it and all its contents from the accessibility tree and keyboard focus order. There are no interactive elements reachable by keyboard, no images requiring text alternatives, no structural relationships to convey, no repeated blocks requiring a bypass mechanism, and no named/role/value requirements for interactive widgets. All five evaluated WCAG criteria are effectively inapplicable or satisfied given the minimal, inert content of the page.</t>
  </si>
  <si>
    <t xml:space="preserve">The page contains a single iframe with tabindex='-1' and the 'inert' attribute, which removes it from the tab order and makes its content non-interactive. There are no meaningful interactive elements, images, form controls, or repeated navigation blocks that would trigger failures under WCAG 1.1.1, 1.3.1, 2.1.1, 2.4.1, or 4.1.2. The iframe itself has no title attribute, but since it is inert and removed from the accessibility tree via the 'inert' attribute, it does not present an accessible name violation under 4.1.2. The page is essentially empty from an interactive and content standpoint, so all evaluated criteria are effectively inapplicable or trivially satisfied.</t>
  </si>
  <si>
    <t xml:space="preserve">The page contains a single iframe with an inline srcdoc document containing a simple anchor link. Evaluating against the five criteria: (1) WCAG 1.1.1 — no non-text content (images, controls, etc.) is present, so this is effectively inapplicable/passed; (2) WCAG 1.3.1 — the anchor element is semantically correct and conveys its role as a link through native HTML, satisfying info and relationships; (3) WCAG 2.1.1 — the anchor link is natively keyboard-focusable and operable, no keyboard traps are introduced; (4) WCAG 2.4.1 — the page is minimal with no repeated blocks of content that would require a bypass mechanism; (5) WCAG 4.1.2 — the iframe lacks a title attribute, which is a best practice but the srcdoc content itself (the anchor) has an accessible name via its text content 'Home'. However, the iframe itself has no accessible name (no title attribute), which could be flagged under 4.1.2 for embedded frames needing a name. Despite this, the overall page passes the evaluated criteria as the iframe's inline content is trivial and the anchor link is fully accessible.</t>
  </si>
  <si>
    <t xml:space="preserve">The page contains a single iframe with an inline srcdoc document containing a simple anchor link. Evaluating against the five criteria: (1) WCAG 1.1.1 — no non-text content (images, controls, etc.) is present, so this is effectively inapplicable/passed; (2) WCAG 1.3.1 — the anchor element is used semantically and correctly conveys its role as a link; no tables, headings, or form elements are misused; (3) WCAG 2.1.1 — the anchor link is natively keyboard-focusable and operable; no custom interactive elements that would block keyboard access are present; (4) WCAG 2.4.1 — the page is minimal with no repeated blocks of navigation that would require a bypass mechanism; the criterion is effectively inapplicable given the simple single-link structure; (5) WCAG 4.1.2 — the anchor element has an implicit role of 'link', its name is derived from its text content 'Home', and no ARIA misuse is present. The iframe itself has no title attribute, which could be a concern for assistive technology users identifying the frame, but the srcdoc content is straightforward and the iframe contains only a single link. Overall, no violations of the specified criteria are identified.</t>
  </si>
  <si>
    <t xml:space="preserve">The page contains a single iframe with an inline srcdoc document containing a simple anchor link. Evaluating against the five criteria: (1) WCAG 1.1.1 — no non-text content (images, icons, etc.) is present, so this is effectively inapplicable/passed; (2) WCAG 1.3.1 — the anchor element is used semantically and conveys its relationship correctly; the iframe itself has no title attribute, but the srcdoc content is a simple link with descriptive text 'Home', and the iframe wraps a fully self-contained document — while a title on the iframe would be best practice, the srcdoc content is minimal and the link text is meaningful; (3) WCAG 2.1.1 — the anchor link is natively keyboard-focusable and operable; (4) WCAG 2.4.1 — the page is very simple with no repetitive blocks requiring a bypass mechanism; (5) WCAG 4.1.2 — the anchor has accessible text 'Home' and native role. The iframe lacks a title attribute which could be flagged under 4.1.2 (technique H64), but the srcdoc content is a simple navigational link and the overall page structure is minimal. No critical violations are identified across the evaluated criteria.</t>
  </si>
  <si>
    <t xml:space="preserve">The page contains a scrollable &lt;section&gt; element (height: 100px; overflow: scroll) that clips its content and requires scrolling to read it fully. Because the &lt;section&gt; element lacks a tabindex attribute, keyboard-only users cannot focus the container and therefore cannot scroll to access the overflowed content. This violates WCAG 2.1.1 (Keyboard), which requires that all functionality — including the ability to access content within a scrollable region — be operable via keyboard. The fix is straightforward: adding tabindex="0" to the &lt;section&gt; element will make it focusable and allow keyboard users to scroll it with arrow keys. No other criteria (1.1.1, 1.3.1, 2.4.1, 4.1.2) are violated by the provided markup.</t>
  </si>
  <si>
    <t xml:space="preserve">[2.1.1] The scrollable region created by 'overflow: scroll' is not keyboard accessible. Content inside a container with overflow scroll must be reachable and scrollable via keyboard, but the &lt;section&gt; element has no tabindex attribute, making it impossible for keyboard-only users to focus and scroll the container. Add tabindex="0" to the &lt;section&gt; element so that keyboard users can focus the scrollable container and scroll its content using arrow keys. For example: &lt;section tabindex="0" style="height: 100px; width: 500px; overflow: scroll;"&gt;.</t>
  </si>
  <si>
    <t xml:space="preserve">The page fails WCAG 2.1.1 (Keyboard) because the &lt;section&gt; element with 'overflow: scroll' creates a scrollable region that is not reachable or operable via keyboard. Without a tabindex attribute, keyboard-only users cannot focus the container and therefore cannot access the overflowing text content. All other evaluated criteria (1.1.1, 1.3.1, 2.4.1, 4.1.2) are either inapplicable or satisfied: there are no non-text content elements requiring alternatives, the heading and link structures are semantically correct, no skip navigation is needed for such a simple page, and the link has an accessible name derived from its text content.</t>
  </si>
  <si>
    <t xml:space="preserve">[2.1.1] The scrollable region created by 'overflow: scroll' on the &lt;section&gt; element is not keyboard accessible. Users who rely on keyboard navigation cannot scroll the content within this container because it lacks a mechanism to receive keyboard focus (e.g., tabindex='0'). Add tabindex='0' to the scrollable &lt;section&gt; element so that keyboard users can focus it and scroll its content using arrow keys. For example: &lt;section tabindex='0' style='height: 100px; width: 500px; overflow: scroll;'&gt;</t>
  </si>
  <si>
    <t xml:space="preserve">The page contains a scrollable region implemented via CSS overflow: scroll on a &lt;section&gt; element. Because the section element has no tabindex attribute, it cannot receive keyboard focus, meaning keyboard-only users have no way to scroll the overflowing content and access the full text within it. This violates WCAG 2.1.1 (Keyboard), which requires that all functionality — including scrolling through content — be operable via keyboard. The fix is straightforward: adding tabindex="0" to the section element allows it to receive focus and be scrolled with arrow keys. The remaining criteria (1.1.1, 1.3.1, 2.4.1, 4.1.2) are either inapplicable or satisfied: there are no non-text content elements lacking alternatives, the heading and paragraph structure is semantically correct, and the link has meaningful text.</t>
  </si>
  <si>
    <t xml:space="preserve">[2.1.1] The scrollable region (section element with overflow: scroll) is not keyboard accessible. It cannot be focused or scrolled using the keyboard alone. Add tabindex="0" to the scrollable section element so that keyboard users can focus it and scroll its content using arrow keys. Example: &lt;section tabindex="0" style="height: 100px; width: 500px; overflow: scroll;"&gt;</t>
  </si>
  <si>
    <t xml:space="preserve">The page contains a scrollable region created via CSS overflow-y: scroll on a &lt;section&gt; element. Because the element has no tabindex attribute and contains no natively focusable child elements, keyboard-only users have no way to focus the container and scroll through its content. This is a direct violation of WCAG 2.1.1 (Keyboard), which requires that all functionality be operable via keyboard. The fix is straightforward: adding tabindex="0" to the scrollable container makes it focusable and allows keyboard users to scroll with arrow keys. No other criteria (1.1.1, 1.3.1, 2.4.1, 4.1.2) are violated by this page, as there are no images, the heading and paragraph structure is semantically correct, and no interactive controls are present.</t>
  </si>
  <si>
    <t xml:space="preserve">[2.1.1] A scrollable region with overflow-y: scroll is not keyboard accessible. Users who rely on keyboard navigation cannot scroll the content inside the &lt;section&gt; element because it has no focusable element and no tabindex attribute to make it reachable via keyboard. Add tabindex="0" to the scrollable &lt;section&gt; element so that keyboard users can focus it and scroll its content using arrow keys. For example: &lt;section tabindex="0" style="height: 100px; width: 500px; overflow-y: scroll"&gt;. This follows WCAG technique G202 and ensures the scrollable region is operable via keyboard.</t>
  </si>
  <si>
    <t xml:space="preserve">The page contains a scrollable region implemented via CSS overflow-y: scroll on a &lt;section&gt; element. Because the element has no tabindex attribute and contains no natively focusable child elements, keyboard-only users have no way to focus the container and scroll its content. This is a direct violation of WCAG 2.1.1 (Keyboard), which requires that all functionality be operable via keyboard. The fix is straightforward: adding tabindex="0" to the scrollable container makes it focusable and allows keyboard users to scroll with arrow keys. No other criteria (1.1.1, 1.3.1, 2.4.1, 4.1.2) are violated by this page.</t>
  </si>
  <si>
    <t xml:space="preserve">The page contains a scrollable region implemented via CSS overflow-y: scroll on a &lt;section&gt; element. Because the element is not natively focusable and lacks a tabindex attribute, keyboard-only users have no way to focus the container and scroll through its content. This is a direct violation of WCAG 2.1.1 (Keyboard), which requires that all functionality be operable via keyboard. The fix is straightforward: adding tabindex="0" to the scrollable container makes it focusable and allows keyboard users to scroll with arrow keys. No other criteria (1.1.1, 1.3.1, 2.4.1, 4.1.2) present violations on this page.</t>
  </si>
  <si>
    <t xml:space="preserve">[2.1.1] A scrollable region with overflow-y: scroll is not keyboard accessible. Users who rely on keyboard navigation cannot scroll the content inside the &lt;section&gt; element because it has no focusable element and no tabindex attribute to make it reachable via keyboard. Add tabindex="0" to the scrollable &lt;section&gt; element so that keyboard users can focus it and scroll its content using arrow keys. For example: &lt;section tabindex="0" style="height: 100px; width: 500px; overflow-y: scroll"&gt;. This satisfies WCAG technique G202 and ensures keyboard operability.</t>
  </si>
  <si>
    <t xml:space="preserve">The page fails multiple WCAG 2.1 criteria. The iframe uses tabindex="-1" which removes it from the keyboard tab order, making the link inside inaccessible to keyboard-only users (2.1.1 failure). The iframe also lacks a title attribute, violating 4.1.2 as assistive technologies cannot identify its name or role. Additionally, there is no bypass mechanism (skip link or landmark regions) to help users navigate past blocks of content, violating 2.4.1. These are serious accessibility barriers that prevent keyboard and screen reader users from effectively using the page.</t>
  </si>
  <si>
    <t xml:space="preserve">[2.4.1] No skip navigation or bypass mechanism is provided to allow users to skip past the iframe content. Provide a skip link or use landmark regions (e.g., &lt;main&gt;) to allow users to bypass blocks of repeated content. Also consider adding a meaningful title attribute to the iframe (e.g., title="Navigation") per H64. || [2.1.1] The iframe has tabindex="-1", which removes it from the tab order entirely. If the iframe contains focusable content (a link), keyboard users cannot reach that content via standard keyboard navigation. Remove tabindex="-1" from the iframe if its content needs to be keyboard accessible, or ensure the link inside is reachable through another keyboard-accessible mechanism. || [4.1.2] The iframe lacks a title attribute, meaning assistive technologies cannot determine its name or purpose. Add a descriptive title attribute to the iframe, e.g., title="Site Navigation", to provide an accessible name per H64.</t>
  </si>
  <si>
    <t xml:space="preserve">The page fails multiple WCAG 2.1 criteria. The iframe uses tabindex='-1', which removes it from the keyboard tab order, making the 'Home' link inside it unreachable via standard keyboard navigation (2.1.1 failure). The iframe also lacks a title attribute, violating 4.1.2 as assistive technologies cannot determine its name or role. Additionally, there is no bypass mechanism (skip link or landmark) to help users navigate past blocks of content, violating 2.4.1. These issues collectively make the page inaccessible to keyboard-only users and screen reader users.</t>
  </si>
  <si>
    <t xml:space="preserve">[2.4.1] No skip navigation or bypass mechanism is provided to allow users to skip past the iframe content. Provide a skip link or landmark regions (e.g., &lt;main&gt;) to allow users to bypass blocks of repeated content. Also, consider whether removing the iframe from tab order via tabindex='-1' is intentional and appropriate. || [2.1.1] The iframe has tabindex='-1', which removes it from the natural tab order, potentially making its content (a link) inaccessible via keyboard navigation. Remove tabindex='-1' from the iframe if its content (the 'Home' link) needs to be keyboard accessible, or ensure the link inside is reachable by keyboard through another means. || [4.1.2] The iframe lacks a title attribute, so assistive technologies cannot identify its purpose or name. Add a descriptive title attribute to the iframe, e.g., title="Navigation frame", so screen readers can announce its purpose (WCAG technique H64).</t>
  </si>
  <si>
    <t xml:space="preserve">The page fails multiple WCAG 2.1 criteria. The iframe uses tabindex="-1", which removes it from the keyboard tab sequence, making the link inside inaccessible to keyboard-only users (violating 2.1.1). The iframe also lacks a title attribute, meaning assistive technologies cannot identify its name or role (violating 4.1.2). Additionally, there is no bypass mechanism such as a skip link or landmark regions to help users navigate past blocks of content (violating 2.4.1). These issues collectively represent serious accessibility barriers for keyboard and screen reader users.</t>
  </si>
  <si>
    <t xml:space="preserve">[2.4.1] No skip navigation or bypass mechanism is provided to allow users to skip past the iframe content. Provide a skip link or landmark regions (e.g., &lt;main&gt;) to allow users to bypass blocks of repeated content. Also, the iframe should have a descriptive title attribute (e.g., title="Navigation") per WCAG technique H64. || [2.1.1] The iframe has tabindex="-1", which removes it from the tab order entirely. If the iframe contains focusable content (a link), keyboard users cannot reach that content via standard keyboard navigation. Remove tabindex="-1" from the iframe if its content needs to be keyboard accessible, or ensure the link inside is reachable by keyboard users through another mechanism. || [4.1.2] The iframe lacks a title attribute, so assistive technologies cannot determine its name or purpose. Add a descriptive title attribute to the iframe, e.g., title="Site Navigation", to provide an accessible name per WCAG technique H64.</t>
  </si>
  <si>
    <t xml:space="preserve">The page fails WCAG 2.4.1 (Bypass Blocks) because the first skip link ('Skip to local navigation') points back to the navigation element itself (#local-navigation), providing no mechanism to bypass the navigation block and reach the main content. While other skip links target specific translation sections within the content, there is no skip link that allows users to bypass the navigation and jump directly to the main content area. WCAG 1.1.1 is inapplicable (no non-text content). WCAG 1.3.1 is largely satisfied — the page uses semantic elements like &lt;nav&gt; and &lt;aside&gt;, though the translation headings are marked up as &lt;p&gt; elements rather than heading elements, which is a minor structural concern but not a clear failure given the context. WCAG 2.1.1 appears satisfied as all interactive elements are standard links operable via keyboard. WCAG 4.1.2 appears satisfied as all links have descriptive text and no custom widgets are present.</t>
  </si>
  <si>
    <t xml:space="preserve">[2.4.1] The 'Skip to local navigation' link targets the navigation element itself (#local-navigation), which is the first element on the page. This link does not help users bypass the navigation block — it points back to the navigation rather than past it to the main content. There is also no skip link that leads directly to the main content area (#main). Provide a skip link that targets the main content area (e.g., add id='main-content' to the main content div and a link 'Skip to main content' pointing to '#main-content'). The 'Skip to local navigation' link as the first link in the nav is redundant and misleading — users are already at the navigation when they encounter it.</t>
  </si>
  <si>
    <t xml:space="preserve">The page passes all five evaluated WCAG 2.1 criteria. For 1.1.1 (Non-text Content): there are no images or other non-text content requiring alternative text, so the criterion is effectively satisfied. For 1.3.1 (Info and Relationships): the page uses semantic HTML elements appropriately — a &lt;nav&gt; landmark for navigation, an &lt;aside&gt; for supplementary content, and paragraph elements for text content; the structure is conveyed through markup. For 2.1.1 (Keyboard): all interactive elements are native HTML anchor tags (&lt;a href=...&gt;), which are natively keyboard-focusable and operable; no custom widgets or keyboard traps are present. For 2.4.1 (Bypass Blocks): the page provides multiple skip links at the top (e.g., 'Skip to local navigation', 'Skip to Brewitt-Taylor's translation', etc.) that link to named anchors (id attributes) within the page, satisfying the requirement to bypass blocks of repeated content. For 4.1.2 (Name, Role, Value): all interactive elements are native HTML links with visible text labels providing accessible names; the &lt;nav&gt; and &lt;aside&gt; elements have implicit ARIA roles; no custom widgets are used that would require explicit ARIA attributes. No violations were identified across any of the five criteria.</t>
  </si>
  <si>
    <t xml:space="preserve">The page passes all five evaluated WCAG 2.1 criteria. For 1.1.1 (Non-text Content): there are no images or other non-text content requiring alternative text, so the criterion is effectively inapplicable/satisfied. For 1.3.1 (Info and Relationships): the page uses semantic HTML elements appropriately — &lt;nav&gt; for navigation, &lt;aside&gt; for supplementary content, &lt;p&gt; for paragraphs — and the structural relationships are conveyed through markup. For 2.1.1 (Keyboard): all interactive elements are native HTML anchor tags (&lt;a href=...&gt;), which are natively keyboard-focusable and operable; no custom widgets or keyboard traps are present. For 2.4.1 (Bypass Blocks): the page provides a set of skip links at the top inside the &lt;nav id='local-navigation'&gt; element, including links to jump to each major section (local navigation, each translation, and the about section), satisfying the requirement to bypass blocks of repeated content. For 4.1.2 (Name, Role, Value): all interactive elements are native HTML elements (&lt;a&gt;, &lt;nav&gt;, &lt;aside&gt;) with inherent roles and accessible names derived from their text content or semantic meaning; no custom widgets lacking proper ARIA attributes are present. No violations were identified across any of the five criteria.</t>
  </si>
  <si>
    <t xml:space="preserve">The page provides a 'Skip to main content' button intended to satisfy WCAG 2.4.1 (Bypass Blocks), but the mechanism is insufficient. The skip target is a generic &lt;div id="main"&gt; rather than a proper landmark region (&lt;main&gt; or an element with role="main"), which means keyboard and assistive technology users may not reliably be able to bypass the repeated aside block and navigate directly to the main content. Using a JavaScript-based button (onclick="location.assign('#main')") instead of a standard anchor link also reduces robustness. The other evaluated criteria (1.1.1, 1.3.1, 2.1.1, 4.1.2) are either inapplicable (no images, no form controls) or adequately addressed (the button is keyboard-focusable and has an accessible name).</t>
  </si>
  <si>
    <t xml:space="preserve">[2.4.1] The 'Skip to main content' button uses onclick to assign location to '#main', but the target element &lt;div id="main"&gt; is not a landmark region (no role="main" or &lt;main&gt; element), and the button itself is not a proper skip link mechanism. Additionally, using a button with JavaScript rather than an anchor link to a landmark may fail in some assistive technology contexts. Replace the &lt;div id="main"&gt; with a &lt;main&gt; element (or add role="main") so that the skip link target is a proper landmark. Prefer using an &lt;a href="#main"&gt; anchor link instead of a button with JavaScript for broader compatibility (WCAG technique G1, H64).</t>
  </si>
  <si>
    <t xml:space="preserve">The page provides a skip navigation mechanism via a button that programmatically navigates to a div with id='main'. However, the target element is a generic &lt;div&gt; rather than a &lt;main&gt; element or an element with role='main', which means it does not constitute a proper landmark and may not reliably move focus in all browsers/assistive technologies when using location.assign(). The &lt;aside&gt; element is correctly used as a landmark. No images are present (1.1.1 inapplicable in isolation), and the structural markup is otherwise reasonable. The primary failure is that the bypass block target lacks semantic landmark meaning, undermining the robustness of the skip mechanism required by WCAG 2.4.1.</t>
  </si>
  <si>
    <t xml:space="preserve">[2.4.1] The 'Skip to main content' button uses onclick with location.assign('#main'), but the target element &lt;div id="main"&gt; is not a landmark region (no role='main' or &lt;main&gt; element), reducing the effectiveness of the bypass mechanism. Additionally, the skip link is implemented as a button rather than a link, which is an unconventional pattern, though functional. Change &lt;div id="main"&gt; to &lt;main id="main"&gt; or add role="main" to the div so the skip target is a proper landmark. Optionally, convert the button to an anchor tag: &lt;a href="#main"&gt;Skip to main content&lt;/a&gt; for a more standard and reliable bypass mechanism (WCAG technique G1).</t>
  </si>
  <si>
    <t xml:space="preserve">The page fails primarily on WCAG 2.4.1 (Bypass Blocks) and 1.3.1 (Info and Relationships). While a skip link mechanism is present, the target of the skip link is a generic &lt;div&gt; rather than a semantic landmark (&lt;main&gt;), which means the bypass block mechanism may not function reliably for assistive technology users and the page structure does not programmatically convey the role of the main content area. The skip button itself uses JavaScript (onclick with location.assign) rather than a straightforward anchor link, which is less robust. Fixing these issues requires replacing &lt;div id="main"&gt; with &lt;main id="main"&gt; and optionally converting the button to an anchor link.</t>
  </si>
  <si>
    <t xml:space="preserve">[2.4.1] The 'Skip to main content' button uses onclick to assign location to '#main', but the target element &lt;div id="main"&gt; is not a landmark region (no role="main" or &lt;main&gt; element), and the button itself is not a proper skip link mechanism. Additionally, using a button with JavaScript rather than an anchor link to a landmark may fail in some assistive technology contexts. Replace the &lt;div id="main"&gt; with a &lt;main id="main"&gt; element to create a proper landmark region, and consider using an anchor link (&lt;a href="#main"&gt;) instead of a button with JavaScript for the skip link to ensure broad compatibility. || [1.3.1] The &lt;aside id="about-book"&gt; element is used correctly as a landmark, but the main content area is wrapped in a &lt;div&gt; rather than a &lt;main&gt; element, failing to convey the semantic role of the primary content region programmatically. Replace &lt;div id="main"&gt; with &lt;main id="main"&gt; to semantically identify the main content region, satisfying both 1.3.1 and supporting 2.4.1.</t>
  </si>
  <si>
    <t xml:space="preserve">The page fails on two criteria. For WCAG 2.4.1, there is no skip navigation mechanism: the main content area uses a plain &lt;div&gt; rather than a &lt;main&gt; landmark, and no skip link is provided, leaving keyboard and assistive technology users without a way to bypass peripheral content. For WCAG 1.3.1, the chapter title is presented visually as a heading through CSS font sizing and bold styling but is marked up only as &lt;strong&gt;, so its role as a heading is not conveyed programmatically to assistive technologies. No images are present (1.1.1 inapplicable), keyboard operability is not blocked by custom widgets (2.1.1 passed for the single link present), and the link has accessible text (4.1.2 passed for interactive elements).</t>
  </si>
  <si>
    <t xml:space="preserve">[2.4.1] No mechanism to bypass blocks of repeated content. The page lacks a skip link, landmark regions, or headings that would allow users to bypass navigation or repeated blocks and jump directly to the main content. Replace &lt;div id="main"&gt; with &lt;main id="main"&gt; (or add role="main") and add a skip link at the top of the page, e.g., &lt;a href="#main" class="skip-link"&gt;Skip to main content&lt;/a&gt;, so keyboard users can bypass repeated or peripheral content. || [1.3.1] The chapter title is styled to look like a heading using CSS (font-size: 18pt) and &lt;strong&gt;, but is not marked up as a heading element. This means the heading structure is conveyed visually but not programmatically. Replace the &lt;strong&gt; element with an appropriate heading element such as &lt;h1&gt; or &lt;h2&gt; to convey the heading structure programmatically, e.g., &lt;h1&gt;Three Heroes Swear Brotherhood at a Feast in the Peach Garden&lt;/h1&gt;.</t>
  </si>
  <si>
    <t xml:space="preserve">The page fails on two criteria. First, under WCAG 2.4.1, there is no bypass mechanism: the main content area uses a plain &lt;div id="main"&gt; with no ARIA landmark role and no skip link is provided, so keyboard and assistive technology users cannot efficiently skip to the main content. Second, under WCAG 1.3.1, the chapter title is presented using a &lt;strong&gt; element with inline font-size styling rather than a semantic heading element, meaning the heading relationship is conveyed visually but not programmatically, violating the requirement that information and relationships be determinable by assistive technologies. No issues were identified with WCAG 1.1.1 (no images present), WCAG 2.1.1 (no custom interactive components that would trap keyboard focus), or WCAG 4.1.2 (the link and aside have no missing name/role/value issues).</t>
  </si>
  <si>
    <t xml:space="preserve">[2.4.1] No mechanism to bypass blocks of repeated content. The page lacks a skip navigation link, landmark regions (e.g., &lt;main&gt;, &lt;nav&gt;), or other bypass mechanism to allow users to skip past repeated content to the main content area. Replace &lt;div id="main"&gt; with &lt;main id="main"&gt; (or add role="main" to the div), and/or add a skip link at the top of the page such as &lt;a href="#main"&gt;Skip to main content&lt;/a&gt; to allow keyboard users to bypass repeated blocks. || [1.3.1] The chapter heading is styled visually as a heading using font-size but is marked up as a &lt;strong&gt; element rather than a semantic heading element (e.g., &lt;h1&gt;–&lt;h6&gt;). This means the heading structure is conveyed only through visual presentation and is not programmatically determinable. Replace the &lt;strong&gt; element with an appropriate heading element such as &lt;h1&gt; or &lt;h2&gt; to convey the heading role programmatically, e.g., &lt;h1&gt;Three Heroes Swear Brotherhood at a Feast in the Peach Garden&lt;/h1&gt;.</t>
  </si>
  <si>
    <t xml:space="preserve">The page fails on two criteria. First, under WCAG 2.4.1, there is no skip navigation mechanism: the main content area uses a plain &lt;div&gt; rather than a &lt;main&gt; landmark, there are no ARIA landmark roles, and no skip link is provided, leaving keyboard and assistive technology users unable to bypass the leading link and aside block. Second, under WCAG 1.3.1, the chapter title is rendered using a &lt;strong&gt; element with a large inline font-size to mimic a heading visually, but without a semantic heading element, the heading relationship is not programmatically determinable. No issues were found with 1.1.1 (no images present), 2.1.1 (no custom interactive widgets that would trap keyboard focus), or 4.1.2 (the single link has accessible text and the aside uses a native element with no missing name/role/value).</t>
  </si>
  <si>
    <t xml:space="preserve">[2.4.1] No mechanism to bypass blocks of repeated content. The page lacks a skip link, landmark regions (e.g., &lt;main&gt;, &lt;nav&gt;), or headings that would allow users to bypass the navigation link and aside block to reach the main content. Wrap the primary content in a &lt;main&gt; element (or add role="main" to the existing div), and/or provide a skip link at the top of the page (e.g., &lt;a href="#main"&gt;Skip to main content&lt;/a&gt;) so keyboard users can bypass repeated blocks. Using proper landmark elements such as &lt;nav&gt;, &lt;aside&gt;, and &lt;main&gt; also satisfies this criterion via ARIA11/H69. || [1.3.1] The chapter heading is styled visually using &lt;strong&gt; with inline font-size to appear as a heading, but is not marked up with a semantic heading element (&lt;h1&gt;–&lt;h6&gt;). This means the heading structure is conveyed only through visual presentation, not through markup, violating the requirement that information and relationships be programmatically determinable. Replace the &lt;strong&gt; element with an appropriate heading element, e.g., &lt;h1&gt; or &lt;h2&gt;, to convey the heading role semantically (WCAG technique H42).</t>
  </si>
  <si>
    <t xml:space="preserve">The SVG element includes a &lt;title&gt; child element ('This is an SVG') which provides a text alternative for the non-text content, satisfying WCAG 1.1.1 (H37/SVG technique). WCAG 1.3.1 is satisfied as there is no meaningful structure or relationships to convey beyond the SVG itself. WCAG 2.1.1 is inapplicable as there are no interactive elements. WCAG 2.4.1 is inapplicable as there are no repeated blocks of content. WCAG 4.1.2 is satisfied as the SVG has an accessible name via its &lt;title&gt; element. No violations were found.</t>
  </si>
  <si>
    <t xml:space="preserve">The SVG element includes a &lt;title&gt; element ('This is an SVG') which provides a text alternative for the non-text content, satisfying WCAG 1.1.1 (technique SVG2). No images, controls, or interactive elements are present, so criteria 1.3.1, 2.1.1, 2.4.1, and 4.1.2 are inapplicable. The page passes all evaluated criteria.</t>
  </si>
  <si>
    <t xml:space="preserve">The SVG element includes a &lt;title&gt; element ('This is an SVG') which provides a text alternative for the non-text content, satisfying WCAG 1.1.1 (technique G94/SVG-title). No images, controls, or interactive elements are present that would trigger concerns under 1.3.1, 2.1.1, 2.4.1, or 4.1.2. All applicable criteria pass.</t>
  </si>
  <si>
    <t xml:space="preserve">The page fails on two criteria. First, WCAG 2.4.1 (Bypass Blocks) is violated because there is no skip link, no landmark structure, and no other mechanism allowing keyboard or assistive technology users to bypass the 8-link navigation block before reaching the main content. Second, WCAG 1.3.1 (Info and Relationships) is violated because both the navigation and the main content area are wrapped in unsemantic &lt;div&gt; elements, providing no programmatic indication of their roles or relationships. The remaining evaluated criteria (1.1.1, 2.1.1, 4.1.2) are either inapplicable (no images, no custom interactive widgets) or not violated by the present markup.</t>
  </si>
  <si>
    <t xml:space="preserve">[2.4.1] No skip navigation mechanism is provided. The page contains a navigation block with 8 links before the main content, and there is no way for keyboard users to bypass this repeated block. Add a 'Skip to main content' link as the first focusable element on the page (WCAG Technique G1), and/or wrap the navigation in a &lt;nav&gt; landmark and the main content in a &lt;main&gt; landmark so assistive technology users can jump directly to the main content (WCAG Technique ARIA11). || [1.3.1] The navigation links are contained in a generic &lt;div&gt; rather than a semantic &lt;nav&gt; element, and the main content is also in a generic &lt;div&gt; rather than a &lt;main&gt; element. This means the structural relationships (navigation vs. main content) are not conveyed programmatically. Replace the navigation &lt;div&gt; with &lt;nav aria-label="Main navigation"&gt; and the content &lt;div&gt; with &lt;main&gt; to expose the semantic structure to assistive technologies (WCAG Technique H97, ARIA11).</t>
  </si>
  <si>
    <t xml:space="preserve">The page fails on multiple criteria. Most critically, WCAG 2.4.1 is violated because there is no skip-navigation link or landmark structure to allow keyboard users to bypass the eight-link navigation block before reaching the main content. WCAG 1.3.1 is violated because both the navigation and the main content area use unsemantic &lt;div&gt; elements, failing to convey their structural roles programmatically. WCAG 4.1.2 is violated because the navigation container has no role or accessible name. WCAG 1.1.1 is inapplicable (no non-text content present) and WCAG 2.1.1 is not directly violated by the markup shown, as all interactive elements are standard anchor tags that are natively keyboard-operable.</t>
  </si>
  <si>
    <t xml:space="preserve">[2.4.1] No skip navigation mechanism is provided. The page contains a navigation block with eight links that precedes the main content, and there is no way for keyboard users to bypass this repeated block. Add a 'Skip to main content' link as the first focusable element on the page (WCAG technique G1), and/or wrap the navigation in a &lt;nav&gt; landmark and the main content in a &lt;main&gt; landmark so assistive technologies can jump directly to the main content (WCAG technique ARIA11). || [1.3.1] The navigation links are contained in a generic &lt;div&gt; rather than a semantic &lt;nav&gt; element, and the main content is also in a generic &lt;div&gt; rather than a &lt;main&gt; element. This means the structural relationships (navigation vs. main content) are not conveyed programmatically to assistive technologies. Replace the navigation &lt;div&gt; with &lt;nav aria-label="Main navigation"&gt; and the content &lt;div&gt; with &lt;main&gt; to expose the semantic structure to assistive technologies (WCAG technique H97, ARIA11). || [4.1.2] The navigation container uses a plain &lt;div&gt; with no role, name, or landmark semantics, so assistive technologies cannot identify it as a navigation region. Users of screen readers have no programmatic way to distinguish the navigation from the rest of the page content. Use &lt;nav aria-label="Main navigation"&gt; instead of &lt;div&gt;, or add role="navigation" and an aria-label to the &lt;div&gt;, so the element has an appropriate role and accessible name.</t>
  </si>
  <si>
    <t xml:space="preserve">The page fails on two criteria. For WCAG 2.4.1 (Bypass Blocks), there is no skip link or landmark structure to allow keyboard and assistive technology users to bypass the eight-link navigation block before reaching the main content. For WCAG 1.3.1 (Info and Relationships), both the navigation and main content areas are wrapped in semantically meaningless &lt;div&gt; elements rather than appropriate HTML5 landmark elements (&lt;nav&gt; and &lt;main&gt;), meaning the structural relationships and roles are not conveyed programmatically. No images are present so 1.1.1 is inapplicable; no interactive controls beyond standard links are present so 2.1.1 and 4.1.2 are effectively passed for the elements that exist.</t>
  </si>
  <si>
    <t xml:space="preserve">[2.4.1] No skip navigation mechanism is provided. The page contains a navigation block with eight links that precedes the main content, and there is no way for keyboard users to bypass this repeated block. Add a 'Skip to main content' link as the first focusable element on the page (WCAG Technique G1), and/or wrap the navigation in a &lt;nav&gt; landmark and the main content in a &lt;main&gt; landmark so assistive technologies can navigate by landmark regions (WCAG Technique ARIA11). || [1.3.1] The navigation links are contained in a generic &lt;div&gt; rather than a semantic &lt;nav&gt; element, so the navigational relationship is not conveyed programmatically. Similarly, the main content area uses a &lt;div&gt; instead of &lt;main&gt;, losing structural semantics. Replace the outer &lt;div&gt; wrapping the navigation links with &lt;nav aria-label="Main navigation"&gt; and replace the content &lt;div&gt; with &lt;main&gt; to expose the correct landmark roles and structural relationships to assistive technologies (WCAG Technique H97, ARIA11).</t>
  </si>
  <si>
    <t xml:space="preserve">This simple maintenance page passes all five evaluated WCAG 2.1 criteria. For 1.1.1 Non-text Content: there are no images or non-text elements, making this criterion inapplicable — no violations possible. For 1.3.1 Info and Relationships: the page uses a proper semantic structure with a &lt;main&gt; landmark and an &lt;h1&gt; heading, correctly conveying the document hierarchy programmatically. For 2.1.1 Keyboard: there are no interactive elements (no links, buttons, or form controls), so no keyboard traps or inaccessible interactions exist. For 2.4.1 Bypass Blocks: the page contains only a single content block with no repetitive navigation to bypass; the &lt;main&gt; landmark is present and provides a structural anchor should assistive technology need it. For 4.1.2 Name, Role, Value: there are no interactive or custom UI components requiring explicit name, role, or value attributes; the static text elements and native HTML landmark (&lt;main&gt;) and heading (&lt;h1&gt;) have implicit roles that are correctly exposed to accessibility APIs. The page is minimal, well-structured, and free of accessibility violations across all evaluated criteria.</t>
  </si>
  <si>
    <t xml:space="preserve">This simple maintenance page passes all five evaluated WCAG 2.1 criteria. There are no non-text content elements (images, icons, controls), so 1.1.1 is effectively satisfied by absence of violations. The page uses a proper semantic structure with a &lt;main&gt; landmark and an &lt;h1&gt; heading, satisfying 1.3.1 (Info and Relationships). There are no interactive elements or custom widgets, so keyboard accessibility (2.1.1) and Name/Role/Value (4.1.2) requirements are met by default. The &lt;main&gt; element serves as a bypass mechanism for 2.4.1, and with only a single content block on the page, no skip link is strictly necessary. The HTML is clean, well-structured, and free of accessibility violations.</t>
  </si>
  <si>
    <t xml:space="preserve">The page fails on WCAG 1.3.1 (Info and Relationships) and WCAG 4.1.2 (Name, Role, Value) because the text 'last name' is placed in a &lt;div&gt; with no programmatic association to the &lt;input&gt; element. The input has no accessible name, meaning screen readers and other assistive technologies cannot convey the field's purpose to users. The fix is to use a proper &lt;label for='...'&gt; element or ARIA attributes to associate the label text with the input.</t>
  </si>
  <si>
    <t xml:space="preserve">[1.3.1] The label 'last name' is a plain &lt;div&gt; element and is not programmatically associated with the &lt;input&gt; field. There is no &lt;label&gt; element, aria-label, aria-labelledby, or title attribute linking the text to the input. Use a &lt;label&gt; element with a 'for' attribute matching the input's 'id', or use aria-labelledby on the input referencing the div's id, or use aria-label directly on the input. For example: &lt;label for='lastName'&gt;last name&lt;/label&gt;&lt;input id='lastName' /&gt; || [4.1.2] The &lt;input&gt; element has no accessible name. Without a programmatically associated label, assistive technologies cannot announce the purpose of the field to users. Provide an accessible name for the input using a &lt;label&gt; element, aria-label attribute, or aria-labelledby attribute referencing a visible label element.</t>
  </si>
  <si>
    <t xml:space="preserve">The page fails on multiple criteria. The text 'last name' is placed in a &lt;div&gt; element with no programmatic association to the &lt;input&gt; field, violating WCAG 1.3.1 (Info and Relationships) because the visual label-to-field relationship is not conveyed semantically. This also violates WCAG 4.1.2 (Name, Role, Value) because the input has no accessible name that assistive technologies can announce. To fix these issues, a proper &lt;label&gt; element with matching 'for' and 'id' attributes should be used, or ARIA attributes should be applied to establish the programmatic relationship.</t>
  </si>
  <si>
    <t xml:space="preserve">[1.3.1] The label 'last name' is a plain &lt;div&gt; element and is not programmatically associated with the &lt;input&gt; field. Screen readers cannot determine the relationship between the label text and the input. Use a &lt;label&gt; element with a 'for' attribute matching the input's 'id', or use aria-labelledby/aria-label on the input to associate the label text programmatically. For example: &lt;label for='lastName'&gt;last name&lt;/label&gt;&lt;input id='lastName' /&gt; || [4.1.2] The &lt;input&gt; element has no accessible name. Without a programmatically associated label, assistive technologies cannot announce the purpose of the input field. Add a &lt;label&gt; element associated via 'for'/'id', or add an 'aria-label' or 'aria-labelledby' attribute to the input to provide an accessible name.</t>
  </si>
  <si>
    <t xml:space="preserve">The page fails on WCAG 1.3.1 (Info and Relationships) and WCAG 4.1.2 (Name, Role, Value). The label text 'last name' is placed in a non-semantic &lt;div&gt; element with no programmatic association to the &lt;input&gt; field. As a result, the input has no accessible name, meaning screen readers and other assistive technologies cannot convey the purpose of the field to users. The fix is to use a proper &lt;label&gt; element with matching 'for' and 'id' attributes, or to use ARIA attributes (aria-label or aria-labelledby) on the input.</t>
  </si>
  <si>
    <t xml:space="preserve">[1.3.1] The label 'last name' is a plain &lt;div&gt; element and is not programmatically associated with the &lt;input&gt; field. Screen readers cannot determine the relationship between the label text and the input. Use a &lt;label&gt; element with a 'for' attribute matching the input's 'id', or use aria-labelledby/aria-label on the input to associate the label text programmatically. For example: &lt;label for='lastName'&gt;last name&lt;/label&gt;&lt;input id='lastName' /&gt; || [4.1.2] The &lt;input&gt; element has no accessible name. Without a programmatically associated label, assistive technologies cannot announce the purpose of the input field. Add a &lt;label&gt; element associated via 'for'/'id', or add an 'aria-label' or 'aria-labelledby' attribute to the input to provide an accessible name. For example: &lt;input id='lastName' aria-label='last name' /&gt;</t>
  </si>
  <si>
    <t xml:space="preserve">The page contains a single button that is positioned off-screen using absolute positioning with large negative coordinates. While this technique is sometimes used intentionally for screen-reader-only content or skip links, it leaves the button reachable by keyboard (Tab key) without any visible focus indicator, violating WCAG 2.1.1 (Keyboard). Keyboard users who tab to this element will have no visual indication of where focus is, effectively trapping or confusing them. The fix depends on intent: use display:none if the button should be fully hidden, or add a :focus rule to bring it into view if it is meant to be a keyboard-accessible but visually hidden control.</t>
  </si>
  <si>
    <t xml:space="preserve">[2.1.1] A button is visually hidden by positioning it far off-screen (left: -9999px; top: -9999px), but it remains in the DOM and is focusable via keyboard. This creates a situation where keyboard users may tab to an element they cannot see, making it impossible to determine the current focus position. If the button is intentionally hidden from all users, use display:none or visibility:hidden to remove it from both visual rendering and the accessibility/focus order. If it is intended only as a visually hidden but accessible element (e.g., a skip link), ensure it becomes visible on focus using a :focus style so keyboard users can see it when it receives focus.</t>
  </si>
  <si>
    <t xml:space="preserve">The page contains a single button element ('Save') that is visually hidden by positioning it off-screen (left: -9999px; top: -9999px), but it remains in the DOM and is accessible to assistive technologies and keyboard navigation. For WCAG 1.1.1, no non-text content (images, etc.) is present, so the criterion is effectively inapplicable. For WCAG 1.3.1, the button uses a native HTML &lt;button&gt; element which inherently conveys its role and the text 'Save' provides its label, satisfying semantic structure requirements. For WCAG 2.1.1, the button is a native focusable element and remains keyboard-accessible despite being off-screen (off-screen positioning does not remove it from the tab order). For WCAG 2.4.1, there are no repetitive blocks of content requiring a bypass mechanism. For WCAG 4.1.2, the native &lt;button&gt; element has an implicit role of 'button', its accessible name is derived from its text content 'Save', and no ARIA attributes are misused. No violations were identified against any of the five evaluated criteria.</t>
  </si>
  <si>
    <t xml:space="preserve">The page contains a single button element ('Save') that is visually hidden by positioning it off-screen (left: -9999px; top: -9999px). Evaluating against the five target criteria: (1.1.1) No non-text content such as images is present, so this criterion is inapplicable. (1.3.1) The button uses a native HTML &lt;button&gt; element which inherently conveys its role and the text 'Save' conveys its label; no structural relationships are misrepresented. (2.1.1) The button is off-screen but not removed from the DOM or tab order, so it remains keyboard accessible — no violation. (2.4.1) There is no repeated block content requiring a bypass mechanism on this minimal page. (4.1.2) The native &lt;button&gt; element has an implicit role of 'button' and its accessible name is derived from its text content 'Save', satisfying name, role, and value requirements. No violations were identified across the evaluated criteria.</t>
  </si>
  <si>
    <t xml:space="preserve">The page contains a single iframe element with role='none' applied. According to the ARIA specification, role='none' (or 'presentation') cannot be applied to iframe elements because they are not purely presentational — they embed external content and require an accessible name to be meaningful to assistive technology users. The iframe lacks a title attribute, which is the primary mechanism (WCAG Technique H64) for providing an accessible name to frame elements. This constitutes a failure of WCAG 4.1.2 Name, Role, Value, as the element's role is incorrectly overridden and no accessible name is provided.</t>
  </si>
  <si>
    <t xml:space="preserve">[4.1.2] The iframe element has role='none' applied to it, which is not a valid role for iframe elements. Interactive or embedded content elements like iframe cannot have their semantics removed with role='none'. The iframe still requires an accessible name (e.g., via title attribute) to convey its purpose to assistive technologies. Remove role='none' from the iframe element and provide an accessible name using the title attribute, e.g., &lt;iframe src="..." title="Description of frame content"&gt;. Per ARIA specification, role='none' is not allowed on iframe elements as they are not presentational by nature.</t>
  </si>
  <si>
    <t xml:space="preserve">The page contains a single iframe element with role='none' applied. According to WCAG 4.1.2 (Name, Role, Value), user interface components must have names and roles that can be programmatically determined. The iframe element is a focusable, embedded content element that requires an accessible name (typically provided via the title attribute). Applying role='none' to an iframe is invalid per ARIA specifications because role='none' cannot be applied to focusable elements — the role is ignored by assistive technologies in such cases, but the iframe still lacks a required accessible name (title attribute). This constitutes a failure of WCAG 4.1.2 as the iframe has no accessible name to communicate its purpose to users of assistive technologies.</t>
  </si>
  <si>
    <t xml:space="preserve">[4.1.2] The iframe element has role='none' applied to it, which is not a valid role for iframe elements. Interactive or embedded content elements like iframe cannot have their semantics removed with role='none'. The iframe still requires an accessible name (e.g., via title attribute) to convey its purpose to assistive technologies. Remove the role='none' attribute from the iframe and provide an accessible name using the title attribute, e.g., &lt;iframe src="..." title="Description of frame content"&gt;. The role='none' is not applicable to iframe elements as they are focusable and interactive by nature.</t>
  </si>
  <si>
    <t xml:space="preserve">The page contains a single iframe element with role='none' applied. According to ARIA specifications, role='none' (also known as role='presentation') is not applicable to interactive or focusable elements such as iframes. Applying role='none' to an iframe does not strip its semantics in practice, and the iframe still requires an accessible name via a title attribute to satisfy WCAG 4.1.2 Name, Role, Value. The absence of a title attribute means assistive technologies cannot convey the purpose of the iframe to users, constituting a failure of WCAG 4.1.2.</t>
  </si>
  <si>
    <t xml:space="preserve">[4.1.2] The iframe element has role='none' applied to it, which is not a valid role for iframe elements. Interactive or embedded content elements like iframe cannot have their semantics removed with role='none'. The iframe still requires an accessible name (e.g., via title attribute) to convey its purpose to assistive technologies. Remove the role='none' attribute and add a descriptive title attribute to the iframe, e.g., title='Description of embedded content'. Per ARIA specification, role='none' is not applicable to iframe elements as they are focusable by default and must retain their native semantics.</t>
  </si>
  <si>
    <t xml:space="preserve">The page contains a single image input element (&lt;input type='image' value='download' alt='Download' /&gt;) that is evaluated against all five criteria. For WCAG 1.1.1, the image input has a descriptive alt attribute ('Download'), satisfying the non-text content requirement (H36). For WCAG 1.3.1, there is no complex structure, tables, lists, or form groupings that require additional semantic markup; the single input is straightforward. For WCAG 2.1.1, the image input is a native HTML form control and is natively keyboard accessible (focusable and activatable via keyboard). For WCAG 2.4.1, the page is a single-element page with no repetitive blocks of content that would require a bypass mechanism. For WCAG 4.1.2, the input type='image' is a native HTML element with an accessible name provided via the alt attribute, fulfilling name, role, and value requirements. No violations were found across any of the five criteria.</t>
  </si>
  <si>
    <t xml:space="preserve">The page contains a single image input element (&lt;input type="image" value="download" alt="Download" /&gt;) with a descriptive alt attribute ('Download'), satisfying WCAG 1.1.1. For WCAG 1.3.1, the element is a standard HTML form control with no complex relationships requiring additional markup. For WCAG 2.1.1, the input element is natively keyboard-focusable and operable. For WCAG 2.4.1, the page is a single simple element with no repetitive blocks requiring a bypass mechanism. For WCAG 4.1.2, the input has an accessible name provided via the alt attribute, and its role and value are conveyed through the native HTML semantics. All evaluated criteria are satisfied.</t>
  </si>
  <si>
    <t xml:space="preserve">The page contains a single image input element (&lt;input type='image' value='download' alt='Download' /&gt;) that is evaluated against all five criteria. For WCAG 1.1.1, the image input has a descriptive alt attribute ('Download'), satisfying the non-text content requirement (H36). For WCAG 1.3.1, there is no complex structure, tables, lists, or form groupings requiring additional semantic markup; the single input is straightforward. For WCAG 2.1.1, the input element is a native HTML control and is natively keyboard-operable. For WCAG 2.4.1, the page has minimal content with no repetitive blocks requiring a bypass mechanism. For WCAG 4.1.2, the input element has an accessible name provided via the alt attribute, fulfilling the Name, Role, Value requirement. No violations were identified across any of the five criteria.</t>
  </si>
  <si>
    <t xml:space="preserve">The page fails primarily on WCAG 4.1.2 (Name, Role, Value) because two iframe elements share an identical accessible name ('List of Contributors'), making it impossible for assistive technology users to distinguish between them. Additionally, the page has a structural issue (missing &lt;body&gt; element) that may affect WCAG 1.3.1 compliance, as the malformed document structure can impair how assistive technologies interpret the page. Both iframes do have title attributes (satisfying the basic name requirement), but the non-unique names are a clear violation of 4.1.2. WCAG 1.1.1, 2.1.1, and 2.4.1 are largely inapplicable or not directly violated by the visible markup, though the missing body element is a concern for overall structural integrity.</t>
  </si>
  <si>
    <t xml:space="preserve">[4.1.2] Two iframes share the same accessible name ('List of Contributors') but embed the same source content. While embedding the same source may reduce confusion, duplicate accessible names for distinct iframe elements violate the requirement that each UI component have a unique, descriptive name that distinguishes it from other components. Screen readers cannot differentiate between the two iframes when they share an identical title. Ensure each iframe has a unique accessible name that clearly identifies its distinct purpose or content. If both iframes truly serve the same purpose and embed identical content, consider whether both are necessary. If they must coexist, differentiate their titles (e.g., 'List of Contributors – Section 1' and 'List of Contributors – Section 2') so assistive technology users can distinguish between them. || [1.3.1] The two iframes are placed directly inside the &lt;html&gt; element without a &lt;body&gt; element, which is invalid HTML structure. This malformed document structure may cause assistive technologies to misinterpret the semantic relationships of the page content. Wrap all page content within a proper &lt;body&gt; element to ensure correct document structure and reliable parsing by browsers and assistive technologies.</t>
  </si>
  <si>
    <t xml:space="preserve">The page contains two iframes, both with identical title attributes ('List of Contributors') and identical src attributes pointing to the same URL. WCAG 4.1.2 requires that iframes have accessible names, which both do via the title attribute (technique H64). While having duplicate names for different iframes could be a concern under WCAG 4.1.2 or 2.4.6, it is acceptable when the iframes reference the same content — the same title accurately describes both frames. WCAG 1.1.1 is inapplicable as there are no images or other non-text content beyond the iframes themselves. WCAG 1.3.1 is satisfied as the iframes are properly identified. WCAG 2.1.1 has no interactive controls that would require keyboard access beyond the iframes themselves. WCAG 2.4.1 has no skip navigation concern raised by this minimal page. Overall, no violations are identified against the evaluated criteria.</t>
  </si>
  <si>
    <t xml:space="preserve">The page fails multiple WCAG 2.1 criteria. Most critically under 4.1.2, two iframes share the identical accessible name 'List of Contributors', making them indistinguishable for assistive technology users navigating by frame. Under 2.4.1, no skip navigation mechanism exists. Under 1.3.1, the page lacks proper semantic structure—there is no &lt;body&gt; element, no landmark regions, and no meaningful content hierarchy. The page does not contain images (1.1.1 is inapplicable) and no interactive controls beyond the iframes are present, but the keyboard accessibility of the iframes themselves (2.1.1) depends on their embedded content which cannot be evaluated from this source alone.</t>
  </si>
  <si>
    <t xml:space="preserve">[4.1.2] Two iframes share the same accessible name ('List of Contributors') but embed the same source content. While embedding the same source is a mitigating factor, having duplicate accessible names for distinct iframe elements makes it impossible for assistive technology users to distinguish between them when navigating by frame. WCAG technique H64 and ACT rule 'iframe-unique-name' require that iframes with different purposes have unique accessible names; duplicate names are only acceptable when the frames serve the exact same purpose and content, but even then best practice is to ensure names are unique to avoid confusion. Ensure each iframe has a unique accessible name that accurately describes its distinct purpose. If both iframes truly serve the same purpose and embed identical content, consider whether both are necessary. If they must both exist, differentiate their titles (e.g., 'List of Contributors – Section 1' and 'List of Contributors – Section 2') so assistive technology users can distinguish between them. || [2.4.1] The page lacks a skip navigation mechanism (e.g., a skip link or landmark regions) to allow users to bypass repetitive blocks of content. The page contains no &lt;main&gt;, &lt;nav&gt;, or other landmark elements, and no skip link is present. Add a skip link at the top of the page (e.g., &lt;a href="#main-content"&gt;Skip to main content&lt;/a&gt;) and wrap primary content in a &lt;main&gt; element with a matching id, or use ARIA landmark roles to allow keyboard users to bypass repeated blocks. || [1.3.1] The page has no structural landmarks or semantic elements (no &lt;head&gt;, &lt;body&gt;, &lt;main&gt;, &lt;header&gt;, etc.) to convey information and relationships programmatically. The iframes are placed directly inside &lt;html&gt; without a &lt;body&gt; element, which is invalid HTML and may cause assistive technologies to misinterpret the page structure. Add a proper &lt;head&gt; and &lt;body&gt; element. Use semantic HTML landmark elements such as &lt;main&gt;, &lt;header&gt;, and &lt;nav&gt; to convey the structure and re...</t>
  </si>
  <si>
    <t xml:space="preserve">The page fails WCAG 2.2.1 (Timing Adjustable) because it contains a &lt;meta http-equiv='refresh'&gt; element with a 5-second countdown that automatically redirects the user to https://w3.org. There is no mechanism provided for the user to turn off, adjust, or extend this time limit. This is particularly harmful for users with cognitive disabilities, motor impairments, or those using assistive technologies who may need more time to read or interact with content. The other evaluated criteria (2.4.8, 3.1.4, 3.3.1, 3.3.2) are inapplicable to this page as it contains no navigation/breadcrumbs, no abbreviations, no forms, and no input fields.</t>
  </si>
  <si>
    <t xml:space="preserve">[2.2.1] The page uses a meta refresh with a 5-second timeout that redirects the user to another URL without providing any mechanism to turn off, adjust, or extend the time limit. Remove the meta refresh redirect entirely, or provide a mechanism for users to turn off, adjust, or extend the time limit before it expires. If a redirect is necessary, use a server-side redirect (HTTP 301/302) that happens instantly (0-second delay), or implement a user-controllable countdown with options to cancel or extend per WCAG technique G198 or G180.</t>
  </si>
  <si>
    <t xml:space="preserve">The page fails WCAG 2.2.1 (Timing Adjustable) because it includes a meta http-equiv refresh directive with a 5-second countdown that automatically redirects the user to another URL (https://w3.org). There is no mechanism provided for the user to turn off, adjust, or extend this time limit. WCAG 2.2.1 requires that users be able to control time limits unless the limit is essential or exceeds 20 hours. A 5-second auto-redirect with no user control violates this requirement. The other evaluated criteria (2.4.8, 3.1.4, 3.3.1, 3.3.2) are inapplicable as the page contains no navigation/breadcrumbs, no abbreviations, no forms, and no error handling.</t>
  </si>
  <si>
    <t xml:space="preserve">[2.2.1] The page uses a meta refresh with a 5-second timeout that redirects the user to another URL without providing any mechanism to turn off, adjust, or extend the time limit. Remove the meta refresh redirect entirely, or provide a mechanism for users to turn off, adjust, or extend the time limit before it expires. If a redirect is necessary, use a server-side redirect (HTTP 301/302) instead, or set the timeout to 0 (immediate redirect) which is exempt under WCAG 2.2.1. If a timed redirect is required, provide controls allowing users to extend or disable it (WCAG technique G198 or G180).</t>
  </si>
  <si>
    <t xml:space="preserve">The page fails WCAG 2.2.1 (Timing Adjustable) because it includes a meta http-equiv refresh directive with a 5-second countdown that automatically redirects the user to https://w3.org. There is no mechanism provided for the user to turn off, adjust, or extend this time limit. This is a critical accessibility barrier, particularly for users who need more time to read or interact with content. WCAG Failure Technique F41 explicitly identifies meta refresh with a non-zero time interval as a failure of Success Criterion 2.2.1. The remaining criteria (2.4.8, 3.1.4, 3.3.1, 3.3.2) are largely inapplicable given the minimal page content, but the meta refresh violation alone results in an overall failed verdict.</t>
  </si>
  <si>
    <t xml:space="preserve">[2.2.1] The page uses a meta refresh with a 5-second timeout that redirects the user to another URL without providing any mechanism to turn off, adjust, or extend the time limit. Remove the meta refresh redirect entirely, or provide a mechanism for users to turn off, adjust, or extend the time limit before it expires. If a redirect is necessary, use a server-side redirect (HTTP 301/302) that happens instantly (0-second delay), or provide controls allowing users to disable or postpone the redirect. Per WCAG technique F41, meta refresh with a non-zero interval is a failure of 2.2.1.</t>
  </si>
  <si>
    <t xml:space="preserve">The page contains a &lt;meta http-equiv="refresh" /&gt; element, but it has no 'content' attribute specifying a time interval or redirect URL. Without a valid 'content' attribute, the meta refresh directive is inert and does not trigger any automatic refresh or redirect. Therefore, WCAG 2.2.1 Timing Adjustable is satisfied because no time limit is imposed on the user. The remaining criteria — 2.4.8 Location, 3.1.4 Abbreviations, 3.3.1 Error Identification, and 3.3.2 Labels or Instructions — are inapplicable, as the page contains no navigation structures, abbreviations, forms, or input fields. Overall, the page passes all evaluated criteria.</t>
  </si>
  <si>
    <t xml:space="preserve">The page contains a &lt;meta http-equiv="refresh" /&gt; element, but it has no 'content' attribute specifying a time interval or redirect URL. Without a valid 'content' attribute, the meta refresh directive is inert and does not cause any automatic refresh or redirect. Therefore, WCAG 2.2.1 Timing Adjustable is satisfied because no time limit is imposed on the user. The other criteria (2.4.8 Location, 3.1.4 Abbreviations, 3.3.1 Error Identification, 3.3.2 Labels or Instructions) are inapplicable as the page contains no navigation structures, abbreviations, forms, or input fields. Overall, the page passes the evaluated criteria.</t>
  </si>
  <si>
    <t xml:space="preserve">The page contains a &lt;meta http-equiv="refresh" /&gt; element, but it has no 'content' attribute specifying a time interval or redirect URL. Without a valid 'content' attribute, the meta refresh directive is inert and does not trigger any automatic refresh or redirect. Therefore, WCAG 2.2.1 (Timing Adjustable) is effectively inapplicable as there is no time limit imposed on the user. The remaining criteria — 2.4.8 (Location), 3.1.4 (Abbreviations), 3.3.1 (Error Identification), and 3.3.2 (Labels or Instructions) — are all inapplicable because the page contains no navigation structures, abbreviations, forms, or input fields. The page passes all evaluated criteria.</t>
  </si>
  <si>
    <t xml:space="preserve">The page fails WCAG 2.2.1 (Timing Adjustable) because it uses a meta http-equiv='refresh' directive with a 0-second timeout to automatically redirect users to an external URL (https://github.com). This provides no opportunity for users to adjust, disable, or extend the time limit, violating the requirement that users be able to control time-sensitive content. The remaining criteria (2.4.8 Location, 3.1.4 Abbreviations, 3.3.1 Error Identification, 3.3.2 Labels or Instructions) are inapplicable as the page contains no navigation, abbreviations, forms, or input fields.</t>
  </si>
  <si>
    <t xml:space="preserve">[2.2.1] The page uses an automatic redirect via meta http-equiv='refresh' with a timeout of 0 seconds, providing no mechanism for the user to turn off, adjust, or extend the time limit. Avoid using meta refresh for redirects. If a timed redirect is necessary, use a server-side redirect (HTTP 301/302) instead, or provide a mechanism for users to disable, adjust, or extend the time limit before the redirect occurs. Per WCAG technique F41, using meta refresh with a non-zero interval is a failure; using it with 0 seconds is also problematic as it gives users no opportunity to interact with the page.</t>
  </si>
  <si>
    <t xml:space="preserve">The page fails primarily on WCAG 2.2.1 (Timing Adjustable) because it uses a meta http-equiv='refresh' with a 0-second timeout that immediately redirects the user to an external URL with no ability to stop, adjust, or extend the time limit — a known failure per WCAG Failure Technique F41. It also fails 2.4.8 (Location) because the page provides absolutely no structural or navigational context to indicate where it sits within a website. WCAG 3.1.4 (Abbreviations), 3.3.1 (Error Identification), and 3.3.2 (Labels or Instructions) are inapplicable as the page contains no text content with abbreviations and no form controls.</t>
  </si>
  <si>
    <t xml:space="preserve">[2.2.1] The page uses an automatic redirect via meta http-equiv='refresh' with a timeout of 0 seconds, providing no mechanism for the user to turn off, adjust, or extend the time limit. Remove the meta refresh redirect and use a server-side redirect (HTTP 301/302) instead. If a client-side redirect must be used, provide users with a mechanism to stop, adjust, or extend the time limit before the redirect occurs (e.g., a visible countdown with controls). Per WCAG technique F41, using meta refresh with a time limit that cannot be turned off is a failure of 2.2.1. || [2.4.8] The page provides no indication of its location within a set of web pages (e.g., no breadcrumb, site map link, or highlighted navigation). The page has no navigation or structural context whatsoever. Add breadcrumb navigation, a site map, or other location indicators so users understand where this page sits within the overall site structure (WCAG technique G65, G128). || [3.1.4] The page contains no mechanism to expand or explain abbreviations, though the page has virtually no content to evaluate. The criterion is effectively inapplicable due to absence of text content. N/A — no abbreviations present in the page content. || [3.3.1] No form elements are present on the page, so error identification is inapplicable. N/A — no forms present. || [3.3.2] No form elements are present on the page, so labels or instructions are inapplicable. N/A — no forms present.</t>
  </si>
  <si>
    <t xml:space="preserve">The page fails WCAG 2.2.1 (Timing Adjustable) because it uses a meta http-equiv='refresh' with a 0-second delay to redirect users to an external URL, giving them no opportunity to adjust, disable, or extend the time limit. WCAG technique F41 explicitly identifies meta refresh redirects as a failure of this criterion when no user control is provided. The remaining criteria are largely inapplicable: there are no forms (making 3.3.1 and 3.3.2 inapplicable), no abbreviations (making 3.1.4 inapplicable), and no navigation or breadcrumb structure to evaluate for 2.4.8. The sole critical issue is the uncontrollable automatic time-limited redirect.</t>
  </si>
  <si>
    <t xml:space="preserve">[2.2.1] The page uses an automatic redirect via meta http-equiv='refresh' with a timeout of 0 seconds, providing no mechanism for the user to turn off, adjust, or extend the time limit. Remove the meta refresh redirect and use a server-side redirect (HTTP 301/302) instead. If a client-side redirect must be used, provide users with a mechanism to disable, adjust, or extend the time limit before the redirect occurs, or ensure the timeout is at least 20 hours per WCAG technique G198.</t>
  </si>
  <si>
    <t xml:space="preserve">The page fails WCAG 2.2.1 (Timing Adjustable) because it includes a &lt;meta http-equiv='refresh' content='30'&gt; directive that automatically reloads the page every 30 seconds. No mechanism is provided to allow users to turn off, adjust, or extend this time limit. This is particularly harmful for users with cognitive disabilities, screen reader users, and users with motor impairments who may need more time to read or interact with content. WCAG 2.4.8, 3.1.4, 3.3.1, and 3.3.2 are inapplicable to this page as it contains no navigation landmarks/breadcrumbs, no abbreviations, and no forms or input fields.</t>
  </si>
  <si>
    <t xml:space="preserve">[2.2.1]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(e.g., a dialog warning the user before refresh with an option to cancel or extend). Alternatively, if the refresh is necessary, use a value of 0 (immediate redirect) which is exempt, or ensure the timeout is at least 20 hours per WCAG technique G198/G180.</t>
  </si>
  <si>
    <t xml:space="preserve">The page fails WCAG 2.2.1 (Timing Adjustable) because it uses a &lt;meta http-equiv='refresh' content='30'&gt; directive that automatically reloads the page every 30 seconds. There is no mechanism provided for the user to disable, adjust, or extend this time limit. This can disorient users, particularly those using assistive technologies or those who need more time to read or interact with content. The remaining criteria (2.4.8, 3.1.4, 3.3.1, 3.3.2) are inapplicable as the page contains no navigation/breadcrumbs, no abbreviations, no forms, and no input fields.</t>
  </si>
  <si>
    <t xml:space="preserve">[2.2.1]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(e.g., a dialog warning the user before refresh with an option to cancel or extend). Alternatively, if the refresh is necessary, use a server-side approach that allows user control, per WCAG technique G198 or G180.</t>
  </si>
  <si>
    <t xml:space="preserve">The page fails WCAG 2.2.1 (Timing Adjustable) because it uses a &lt;meta http-equiv='refresh' content='30'&gt; directive that automatically reloads the page every 30 seconds. No mechanism is provided to disable, adjust, or extend this time limit. This is a direct violation documented in WCAG Failure Technique F41. Users who need more time to read or interact with the page — including those with cognitive disabilities or who use assistive technologies — are unable to control this behavior. The other evaluated criteria (2.4.8, 3.1.4, 3.3.1, 3.3.2) are inapplicable to this minimal page, as it contains no navigation/breadcrumbs, no abbreviations, no forms, and no input fields.</t>
  </si>
  <si>
    <t xml:space="preserve">[2.2.1]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(e.g., a warning dialog with an option to extend). If the refresh is used for updating content, consider using a server-push or AJAX approach that does not reload the page, or at minimum set the interval to 20 hours or more (per WCAG technique G198/F41). Per WCAG technique F41, using meta refresh with a short timeout is a known failure of SC 2.2.1.</t>
  </si>
  <si>
    <t xml:space="preserve">The page fails primarily on WCAG 2.2.1 (Timing Adjustable) because it uses a meta http-equiv refresh to redirect the user after 72000 seconds (20 hours) with no mechanism to turn off, adjust, or extend this time limit. It also fails WCAG 2.4.8 (Location) as there is no breadcrumb, site map, or navigation context to indicate where this page sits within a website. WCAG 3.1.4 (Abbreviations) is effectively inapplicable since no abbreviations appear in the minimal content. WCAG 3.3.1 (Error Identification) and 3.3.2 (Labels or Instructions) are inapplicable because the page contains no forms or interactive inputs.</t>
  </si>
  <si>
    <t xml:space="preserve">[2.2.1] The page uses a meta refresh with a fixed timeout of 72000 seconds (20 hours) that redirects the user without providing any mechanism to turn off, adjust, or extend the time limit. Remove the automatic redirect entirely, or provide a mechanism for users to turn off, adjust, or extend the time limit before it expires. If the redirect is essential, warn the user well in advance and offer controls to extend or disable it. Per WCAG technique G198, users must be able to turn off the time limit, or per G180, extend it at least ten times the default length. || [2.4.8] The page provides no indication of its location within a set of web pages (e.g., no breadcrumb, site map link, or navigation landmark). There is no navigational context whatsoever. Add a breadcrumb trail, site map, or other mechanism (e.g., highlighted navigation link) to indicate the current page's location within the site structure, per WCAG technique G65 or G128. || [3.1.4] No mechanism is provided to expand or explain any abbreviations on the page. While the page content is minimal, no abbreviation expansion mechanism exists at all. If abbreviations are used anywhere on the page, provide expansions using &lt;abbr&gt; elements with title attributes, or a glossary, per WCAG technique H28. || [3.3.1] There are no forms on this page, so error identification is inapplicable. No action needed for this criterion on this page. || [3.3.2] There are no form inputs on this page, so labels or instructions are inapplicable. No action needed for this criterion on this page.</t>
  </si>
  <si>
    <t xml:space="preserve">The page fails WCAG 2.2.1 (Timing Adjustable) because it uses a meta http-equiv refresh directive that automatically redirects the user to another URL after exactly 72000 seconds (20 hours), with no user-accessible mechanism to turn off, adjust, or extend this time limit. WCAG 2.2.1 requires that users be able to control time limits unless the limit is essential or exceeds 20 hours. Although 20 hours is at the boundary of the 20-hour exception, the redirect changes the page context entirely (navigating to https://w3.org), which is functionally a forced redirect rather than a simple session timeout, and no adjustment mechanism is provided. The remaining criteria (2.4.8, 3.1.4, 3.3.1, 3.3.2) are inapplicable due to the minimal page content and absence of navigation landmarks, abbreviations, forms, or error handling.</t>
  </si>
  <si>
    <t xml:space="preserve">[2.2.1] The page uses a meta refresh with a fixed timeout of 72000 seconds (20 hours) that redirects to another URL, with no mechanism provided for the user to turn off, adjust, or extend the time limit. Provide a mechanism for users to turn off, adjust, or extend the time limit before it expires. If the redirect is necessary, use server-side mechanisms and inform users well in advance, giving them the ability to request more time. Alternatively, if the redirect is not essential, remove the meta refresh entirely (WCAG technique G133, G180, SCR16).</t>
  </si>
  <si>
    <t xml:space="preserve">The page fails WCAG 2.2.1 (Timing Adjustable) because it uses a meta http-equiv='refresh' directive to automatically redirect the user to another URL after 72000 seconds (20 hours). Although the timeout is long, WCAG 2.2.1 requires that any time limit set by content must be adjustable, extendable, or turn-off-able by the user (unless it falls under specific exceptions such as real-time events or essential limits). No such mechanism is present on this page. The remaining criteria — 2.4.8, 3.1.4, 3.3.1, and 3.3.2 — are inapplicable because the page contains no navigation/breadcrumb structures, no abbreviations, no forms, and no input fields.</t>
  </si>
  <si>
    <t xml:space="preserve">[2.2.1] The page uses a meta http-equiv refresh with a fixed timeout of 72000 seconds (20 hours) that redirects to another URL, with no mechanism provided for the user to turn off, adjust, or extend the time limit. Provide a mechanism that allows users to turn off, adjust, or extend the time limit before it expires. For example, warn the user before the timeout occurs and offer an option to extend the session, or remove the automatic redirect entirely and replace it with a user-initiated action. Per WCAG technique F41, using meta refresh to redirect after a time delay is a known failure of SC 2.2.1.</t>
  </si>
  <si>
    <t xml:space="preserve">The page contains a meta refresh directive with a timeout of 72001 seconds (approximately 20 hours), which is well above the 20-hour threshold considered acceptable under WCAG 2.2.1 (Timing Adjustable). WCAG 2.2.1 requires that if a time limit is set, users must be able to turn it off, adjust it, or extend it — unless the time limit exceeds 20 hours, in which case the criterion does not apply (per the exception in SC 2.2.1). Since 72001 seconds ≈ 20.0003 hours, it just barely exceeds the 20-hour exemption threshold, making the timing requirement inapplicable. The remaining criteria — 2.4.8 (Location), 3.1.4 (Abbreviations), 3.3.1 (Error Identification), and 3.3.2 (Labels or Instructions) — are all inapplicable because the page contains no navigation, no abbreviations, no forms, and no input fields. No violations were identified.</t>
  </si>
  <si>
    <t xml:space="preserve">The page contains a meta refresh directive with a timeout of 72001 seconds (approximately 20 hours), which is far beyond the 20-hour threshold that WCAG 2.2.1 considers problematic. WCAG 2.2.1 requires that time limits be adjustable, extendable, or at least 20 hours long. Since 72001 seconds (~20.0003 hours) exceeds 20 hours, this technically meets the exception for very long time limits under WCAG 2.2.1 (G198/G180). The remaining criteria — 2.4.8 (Location), 3.1.4 (Abbreviations), 3.3.1 (Error Identification), and 3.3.2 (Labels or Instructions) — are inapplicable because the page contains no navigation, no abbreviations, no forms, and no input fields. Overall, the page passes the evaluated criteria.</t>
  </si>
  <si>
    <t xml:space="preserve">The page contains a meta refresh directive with a timeout of 72001 seconds (approximately 20 hours), which is well above the 20-hour threshold. WCAG 2.2.1 (Timing Adjustable) requires that time limits be adjustable, extendable, or turn-offable unless the limit exceeds 20 hours. Since 72001 seconds (~20.0003 hours) exceeds the 20-hour exception threshold defined in WCAG 2.2.1 (Success Criterion exception: 'The time limit is longer than 20 hours'), this criterion is effectively passed. No forms are present, so 3.3.1 (Error Identification) and 3.3.2 (Labels or Instructions) are inapplicable. No abbreviations are present, so 3.1.4 is inapplicable. No navigation or site structure is present to evaluate 2.4.8 (Location), making it inapplicable. Overall, no violations are identified against the evaluated criteria.</t>
  </si>
  <si>
    <t xml:space="preserve">The page is a simple static lab procedure page with no time limits (making WCAG 2.2.1 inapplicable), no forms or user input (making WCAG 3.3.1 and 3.3.2 inapplicable), and no abbreviations requiring expansion (making WCAG 3.1.4 inapplicable). Regarding WCAG 2.4.8 Location, the page does include a navigation landmark (&lt;nav aria-label='Primary'&gt;) with breadcrumb-style links (Home | Courses | Help), which provides some location context within the site. However, the navigation does not clearly indicate the current page's location within the site hierarchy (e.g., no breadcrumb trail showing 'Home &gt; Courses &gt; Lab Procedure', no aria-current attribute on the active link, and no site map reference). Despite this, since WCAG 2.4.8 is a Level AAA criterion and the nav provides partial location context, this is a borderline case. None of the evaluated criteria result in a clear failure given the minimal content of the page, and most criteria are simply inapplicable to this static, form-free, timer-free content.</t>
  </si>
  <si>
    <t xml:space="preserve">The page is a simple static lab procedure page with no time limits (making WCAG 2.2.1 inapplicable), no forms or user input fields (making WCAG 3.3.1 and 3.3.2 inapplicable), and no abbreviations requiring expansion (making WCAG 3.1.4 inapplicable). Regarding WCAG 2.4.8 Location, the page does include a navigation landmark (&lt;nav aria-label='Primary'&gt;) with breadcrumb-style links (Home | Courses | Help), which provides some location context within the site. However, the navigation is a simple link list rather than a true breadcrumb trail indicating the current page's position in the site hierarchy, and there is no breadcrumb or other explicit location indicator (e.g., aria-current='page', a breadcrumb trail, or sitemap link) identifying where 'Lab procedure' sits within the site structure. This could be considered a failure of 2.4.8, but since 2.4.8 is a AAA criterion and the nav does provide partial orientation, the overall verdict across all five criteria is inapplicable, as none of the Level A criteria (2.2.1, 3.3.1, 3.3.2) are triggered by this page's content, and the AAA criteria (2.4.8, 3.1.4) either have no applicable content or are only marginally relevant.</t>
  </si>
  <si>
    <t xml:space="preserve">The page is a simple static lab procedure page with no time limits (making WCAG 2.2.1 inapplicable), no forms or input fields (making WCAG 3.3.1 and 3.3.2 inapplicable), and no abbreviations requiring expansion (making WCAG 3.1.4 inapplicable). Regarding WCAG 2.4.8 Location, the page does include a navigation landmark (&lt;nav aria-label='Primary'&gt;) with breadcrumb-style links (Home | Courses | Help), which provides some location context within the site. However, the nav does not clearly indicate the user's current location within the site hierarchy (e.g., no 'aria-current' attribute or active link highlighting). Despite this minor gap, WCAG 2.4.8 is a AAA criterion and the presence of the nav with site-level links is a reasonable attempt at location indication. Since none of the evaluated criteria are clearly violated — and most are simply inapplicable to this content — the overall verdict is inapplicable.</t>
  </si>
  <si>
    <t xml:space="preserve">The page is evaluated against five WCAG criteria. WCAG 2.2.1 (Timing Adjustable) is inapplicable — there are no time limits, session timeouts, or auto-updating content on the page. WCAG 2.4.8 (Location) is satisfied — a breadcrumb navigation (&lt;nav aria-label="Breadcrumb"&gt; with an ordered list showing Home &gt; Support) clearly indicates the user's location within the site hierarchy, fulfilling technique G65. WCAG 3.1.4 (Abbreviations) is inapplicable — no abbreviations or acronyms appear in the page content. WCAG 3.3.1 (Error Identification) is inapplicable — there are no forms or user input fields on the page. WCAG 3.3.2 (Labels or Instructions) is inapplicable — there are no form controls requiring labels or instructions. All applicable criteria are met and no violations are present.</t>
  </si>
  <si>
    <t xml:space="preserve">The page is evaluated against five WCAG criteria. WCAG 2.2.1 (Timing Adjustable) is inapplicable — there are no time limits, session timeouts, or auto-updating content on the page. WCAG 2.4.8 (Location) is satisfied — a breadcrumb navigation (&lt;nav aria-label="Breadcrumb"&gt;&lt;ol&gt;&lt;li&gt;&lt;a href="/"&gt;Home&lt;/a&gt;&lt;/li&gt;&lt;li&gt;&lt;a href="/support"&gt;Support&lt;/a&gt;&lt;/li&gt;&lt;/ol&gt;&lt;/nav&gt;) is present and correctly implemented using an ordered list with an accessible label, informing users of their location within the site hierarchy (G65). WCAG 3.1.4 (Abbreviations) is inapplicable — no abbreviations appear in the page content. WCAG 3.3.1 (Error Identification) is inapplicable — there are no forms or user input fields on the page. WCAG 3.3.2 (Labels or Instructions) is inapplicable — there are no form controls requiring labels or instructions. Since all applicable criteria are satisfied and the remaining criteria are inapplicable, the overall verdict is passed.</t>
  </si>
  <si>
    <t xml:space="preserve">The page is evaluated against five WCAG criteria. WCAG 2.2.1 (Timing Adjustable) is inapplicable because there are no time limits or session timeouts present. WCAG 2.4.8 (Location) is satisfied: a breadcrumb navigation (&lt;nav aria-label="Breadcrumb"&gt; with an ordered list showing Home &gt; Support) clearly indicates the user's location within the site hierarchy, fulfilling technique G65. WCAG 3.1.4 (Abbreviations) is inapplicable because no abbreviations appear in the page content. WCAG 3.3.1 (Error Identification) is inapplicable because there are no forms or user input fields. WCAG 3.3.2 (Labels or Instructions) is inapplicable for the same reason — no form controls are present. All applicable criteria pass, and inapplicable criteria introduce no violations.</t>
  </si>
  <si>
    <t xml:space="preserve">This is a minimal static HTML page containing only a heading and a short paragraph. None of the five evaluated WCAG criteria apply: there are no time limits or timed interactions (2.2.1 inapplicable), no multi-page navigation structure or breadcrumbs to indicate location (2.4.8 inapplicable), no abbreviations present in the content (3.1.4 inapplicable), no forms or input fields that could produce errors (3.3.1 inapplicable), and no form controls requiring labels or instructions (3.3.2 inapplicable). Because none of the criteria are triggered by the page's content or functionality, the overall verdict is inapplicable.</t>
  </si>
  <si>
    <t xml:space="preserve">This simple static HTML page contains no time limits (making WCAG 2.2.1 inapplicable), no navigation or breadcrumb structures beyond a single page (making WCAG 2.4.8 inapplicable), no abbreviations (making WCAG 3.1.4 inapplicable), no forms or input fields (making WCAG 3.3.1 and 3.3.2 inapplicable). The page consists solely of a heading and a short paragraph of static content. None of the five evaluated success criteria apply to this page, so the overall verdict is inapplicable.</t>
  </si>
  <si>
    <t xml:space="preserve">This is a minimal static HTML page containing only a heading and a short paragraph. None of the five evaluated WCAG criteria apply: there are no time limits or timed interactions (2.2.1 inapplicable), no multi-page navigation structure or breadcrumbs to indicate location within a site (2.4.8 inapplicable), no abbreviations present in the content (3.1.4 inapplicable), no forms or user input mechanisms that could produce errors (3.3.1 inapplicable), and no form fields or interactive controls requiring labels or instructions (3.3.2 inapplicable). The page passes by virtue of inapplicability across all five criteria.</t>
  </si>
  <si>
    <t xml:space="preserve">The page fails primarily on WCAG 3.3.1 (Error Identification) and 3.3.2 (Labels or Instructions) because the numeric inputs provide no error feedback mechanism and no instructions about expected input format or constraints. WCAG 2.4.8 (Location) also fails as there is no breadcrumb, site map, or navigation to indicate the user's location within a site. WCAG 2.2.1 (Timing Adjustable) is inapplicable since no time limits are present. WCAG 3.1.4 (Abbreviations) is inapplicable since no abbreviations are used in the page content.</t>
  </si>
  <si>
    <t xml:space="preserve">[2.4.8] No mechanism is provided to indicate the user's current location within the site or set of web pages (e.g., breadcrumb, site map link, or highlighted navigation). Add a breadcrumb navigation (e.g., Home &gt; Tools &gt; Unit Converter), a site map link, or highlight the current page in a navigation menu to satisfy WCAG 2.4.8 (technique G65, G63, or G128). || [3.1.4] The label 'Centimeters' and 'Inches' are spelled out in full, so no abbreviation issue exists there; however, the page title 'Unit converter' and button label 'Convert' do not use abbreviations. No abbreviations are present, so this criterion is inapplicable — noted here only for completeness. No action needed for 3.1.4 as no abbreviations are used. || [3.3.1] The form inputs accept numeric values but there is no error identification mechanism. If a user submits invalid or empty input, no programmatic error message is provided to identify the field in error and describe the problem. Implement client-side or server-side validation that, upon error, identifies the field in error (e.g., via aria-describedby pointing to an error message element) and describes the nature of the error in text (technique G83, ARIA18). || [3.3.2] The inputs lack instructions about expected format or constraints (e.g., acceptable range, required fields, units expected). Labels alone ('Centimeters', 'Inches') do not convey whether input is required or what value range is valid. Add visible instructions or hint text (e.g., 'Enter a positive number') associated programmatically via aria-describedby, and indicate required fields with both a visual indicator and the required attribute (technique G89, H90).</t>
  </si>
  <si>
    <t xml:space="preserve">The page fails primarily on WCAG 3.3.1 (Error Identification) because no error identification mechanism is present for the numeric inputs — invalid or missing input will not produce a descriptive, programmatically associated error message. It also has a moderate gap under WCAG 3.3.2 (Labels or Instructions) since labels exist but no usage instructions or format hints are provided. WCAG 2.4.8 (Location) fails because there is no breadcrumb, site map, or other location indicator. WCAG 2.2.1 (Timing Adjustable) is inapplicable as there are no time limits on this page. WCAG 3.1.4 (Abbreviations) is inapplicable because all terms are written out in full with no abbreviations used.</t>
  </si>
  <si>
    <t xml:space="preserve">[2.4.8] No location information is provided to help users understand where they are within a set of web pages (e.g., breadcrumb, site map link, or indication of current page in navigation). Add a breadcrumb navigation (e.g., Home &gt; Tools &gt; Unit Converter) or another location indicator such as a highlighted link in a site navigation menu (WCAG technique G65 or G128). || [3.1.4] The labels 'Centimeters' and 'Inches' are spelled out in full, so no abbreviation issue exists there. However, the page title 'Unit converter' and field labels do not use any abbreviations, making this criterion inapplicable. No issue found. No action needed for 3.1.4 on this page. || [3.3.1] The form inputs lack any server-side or client-side error identification mechanism. If a user enters invalid data (e.g., non-numeric or out-of-range values), there is no visible error message identifying the field in error and describing the problem. Implement error identification: when input is invalid, display a descriptive error message associated with the relevant field (e.g., via aria-describedby pointing to an error element, or inline error text), per WCAG technique G83. || [3.3.2] While labels are present for both inputs, there are no instructions indicating expected format, valid range, or which field to fill in before clicking Convert (e.g., whether to fill cm OR inches, not both). Add brief instructions explaining how to use the converter (e.g., 'Enter a value in one field and click Convert'), and consider adding placeholder or hint text indicating expected input (WCAG technique G184).</t>
  </si>
  <si>
    <t xml:space="preserve">The page fails on multiple evaluated criteria. For WCAG 3.3.1, the form provides no error identification mechanism when invalid or missing values are entered. For WCAG 3.3.2, the inputs lack instructions about required status, valid ranges, or expected format. For WCAG 2.4.8, no breadcrumb, site map, or location indicator is present to orient users within a broader site context. For WCAG 3.1.4, while visible labels are spelled out, there is no use of &lt;abbr&gt; or other expansion mechanism for unit abbreviations that may appear elsewhere. WCAG 2.2.1 (Timing Adjustable) is inapplicable as there are no time limits on this page.</t>
  </si>
  <si>
    <t xml:space="preserve">[2.4.8] No location information is provided to help users understand where they are within a set of web pages (e.g., breadcrumb, site map link, or indication of current page in navigation). Add a breadcrumb trail, site map link, or other mechanism (e.g., &lt;nav aria-label='Breadcrumb'&gt;&lt;ol&gt;&lt;li&gt;&lt;a href='/'&gt;Home&lt;/a&gt;&lt;/li&gt;&lt;li aria-current='page'&gt;Unit converter&lt;/li&gt;&lt;/ol&gt;&lt;/nav&gt;) to indicate the user's location within the site. Note: if this is a single standalone page with no broader site context, this criterion may be inapplicable. || [3.1.4] The label 'cm' (centimeters) and 'inch' (inches) are used as field identifiers. While the visible labels spell out 'Centimeters' and 'Inches', the input IDs use abbreviations ('cm', 'inch') and no mechanism (e.g., abbr element, tooltip, or expansion on first use) is provided for abbreviations that may appear in content or instructions. If abbreviations such as 'cm' or 'in' appear in visible content or instructions, wrap them in &lt;abbr title='centimeters'&gt;cm&lt;/abbr&gt; to provide an expansion. The current visible labels are spelled out, so this is a minor concern, but ensure any abbreviated unit text elsewhere on the page is similarly marked up. || [3.3.1] The form inputs have no client-side or server-side error identification mechanism. If a user submits invalid input (e.g., non-numeric or out-of-range values), no error message is presented identifying the field in error and describing the problem. Implement error identification: when invalid input is detected, display an error message that identifies the specific field (e.g., 'Centimeters: Please enter a valid number') and describe the error. Use aria-describedby or aria-live regions to associate error messages with the relevant inputs programmatically. || [3.3.2] The inputs lack instructions about expected format, valid range, or required status. Users are not informed whether a value is required, what range is acceptable, or how many decimal places are supported. Add visible instructi...</t>
  </si>
  <si>
    <t xml:space="preserve">The page is evaluated against five WCAG criteria. WCAG 2.2.1 (Timing Adjustable) is inapplicable because there are no time limits on the page. WCAG 2.4.8 (Location) is satisfied: a breadcrumb navigation (&lt;nav aria-label="Breadcrumb"&gt;) is present with a properly structured ordered list showing the full path (Home &gt; Reports &gt; 2026 &gt; Q1 quarterly report), and the current page is marked with aria-current="page", clearly indicating the user's location within the site hierarchy (technique G65). WCAG 3.1.4 (Abbreviations) is inapplicable as there are no abbreviations used in the page content. WCAG 3.3.1 (Error Identification) is inapplicable because there are no forms or user input fields on the page. WCAG 3.3.2 (Labels or Instructions) is inapplicable for the same reason — no form controls are present. Overall, the page passes all applicable criteria with no violations identified.</t>
  </si>
  <si>
    <t xml:space="preserve">The page is evaluated against five WCAG criteria. WCAG 2.2.1 (Timing Adjustable) is inapplicable because there are no time limits on the page. WCAG 2.4.8 (Location) is satisfied: a breadcrumb navigation (&lt;nav aria-label="Breadcrumb"&gt; with an ordered list) clearly indicates the current page's location within the site hierarchy, and the current page item is marked with aria-current="page", fulfilling technique G65. WCAG 3.1.4 (Abbreviations) is inapplicable as there are no abbreviations present in the content. WCAG 3.3.1 (Error Identification) is inapplicable because there are no forms or user input fields. WCAG 3.3.2 (Labels or Instructions) is inapplicable for the same reason. All applicable criteria are satisfied and no violations were found.</t>
  </si>
  <si>
    <t xml:space="preserve">The page is evaluated against five WCAG criteria. WCAG 2.2.1 (Timing Adjustable) is inapplicable — there are no time limits on this page. WCAG 2.4.8 (Location) is satisfied — a breadcrumb navigation is present (&lt;nav aria-label="Breadcrumb"&gt; with an ordered list showing Home &gt; Reports &gt; 2026 &gt; Q1 quarterly report) and the current page is marked with aria-current="page", clearly indicating the user's location within the site. WCAG 3.1.4 (Abbreviations) is inapplicable — while 'Q1' could be considered an abbreviation, it is expanded in context ('Q1 quarterly report') and no unexplained abbreviations requiring a mechanism are present; alternatively this criterion is AAA and the abbreviation is sufficiently clear from context. WCAG 3.3.1 (Error Identification) is inapplicable — there are no forms or user input fields on the page. WCAG 3.3.2 (Labels or Instructions) is inapplicable — there are no form controls requiring labels or instructions. Overall, the page passes all applicable criteria with no violations identified.</t>
  </si>
  <si>
    <t xml:space="preserve">The page is evaluated against five WCAG criteria. WCAG 2.2.1 (Timing Adjustable) is inapplicable as there are no time limits on this page. WCAG 2.4.8 (Location) is satisfied: the navigation uses aria-current='page' on the 'Admissions' link, clearly indicating the user's current location within the site structure (technique G128). WCAG 3.1.4 (Abbreviations) is inapplicable as no abbreviations are present in the content. WCAG 3.3.1 (Error Identification) is inapplicable as there are no forms or user inputs on the page. WCAG 3.3.2 (Labels or Instructions) is inapplicable as there are no form controls requiring labels or instructions. All applicable criteria are satisfied, and inapplicable criteria do not constitute failures.</t>
  </si>
  <si>
    <t xml:space="preserve">The page is evaluated against five WCAG criteria. WCAG 2.2.1 (Timing Adjustable) is inapplicable as there are no time limits on the page. WCAG 2.4.8 (Location) is satisfied: the navigation includes aria-current='page' on the 'Admissions' link, clearly indicating the user's current location within the site structure (technique G128). WCAG 3.1.4 (Abbreviations) is inapplicable as no abbreviations are present in the content. WCAG 3.3.1 (Error Identification) is inapplicable as there are no forms or user inputs on the page. WCAG 3.3.2 (Labels or Instructions) is inapplicable as there are no form controls requiring labels or instructions. All applicable criteria pass, and inapplicable criteria do not introduce violations.</t>
  </si>
  <si>
    <t xml:space="preserve">The page is evaluated against five WCAG criteria. WCAG 2.2.1 (Timing Adjustable) is inapplicable as there are no time limits on the page. WCAG 2.4.8 (Location) is satisfied: the navigation includes aria-current='page' on the Admissions link (&lt;a href='/admissions' aria-current='page'&gt;Admissions&lt;/a&gt;), clearly indicating the user's current location within the site structure, fulfilling technique G128. WCAG 3.1.4 (Abbreviations) is inapplicable as no abbreviations are present in the content. WCAG 3.3.1 (Error Identification) is inapplicable as there are no forms or user input fields. WCAG 3.3.2 (Labels or Instructions) is inapplicable as there are no form controls requiring labels or instructions. No violations were found across all applicable criteria.</t>
  </si>
  <si>
    <t xml:space="preserve">The page fails primarily on WCAG 3.1.4 (Abbreviations, Level AAA) because it uses at least nine abbreviations (REST, JSON, CRUD, HTTP, ORM, ETL, ANSI, CLI, CI) without providing any expansion through &lt;abbr title&gt; elements, inline text, or a glossary. It also fails WCAG 2.4.8 (Location, Level AAA) because there is no breadcrumb, site-map link, or any other mechanism to indicate the page's location within a site. WCAG 2.2.1 is inapplicable (no time limits present), WCAG 3.3.1 and 3.3.2 are inapplicable (no forms or user inputs present). The overall label is 'failed' due to violations of the two applicable criteria.</t>
  </si>
  <si>
    <t xml:space="preserve">[3.1.4] Multiple abbreviations are used throughout the page without any expansion or definition provided. Terms such as REST, JSON, CRUD, HTTP, ORM, PostgreSQL (abbreviated context), ETL, ANSI, CLI, and CI are not explained via &lt;abbr&gt; elements, a glossary, or any other mechanism. Wrap each abbreviation in an &lt;abbr&gt; element with a 'title' attribute providing the full expansion,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and &lt;abbr title="Continuous Integration"&gt;CI&lt;/abbr&gt;. Alternatively, provide a glossary or expand each abbreviation on first use in the text (WCAG technique G97). || [2.4.8] The page provides no breadcrumb trail, site map link, or other mechanism to inform the user of their location within a set of web pages. There is no navigation landmark, breadcrumb, or indication of where this page sits within a larger site structure. Add a breadcrumb navigation (e.g., &lt;nav aria-label="Breadcrumb"&gt;&lt;ol&gt;&lt;li&gt;&lt;a href="/"&gt;Home&lt;/a&gt;&lt;/li&gt;&lt;li&gt;&lt;a href="/docs"&gt;Docs&lt;/a&gt;&lt;/li&gt;&lt;li aria-current="page"&gt;API design notes&lt;/li&gt;&lt;/ol&gt;&lt;/nav&gt;) or another location indicator such as a link to a site map, so users understand where this page sits within the overall site (WCAG technique G65, G128).</t>
  </si>
  <si>
    <t xml:space="preserve">The page fails primarily on WCAG 3.1.4 (Abbreviations, Level AAA) because it uses numerous unexpanded abbreviations (REST, JSON, CRUD, HTTP, ORM, ETL, ANSI, CLI, CI) without any &lt;abbr&gt; elements or other expansion mechanism. It also fails WCAG 2.4.8 (Location, Level AAA) because no breadcrumb, site map, or equivalent location indicator is present. WCAG 2.2.1 is inapplicable (no time limits), WCAG 3.3.1 is inapplicable (no forms or error states), and WCAG 3.3.2 is inapplicable (no form inputs requiring labels or instructions). The overall label is 'failed' due to violations of the two applicable AAA criteria.</t>
  </si>
  <si>
    <t xml:space="preserve">[3.1.4] Multiple abbreviations are used throughout the page without any mechanism to expand or explain them. Use the HTML &lt;abbr&gt; element with a 'title' attribute to expand each abbreviation on first use,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This satisfies WCAG technique G102. || [2.4.8] The page provides no breadcrumb trail, site map link, or other mechanism to inform the user of their location within a larger set of web pages. Add a breadcrumb navigation (e.g., Home &gt; Documentation &gt; API Design Notes) or a link to a site map so users can determine their location within the site. This satisfies WCAG technique G65 or G63.</t>
  </si>
  <si>
    <t xml:space="preserve">The page fails primarily on WCAG 3.1.4 (Abbreviations, Level AAA) because it contains numerous unexpanded abbreviations (REST, JSON, CRUD, HTTP, ORM, ETL, ANSI, CLI, CI) with no &lt;abbr title="..."&gt; markup or other mechanism to reveal their full forms. It also fails WCAG 2.4.8 (Location, Level AAA) because there is no breadcrumb, site map link, or other navigational aid to indicate where this page sits within a broader site structure. WCAG 2.2.1 is inapplicable (no time limits), and WCAG 3.3.1 and 3.3.2 are inapplicable (no forms or input fields). The severity is rated minor because both failing criteria are Level AAA and the content is informational text rather than interactive functionality.</t>
  </si>
  <si>
    <t xml:space="preserve">[3.1.4] Multiple abbreviations are used throughout the page without any mechanism to expand or explain them. Use the HTML &lt;abbr&gt; element with a 'title' attribute to provide the expanded form of each abbreviation on first use,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This satisfies WCAG technique G102 and G97. || [2.4.8] The page provides no breadcrumb trail, site map link, or other mechanism to inform the user of their location within a larger set of web pages. Add a breadcrumb navigation (e.g., Home &gt; Documentation &gt; API Design Notes) using a &lt;nav aria-label="Breadcrumb"&gt; element, or provide a link to a site map, or otherwise indicate where this page sits within the overall site structure. This satisfies WCAG technique G65 or G63. || [2.2.1] No time limits are present on this page. No action required for this criterion. || [3.3.1] No forms or user input fields are present on this page. No action required for this criterion. || [3.3.2] No forms or user input fields are present on this page. No action required for this criterion.</t>
  </si>
  <si>
    <t xml:space="preserve">The page fails WCAG 3.1.4 (Abbreviations, Level AAA). Three abbreviations are present: 'PCR' uses an empty title attribute (no expansion provided), 'DNA' uses a title that merely repeats the abbreviation itself (not a meaningful expansion), and 'SOP' has no title attribute whatsoever. WCAG technique G102 requires that abbreviations be expanded the first time they are used, or that a mechanism (such as a populated title attribute per H28) be provided to reveal the expansion. None of the three abbreviations meet this requirement. The other evaluated criteria — 2.2.1 (no time limits present), 2.4.8 (single static page with no navigation context needed), 3.3.1 (no forms), and 3.3.2 (no form inputs) — are inapplicable to this page.</t>
  </si>
  <si>
    <t xml:space="preserve">[3.1.4] Abbreviation 'PCR' has an empty title attribute, providing no expansion or definition. Provide a meaningful expansion in the title attribute, e.g., &lt;abbr title="Polymerase Chain Reaction"&gt;PCR&lt;/abbr&gt;. || [3.1.4] Abbreviation 'DNA' has a title attribute that merely repeats the abbreviation itself ('DNA'), which does not constitute a meaningful expansion or definition. Provide the full expansion in the title attribute, e.g., &lt;abbr title="Deoxyribonucleic Acid"&gt;DNA&lt;/abbr&gt;. || [3.1.4] Abbreviation 'SOP' has no title attribute at all, providing no mechanism to determine its meaning. Add a title attribute with the full expansion, e.g., &lt;abbr title="Standard Operating Procedure"&gt;SOP&lt;/abbr&gt;.</t>
  </si>
  <si>
    <t xml:space="preserve">The page fails WCAG 3.1.4 (Abbreviations, Level AAA) because all three abbreviations on the page are inadequately defined: 'PCR' carries an empty title attribute, 'DNA' has a title that merely repeats the abbreviation, and 'SOP' has no title attribute whatsoever. None of these meet the requirement to provide the expanded form or meaning of abbreviations. The other evaluated criteria are inapplicable: there are no time limits (2.2.1), no multi-page navigation structure (2.4.8), no forms or user input (3.3.1, 3.3.2).</t>
  </si>
  <si>
    <t xml:space="preserve">[3.1.4] The abbreviation 'PCR' has an empty title attribute, providing no expansion or definition. Provide the full expansion in the title attribute, e.g., &lt;abbr title="Polymerase Chain Reaction"&gt;PCR&lt;/abbr&gt; (WCAG technique G102). || [3.1.4] The abbreviation 'DNA' has a title attribute that merely repeats the abbreviation itself ('DNA'), which does not constitute a meaningful expansion or definition. Provide the full expansion in the title attribute, e.g., &lt;abbr title="Deoxyribonucleic Acid"&gt;DNA&lt;/abbr&gt; (WCAG technique G102). || [3.1.4] The abbreviation 'SOP' has no title attribute at all, so no expansion or definition is available to users. Add a title attribute with the full expansion, e.g., &lt;abbr title="Standard Operating Procedure"&gt;SOP&lt;/abbr&gt;, or provide an inline definition the first time the abbreviation appears (WCAG technique G97/G102).</t>
  </si>
  <si>
    <t xml:space="preserve">The page fails WCAG 3.1.4 (Abbreviations, Level AAA) because all three abbreviations on the page are inadequately defined: 'PCR' has an empty title attribute, 'DNA' has a title that merely repeats the abbreviation itself rather than expanding it, and 'SOP' has no title attribute whatsoever. WCAG 3.1.4 requires that a mechanism be available to identify the expanded form or meaning of abbreviations. The other evaluated criteria are inapplicable: there are no time limits (2.2.1), no multi-page navigation structure (2.4.8), no forms or input fields (3.3.1, 3.3.2).</t>
  </si>
  <si>
    <t xml:space="preserve">[3.1.4] The abbreviation 'PCR' has an empty title attribute, providing no expansion or definition. Provide a meaningful expansion in the title attribute, e.g., &lt;abbr title="Polymerase Chain Reaction"&gt;PCR&lt;/abbr&gt; (WCAG technique G102). || [3.1.4] The abbreviation 'DNA' has a title attribute that merely repeats the abbreviation itself ('DNA'), which does not constitute a proper expansion or definition. Provide the full expansion in the title attribute, e.g., &lt;abbr title="Deoxyribonucleic Acid"&gt;DNA&lt;/abbr&gt; (WCAG technique G102). || [3.1.4] The abbreviation 'SOP' has no title attribute at all, providing no mechanism to determine its meaning. Add a title attribute with the full expansion, e.g., &lt;abbr title="Standard Operating Procedure"&gt;SOP&lt;/abbr&gt; (WCAG technique H28).</t>
  </si>
  <si>
    <t xml:space="preserve">This page is a simple static informational page with no interactive elements, forms, time limits, abbreviations, or navigation structures. All five evaluated criteria are inapplicable: WCAG 2.2.1 (Timing Adjustable) is inapplicable because there are no time limits set on content; WCAG 2.4.8 (Location) is inapplicable because there is no multi-page site structure or navigation mechanism present; WCAG 3.1.4 (Abbreviations) is inapplicable because no abbreviations appear in the content; WCAG 3.3.1 (Error Identification) is inapplicable because there are no forms or user input fields; and WCAG 3.3.2 (Labels or Instructions) is inapplicable because there are no form controls or input fields requiring labels or instructions. The page contains only plain prose paragraphs and a heading, so none of the targeted criteria are triggered.</t>
  </si>
  <si>
    <t xml:space="preserve">This page is a simple static informational page with no interactive elements, forms, timed content, abbreviations, or navigation structures. All five evaluated criteria are inapplicable: WCAG 2.2.1 (Timing Adjustable) does not apply because there are no time limits on any content or session; WCAG 2.4.8 (Location) does not apply because the page is a standalone document with no multi-page navigation or site structure (no breadcrumbs, site maps, or navigation landmarks are needed for a single page); WCAG 3.1.4 (Abbreviations) does not apply because no abbreviations are present in the content; WCAG 3.3.1 (Error Identification) does not apply because there are no forms or user input mechanisms; and WCAG 3.3.2 (Labels or Instructions) does not apply because there are no form fields or input controls requiring labels or instructions. The page contains only plain prose text and a heading, and no violations of any of the specified criteria can be identified.</t>
  </si>
  <si>
    <t xml:space="preserve">This page is a simple static informational page with no interactive elements, forms, time limits, abbreviations, or navigation structures that would trigger any of the five evaluated WCAG criteria. WCAG 2.2.1 (Timing Adjustable) is inapplicable because there are no time limits set on content. WCAG 2.4.8 (Location) is inapplicable because there is no multi-page site structure or navigation context present. WCAG 3.1.4 (Abbreviations) is inapplicable because no abbreviations appear in the content. WCAG 3.3.1 (Error Identification) is inapplicable because there are no forms or user input mechanisms. WCAG 3.3.2 (Labels or Instructions) is inapplicable for the same reason — no form fields or input controls exist. All five criteria are inapplicable to this page.</t>
  </si>
  <si>
    <t xml:space="preserve">The page is a simple static informational page with no interactive elements, forms, time limits, navigation structures, or abbreviations requiring expansion. WCAG 2.2.1 (Timing Adjustable) is inapplicable because there are no time limits set by the content. WCAG 2.4.8 (Location) is inapplicable because there is no multi-page site structure or navigation context present in the HTML. WCAG 3.1.4 (Abbreviations) is inapplicable because while terms like 'radar' and 'scuba' appear in the text, these are widely accepted as common words in English dictionaries and are not considered abbreviations requiring expansion under WCAG; no other unexpanded abbreviations are present. WCAG 3.3.1 (Error Identification) and 3.3.2 (Labels or Instructions) are inapplicable because the page contains no forms or user input fields. No violations are identified.</t>
  </si>
  <si>
    <t xml:space="preserve">The page is a simple static informational page with no interactive elements, forms, time limits, navigation structures, or abbreviations requiring expansion. WCAG 2.2.1 (Timing Adjustable) is inapplicable because there are no time limits set by the content. WCAG 2.4.8 (Location) is inapplicable because there is no multi-page site structure or navigation context present in the HTML. WCAG 3.1.4 (Abbreviations) is inapplicable because while terms like 'radar' and 'scuba' appear in the text, these are widely accepted as common words in English dictionaries and do not require abbreviation expansion under WCAG; no unexpanded abbreviations that would cause confusion are present. WCAG 3.3.1 (Error Identification) is inapplicable because there are no forms or input fields. WCAG 3.3.2 (Labels or Instructions) is inapplicable because there are no form controls or user input mechanisms. No violations were identified against any of the evaluated criteria.</t>
  </si>
  <si>
    <t xml:space="preserve">This simple static HTML page contains only a heading and a paragraph of body text. There are no time limits or session timeouts (WCAG 2.2.1 is inapplicable), no multi-page navigation structure or breadcrumbs to evaluate location (WCAG 2.4.8 is inapplicable), no form fields or user inputs requiring labels or instructions (WCAG 3.3.2 is inapplicable), and no form validation or error states (WCAG 3.3.1 is inapplicable). Regarding WCAG 3.1.4 (Abbreviations), the text contains terms such as 'radar' and 'scuba' which are acronyms in origin but are now accepted as common words in standard dictionaries and do not require expansion mechanisms. No unexplained abbreviations that would confuse readers are present. All five evaluated criteria are therefore inapplicable to this page.</t>
  </si>
  <si>
    <t xml:space="preserve">The page is evaluated against five WCAG criteria. For WCAG 2.2.1 (Timing Adjustable), no time limits are present on this static informational page, making the criterion inapplicable — no failure. For WCAG 2.4.8 (Location), the page is a single standalone document with no multi-page site structure, navigation, or breadcrumb context needed; the criterion is effectively inapplicable in this minimal context, and no violation is present. For WCAG 3.1.4 (Abbreviations), all abbreviations used in the page — W3C, WCAG, AG WG, and HTTP — are each wrapped in &lt;abbr&gt; elements with descriptive 'title' attributes providing their full expansions (e.g., &lt;abbr title="World Wide Web Consortium"&gt;W3C&lt;/abbr&gt;), satisfying technique H28. For WCAG 3.3.1 (Error Identification), there are no forms or user inputs on the page, making this criterion inapplicable. For WCAG 3.3.2 (Labels or Instructions), similarly, there are no form controls requiring labels or instructions, making this criterion inapplicable. Overall, the page passes all applicable criteria, with the abbreviation handling being particularly well-implemented.</t>
  </si>
  <si>
    <t xml:space="preserve">The page is evaluated against five WCAG criteria. WCAG 2.2.1 (Timing Adjustable) is inapplicable because there are no time limits on the page. WCAG 2.4.8 (Location) is inapplicable because there is no multi-page site structure or navigation context present. WCAG 3.1.4 (Abbreviations) is satisfied: all abbreviations on the page — W3C (&lt;abbr title="World Wide Web Consortium"&gt;), WCAG (&lt;abbr title="Web Content Accessibility Guidelines"&gt;), AG WG (&lt;abbr title="Accessibility Guidelines Working Group"&gt;), and HTTP (&lt;abbr title="HyperText Transfer Protocol"&gt;) — are marked up with &lt;abbr&gt; elements that include descriptive title attributes, fulfilling technique H28. WCAG 3.3.1 (Error Identification) is inapplicable because there are no forms or user input mechanisms. WCAG 3.3.2 (Labels or Instructions) is inapplicable for the same reason. No violations were found across any applicable criterion.</t>
  </si>
  <si>
    <t xml:space="preserve">The page is evaluated against five WCAG criteria. WCAG 2.2.1 (Timing Adjustable) is inapplicable because there are no time limits on the page. WCAG 2.4.8 (Location) is inapplicable because there is no multi-page site structure or navigation context present. WCAG 3.1.4 (Abbreviations) is satisfied: all abbreviations (W3C, WCAG, AG WG, HTTP) are marked up with &lt;abbr&gt; elements that include descriptive 'title' attributes providing the expanded form (e.g., &lt;abbr title="World Wide Web Consortium"&gt;W3C&lt;/abbr&gt;), fulfilling technique G102/H28. WCAG 3.3.1 (Error Identification) is inapplicable because there are no forms or user input fields. WCAG 3.3.2 (Labels or Instructions) is inapplicable for the same reason. No violations were found; the page passes all applicable criteria.</t>
  </si>
  <si>
    <t xml:space="preserve">The page fails on two criteria. For WCAG 3.1.4 (Abbreviations, Level AAA), while some abbreviations are introduced with parenthetical expansions (e.g., 'Learning Management System (LMS)'), subsequent uses of 'LMS', 'FAQ', and 'PRs' lack any semantic expansion mechanism such as &lt;abbr title="..."&gt; elements, violating the requirement that a mechanism exists to identify the expanded form of abbreviations. For WCAG 2.4.8 (Location, Level AAA), the page contains no breadcrumb, site map, or navigation element indicating where this page sits within the broader website structure. The remaining criteria are inapplicable: there are no time limits (2.2.1), no forms or user input (3.3.1, 3.3.2).</t>
  </si>
  <si>
    <t xml:space="preserve">[3.1.4] Abbreviations are used without providing a mechanism to identify their expanded form beyond the first inline parenthetical definition. Subsequent uses of abbreviations like 'LMS', 'FAQ', and 'PR'/'PRs' appear without any expansion mechanism (e.g., &lt;abbr&gt; element, glossary link, or consistent inline expansion). Wrap each abbreviation in an &lt;abbr&gt; element with a 'title' attribute providing the expanded form, e.g., &lt;abbr title="Learning Management System"&gt;LMS&lt;/abbr&gt;, &lt;abbr title="Frequently Asked Questions"&gt;FAQ&lt;/abbr&gt;, &lt;abbr title="Pull Request"&gt;PR&lt;/abbr&gt;, and &lt;abbr title="Pull Requests"&gt;PRs&lt;/abbr&gt;. This satisfies WCAG technique G102 and G97. || [2.4.8] The page provides no indication of its location within a larger set of web pages (e.g., no breadcrumb trail, no site map link, no navigation highlighting the current page, and no indication of the site structure). Add a breadcrumb navigation or equivalent mechanism (e.g., &lt;nav aria-label="Breadcrumb"&gt;&lt;ol&gt;&lt;li&gt;&lt;a href="/"&gt;Home&lt;/a&gt;&lt;/li&gt;&lt;li&gt;&lt;a href="/courses"&gt;Courses&lt;/a&gt;&lt;/li&gt;&lt;li aria-current="page"&gt;Registration&lt;/li&gt;&lt;/ol&gt;&lt;/nav&gt;) to indicate the page's location within the site, satisfying WCAG technique G65 or G128.</t>
  </si>
  <si>
    <t xml:space="preserve">The page fails WCAG 3.1.4 (Abbreviations, Level AAA) because, although several abbreviations are expanded inline on first use (LMS, FAQ, PR), none of them are marked up with &lt;abbr title='...'&gt; elements. Subsequent occurrences such as 'LMS', 'FAQ', 'PR', and 'PRs' appear without any mechanism for users to retrieve the full form. WCAG 2.2.1 is inapplicable (no time limits present), WCAG 2.4.8 is inapplicable (no multi-page navigation/breadcrumb context needed for a single standalone page), and WCAG 3.3.1 and 3.3.2 are inapplicable (no forms or input fields are present).</t>
  </si>
  <si>
    <t xml:space="preserve">[3.1.4] Abbreviations are used without providing their expanded form via a mechanism such as &lt;abbr&gt; elements with title attributes. While some abbreviations are expanded inline on first use (e.g., 'Learning Management System (LMS)'), subsequent uses of 'LMS', 'FAQ', and 'PR'/'PRs' are not marked up with &lt;abbr title='...'&gt; to allow users to access the expansion on demand. Wrap each abbreviation instance with an &lt;abbr&gt; element and a title attribute providing the full expansion, e.g., &lt;abbr title='Learning Management System'&gt;LMS&lt;/abbr&gt;, &lt;abbr title='Frequently Asked Questions'&gt;FAQ&lt;/abbr&gt;, &lt;abbr title='Pull Request'&gt;PR&lt;/abbr&gt;, and &lt;abbr title='Pull Requests'&gt;PRs&lt;/abbr&gt;. This satisfies WCAG technique G102 (providing the expansion or explanation of an abbreviation).</t>
  </si>
  <si>
    <t xml:space="preserve">The page fails primarily on WCAG 3.1.4 (Abbreviations, Level AAA) because while some abbreviations are introduced with inline parenthetical expansions on first use, subsequent occurrences (LMS, FAQ, PRs) lack any expansion mechanism such as the HTML &lt;abbr&gt; element with a title attribute. The page also fails WCAG 2.4.8 (Location, Level AAA) as there is no breadcrumb, site map, or other navigational indicator showing the user's location within a broader site. WCAG 2.2.1 is inapplicable (no time limits present), and WCAG 3.3.1 and 3.3.2 are inapplicable (no forms or input fields present).</t>
  </si>
  <si>
    <t xml:space="preserve">[3.1.4] Abbreviations are used without providing a mechanism to identify their expanded form beyond the first inline parenthetical definition. Subsequent uses of abbreviations like 'LMS', 'FAQ', and 'PR'/'PRs' appear without any expansion mechanism (e.g., &lt;abbr&gt; element, glossary link, or consistent inline expansion). Wrap all abbreviations in &lt;abbr&gt; elements with a 'title' attribute providing the expanded form, e.g., &lt;abbr title="Learning Management System"&gt;LMS&lt;/abbr&gt;. This applies to every instance, including pluralized forms like PRs. Alternatively, provide a glossary or ensure each first use per section is expanded inline and subsequent uses use &lt;abbr title="..."&gt;. || [2.4.8] The page provides no breadcrumb trail, site map link, or other mechanism to indicate the user's location within a set of web pages. Add a breadcrumb navigation (e.g., Home &gt; Courses &gt; Registration) or a link to a site map, or include other location indicators such as a highlighted navigation menu item, to satisfy WCAG 2.4.8 (technique G65, G63, or G128).</t>
  </si>
  <si>
    <t xml:space="preserve">The page contains a form with an error message paragraph that identifies two specific fields with errors ('Name and color cannot be empty. Please complete all required fields.'). This satisfies WCAG 3.3.1 Error Identification by clearly describing which items are in error. Labels are provided for all inputs ('Name (required)', 'Address', 'Pick a color (required)' via fieldset legend, and individual radio button labels), satisfying WCAG 3.3.2 Labels or Instructions. There are no time limits present, making WCAG 2.2.1 Timing Adjustable inapplicable. There is no multi-page navigation or breadcrumb structure, making WCAG 2.4.8 Location inapplicable. No abbreviations are used in the content, making WCAG 3.1.4 Abbreviations inapplicable. All applicable criteria are satisfied.</t>
  </si>
  <si>
    <t xml:space="preserve">The page is evaluated against WCAG 3.3.1 (Error Identification) and 3.3.2 (Labels or Instructions), as the other criteria are inapplicable: there is no time limit (2.2.1 inapplicable), no breadcrumb or site-map navigation (2.4.8 inapplicable), and no abbreviations requiring expansion (3.1.4 inapplicable). For 3.3.1, the form contains an error message paragraph (&lt;p id="error"&gt;) that explicitly identifies the fields in error ('Name and color cannot be empty') and is programmatically associated with the Submit button via aria-describedby="error", satisfying the requirement to identify and describe input errors in text. For 3.3.2, each input has an associated &lt;label&gt; element (for='name', for='address'), required fields are clearly indicated with '(required)' in the label text and via the required attribute, and the radio group is wrapped in a &lt;fieldset&gt; with a &lt;legend&gt; that includes '(required)'. These mechanisms provide sufficient labels and instructions for users to understand what input is expected. No violations were found.</t>
  </si>
  <si>
    <t xml:space="preserve">The page is evaluated against WCAG 3.3.1 (Error Identification) and 3.3.2 (Labels or Instructions), as the other criteria are inapplicable: there is no time limit (2.2.1 inapplicable), no breadcrumb or site-map navigation (2.4.8 inapplicable), and no abbreviations requiring expansion (3.1.4 inapplicable). For 3.3.1, the form includes an error message paragraph (&lt;p id="error"&gt;) that explicitly identifies which fields are in error ('Name and color cannot be empty'), and the Submit button references it via aria-describedby="error", satisfying the requirement to identify and describe input errors in text. For 3.3.2, all required fields are clearly labelled: the text input has &lt;label for="name"&gt;Name (required)&lt;/label&gt;, the radio group is wrapped in a &lt;fieldset&gt; with &lt;legend&gt;Pick a color (required)&lt;/legend&gt;, and the optional Address field is also labelled. These labels provide sufficient instructions for users to understand what input is required. No violations were found.</t>
  </si>
  <si>
    <t xml:space="preserve">The page fails primarily on WCAG 3.3.1 (Error Identification) because the error message 'Please fill the field correctly.' is a generic, static div that is not programmatically linked to any specific input field, does not identify which field is in error, and does not describe the nature of the error. It also fails 3.3.2 (Labels or Instructions) because while basic labels are present, there are no instructions about required fields, expected formats, or value constraints. The criteria 2.2.1, 2.4.8, and 3.1.4 are inapplicable to this page as there are no time limits, no multi-page navigation context, and no abbreviations used.</t>
  </si>
  <si>
    <t xml:space="preserve">[3.3.1] The error message is not programmatically associated with the input fields that caused the error, and does not identify which specific field is in error or describe the nature of the error. Use aria-describedby or aria-errormessage to associate the error message with the specific input field(s) in error. The error message should clearly identify which field has an error and describe what is wrong (e.g., 'Age: Please enter a valid number' or 'Name: This field is required'). For example: &lt;input type="number" id="age" aria-describedby="error" aria-invalid="true" /&gt; || [3.3.2] The 'Age (years)' label provides minimal instruction but there is no indication of required fields, expected format, or constraints for either input. The error div 'Please fill the field correctly' is present statically without context, providing no meaningful instruction about what is expected. Provide clear labels and instructions for each input field, including whether fields are required (e.g., using aria-required="true" or marking with an asterisk explained in text), acceptable value ranges for Age, and any format requirements. For example: &lt;label for="age"&gt;Age (years) (required, 0–120)&lt;/label&gt;</t>
  </si>
  <si>
    <t xml:space="preserve">The page fails WCAG 3.3.1 Error Identification. An error message is present ('Please fill the field correctly.'), but it does not identify which specific field is in error nor describe what the user entered incorrectly, violating the requirement that errors be identified in text. Additionally, the error div is not programmatically linked to any input via aria-describedby or aria-errormessage, and no aria-invalid attribute is set, meaning assistive technology users cannot determine which field is erroneous or what correction is needed. The other evaluated criteria (2.2.1, 2.4.8, 3.1.4, 3.3.2) are either inapplicable or not violated: there is no time limit, no multi-page navigation context, no abbreviations, and the form fields have visible labels.</t>
  </si>
  <si>
    <t xml:space="preserve">[3.3.1] The error message does not identify which field is in error. The generic message 'Please fill the field correctly.' does not specify which input caused the error, nor does it describe what was entered incorrectly. Update the error message to identify the specific field in error and describe the nature of the error, e.g., 'Age: Please enter a valid number in years.' Also associate the error message programmatically with the relevant input using aria-describedby or aria-errormessage, and use aria-invalid='true' on the erroneous input. || [3.3.1] The error message element is not programmatically associated with any input field. There is no aria-describedby or aria-errormessage attribute linking the error div to the relevant input, so assistive technologies cannot announce the error in context. Add aria-describedby="error" and aria-invalid="true" to the input(s) that are in error so that screen readers can associate and announce the error message when the user focuses the erroneous field.</t>
  </si>
  <si>
    <t xml:space="preserve">The page fails WCAG 3.3.1 (Error Identification) because the error message 'Please fill the field correctly.' is a plain div with no programmatic association to any specific input field, no ARIA role or live region to announce it, and no identification of which field is erroneous or what the correct input should be. It also has a moderate issue with 3.3.2 (Labels or Instructions) as no required-field indicators or input constraints are communicated to users. The other evaluated criteria (2.2.1, 2.4.8, 3.1.4) are inapplicable to this page as there are no time limits, no multi-page navigation context, and no abbreviations present.</t>
  </si>
  <si>
    <t xml:space="preserve">[3.3.1] The error message is not programmatically associated with the input field(s) it refers to, and does not identify which specific field is in error or describe what the error is. Use aria-describedby on the relevant input(s) to associate the error message, add role="alert" or aria-live="assertive" to the error container so it is announced, and make the message specific (e.g., 'Age: Please enter a valid age in years'). Example: &lt;div id="error" role="alert"&gt;Age: Please enter a number for the Age field.&lt;/div&gt; and &lt;input type="number" id="age" aria-describedby="error" /&gt; || [3.3.2] The 'Age (years)' label provides some instruction, but there is no indication of required fields, expected format, or constraints (e.g., minimum/maximum age), which are necessary instructions for users to avoid errors. Add required attributes and/or aria-required="true" to mandatory fields, and provide format/constraint hints either in the label or via aria-describedby pointing to a hint element (e.g., 'Age (years, 0–120)').</t>
  </si>
  <si>
    <t xml:space="preserve">The page fails WCAG 3.3.1 (Error Identification) because the error message 'Invalid value for age.' is statically rendered in the HTML at all times, regardless of whether the user has actually made an error. There is no programmatic association between the error message and the input field (no aria-describedby, aria-errormessage, or aria-invalid attributes), and no mechanism to indicate that an error condition exists. WCAG 3.3.1 requires that if an input error is automatically detected, the item in error is identified and the error is described to the user in text — this must be conditional on an actual error occurring, not always present. The other criteria are largely inapplicable: there is no time limit (2.2.1 inapplicable), no multi-page navigation context (2.4.8 inapplicable), no abbreviations requiring expansion (3.1.4 inapplicable), and the label 'Age (years)' is properly associated with the input via the 'for' attribute, satisfying 3.3.2.</t>
  </si>
  <si>
    <t xml:space="preserve">[3.3.1] The error message is always visible and not programmatically associated with the input field, and there is no mechanism to identify whether an error has actually occurred or to describe the item in error. Use aria-describedby or aria-errormessage to associate the error message with the input field, and only display/announce the error message when an actual input error is detected (e.g., after form submission or validation). For example: &lt;input type="number" id="age" aria-describedby="error" aria-invalid="true" /&gt; and conditionally show the error span only when validation fails.</t>
  </si>
  <si>
    <t xml:space="preserve">The page fails WCAG 3.3.1 Error Identification. While an error message element exists (&lt;span id="error"&gt;Invalid value for age.&lt;/span&gt;), it is statically rendered in the HTML at all times regardless of whether an error has actually occurred. There is no programmatic association between the error message and the input field (no aria-describedby, no aria-invalid, no role="alert"), and no mechanism to conditionally surface the error only when the user has submitted invalid input. This means users — particularly those relying on assistive technologies — cannot reliably identify that an error has occurred, which field is in error, or what the error is. The other criteria (2.2.1, 2.4.8, 3.1.4) are inapplicable: there are no time limits, no multi-page navigation context, and no abbreviations present. WCAG 3.3.2 is satisfied as the age field has a visible label ('Age (years)').</t>
  </si>
  <si>
    <t xml:space="preserve">[3.3.1] The error message is always visible and not programmatically associated with the input field, and there is no mechanism to identify which field is in error or describe the nature of the error in a way that is conditionally presented upon actual error occurrence. Use aria-describedby on the input to associate the error message with the field, ensure the error message is only displayed when an actual error occurs (e.g., hidden by default and shown conditionally), and use aria-invalid="true" on the input when an error is detected. For example: &lt;input type="number" id="age" aria-describedby="error" aria-invalid="true" /&gt; and toggle the visibility of the error span programmatically.</t>
  </si>
  <si>
    <t xml:space="preserve">The page fails WCAG 3.3.1 (Error Identification) because the error message '&lt;span id="error"&gt;Invalid value for age.&lt;/span&gt;' is statically rendered in the HTML at all times regardless of whether the user has actually entered an invalid value. There is no programmatic association between the error message and the input field (no aria-describedby, no aria-invalid), and no mechanism to identify that an error state has occurred. WCAG 3.3.1 requires that if an input error is automatically detected, the item in error is identified and the error is described to the user in text — this requires the error to be conditionally surfaced and properly linked to the erroneous field. The other criteria (2.2.1, 2.4.8, 3.1.4, 3.3.2) are either inapplicable or satisfied: there is no time limit, no navigation context requiring location indicators, no abbreviations, and the label 'Age (years)' is adequately associated with the input via a for/id pair.</t>
  </si>
  <si>
    <t xml:space="preserve">[3.3.1] The error message is always visible and not programmatically associated with the input field, and there is no mechanism to identify whether an error has actually occurred or to describe the error in context. Use aria-describedby on the input to associate the error message, ensure the error message is only displayed when an actual error condition exists (e.g., after form submission or validation), and use aria-invalid="true" on the input when an error is detected. For example: &lt;input type="number" id="age" aria-describedby="error" aria-invalid="true" /&gt; and conditionally show the error span only upon validation failure.</t>
  </si>
  <si>
    <t xml:space="preserve">The page contains only a single static paragraph with no interactive elements, forms, time limits, abbreviations, or navigation structures. Therefore, all five evaluated WCAG criteria are inapplicable: 2.2.1 (Timing Adjustable) has no time-limited content; 2.4.8 (Location) has no multi-page navigation or breadcrumb context to evaluate; 3.1.4 (Abbreviations) contains no abbreviations or acronyms; 3.3.1 (Error Identification) has no forms or input fields that could produce errors; and 3.3.2 (Labels or Instructions) has no form controls requiring labels or instructions.</t>
  </si>
  <si>
    <t xml:space="preserve">The page contains only a single static paragraph with no interactive elements, forms, time limits, navigation structures, abbreviations, or input fields. Therefore, all five evaluated criteria are inapplicable: WCAG 2.2.1 (no time limits present), WCAG 2.4.8 (no multi-page navigation or breadcrumb context needed), WCAG 3.1.4 (no abbreviations used), WCAG 3.3.1 (no forms or error states), and WCAG 3.3.2 (no form inputs requiring labels or instructions). The page passes trivially by having nothing to evaluate against these criteria.</t>
  </si>
  <si>
    <t xml:space="preserve">This page contains only a single static paragraph with no interactive elements, forms, time limits, abbreviations, navigation structures, or user input mechanisms. Therefore, all five evaluated criteria are inapplicable: WCAG 2.2.1 (no time limits present), WCAG 2.4.8 (no multi-page navigation or location indicators needed), WCAG 3.1.4 (no abbreviations used), WCAG 3.3.1 (no forms or error states), and WCAG 3.3.2 (no form inputs requiring labels or instructions). The page fully passes by virtue of having nothing that could violate these criteria.</t>
  </si>
  <si>
    <t xml:space="preserve">The page contains a simple form with a text input for a product filter. Evaluating against the five criteria: (1) WCAG 2.2.1 Timing Adjustable — no time limits are present on this page, so the criterion is inapplicable; however, since it does not fail, it does not drag the verdict down. (2) WCAG 2.4.8 Location — the page is a single standalone page with no multi-page navigation structure, making breadcrumbs or site-map indicators inapplicable; no violation exists. (3) WCAG 3.1.4 Abbreviations — no abbreviations are used in the visible content, so the criterion is inapplicable. (4) WCAG 3.3.1 Error Identification — the form does not appear to perform server-side or client-side validation that would produce error messages, and no required fields are marked; no error identification mechanism is needed in this static example, making it effectively inapplicable or passing by absence of errors. (5) WCAG 3.3.2 Labels or Instructions — the text input has a properly associated &lt;label&gt; element (via matching 'for' and 'id' attributes: for='filter' / id='filter'), and supplementary instructions are provided in the paragraph ('To see all products, leave the field empty.'). The button's purpose is conveyed by its value attribute. All form controls are adequately labelled. No violations were found across any of the evaluated criteria.</t>
  </si>
  <si>
    <t xml:space="preserve">The page contains a simple form with a text input for a product filter. Evaluating against the five criteria: (1) WCAG 2.2.1 Timing Adjustable — no time limits are present on this page, so this criterion is inapplicable. (2) WCAG 2.4.8 Location — there is no multi-page navigation structure or site map present; the page is a standalone form with no breadcrumb or site navigation, making this criterion inapplicable. (3) WCAG 3.1.4 Abbreviations — no abbreviations are used in the page content, making this criterion inapplicable. (4) WCAG 3.3.1 Error Identification — the form does not appear to perform any server-side or client-side validation that would produce errors, and no error states are present in the HTML; this criterion is effectively inapplicable in the static context shown. (5) WCAG 3.3.2 Labels or Instructions — the text input has a properly associated label via the 'for' attribute matching the input's 'id' ('filter'), and additional instructional text ('To see all products, leave the field empty.') is provided in a paragraph. This satisfies the requirement for labels or instructions. The button input has a descriptive 'value' attribute. No violations are identified across all applicable criteria.</t>
  </si>
  <si>
    <t xml:space="preserve">The page contains a simple form with a text input for a product filter. Evaluating against the five criteria: (1) WCAG 2.2.1 Timing Adjustable — no time limits are present on this page, so the criterion is inapplicable but not failed; (2) WCAG 2.4.8 Location — the page is a single standalone page with no multi-page navigation structure, so location indicators are not required and the criterion is inapplicable; (3) WCAG 3.1.4 Abbreviations — no abbreviations are used in the visible text content, so the criterion is inapplicable; (4) WCAG 3.3.1 Error Identification — the form does not appear to perform server-side validation or include any error-state markup, but there is no evidence of errors being presented without identification either; the form is simple and no error conditions are demonstrated in the HTML, making this effectively inapplicable in the static snapshot; (5) WCAG 3.3.2 Labels or Instructions — the text input has a properly associated &lt;label&gt; element via the 'for="filter"' attribute matching 'id="filter"', and supplementary instructions ('To see all products, leave the field empty.') are provided in a &lt;p&gt; element. The button input has a descriptive 'value' attribute. All form controls are adequately labelled and instructed, satisfying this criterion. Overall, no violations are found across all applicable criteria.</t>
  </si>
  <si>
    <t xml:space="preserve">This simple static HTML page contains only a heading and an unordered list of book titles. None of the five evaluated WCAG criteria apply: there are no time limits or timed interactions (2.2.1 inapplicable), no multi-page navigation structure or breadcrumbs to indicate location within a site (2.4.8 inapplicable), no abbreviations present in the content (3.1.4 inapplicable), no forms or user input mechanisms that could produce errors (3.3.1 inapplicable), and no form fields or input controls requiring labels or instructions (3.3.2 inapplicable). The page passes all five criteria by virtue of their inapplicability.</t>
  </si>
  <si>
    <t xml:space="preserve">This page is a simple static reading list with no interactive elements, forms, time limits, abbreviations, or multi-page navigation structure. All five evaluated criteria are inapplicable: WCAG 2.2.1 (Timing Adjustable) does not apply because there are no time limits set on content; WCAG 2.4.8 (Location) does not apply because the page is a standalone document with no site navigation or breadcrumb context to evaluate (or alternatively, the single-page site has no multi-page structure requiring location indicators); WCAG 3.1.4 (Abbreviations) does not apply because no abbreviations are present in the content; WCAG 3.3.1 (Error Identification) does not apply because there are no forms or user input mechanisms; and WCAG 3.3.2 (Labels or Instructions) does not apply because there are no form fields or input controls requiring labels or instructions. The page passes all applicable baseline checks by virtue of having no elements that trigger these criteria.</t>
  </si>
  <si>
    <t xml:space="preserve">This simple static HTML page contains only a heading and an unordered list of book titles. None of the five evaluated WCAG criteria apply: there are no time limits or session timeouts (2.2.1 inapplicable), no multi-page navigation structure or breadcrumbs to indicate location within a site (2.4.8 inapplicable), no abbreviations present in the content (3.1.4 inapplicable), no forms or user input mechanisms that could produce errors (3.3.1 inapplicable), and no form fields or interactive controls requiring labels or instructions (3.3.2 inapplicable). The page passes all five criteria by virtue of their non-applicability.</t>
  </si>
  <si>
    <t xml:space="preserve">The page contains a text input field (&lt;input type="text" id="pass1" /&gt;) that has no associated label element, no aria-label, no aria-labelledby, no title attribute, and no visible instructions describing what the user should enter. WCAG 3.3.2 (Labels or Instructions) requires that labels or instructions are provided when content requires user input. The absence of any labeling mechanism for this input constitutes a failure of this criterion. The other evaluated criteria are largely inapplicable: there are no time limits (2.2.1), no multi-page navigation context (2.4.8), no abbreviations (3.1.4), and no error identification mechanism needed since there is no form submission or validation present (3.3.1).</t>
  </si>
  <si>
    <t xml:space="preserve">[3.3.2] The input field lacks a visible label or instructions to inform the user of its purpose. Associate a &lt;label&gt; element with the input using the 'for' attribute matching the input's 'id', or provide an 'aria-label' or 'aria-labelledby' attribute to describe the field's purpose. For example: &lt;label for="pass1"&gt;Your Name&lt;/label&gt;</t>
  </si>
  <si>
    <t xml:space="preserve">The page contains a single text input field (&lt;input type="text" id="pass1" /&gt;) that has no associated label, no aria-label, no aria-labelledby, no title attribute, and no visible instructions describing its purpose. This is a direct violation of WCAG 3.3.2 (Labels or Instructions), which requires that labels or instructions be provided when content requires user input. The other evaluated criteria are largely inapplicable: there is no time limit (2.2.1), no navigation/breadcrumb mechanism (2.4.8), no abbreviations (3.1.4), and no error identification mechanism is triggered since there is no form submission or validation logic present (3.3.1). The primary and critical finding is the missing label on the input field.</t>
  </si>
  <si>
    <t xml:space="preserve">[3.3.2] The text input field has no associated label or instructions to inform the user of its purpose. Add a &lt;label&gt; element associated with the input via the 'for' attribute matching the input's 'id', or provide an aria-label or aria-labelledby attribute to describe the purpose of the field. For example: &lt;label for="pass1"&gt;Your Name&lt;/label&gt;</t>
  </si>
  <si>
    <t xml:space="preserve">The page contains a text input field (&lt;input type="text" id="pass1" /&gt;) that has no associated label, placeholder, aria-label, aria-labelledby, or any other form of instruction. WCAG 3.3.2 (Labels or Instructions) requires that labels or instructions be provided when content requires user input. The absence of any label or instruction for this input constitutes a failure of this criterion. The other evaluated criteria are largely inapplicable: there are no time limits (2.2.1), no multi-page navigation structure (2.4.8), no abbreviations (3.1.4), and no error identification mechanism is needed since no form submission or validation is present (3.3.1).</t>
  </si>
  <si>
    <t xml:space="preserve">[3.3.2] The text input field has no associated label or instructions to inform the user of its purpose. Add a &lt;label&gt; element associated with the input via the 'for' attribute matching the input's 'id', or provide an 'aria-label' or 'aria-labelledby' attribute to describe the purpose of the field. For example: &lt;label for="pass1"&gt;Your Name&lt;/label&gt;</t>
  </si>
  <si>
    <t xml:space="preserve">The page contains a single textarea element with a 'title' attribute providing an accessible label ('Label'). Per WCAG 3.3.2 (Labels or Instructions), form inputs must have labels or instructions to help users understand what input is required. The 'title' attribute serves as a valid accessible label for the textarea (per H65 technique), satisfying this criterion. The other criteria are inapplicable: there are no time limits (2.2.1), no multi-page navigation structure to indicate location (2.4.8), no abbreviations present (3.1.4), and no error identification mechanism is needed since there is no form submission or validation logic present (3.3.1). Overall, the page passes WCAG 3.3.2 and the remaining criteria are inapplicable.</t>
  </si>
  <si>
    <t xml:space="preserve">The page contains a single textarea element with a descriptive title attribute ('Label') that serves as its accessible label, satisfying WCAG 3.3.2 Labels or Instructions. The title attribute is a recognized technique (H65) for providing labels when a visible label element is not used. No timing mechanisms are present, making 2.2.1 inapplicable. No breadcrumbs or site-map navigation are present, making 2.4.8 inapplicable. No abbreviations are used, making 3.1.4 inapplicable. No form submission or error states are present, making 3.3.1 effectively inapplicable. The single applicable criterion, 3.3.2, is satisfied by the title attribute on the textarea.</t>
  </si>
  <si>
    <t xml:space="preserve">The page contains a single textarea element with a descriptive title attribute ('Label') that serves as its accessible label, satisfying WCAG 3.3.2 Labels or Instructions. No timing mechanisms are present, making 2.2.1 inapplicable. No breadcrumbs or site-map navigation are present, making 2.4.8 inapplicable. No abbreviations are used, making 3.1.4 inapplicable. No form submission or error states are present, making 3.3.1 inapplicable. The only applicable criterion is 3.3.2, which is satisfied by the title attribute providing a programmatically determinable label for the textarea.</t>
  </si>
  <si>
    <t xml:space="preserve">The page fails primarily on WCAG 3.3.2 (Labels or Instructions) and 3.3.1 (Error Identification). All four form controls rely solely on placeholder text or have no labelling at all, violating the requirement to provide labels or instructions for user inputs. Additionally, no error identification mechanism exists for the date fields, which accept free-form text. WCAG 2.4.8 (Location) is technically applicable but the absence of breadcrumbs or location indicators is a AAA-level concern noted for completeness. WCAG 2.2.1 and 3.1.4 are inapplicable to this page as there are no time limits or abbreviations present.</t>
  </si>
  <si>
    <t xml:space="preserve">[2.2.1] No time limits are present on this page. No action needed; criterion is inapplicable. || [2.4.8] No breadcrumb, sitemap link, or other location indicator is provided to help users understand where they are within the site. Add a breadcrumb navigation (e.g., &lt;nav aria-label='Breadcrumb'&gt;) or other location indicator such as a highlighted nav link to orient users within the site structure (WCAG technique G65, G128). || [3.1.4] No abbreviations are present on this page. No action needed; criterion is inapplicable. || [3.3.1] The form provides no error identification mechanism. If a user submits invalid input (e.g., malformed dates), no programmatic error messages are present to identify and describe the error. Implement server-side or client-side validation that, upon error, renders a descriptive error message associated with the relevant field (e.g., using aria-describedby pointing to an error element, or role='alert'). Use WCAG technique G83. || [3.3.2] All form inputs lack programmatic labels. Placeholder text is used as the only labelling mechanism, which is insufficient because placeholders disappear on input and are not reliably exposed as labels by assistive technologies. Add explicit &lt;label&gt; elements associated via 'for'/'id' attributes to each input and the select element (WCAG technique H44). For example: &lt;label for='search'&gt;Search&lt;/label&gt;&lt;input id='search' type='text'&gt;. Do not rely solely on placeholder text.</t>
  </si>
  <si>
    <t xml:space="preserve">The page fails primarily on WCAG 3.3.2 (Labels or Instructions) and 3.3.1 (Error Identification) because all form controls rely exclusively on placeholder text for labelling — no &lt;label&gt; elements, aria-label, or aria-labelledby attributes are present — and no error identification mechanism exists for invalid input. WCAG 2.4.8 (Location) also fails as there is no breadcrumb or other location indicator. WCAG 2.2.1 and 3.1.4 are inapplicable since no time limits or abbreviations are present on the page.</t>
  </si>
  <si>
    <t xml:space="preserve">[2.2.1] No time limits detected on this page; criterion is inapplicable. No action needed for this criterion. || [2.4.8] No breadcrumb, sitemap link, or other location indicator is provided to help users understand where they are within the site. Add a breadcrumb navigation (e.g., Home &gt; Search) or another mechanism (e.g., highlighted nav link) to indicate the user's current location within the site (WCAG technique G65, G128). || [3.1.4] No abbreviations are present on this page; criterion is inapplicable. No action needed for this criterion. || [3.3.1] The form provides no error identification mechanism. If a user submits invalid input (e.g., malformed dates), there is no programmatic means to identify and describe the error to the user. Add client-side validation with descriptive error messages linked to the relevant inputs via aria-describedby, and use aria-invalid='true' on fields that fail validation (WCAG technique ARIA21, G83). || [3.3.2] All form inputs lack programmatic labels. Placeholder text is used as the sole labelling mechanism, which disappears when the user starts typing and is not reliably exposed to assistive technologies as a label. Associate a visible &lt;label&gt; element with each input using the 'for' attribute matching the input's 'id', or use aria-label/aria-labelledby as a fallback. Do not rely solely on placeholder text for labelling (WCAG technique H44, G131).</t>
  </si>
  <si>
    <t xml:space="preserve">The page fails primarily on WCAG 3.3.2 (Labels or Instructions) and 3.3.1 (Error Identification). All four form controls — three text inputs and a select — rely solely on placeholder text or implicit context for labelling, with no programmatic &lt;label&gt;, aria-label, or aria-labelledby associations. Placeholder text disappears on input and is not a reliable substitute for a label. Additionally, there is no error-handling mechanism to identify or describe invalid input to users. WCAG 2.4.8 (Location) is also violated because no breadcrumb or site-location indicator is present. WCAG 2.2.1 and 3.1.4 are inapplicable as there are no time limits or abbreviations on the page.</t>
  </si>
  <si>
    <t xml:space="preserve">[2.2.1] No time limits detected on this page. No action needed; criterion is inapplicable to this page. || [2.4.8] No breadcrumb, sitemap link, or other location indicator is provided to help users understand where this page is within the site. Add a breadcrumb navigation (e.g., Home &gt; Search) or a link to a sitemap so users can orient themselves within the site structure (WCAG technique G65 or G128). || [3.1.4] No abbreviations are present on this page. No action needed; criterion is inapplicable to this page. || [3.3.1] The form has no error identification mechanism. If a user submits invalid input (e.g., malformed dates), there is no programmatic means to identify and describe the error to the user. Add client-side validation with descriptive error messages linked to the relevant inputs via aria-describedby or aria-errormessage, and use role="alert" or aria-live regions to announce errors (WCAG technique G83, ARIA technique ARIA21). || [3.3.2] All form controls lack programmatic labels. Placeholder text is used as the only labelling mechanism, which disappears when the user starts typing and is not reliably exposed to assistive technologies as a label. Associate each form control with a visible &lt;label&gt; element using the for/id pairing, or provide aria-label / aria-labelledby where a visible label is not feasible. Do not rely solely on placeholder text (WCAG technique H44, G131).</t>
  </si>
  <si>
    <t xml:space="preserve">The page fails primarily on WCAG 3.3.1 (Error Identification) and 3.3.2 (Labels or Instructions). Required fields are distinguished only by a CSS background color, which is not perceivable by screen reader users and provides no textual or programmatic indication of required status or input format. There is no error identification mechanism (no required attribute, aria-required, or error message containers). WCAG 2.4.8 (Location) is also a concern at the AAA level, as no breadcrumb or navigation context is provided. WCAG 2.2.1 and 3.1.4 are inapplicable to this page. The overall label is 'failed' due to the Level A violations in 3.3.1 and 3.3.2.</t>
  </si>
  <si>
    <t xml:space="preserve">[3.3.1] No error identification mechanism is present. The form has no client-side validation, no aria-required attributes, no aria-describedby error message containers, and no server-side error feedback pattern visible in the HTML. Required fields are indicated only via a CSS background color class (.req), which is not programmatically exposed to assistive technologies. Add the required attribute (or aria-required="true") to mandatory fields. Provide programmatically associated error message elements (e.g., &lt;span id="r-name-error" role="alert"&gt;) linked via aria-describedby on the input, and populate them with descriptive text when validation fails. Use WCAG technique G83 and SCR18. || [3.3.2] Required fields are not adequately labelled or instructed. The visual distinction (pink background via .req) is purely presentational and conveys no textual or programmatic instruction about which fields are required or what format is expected (e.g., date of birth format for the text input). Add a visible textual indicator of required fields (e.g., an asterisk with a legend, or the word 'required' in the label). Provide format instructions for the date field, e.g., &lt;span id="r-dob-hint"&gt;Format: DD/MM/YYYY&lt;/span&gt; linked via aria-describedby. Use WCAG techniques G89, G131, and H44. || [2.2.1] No time limits are present on this page. No action required for this criterion. || [2.4.8] No location information (breadcrumb, site map link, or highlighted navigation) is provided to help users understand where they are within the site. Add a breadcrumb navigation (e.g., Home &gt; Register) or highlight the current page in a site-wide navigation component. Use WCAG technique G65 or G128. || [3.1.4] No abbreviations are present on this page, so this criterion is inapplicable. No action required for this criterion.</t>
  </si>
  <si>
    <t xml:space="preserve">The page fails primarily on WCAG 3.3.1 (Error Identification) and 3.3.2 (Labels or Instructions). Required fields are marked only with a CSS background color class ('req') that conveys no programmatic meaning to assistive technologies, violating 3.3.2. There is no 'required' attribute, 'aria-required', or textual indication of mandatory fields. Additionally, the date-of-birth field provides no format instructions. No error identification mechanism exists for invalid submissions, violating 3.3.1. WCAG 2.4.8 (Location) also fails because no breadcrumb or location indicator is present. WCAG 3.1.4 (Abbreviations) and 2.2.1 (Timing Adjustable) are inapplicable as no abbreviations or time limits exist on the page.</t>
  </si>
  <si>
    <t xml:space="preserve">[3.3.1] No error identification mechanism is present. If a user submits the form with invalid or missing required fields, there is no programmatic error message or indication of which field is in error. Add the 'required' attribute to mandatory fields and implement error messages (e.g., via aria-describedby linking to an error element, or aria-live regions) that identify which field is in error and describe the nature of the error when submission fails. Use WCAG technique G83 or SCR18. || [3.3.2] Required fields are indicated only via a CSS background color class ('req'), which is a purely visual cue with no programmatic or textual indication that these fields are required. Users relying on assistive technologies or who cannot perceive color will not know which fields are mandatory. Add 'required' or 'aria-required="true"' to mandatory inputs. Also provide a visible textual legend (e.g., '* Required fields') and append an asterisk or similar text indicator to the labels of required fields. Use WCAG techniques H90 and G131. || [3.3.2] The 'Date of birth' field uses type='text' with no format instruction, leaving users without guidance on the expected input format (e.g., MM/DD/YYYY vs DD-MM-YYYY). Add a visible format hint either within the label or via an associated hint element linked with aria-describedby (e.g., 'Date of birth (DD/MM/YYYY)'). Use WCAG technique G89. || [3.1.4] No abbreviations are present on this page, so this criterion is inapplicable. N/A || [2.4.8] No breadcrumb, site map link, or other location indicator is provided to inform users where this page sits within the site structure. Add a breadcrumb navigation (e.g., Home &gt; Register) or another mechanism such as a site map link to indicate the page's location within the site. Use WCAG technique G65 or G128. || [2.2.1] No time limits are present on this page, so this criterion is inapplicable. N/A</t>
  </si>
  <si>
    <t xml:space="preserve">The page fails primarily on WCAG 3.3.2 (Labels or Instructions) and 3.3.1 (Error Identification). Required fields are distinguished only by a pink background color with no textual or programmatic cue, violating the requirement to provide sufficient instructions for users to understand what input is required. The date-of-birth field lacks any format instruction. There is also no error identification mechanism in the HTML — no alert regions, no aria-invalid attributes, and no error message containers — meaning users who submit invalid data receive no accessible feedback about what went wrong or which field caused the error. WCAG 2.2.1 (Timing Adjustable) is inapplicable as there are no time limits on this page. WCAG 2.4.8 (Location) is inapplicable as this appears to be a standalone page without a multi-page navigation context indicated in the HTML. WCAG 3.1.4 (Abbreviations) is inapplicable as no abbreviations are present in the content.</t>
  </si>
  <si>
    <t xml:space="preserve">[3.3.2] Required fields are indicated only via a CSS background color class ('req'), with no textual or programmatic indication of which fields are required or what format is expected. Color alone cannot convey meaning (also relates to 1.4.1, but the lack of a text/label-based required indicator is a 3.3.2 failure). Additionally, the 'Date of birth' field provides no format instruction (e.g., MM/DD/YYYY). Add a visible text indicator such as an asterisk with a legend (e.g., '* Required') to labels of required fields, use the HTML 'required' attribute, and provide format instructions for the date field (e.g., via aria-describedby pointing to a hint element stating 'Format: MM/DD/YYYY'). Technique H90 and G89 apply. || [3.3.1] The form has no client-side or server-side error identification mechanism visible in the HTML. There is no aria-live region, no error summary container, and no aria-describedby linking inputs to potential error messages. If a user submits invalid data, there is no mechanism in the page to identify which field is in error and describe the error in text. Add an error summary region (e.g., a &lt;div role='alert'&gt; or &lt;div aria-live='assertive'&gt;) that will be populated with descriptive error messages upon failed submission. Link each error message to its corresponding input using aria-describedby, and set aria-invalid='true' on fields that fail validation. Techniques G83 and ARIA18 apply.</t>
  </si>
  <si>
    <t xml:space="preserve">This page is a simple static news article with no interactive elements, forms, timed content, abbreviations, or navigation structures that would trigger any of the five evaluated WCAG criteria. WCAG 2.2.1 (Timing Adjustable) is inapplicable because there are no time limits set on any content or session. WCAG 2.4.8 (Location) is inapplicable because there is no multi-page site structure, navigation, or breadcrumb context present in the HTML. WCAG 3.1.4 (Abbreviations) is inapplicable because no abbreviations or acronyms appear in the content. WCAG 3.3.1 (Error Identification) is inapplicable because there are no forms or user input mechanisms. WCAG 3.3.2 (Labels or Instructions) is inapplicable for the same reason — no form fields, inputs, or interactive controls are present. All five criteria are therefore inapplicable to this page.</t>
  </si>
  <si>
    <t xml:space="preserve">This page is a simple static news article with no interactive elements, forms, timed content, abbreviations, or navigation breadcrumbs. All five evaluated criteria are inapplicable: WCAG 2.2.1 (Timing Adjustable) does not apply because there are no time limits set on any content or session; WCAG 2.4.8 (Location) does not apply because the page is a standalone article with no multi-page navigation structure or site map context present in the HTML; WCAG 3.1.4 (Abbreviations) does not apply because no abbreviations are used in the content; WCAG 3.3.1 (Error Identification) does not apply because there are no forms or user input mechanisms; and WCAG 3.3.2 (Labels or Instructions) does not apply because there are no form fields or input controls requiring labels or instructions. The page contains only a heading and two paragraphs of plain prose text, so none of the targeted criteria are triggered.</t>
  </si>
  <si>
    <t xml:space="preserve">This page is a simple static news article with no interactive elements, forms, timed content, abbreviations, or navigation structures that would trigger any of the five evaluated WCAG criteria. WCAG 2.2.1 (Timing Adjustable) is inapplicable because there are no time limits set on any content or session. WCAG 2.4.8 (Location) is inapplicable because there is no multi-page site structure, navigation, or breadcrumb context present — the page is a standalone article. WCAG 3.1.4 (Abbreviations) is inapplicable because no abbreviations or acronyms appear in the content. WCAG 3.3.1 (Error Identification) is inapplicable because there are no forms or user input mechanisms. WCAG 3.3.2 (Labels or Instructions) is inapplicable for the same reason — no form fields, inputs, or interactive controls are present. All five criteria are therefore inapplicable to this page.</t>
  </si>
  <si>
    <t xml:space="preserve">The page is a simple logout confirmation page containing a single form with only hidden inputs and a submit button. Evaluating against the five criteria: (1) WCAG 2.2.1 Timing Adjustable — no time limits are imposed or scripted on this page, so the criterion is inapplicable. (2) WCAG 2.4.8 Location — there is no breadcrumb, site map link, or multi-page navigation structure present; the page is a standalone action page with no navigation context provided, making this criterion inapplicable (no multi-step or site navigation to indicate location within). (3) WCAG 3.1.4 Abbreviations — no abbreviations or acronyms appear in the visible content ('Log out', 'Click the button below to end your session.' contain no abbreviations), so the criterion is inapplicable. (4) WCAG 3.3.1 Error Identification — the form contains only hidden fields and a submit button; there are no user-facing input fields that could produce input errors, so the criterion is inapplicable. (5) WCAG 3.3.2 Labels or Instructions — again, the only interactive element is the submit button, which is self-labelled via its text content ('Log out'); there are no text inputs, checkboxes, selects, or other controls requiring labels or instructions, so the criterion is inapplicable. No violations were identified across any of the five criteria.</t>
  </si>
  <si>
    <t xml:space="preserve">The page is a simple logout form with no timing mechanisms (WCAG 2.2.1 is inapplicable), no breadcrumbs or site navigation context needed for a single standalone page (WCAG 2.4.8 — while no explicit location indicator is present, the page title 'Log out' and heading clearly identify the page's purpose; however, for a standalone utility page this is borderline inapplicable), no abbreviations requiring expansion (WCAG 3.1.4 is inapplicable), no error identification scenarios triggered in the static HTML (WCAG 3.3.1 is inapplicable as there are no input fields requiring user data entry beyond hidden fields), and the only interactive element is a clearly labelled submit button with descriptive surrounding text ('Click the button below to end your session.'), satisfying WCAG 3.3.2. No violations were identified against any of the five evaluated criteria.</t>
  </si>
  <si>
    <t xml:space="preserve">The page is a simple logout form with no timing mechanisms (WCAG 2.2.1 is inapplicable), no breadcrumbs or location indicators needed for a single standalone page (WCAG 2.4.8 is inapplicable as the page is not part of a multi-page set requiring location context), no abbreviations present (WCAG 3.1.4 is inapplicable), no user-input fields that could produce errors (WCAG 3.3.1 is inapplicable), and the only interactive control is a clearly labelled submit button with descriptive surrounding text ('Click the button below to end your session.'), satisfying WCAG 3.3.2. All applicable criteria pass and the inapplicable ones have no relevant content to evaluate.</t>
  </si>
  <si>
    <t xml:space="preserve">The page contains no meaningful text content — only an empty div with an inline style setting line-height. WCAG 1.4.12 Text Spacing requires that text content can be reflowed without loss of content or functionality when spacing properties are overridden. Since there is no actual text content on this page, the criterion is inapplicable. Similarly, WCAG 2.2.2 (no moving/auto-updating content), 2.4.5 (single-page with no navigation mechanism needed), 2.4.6 (no headings or labels present), and 3.1.4 (no abbreviations present) are all inapplicable due to the absence of relevant content.</t>
  </si>
  <si>
    <t xml:space="preserve">The page contains no meaningful content — only an empty div with an inline style setting line-height. There is no text content, no interactive elements, no moving/blinking content, no navigation mechanisms, no headings or labels, and no abbreviations present. Therefore, none of the five target WCAG criteria (1.4.12 Text Spacing, 2.2.2 Pause/Stop/Hide, 2.4.5 Multiple Ways, 2.4.6 Headings and Labels, 3.1.4 Abbreviations) are applicable to this page. Although the inline style uses '!important' on line-height which could theoretically override user stylesheets and violate 1.4.12, the div contains no text content whatsoever, making the criterion inapplicable in practice.</t>
  </si>
  <si>
    <t xml:space="preserve">The page contains no meaningful content — only an empty div with an inline style forcing line-height to 0.1em. There is no text content, no interactive elements, no moving/blinking content, no navigation mechanisms, no headings or labels, and no abbreviations. Therefore, none of the five evaluated WCAG criteria (1.4.12 Text Spacing, 2.2.2 Pause/Stop/Hide, 2.4.5 Multiple Ways, 2.4.6 Headings and Labels, 3.1.4 Abbreviations) are applicable to this page. The inline !important style on line-height would normally be a concern for 1.4.12 if text were present, but since the div is empty, no text spacing failure can occur.</t>
  </si>
  <si>
    <t xml:space="preserve">The page contains a single paragraph with inline styles. For WCAG 1.4.12 Text Spacing, the critical concern is whether overriding text spacing properties (line-height, letter-spacing, word-spacing, paragraph spacing) causes loss of content or functionality. The paragraph uses 'line-height: 2em !important' which overrides the lower 'line-height: 1em' value, resulting in a line-height of 2em — meeting the WCAG 1.4.12 requirement of at least 1.5 times the font size. The max-width of 200px is a layout constraint but does not itself cause content loss. WCAG 2.2.2 is inapplicable as there is no moving, blinking, scrolling, or auto-updating content. WCAG 2.4.5 requires multiple ways to locate a page within a set of pages; since this appears to be a single standalone page (no site navigation context), the criterion is effectively inapplicable. WCAG 2.4.6 requires headings and labels to be descriptive; there are no headings or form labels present, making it inapplicable. WCAG 3.1.4 concerns abbreviations; no abbreviations are present in the content, making it inapplicable. Overall, no violations are identified against the evaluated criteria.</t>
  </si>
  <si>
    <t xml:space="preserve">The page contains a single paragraph with inline styles. For WCAG 1.4.12 Text Spacing, the critical concern is whether overriding text spacing properties (line-height, letter-spacing, word-spacing, paragraph spacing) causes loss of content or functionality. The paragraph uses 'line-height: 2em !important' which overrides the lower 'line-height: 1em' declaration, resulting in a line-height of 2em — meeting the 1.5× body text line-height requirement. The 'max-width: 200px' constrains width but does not cause content loss as the text wraps normally. WCAG 2.2.2 is inapplicable as there is no moving, blinking, scrolling, or auto-updating content. WCAG 2.4.5 Multiple Ways is inapplicable as this appears to be a single standalone page (not part of a multi-page set requiring navigation). WCAG 2.4.6 Headings and Labels is effectively inapplicable as there are no headings or form labels present, and the single paragraph does not require a heading. WCAG 3.1.4 Abbreviations is inapplicable as no abbreviations appear in the content. No violations are identified across the evaluated criteria.</t>
  </si>
  <si>
    <t xml:space="preserve">The page contains a single paragraph with inline styles. For WCAG 1.4.12 Text Spacing, the critical concern is whether the page can support overriding text spacing properties without loss of content or functionality. The paragraph uses 'line-height: 2em !important' which actually enforces a line-height of 2em (meeting the ≥1.5 times the font size requirement), and the second 'line-height: 1em' declaration is overridden by the '!important' flag. The use of '!important' here actually works in favor of accessibility by ensuring the line-height remains at 2em even when user stylesheets attempt to override it — though in practice, user stylesheets with '!important' would still win. The max-width of 200px is a layout constraint but does not cause content loss. WCAG 2.2.2 (Pause, Stop, Hide) is inapplicable as there is no moving, blinking, or auto-updating content. WCAG 2.4.5 (Multiple Ways) is inapplicable as this appears to be a single standalone page rather than part of a multi-page website requiring navigation. WCAG 2.4.6 (Headings and Labels) is inapplicable as there are no headings or form labels present. WCAG 3.1.4 (Abbreviations) is inapplicable as there are no abbreviations in the content. No violations are identified against the evaluated criteria.</t>
  </si>
  <si>
    <t xml:space="preserve">Evaluating this page against all five criteria: (1) WCAG 1.4.12 Text Spacing — the page sets line-height to 1.2em on the &lt;p&gt; element, but the inner &lt;span&gt; overrides it with 'line-height: unset !important', which resets it to the browser default (typically ~1.2–1.5), and no other text-spacing properties (letter-spacing, word-spacing, margin) are constrained in a way that would prevent the user-defined overrides from taking effect; no CSS is present that would block the required text-spacing overrides. (2) WCAG 2.2.2 Pause, Stop, Hide — there is no moving, blinking, scrolling, or auto-updating content on this page, making this criterion inapplicable. (3) WCAG 2.4.5 Multiple Ways — this appears to be a single, standalone example page with no site navigation context; for a single-page document this criterion is generally considered inapplicable. (4) WCAG 2.4.6 Headings and Labels — there are no headings or form labels present; the single paragraph of text does not require a heading, so no descriptive heading/label failures exist. (5) WCAG 3.1.4 Abbreviations — there are no abbreviations in the page content, making this criterion inapplicable. Overall, no violations of the evaluated criteria are identified.</t>
  </si>
  <si>
    <t xml:space="preserve">Evaluating this page against all five criteria: (1) WCAG 1.4.12 Text Spacing — the page sets line-height to 1.2em on the &lt;p&gt; element, but the inner &lt;span&gt; overrides it with 'line-height: unset !important', effectively removing any author-imposed line-height restriction. Since the span uses 'unset', the property reverts to its inherited or initial value, meaning a user stylesheet applying line-height: 1.5 would not be blocked by '!important'. No fixed pixel-based letter-spacing, word-spacing, or paragraph spacing is set. The criterion is therefore passed. (2) WCAG 2.2.2 Pause, Stop, Hide — there is no moving, blinking, scrolling, or auto-updating content on this page, making this criterion inapplicable; however since the overall label must be a single verdict across all criteria and this one is inapplicable it does not cause a failure. (3) WCAG 2.4.5 Multiple Ways — this appears to be a single, standalone example page with no site navigation, search, or sitemap provided. For a single-page document that is not part of a multi-page set, this criterion is inapplicable. (4) WCAG 2.4.6 Headings and Labels — the page contains no headings or form labels, so this criterion is inapplicable. (5) WCAG 3.1.4 Abbreviations — the page contains no abbreviations, so this criterion is inapplicable. No violations were identified across any of the applicable criteria.</t>
  </si>
  <si>
    <t xml:space="preserve">Evaluating this page against all five criteria: (1) WCAG 1.4.12 Text Spacing — the page uses inline styles (line-height: 1.2em on the &lt;p&gt; and line-height: unset !important on the &lt;span&gt;), but neither of these override text-spacing properties in a way that would cause loss of content or functionality when a user applies the required text-spacing overrides (line-height ≥1.5, letter-spacing ≥0.12em, word-spacing ≥0.16em, paragraph spacing ≥2em). The !important on 'unset' could theoretically resist user-agent overrides for line-height on the span, but 'unset' itself resolves to 'inherit' for an inherited property, meaning it inherits from the parent's 1.2em — this is below the 1.5 threshold but the !important prevents the user from overriding it on that element. However, the content is a single short paragraph with no clipping container that would hide text, so no content or functionality is lost. This is a borderline case but the page is considered passing given no loss of content. (2) WCAG 2.2.2 Pause, Stop, Hide — there is no moving, blinking, scrolling, or auto-updating content on this page; the criterion is inapplicable, contributing to an overall pass. (3) WCAG 2.4.5 Multiple Ways — this appears to be a single standalone page with no site navigation context; for a single-page document this criterion is generally inapplicable. (4) WCAG 2.4.6 Headings and Labels — there are no headings or form labels on this page; the criterion is inapplicable. (5) WCAG 3.1.4 Abbreviations — there are no abbreviations present in the page content; the criterion is inapplicable. Overall, no violations are identified against the evaluated criteria.</t>
  </si>
  <si>
    <t xml:space="preserve">The page fails WCAG 1.4.12 (Text Spacing) because the inline style on the &lt;p&gt; element applies 'word-spacing: 2px !important'. The !important declaration prevents user agents or user stylesheets from overriding the word-spacing to meet the required threshold of at least 0.16 times the font size (which would be 3.2px for the declared 20px font size). This means users who rely on custom text spacing settings cannot override this value, violating the requirement that no loss of content or functionality occurs when text spacing properties are adjusted. The other evaluated criteria — 2.2.2, 2.4.5, 2.4.6, and 3.1.4 — are either inapplicable (no moving/auto-updating content, no multi-page navigation context, no headings or form labels, and no abbreviations present) or not violated by this simple single-paragraph page.</t>
  </si>
  <si>
    <t xml:space="preserve">[1.4.12] The word-spacing property is overridden with !important, preventing users from applying their own text spacing styles. Remove the !important declaration from the word-spacing property so that user-defined text spacing overrides can take effect. Per WCAG 1.4.12, content must not lose functionality when word-spacing is set to at least 0.16 times the font size (i.e., 3.2px for a 20px font). Using !important blocks user stylesheets from overriding this value, violating the criterion.</t>
  </si>
  <si>
    <t xml:space="preserve">The page fails WCAG 1.4.12 (Text Spacing) because the inline style on the &lt;p&gt; element uses 'word-spacing: 2px !important'. The !important declaration prevents user agents or user stylesheets from overriding this value to meet the required minimum of 0.16 times the font size (which would be 3.2px for the 20px font size set in the page stylesheet). This means users who rely on custom text spacing settings — such as those with dyslexia or low vision — cannot apply the spacing adjustments needed for readability. The other evaluated criteria (2.2.2, 2.4.5, 2.4.6, 3.1.4) are either inapplicable or not violated by this minimal single-paragraph page.</t>
  </si>
  <si>
    <t xml:space="preserve">[1.4.12] The word-spacing property is overridden with !important, preventing users from applying their own text spacing styles. Remove the !important declaration from the word-spacing property so that user-defined text spacing overrides can take effect. Per WCAG 1.4.12, content must not lose functionality when word-spacing is set to at least 0.16 times the font size (here 20px × 0.16 = 3.2px). Using !important blocks user stylesheets from applying the required spacing values.</t>
  </si>
  <si>
    <t xml:space="preserve">The page fails WCAG 1.4.12 (Text Spacing) because the inline style on the &lt;p&gt; element uses 'word-spacing: 2px !important'. The !important declaration prevents users or assistive technologies from overriding text spacing properties to meet the minimum thresholds required by the criterion (word spacing of at least 0.16 times the font size). With a font-size of 20px, the required word spacing would be at least 3.2px, but more critically, the !important flag blocks any user-applied overrides entirely. The other evaluated criteria (2.2.2, 2.4.5, 2.4.6, 3.1.4) are either inapplicable or not violated: there is no moving/auto-updating content, no navigation mechanisms to evaluate for multiple ways, no headings or labels present, and no abbreviations used.</t>
  </si>
  <si>
    <t xml:space="preserve">[1.4.12] Word spacing is overridden with !important, preventing users from applying their own text spacing styles Remove the !important declaration from the word-spacing property so that user stylesheets can override it. WCAG 1.4.12 requires that content does not lose functionality when word spacing is set to at least 0.16 times the font size (here 20px × 0.16 = 3.2px). Using !important blocks user overrides and prevents compliance with the required spacing thresholds.</t>
  </si>
  <si>
    <t xml:space="preserve">The page fails WCAG 1.4.12 Text Spacing because the word-spacing property on the parent div is declared with !important, which prevents users from applying their own text spacing overrides as required by the success criterion. WCAG 1.4.12 requires that content does not lose functionality or readability when users override text spacing properties (line height, letter spacing, word spacing, and spacing after paragraphs). Using !important on word-spacing blocks such user overrides. The other evaluated criteria (2.2.2, 2.4.5, 2.4.6, 3.1.4) are largely inapplicable to this minimal single-paragraph page with no moving content, navigation, headings/labels, or abbreviations.</t>
  </si>
  <si>
    <t xml:space="preserve">[1.4.12] The word-spacing override using !important on the parent div may prevent users from applying their own text spacing styles. Additionally, the paragraph has a fixed font-size of 10px set via inline style, which could interfere with user-defined text spacing overrides since the font-size is hardcoded and very small. Avoid using !important on text spacing properties (word-spacing, letter-spacing, line-height, spacing-after paragraphs) as it prevents users from overriding these values with their own stylesheets. Remove the !important declaration from word-spacing so that user agent or user stylesheets can override it. Also avoid hardcoding font-size in px on the paragraph, or use relative units (em, rem) to allow proper scaling.</t>
  </si>
  <si>
    <t xml:space="preserve">The page fails primarily on WCAG 1.4.12 (Text Spacing) because the word-spacing property on the parent div uses !important, which prevents user stylesheets from overriding it as required by the success criterion. The paragraph also uses an absolute font-size of 10px, which can interfere with user text spacing overrides. Additionally, the page lacks multiple navigation mechanisms (2.4.5) and descriptive headings (2.4.6). WCAG 2.2.2 is inapplicable as there is no moving, blinking, or auto-updating content. WCAG 3.1.4 is inapplicable as there are no abbreviations present.</t>
  </si>
  <si>
    <t xml:space="preserve">[1.4.12] The paragraph uses an absolute font-size of 10px, which prevents users from overriding text spacing properties effectively. Additionally, the word-spacing is set with !important on the parent div, which can block user stylesheet overrides for text spacing. Remove the !important declaration from word-spacing so that user stylesheets can override it. Use relative units (e.g., em or rem) for font-size instead of absolute pixel values, and ensure that text spacing properties (line-height, letter-spacing, word-spacing, paragraph spacing) can be overridden by the user without loss of content or functionality. || [2.4.5] The page appears to be a single standalone page with no navigation mechanism provided (no site map, search, table of contents, or related links). There is only one way to reach this page's content. Provide at least two ways to locate this page within a set of web pages, such as a navigation menu, site map, or search functionality (G63, G64, G125, G126). || [2.4.6] The page has no headings to describe its content or purpose. While the page is simple, the absence of any heading means there is no descriptive heading to help users understand the page's topic. Add a descriptive heading (e.g., &lt;h1&gt;) that describes the content or purpose of the page.</t>
  </si>
  <si>
    <t xml:space="preserve">The page fails WCAG 1.4.12 (Text Spacing) because the author stylesheet uses 'word-spacing: 2px !important' on the container div. The use of !important on a text spacing property in author styles prevents users from being able to override that property with their own stylesheets, which is a direct violation of WCAG 1.4.12 (corresponding to Failure F104). The other evaluated criteria are largely inapplicable: there is no moving/blinking content (2.2.2 inapplicable), the page appears to be a single standalone example without site navigation context making 2.4.5 difficult to assess but likely inapplicable as a component test, the paragraph has no heading or label elements to evaluate (2.4.6 inapplicable), and there are no abbreviations present (3.1.4 inapplicable).</t>
  </si>
  <si>
    <t xml:space="preserve">[1.4.12] The word-spacing override is applied at the container div level (16px font-size context), but the paragraph inside has a smaller font-size (10px). The word-spacing of 2px is set with !important on the parent div, not on the paragraph itself. WCAG 1.4.12 requires that when users override word-spacing to at least 0.16 times the font size, content does not lose functionality or become clipped. Here, the word-spacing value of 2px corresponds to 0.125 times the paragraph's font size (10px), which is below the required 0.16 ratio (which would be 1.6px at 10px — actually 2px &gt; 1.6px so ratio is met). However, the critical issue is that the word-spacing is declared with !important on the parent, which prevents user stylesheets from overriding it on the paragraph element. Using !important in author styles to block user overrides of text spacing properties directly violates the intent and requirement of WCAG 1.4.12 (Failure F104). Remove the !important declaration from the word-spacing property so that user stylesheets can override text spacing properties as required by WCAG 1.4.12. Apply text spacing properties without !important: style="font-size: 16px; word-spacing: 2px"</t>
  </si>
  <si>
    <t xml:space="preserve">The page fails WCAG 1.4.12 (Text Spacing) because the inline style applies 'word-spacing: 0.1em !important', which uses the !important flag to prevent user stylesheets or browser extensions from overriding the word-spacing value. WCAG 1.4.12 requires that no loss of content or functionality occurs when users override text spacing properties, including word-spacing to at least 0.16em. By using !important, the author stylesheet blocks such overrides, directly violating this criterion. The other evaluated criteria (2.2.2, 2.4.5, 2.4.6, 3.1.4) are largely inapplicable or not violated given the minimal page content, but the overall verdict is 'failed' due to the 1.4.12 violation.</t>
  </si>
  <si>
    <t xml:space="preserve">[1.4.12] The word-spacing property is overridden with !important, preventing users from applying their own text spacing styles. Remove the !important declaration from the word-spacing property so that user-defined text spacing styles can override author styles. Per WCAG 1.4.12, content must not lose functionality when word-spacing is set to at least 0.16 times the font size.</t>
  </si>
  <si>
    <t xml:space="preserve">The page fails WCAG 1.4.12 (Text Spacing) because the inline style applies 'word-spacing: 0.1em !important' on the paragraph element. The use of !important prevents users or assistive technologies from overriding the text spacing to meet the required thresholds (word spacing of at least 0.16 times the font size). This directly violates the requirement that content does not lose functionality when users adjust text spacing properties. The other evaluated criteria (2.2.2, 2.4.5, 2.4.6, 3.1.4) are either inapplicable or not violated given the minimal page content.</t>
  </si>
  <si>
    <t xml:space="preserve">[1.4.12] The word-spacing property is overridden with !important, preventing users from applying their own text spacing styles that meet the required thresholds. Remove the !important declaration from the word-spacing property so that user stylesheets can override it. WCAG 1.4.12 requires that word spacing can be set to at least 0.16 times the font size without loss of content or functionality. Using !important blocks user overrides and violates technique C36/C35.</t>
  </si>
  <si>
    <t xml:space="preserve">The page fails WCAG 1.4.12 (Text Spacing) because the inline style applies word-spacing with the !important declaration (word-spacing: 0.1em !important). This prevents users or user stylesheets from overriding the text spacing to meet the required thresholds (e.g., word spacing of at least 0.16 times the font size). WCAG 1.4.12 requires that no loss of content or functionality occurs when users adjust text spacing properties, but the use of !important blocks such overrides. The other evaluated criteria (2.2.2, 2.4.5, 2.4.6, 3.1.4) are largely inapplicable to this minimal single-paragraph page with no moving content, navigation mechanisms, headings/labels, or abbreviations.</t>
  </si>
  <si>
    <t xml:space="preserve">[1.4.12] The word-spacing property is overridden with !important, preventing users from applying their own text spacing styles that meet the required thresholds. Remove the !important declaration from the word-spacing property so that user-defined stylesheets can override it. WCAG 1.4.12 requires that content does not lose functionality when word-spacing is set to at least 0.16 times the font size. Using !important blocks user agents and assistive technologies from applying spacing overrides.</t>
  </si>
  <si>
    <t xml:space="preserve">The page fails primarily on WCAG 2.2.2 (Pause, Stop, Hide) because it uses an onload handler to start auto-updating content in a &lt;span&gt; element with no user controls to pause, stop, or hide those updates. It also lacks any navigation structure (failing 2.4.5 Multiple Ways) and has no headings or labels (failing 2.4.6). WCAG 1.4.12 (Text Spacing) is technically passed as there are no CSS constraints visible in the HTML that would restrict text spacing overrides. WCAG 3.1.4 (Abbreviations) is inapplicable as no abbreviations are present in the page content.</t>
  </si>
  <si>
    <t xml:space="preserve">[2.2.2] An auto-updating element is present with no mechanism to pause, stop, or hide the updates. The span element with id='target' is updated via a script started on page load, and no controls are provided to pause, stop, or hide the changing content. Provide a mechanism (e.g., a button) that allows users to pause, stop, or hide the auto-updating content in the #target span. Alternatively, ensure the updates are not essential and can be controlled by the user. || [2.4.5] The page appears to be a standalone page with no navigation aids such as a site map, search functionality, or links to related pages, making it impossible to determine if multiple ways to reach this page are available. Provide at least two ways to locate this page within the site, such as a navigation menu, site map, or search feature (G125, G126, G185). || [2.4.6] The page contains no headings or labels to describe its content or purpose, making it difficult for users to understand the structure and purpose of the page. Add descriptive headings (e.g., &lt;h1&gt;) to identify the page content and purpose. If the auto-updating span represents meaningful data, provide a visible label describing what it represents.</t>
  </si>
  <si>
    <t xml:space="preserve">The page loads a script via the onload handler that automatically updates the content of the span#target element. No pause, stop, or hide mechanism is provided for users to control this auto-updating content. This violates WCAG 2.2.2 (Pause, Stop, Hide), which requires that moving, blinking, scrolling, or auto-updating information that starts automatically can be paused, stopped, or hidden by the user. The other evaluated criteria are largely inapplicable or not violated: there is no evidence of text spacing overrides being blocked (1.4.12), the page is a single page with no navigation structure to evaluate multiple ways (2.4.5 inapplicable for a single page), there are no meaningful headings or labels present (2.4.6 inapplicable), and no abbreviations are used (3.1.4 inapplicable).</t>
  </si>
  <si>
    <t xml:space="preserve">[2.2.2] An auto-updating element is present with no mechanism to pause, stop, or hide the updates. The span#target element is updated automatically via a script loaded on page load, and no controls are provided to pause, stop, or hide the changing content. Provide a mechanism (e.g., a button) that allows users to pause, stop, or hide the auto-updating content in the span#target element. Alternatively, ensure the update frequency is user-controlled.</t>
  </si>
  <si>
    <t xml:space="preserve">The page fails primarily on WCAG 2.2.2 because it uses onload to trigger automatic content updates (via an external script) to the #target span with no visible mechanism for users to pause, stop, or hide those updates. It also fails 2.4.5 as there are no alternative navigation mechanisms to locate the page, and 2.4.6 because there are no headings or labels describing the page content. WCAG 1.4.12 (Text Spacing) is technically applicable but no inline styles restrict text spacing, so it passes by default. WCAG 3.1.4 (Abbreviations) is inapplicable as no abbreviations are present.</t>
  </si>
  <si>
    <t xml:space="preserve">[2.2.2] An auto-updating element is present with no mechanism to pause, stop, or hide the updates. The page loads a script via onload that starts automatic updates to the #target span, and no controls are provided to pause, stop, or hide this content. Provide a mechanism (e.g., a button) that allows users to pause, stop, or hide the auto-updating content in the #target span. Alternatively, if the updates are essential, ensure they meet the exception criteria under WCAG 2.2.2. || [2.4.5] The page appears to be a standalone page with no navigation aids such as a site search, table of contents, site map, or links to related pages, making it impossible to locate this page via multiple means. Provide at least two ways to locate this page within a website, such as a navigation menu, site search, site map, or links from related pages (G63, G64, G125, G126). || [2.4.6] The page has no headings or labels to help users understand the content or purpose of the page. The only visible content is a dynamically updated number with no descriptive heading or label. Add a descriptive heading (e.g., &lt;h1&gt;) to identify the page content and, if applicable, labels for any interactive elements or data regions.</t>
  </si>
  <si>
    <t xml:space="preserve">Evaluating against WCAG 2.2.2 (Pause, Stop, Hide): The page contains auto-updating content — a randomly changing number in a &lt;span id='target'&gt; element updated via a script. A control button (&lt;input type='button' id='control' value='Pause changes'&gt;) is provided that allows the user to pause the updates via the toggleUpdates() function. This satisfies WCAG 2.2.2, which requires that moving, blinking, scrolling, or auto-updating information that starts automatically and lasts more than 5 seconds can be paused, stopped, or hidden by the user. The pause button is clearly labeled 'Pause changes' and is directly associated with the auto-updating content. No violations of WCAG 2.2.2 are identified. The other criteria in scope (1.4.12, 2.4.5, 2.4.6, 3.1.4) are either inapplicable or not violated: text spacing (1.4.12) is not restricted by inline styles or CSS that would prevent overrides; there are no abbreviations without expansions that would trigger 3.1.4 concerns (though 'W3C' and 'WAI' appear without &lt;abbr&gt; tags, 3.1.4 is AAA and the page is being evaluated against the listed criteria collectively); multiple ways (2.4.5) is largely inapplicable for a single-page test asset; and headings/labels (2.4.6) — the button label 'Pause changes' is descriptive. Overall, the page passes the primary applicable criterion of 2.2.2.</t>
  </si>
  <si>
    <t xml:space="preserve">The page is evaluated against five WCAG 2.1 criteria. For WCAG 1.4.12 (Text Spacing): no inline styles restrict line-height, letter-spacing, word-spacing, or paragraph spacing, so the criterion is passed. For WCAG 2.2.2 (Pause, Stop, Hide): the page contains auto-updating content (a random number in &lt;span id='target'&gt;) that updates via a script, but a 'Pause changes' button (&lt;input type='button' id='control' onclick='toggleUpdates()' value='Pause changes' /&gt;) is provided, giving the user a mechanism to pause the moving/auto-updating content — this satisfies the criterion. For WCAG 2.4.5 (Multiple Ways): the page appears to be a single standalone example page with no site navigation context visible in the HTML; however, as a single document/page rather than a multi-page website, this criterion is effectively inapplicable, though the lack of navigation could be a concern in a broader site context. For WCAG 2.4.6 (Headings and Labels): the page has no headings or form labels (the button uses a 'value' attribute as its label, which is appropriate for input buttons), and the paragraph text is descriptive; no misleading or absent labels are present. For WCAG 3.1.4 (Abbreviations): the abbreviation 'W3C' and 'WAI' appear in the text without an &lt;abbr&gt; element or expansion mechanism, which is a Level AAA violation, but since the full expansions are provided inline in the same sentence ('W3C Web Accessibility Initiative (WAI)'), the meaning is conveyed in context. Overall, the page passes the evaluated criteria, with the auto-updating content pause mechanism satisfying the most critical requirement (2.2.2), and abbreviations being explained inline in the text.</t>
  </si>
  <si>
    <t xml:space="preserve">Evaluating against WCAG 2.2.2 Pause, Stop, Hide: The page contains auto-updating content (a random number in a &lt;span id='target'&gt;) that updates via a script loaded from an external file. Critically, there is a button (&lt;input type='button' id='control' onclick='toggleUpdates()' value='Pause changes' /&gt;) that allows the user to pause the auto-updating content. The button's value 'Pause changes' clearly indicates its purpose. The page loads the update mechanism via 'startUpdates()' on body load, and the toggle function 'toggleUpdates()' is wired to the control button. This satisfies WCAG 2.2.2, which requires that moving, blinking, scrolling, or auto-updating information that starts automatically can be paused, stopped, or hidden by the user. The other criteria evaluated (1.4.12 Text Spacing, 2.4.5 Multiple Ways, 2.4.6 Headings and Labels, 3.1.4 Abbreviations) are either not violated or largely inapplicable given the simple page structure, though the abbreviation 'WAI' and 'W3C' appear without an &lt;abbr&gt; element (a AAA-level concern). Since the primary criterion under evaluation is 2.2.2 and it is satisfied by the pause control, the overall verdict is passed.</t>
  </si>
  <si>
    <t xml:space="preserve">The page fails primarily on WCAG 2.2.2 because it contains auto-updating content (a random number updated by a script) and only provides a 'Hide' button, but no 'Pause' or 'Stop' mechanism as required. It also lacks headings (2.4.6 failure), does not expand abbreviations such as 'W3C' and 'WAI' with &lt;abbr&gt; elements (3.1.4 failure), and if part of a larger site, provides no multiple ways to locate the page (2.4.5 concern). WCAG 1.4.12 appears to pass based on the static HTML since no restrictive spacing styles are present.</t>
  </si>
  <si>
    <t xml:space="preserve">[2.2.2] Auto-updating content (random number) is present and while a 'Hide' mechanism is provided, there is no Pause or Stop mechanism. WCAG 2.2.2 requires that auto-updating content can be paused, stopped, or hidden. Provide a mechanism to pause or stop the auto-updating content in addition to (or instead of) hiding it. A 'Pause' or 'Stop' button that halts the updates would satisfy this criterion. || [2.4.5] The page provides no navigation aids beyond the page itself (no site search, no sitemap, no table of contents, no navigation links to related pages). For a single standalone page this may be inapplicable, but if this is part of a larger site, multiple ways to locate the page are not evident in the HTML. If this page is part of a multi-page website, add at least two ways to find the page, such as a site navigation menu and a site search feature, or a sitemap link. || [2.4.6] The page contains no headings to describe its content or purpose, making it difficult for users to understand the structure and topic of the page. Add descriptive headings (e.g., &lt;h1&gt;) to label the main content sections of the page. || [3.1.4] The abbreviation 'WAI' and 'W3C' are used in the text without an &lt;abbr&gt; element or other mechanism to expand them on first use. Wrap abbreviations in &lt;abbr title="..."&gt; elements, e.g., &lt;abbr title="World Wide Web Consortium"&gt;W3C&lt;/abbr&gt; and &lt;abbr title="Web Accessibility Initiative"&gt;WAI&lt;/abbr&gt;, to provide their expansions. || [1.4.12] No CSS is present in the HTML to restrict text spacing properties. However, the external script may dynamically alter content in ways that could affect spacing. Based solely on the HTML, no inline styles or style blocks override text spacing, so this criterion appears to pass for the static markup. Ensure that no CSS (including in linked stylesheets) sets text-related spacing properties (line-height, letter-spacing, word-spacing, paragraph spacing) in a way that prevents the required overrides from functioning.</t>
  </si>
  <si>
    <t xml:space="preserve">The page fails on multiple criteria. For WCAG 2.2.2, the page starts auto-updating content via onload and provides a 'Hide changing content' button, which in principle satisfies the hide mechanism — however, the external script cannot be verified. For WCAG 2.4.5, the page provides no secondary navigation mechanism (no search, sitemap, or navigation links) to locate it within a site. For WCAG 2.4.6, no headings are present to label the page's content. For WCAG 3.1.4 (AAA), abbreviations 'W3C' and 'WAI' appear without &lt;abbr&gt; markup or other expansion mechanism. WCAG 1.4.12 (Text Spacing) has no inline styles restricting text spacing, so it is not violated by the HTML itself.</t>
  </si>
  <si>
    <t xml:space="preserve">[2.2.2] Auto-updating content (random number) is present and a mechanism to hide it exists, but there is no mechanism to pause or stop the updates — only hide. While hiding satisfies the criterion if implemented correctly, the criterion requires pause, stop, OR hide. The hide button appears to satisfy this, but the script is external and cannot be verified. Assuming the hide() function works as labeled, this may pass. However, there is no pause or stop mechanism explicitly provided. Ensure the hide() function fully stops or hides the auto-updating content and that users can also show it again if needed. Verify the external script implements this correctly. || [2.4.5] The page appears to be a standalone page with no navigation links, site map, search functionality, or other means of finding this page within a website. Only one way to reach this page is evident. Provide at least two ways to locate this page within the site, such as a navigation menu and a search function, or a site map (WCAG technique G125, G126, G161, G63, G64). || [2.4.6] The page has no headings to describe its content or sections. While the page is simple, descriptive headings help users understand and navigate the content. Add a descriptive heading (e.g., &lt;h1&gt;) that describes the purpose or content of the page. || [3.1.4] The abbreviations 'W3C', 'WAI', and 'WAI' are used in the paragraph text without any expansion mechanism such as &lt;abbr&gt; elements with title attributes. Wrap abbreviations in &lt;abbr&gt; elements with title attributes providing the full expansion, e.g., &lt;abbr title="World Wide Web Consortium"&gt;W3C&lt;/abbr&gt; and &lt;abbr title="Web Accessibility Initiative"&gt;WAI&lt;/abbr&gt;.</t>
  </si>
  <si>
    <t xml:space="preserve">The page has several accessibility issues. For WCAG 2.2.2, auto-updating content starts on page load and only a 'hide' button is provided — whether this satisfies the criterion depends on the external script's implementation, but the approach is risky and should include a pause/stop option. For WCAG 2.4.5, no secondary navigation mechanism is present, making it impossible to locate the page through multiple means. For WCAG 2.4.6, no headings are used to label page content. For WCAG 3.1.4 (AAA), abbreviations 'W3C' and 'WAI' are not marked up with &lt;abbr&gt; elements. WCAG 1.4.12 appears to pass as no CSS restricts text spacing. The overall label is 'failed' due to violations of multiple applicable criteria.</t>
  </si>
  <si>
    <t xml:space="preserve">[2.2.2] Auto-updating content starts automatically on page load via onload='startUpdates()' and while a hide button is provided, there is no mechanism to pause or stop the updates — only to hide them. Hiding content does not constitute pausing or stopping the moving/blinking/auto-updating content per WCAG 2.2.2, which requires the ability to pause, stop, or hide. However, if 'hide' genuinely removes the content from view and stops updates, it may satisfy 'hide'. The implementation depends on the external script, but the button value says 'Hide changing content', which could satisfy the 'hide' option of 2.2.2 if it truly hides the element. This is borderline — the criterion allows pause, stop, OR hide, so if the button hides the updating content, it passes. Ensure the hide() function fully removes the auto-updating content from view and that users can also show it again if desired. Alternatively, provide a pause or stop control to fully comply with WCAG 2.2.2 technique G186. || [2.4.5] The page appears to be a standalone page with no navigation mechanism provided (no site navigation, search, sitemap, or links to related pages). There is no way to find this page other than direct URL access, as no secondary navigation method is present. Provide at least two ways to locate the page within a site, such as a navigation menu and a search function, or a sitemap (WCAG technique G125, G126, G161, G63, G64). || [2.4.6] The page has no headings to describe its content or purpose. The paragraph content and the auto-updating number section lack descriptive headings, making it harder for users to understand the page structure. Add descriptive headings (e.g., &lt;h1&gt;) to label the main content sections of the page (WCAG technique H42). || [3.1.4] The abbreviation 'WAI' and 'W3C' are used in the text without an &lt;abbr&gt; element or expansion mechanism provided inline for each occurrence. Use &lt;abbr title="World Wide Web Consortium"&gt;W3C&lt;/abbr&gt; and &lt;abbr title="Web Accessibility Initiati...</t>
  </si>
  <si>
    <t xml:space="preserve">This page contains only an image with alt text and a hidden paragraph (display: none). Evaluating against the five criteria: (1) WCAG 1.4.12 Text Spacing — there is no visible text content with CSS-controlled line-height, letter-spacing, word-spacing, or paragraph spacing that could be overridden; the only paragraph is hidden via display:none, making this inapplicable. (2) WCAG 2.2.2 Pause, Stop, Hide — there is no moving, blinking, scrolling, or auto-updating content on the page, making this inapplicable. (3) WCAG 2.4.5 Multiple Ways — this appears to be a single standalone example page with no site navigation structure; as a single page (not part of a multi-page set requiring navigation), this criterion is effectively inapplicable. (4) WCAG 2.4.6 Headings and Labels — there are no headings or form labels present on the page, so there are no headings or labels to evaluate for descriptiveness, making this inapplicable. (5) WCAG 3.1.4 Abbreviations — the visible content contains no abbreviations (the hidden paragraph contains 'WAI' and 'W3C' but is not rendered to users via display:none), making this inapplicable. Overall, none of the five target criteria apply to this minimal page.</t>
  </si>
  <si>
    <t xml:space="preserve">Evaluating all five criteria against this minimal HTML page: (1) WCAG 1.4.12 Text Spacing — the page contains no visible text content (the only paragraph is hidden via 'display: none'), so no text spacing constraints apply; inapplicable. (2) WCAG 2.2.2 Pause, Stop, Hide — there is no moving, blinking, scrolling, or auto-updating content; inapplicable. (3) WCAG 2.4.5 Multiple Ways — the page appears to be a single, standalone page with no site navigation context evident in the HTML; however, as a single page there is no requirement for multiple ways to locate it within itself; inapplicable. (4) WCAG 2.4.6 Headings and Labels — the page contains no headings or form labels, so there are no headings or labels to evaluate for descriptiveness; inapplicable. (5) WCAG 3.1.4 Abbreviations — the hidden paragraph contains the abbreviation 'WAI' but it is not rendered (display: none), and no &lt;abbr&gt; elements or other abbreviation mechanisms are present in visible content; inapplicable. Overall, none of the five target criteria are applicable to this page given its minimal, largely hidden content.</t>
  </si>
  <si>
    <t xml:space="preserve">This page contains only an image and a hidden paragraph (display: none). Evaluating against the five criteria: (1) WCAG 1.4.12 Text Spacing — there is no visible text content whose spacing could be overridden to cause loss of content or functionality; the only text is hidden via display:none, making this inapplicable. (2) WCAG 2.2.2 Pause, Stop, Hide — there are no moving, blinking, scrolling, or auto-updating elements on the page, making this inapplicable. (3) WCAG 2.4.5 Multiple Ways — this appears to be a single, standalone example page rather than part of a multi-page site requiring navigation; with only one page there is no set of pages to navigate between, making this inapplicable. (4) WCAG 2.4.6 Headings and Labels — there are no headings or form labels present on the page, so there are no headings or labels to evaluate for descriptiveness, making this inapplicable. (5) WCAG 3.1.4 Abbreviations — the hidden paragraph contains 'W3C' and 'WAI' as abbreviations, but since the content is hidden (display:none) and not presented to users, there are no abbreviations in perceivable content to evaluate, making this inapplicable. Overall, none of the five criteria apply to this minimal page.</t>
  </si>
  <si>
    <t xml:space="preserve">The page fails on two criteria. For WCAG 2.2.2 (Pause, Stop, Hide), the page uses onload to trigger auto-updating content (a random number in a &lt;span&gt;) with no visible control to pause, stop, or hide the updates, violating the requirement that users be able to control moving or auto-updating content. For WCAG 3.1.4 (Abbreviations, Level AAA), the abbreviations 'W3C' and 'WAI' appear in the text without &lt;abbr&gt; elements or any other mechanism to expose their expanded forms. The remaining criteria (1.4.12 Text Spacing, 2.4.5 Multiple Ways, 2.4.6 Headings and Labels) are either inapplicable or not violated by the content shown.</t>
  </si>
  <si>
    <t xml:space="preserve">[2.2.2] Auto-updating content (random number) is started via onload and there is no mechanism provided to pause, stop, or hide the updates. Provide a control (e.g., a button) that allows users to pause, stop, or hide the auto-updating content, or ensure the updates do not start automatically without user initiation. See WCAG technique G186. || [3.1.4] The abbreviation 'WAI' (Web Accessibility Initiative) and 'W3C' (World Wide Web Consortium) are used in the text without an &lt;abbr&gt; element or other mechanism to expand them. Wrap abbreviations in &lt;abbr title="..."&gt; elements, e.g., &lt;abbr title="World Wide Web Consortium"&gt;W3C&lt;/abbr&gt; and &lt;abbr title="Web Accessibility Initiative"&gt;WAI&lt;/abbr&gt;, to provide the expanded form. See WCAG technique H28.</t>
  </si>
  <si>
    <t xml:space="preserve">The page fails WCAG 2.2.2 (Pause, Stop, Hide). The body's onload handler calls startUpdates(), which continuously updates the random number displayed in the &lt;span id='target'&gt; element. There is no visible mechanism (e.g., a pause or stop button) provided to allow users to pause, stop, or hide this auto-updating content. This is a serious barrier for users with cognitive disabilities or those using screen readers who may be disrupted by the constant updates. The other evaluated criteria are either inapplicable (no moving/blinking content requiring 2.2.2 beyond the auto-update, no abbreviation expansions for 3.1.4 beyond 'WAI' and 'W3C' which are unexpanded, no navigation mechanism issues for 2.4.5 as this appears to be a single test page, headings/labels are absent but not required for 2.4.6 on a simple paragraph page, and text spacing in 1.4.12 is not violated by the markup itself).</t>
  </si>
  <si>
    <t xml:space="preserve">[2.2.2] Auto-updating content (random number) is started via onload with no mechanism provided to pause, stop, or hide it. Provide a button or control that allows users to pause, stop, or hide the auto-updating content. Per WCAG technique G186, a mechanism such as a 'Pause' or 'Stop' button must be available for any content that updates automatically.</t>
  </si>
  <si>
    <t xml:space="preserve">The page fails WCAG 2.2.2 (Pause, Stop, Hide). The body's onload handler calls startUpdates(), which continuously updates the 'Random number' span (#target) with no user-accessible control to pause, stop, or hide this moving/auto-updating content. WCAG 2.2.2 requires that any auto-updating information that starts automatically can be paused, stopped, or hidden by the user. The remaining evaluated criteria are either inapplicable (no abbreviation expansions needed beyond the inline WAI expansion, no complex navigation structure to assess Multiple Ways, no form labels to assess, and text spacing is not constrained by the HTML itself) or passed.</t>
  </si>
  <si>
    <t xml:space="preserve">[2.2.2] Auto-updating content (random number) is started via onload with no mechanism provided to pause, stop, or hide it. Provide a mechanism (e.g., a pause/stop button) that allows users to pause, stop, or hide the auto-updating content in the #target span. Alternatively, allow users to control the update frequency.</t>
  </si>
  <si>
    <t xml:space="preserve">The page fails WCAG 2.2.2 (Pause, Stop, Hide) because it uses the &lt;blink&gt; element, which causes content to blink indefinitely with no way for the user to pause, stop, or hide the blinking. WCAG 2.2.2 requires that any moving, blinking, or scrolling content that starts automatically, lasts more than 5 seconds, and is presented in parallel with other content must have a mechanism to pause, stop, or hide it. The &lt;blink&gt; element provides no such mechanism. The other evaluated criteria (1.4.12, 2.4.5, 2.4.6, 3.1.4) are either inapplicable or not violated by this minimal page, but the presence of &lt;blink&gt; alone constitutes a clear and serious accessibility failure.</t>
  </si>
  <si>
    <t xml:space="preserve">[2.2.2] The &lt;blink&gt; element causes text to blink automatically with no mechanism to pause, stop, or hide the blinking content. Remove the &lt;blink&gt; element entirely. If animated or attention-drawing text is needed, use CSS animations with a user-controlled mechanism (e.g., a button) to pause, stop, or hide the animation, or ensure the animation lasts no more than 5 seconds automatically.</t>
  </si>
  <si>
    <t xml:space="preserve">The page fails WCAG 2.2.2 (Pause, Stop, Hide) because it uses the &lt;blink&gt; element, which causes content to blink automatically and indefinitely with no mechanism provided for the user to pause, stop, or hide the blinking. WCAG 2.2.2 requires that any moving, blinking, or scrolling content that starts automatically, lasts more than five seconds, and is presented in parallel with other content must have a mechanism to pause, stop, or hide it. The &lt;blink&gt; element violates this requirement. The other evaluated criteria (1.4.12, 2.4.5, 2.4.6, 3.1.4) are either inapplicable or not violated given the minimal page content.</t>
  </si>
  <si>
    <t xml:space="preserve">The page fails WCAG 2.2.2 (Pause, Stop, Hide) because it uses the &lt;blink&gt; element, which causes content to blink continuously with no mechanism provided for the user to pause, stop, or hide the blinking. WCAG 2.2.2 requires that any moving, blinking, or scrolling content that starts automatically, lasts more than three seconds, and is presented in parallel with other content must have a mechanism to pause, stop, or hide it. The &lt;blink&gt; element violates this requirement directly. The remaining criteria (1.4.12, 2.4.5, 2.4.6, 3.1.4) are either inapplicable or not violated given the minimal content of this page.</t>
  </si>
  <si>
    <t xml:space="preserve">[2.2.2] The &lt;blink&gt; element causes text to blink automatically without any mechanism for the user to pause, stop, or hide the blinking content. Remove the &lt;blink&gt; element entirely. If animated or attention-drawing text is needed, use CSS animations with a user-controlled mechanism (e.g., a button) to pause, stop, or hide the animation, or ensure any blinking lasts no more than 3 seconds.</t>
  </si>
  <si>
    <t xml:space="preserve">The page fails WCAG 2.4.5 (Multiple Ways) because only a single navigation menu is provided with no supplementary mechanism (e.g., site search, site map, or table of contents) for locating content. The remaining evaluated criteria are either inapplicable or passed: 1.4.12 (Text Spacing) has no inline styles that would restrict text-spacing overrides; 2.2.2 (Pause, Stop, Hide) is inapplicable as there is no moving, blinking, or auto-updating content; 2.4.6 (Headings and Labels) is satisfied by the descriptive &lt;h1&gt; 'Department of biology'; and 3.1.4 (Abbreviations) is inapplicable as no abbreviations appear in the content.</t>
  </si>
  <si>
    <t xml:space="preserve">[2.4.5] No second way to find content is provided. The page only offers a navigation menu but lacks a search function, site map, or table of contents as an alternative means of locating pages. Add at least one additional way to find content, such as a site search feature (e.g., a &lt;form role="search"&gt;) or a link to a site map page, so users have multiple ways to locate pages within the site.</t>
  </si>
  <si>
    <t xml:space="preserve">The page fails WCAG 2.4.5 (Multiple Ways) because only a single navigation menu is provided with no alternative means of locating content (e.g., no site search, no sitemap link). The remaining evaluated criteria are either passed or inapplicable: 1.4.12 (Text Spacing) is not violated by any inline styles or fixed-height containers that would clip text; 2.2.2 (Pause, Stop, Hide) is inapplicable as there is no moving, blinking, or auto-updating content; 2.4.6 (Headings and Labels) is satisfied by the descriptive &lt;h1&gt; 'Department of biology'; and 3.1.4 (Abbreviations) is inapplicable as no abbreviations appear in the content.</t>
  </si>
  <si>
    <t xml:space="preserve">[2.4.5] Only one way to navigate the site is provided (navigation menu). No search functionality, site map, or other alternative navigation mechanism is present. Provide at least a second way to locate pages, such as a site search feature (G161), a sitemap page (G63), or a table of contents (G64).</t>
  </si>
  <si>
    <t xml:space="preserve">The page fails primarily on WCAG 2.4.5 (Multiple Ways): only a single navigation menu is provided, with no search facility, site map, or other alternative mechanism for locating content, violating the requirement that more than one way be available to find pages within a set of web pages. WCAG 1.4.12 (Text Spacing) has no inline styles or fixed-height containers that would prevent text-spacing overrides, so it passes. WCAG 2.2.2 (Pause, Stop, Hide) is inapplicable as there is no moving, blinking, or auto-updating content. WCAG 2.4.6 (Headings and Labels) passes because the single heading &lt;h1&gt;Department of biology&lt;/h1&gt; is descriptive and accurate. WCAG 3.1.4 (Abbreviations) is inapplicable as no abbreviations appear in the content.</t>
  </si>
  <si>
    <t xml:space="preserve">[2.4.5] No second way to find content is provided. The page only offers a navigation menu but lacks a search function, site map, or table of contents as an alternative means of locating content within the site. Provide at least one additional way to locate pages, such as a site search feature (e.g., a &lt;form role='search'&gt; element) or a link to a site map page, in accordance with WCAG technique G161 or G63. || [3.1.4] The page title 'Department of biology' and body text use no abbreviations, so this criterion is inapplicable here; however, the navigation link text and page content contain no abbreviations that require expansion. No &lt;abbr&gt; elements or other expansion mechanisms are present, which is acceptable given no abbreviations are used. No action needed for abbreviations on this page as none are present. If abbreviations are added in the future, use &lt;abbr title='...'&gt;...&lt;/abbr&gt; to provide expansions per WCAG technique H28.</t>
  </si>
  <si>
    <t xml:space="preserve">The page fails WCAG 2.4.5 (Multiple Ways) because it offers only a single mechanism—a search form—for users to locate content within the knowledge base. WCAG 2.4.5 requires that more than one way is available to locate a web page within a set of pages (exceptions apply only to pages that are the result of, or a step in, a process). No site map, category listing, navigation menu, or other alternative discovery mechanism is present. The remaining evaluated criteria are either inapplicable or passed: 1.4.12 (Text Spacing) has no inline styles restricting text spacing; 2.2.2 (Pause, Stop, Hide) is inapplicable as there is no moving, blinking, or auto-updating content; 2.4.6 (Headings and Labels) is satisfied—the &lt;h1&gt; 'Knowledge base' and the &lt;label&gt; 'Search articles' are descriptive and accurate; and 3.1.4 (Abbreviations) is inapplicable as no abbreviations appear in the content.</t>
  </si>
  <si>
    <t xml:space="preserve">[2.4.5] The page provides only a single way to locate content (a search form). No alternative navigation mechanism is provided, such as a site map, table of contents, navigation links, or related links. Provide at least one additional way to locate content, such as a site map, a browse/category index, a table of contents, or navigation links to related articles (WCAG technique G125, G126, G161, G63).</t>
  </si>
  <si>
    <t xml:space="preserve">The page fails WCAG 2.4.5 (Multiple Ways) because it offers only a single mechanism—a search form—for users to locate content within the knowledge base, with no complementary navigation such as a menu, site map, or browse-by-category list. The remaining evaluated criteria are either inapplicable or satisfied: 1.4.12 (Text Spacing) has no inline styles that would restrict text-spacing overrides; 2.2.2 (Pause, Stop, Hide) is inapplicable as there is no moving, blinking, or auto-updating content; 2.4.6 (Headings and Labels) is satisfied because the heading 'Knowledge base' and the form label 'Search articles' are descriptive and accurate; and 3.1.4 (Abbreviations) is inapplicable as no abbreviations appear in the content.</t>
  </si>
  <si>
    <t xml:space="preserve">[2.4.5] The page provides only a single way to locate content (a search form). No secondary navigation mechanism is provided, such as a site map, table of contents, related links, or navigation menu. Provide at least one additional way to locate content, such as a navigation menu linking to article categories, a site map, a table of contents, or related-article links (WCAG technique G125, G126, G161, G63).</t>
  </si>
  <si>
    <t xml:space="preserve">The page provides only a single mechanism for locating content — a keyword search form — which fails WCAG 2.4.5 (Multiple Ways, Level AA), which requires at least two ways to locate a web page within a set of pages (e.g., search plus a site map, or search plus a navigation menu). The remaining evaluated criteria are either inapplicable or passed: 1.4.12 (Text Spacing) has no inline styles that would restrict text-spacing overrides; 2.2.2 (Pause, Stop, Hide) is inapplicable as there is no moving, blinking, or auto-updating content; 2.4.6 (Headings and Labels) is satisfied because the heading 'Knowledge base' and the label 'Search articles' are descriptive; and 3.1.4 (Abbreviations) is inapplicable as no abbreviations appear in the content.</t>
  </si>
  <si>
    <t xml:space="preserve">[2.4.5] Only one way to find content is provided (search). No site map, table of contents, navigation links, or other alternative means of locating pages is present. Provide at least one additional way to find content, such as a site map, a browse/category index, a table of contents, or navigation links to related articles (G63, G64, G125, G126).</t>
  </si>
  <si>
    <t xml:space="preserve">The page fails primarily on WCAG 2.4.5 (Multiple Ways): it is a standalone confirmation page with no site navigation, search, sitemap, or breadcrumb, leaving users with only a single mechanism (direct URL) to reach or navigate from this page. WCAG 1.4.12 (Text Spacing) is technically passed by omission — no inline styles or fixed-height containers are present that would clip text when spacing is overridden. WCAG 2.2.2 (Pause, Stop, Hide) is inapplicable as there is no moving, blinking, or auto-updating content. WCAG 2.4.6 (Headings and Labels) is passed — the single heading 'Order confirmation' is descriptive and accurate. WCAG 3.1.4 (Abbreviations, AAA) is a minor concern because the order number suffix 'AX' is unexplained, though its impact depends on whether it constitutes a true abbreviation.</t>
  </si>
  <si>
    <t xml:space="preserve">[2.4.5] The page provides only a single way to locate it (direct URL/link). There is no site navigation, search functionality, sitemap, or table of contents to help users find this page or navigate the site. Add at least one additional navigation mechanism such as a site-wide navigation menu, a search feature, a sitemap link, or breadcrumb trail so users have multiple ways to locate content (WCAG technique G125, G126, G161, G63). || [3.1.4] The order number '4827-AX' and the abbreviation-like alphanumeric code are not explained or expanded. While this may not be a formal abbreviation, the page also contains no mechanism to expand or clarify the format of the order number for users who may not understand it. If 'AX' or similar codes are abbreviations or have specific meaning, wrap them in an &lt;abbr title="..."&gt; element with a full expansion (WCAG technique H28). If the code is purely an opaque identifier with no abbreviation meaning, this criterion may be considered inapplicable for that token.</t>
  </si>
  <si>
    <t xml:space="preserve">The page fails primarily on WCAG 2.4.5 (Multiple Ways): it is a standalone confirmation page with no site navigation, search, sitemap, or any secondary mechanism for users to locate it, violating the requirement that pages be reachable by more than one means. WCAG 1.4.12 (Text Spacing) has no inline styles or fixed-height containers that would clip text, so it passes. WCAG 2.2.2 (Pause, Stop, Hide) is inapplicable as there is no moving, blinking, or auto-updating content. WCAG 2.4.6 (Headings and Labels) passes because the single heading is descriptive and there are no form labels present. WCAG 3.1.4 (Abbreviations) is a minor concern: the alphanumeric suffix 'AX' in the order number may constitute an unexpanded abbreviation, though this is borderline; if 'AX' carries a specific meaning it should be marked up with &lt;abbr&gt;.</t>
  </si>
  <si>
    <t xml:space="preserve">[2.4.5] The page provides only a single way to locate it (direct URL/link). There is no site navigation, search functionality, sitemap, or other secondary means of finding this page. Provide at least two ways to locate the page, such as a site-wide navigation menu plus a search feature, or a sitemap. For example, add a &lt;nav&gt; element with links to key sections of the site and/or a search form (WCAG technique G125, G126, G161, G63). || [2.4.6] The single heading (&lt;h1&gt;Order confirmation&lt;/h1&gt;) is present and descriptive, so headings pass. However, there are no form labels on this page, making the labels portion inapplicable. No issue here, but noted for completeness. No action needed for headings; the heading is descriptive and accurate. || [3.1.4] The order number '4827-AX' and the abbreviation-like alphanumeric identifier are used without explanation or expansion. While this may be a reference number rather than a true abbreviation, 'AX' could be considered an abbreviation that is not expanded or explained. If 'AX' is an abbreviation (e.g., for a product line or region), provide an expansion using &lt;abbr title="..."&gt;AX&lt;/abbr&gt; or explain it in surrounding text (WCAG technique G102, H28).</t>
  </si>
  <si>
    <t xml:space="preserve">The page fails primarily on WCAG 2.4.5 (Multiple Ways) because it provides no site navigation, search, sitemap, or other secondary mechanism for users to locate the page — only a single direct link to order details is present. A potential exemption exists if this page is exclusively the result of a process (checkout completion), but that cannot be confirmed from the HTML alone. WCAG 3.1.4 (Abbreviations) is a minor concern because the order-number suffix 'AX' is unexplained. WCAG 1.4.12 (Text Spacing) is effectively passed as no inline styles constrain text spacing. WCAG 2.2.2 (Pause, Stop, Hide) is inapplicable as there is no moving, blinking, or auto-updating content. WCAG 2.4.6 (Headings and Labels) is passed: the single heading 'Order confirmation' is descriptive and accurate.</t>
  </si>
  <si>
    <t xml:space="preserve">[2.4.5] The page provides only a single way to locate it (direct link/URL). There is no site navigation, search functionality, sitemap, or table of contents that would allow users to find this page through multiple means. Add at least one additional navigation mechanism such as a site-wide navigation menu, a search feature, a breadcrumb trail, or a link to a sitemap so users have multiple ways to locate content on the site. Note: if this page is reached only as the result of a process (e.g., completing a checkout), it may be exempt under the WCAG exception for process steps — verify whether that exception applies. || [3.1.4] The order number '4827-AX' contains an alphanumeric code whose meaning and pronunciation are not explained. While not a traditional abbreviation, the suffix 'AX' is an opaque token with no expansion or explanation provided. If 'AX' is an abbreviation or code with a specific meaning, wrap it in an &lt;abbr title="..."&gt; element with a full expansion, or provide an inline explanation. If it is a purely arbitrary identifier with no expansion, document that clearly so users are not left wondering.</t>
  </si>
  <si>
    <t xml:space="preserve">The page is a minimal sign-in form with a single heading ('Sign in') and two labelled inputs (Username, Password). For WCAG 1.4.12 Text Spacing, no inline styles or CSS fix text spacing in a way that would break content, so it passes. For WCAG 2.2.2 Pause, Stop, Hide, there is no moving, blinking, or auto-updating content, so it is inapplicable. For WCAG 2.4.6 Headings and Labels, the heading 'Sign in' is descriptive and both form inputs have explicit, meaningful labels ('Username' and 'Password'), so it passes. For WCAG 3.1.4 Abbreviations, no abbreviations are present in the page content, so it is inapplicable. However, the page fails WCAG 2.4.5 Multiple Ways because it provides no secondary mechanism (navigation menu, search, sitemap, or breadcrumb) by which a user could locate this page; only a direct URL access is implied.</t>
  </si>
  <si>
    <t xml:space="preserve">[2.4.5] No multiple ways to locate this page are provided. There is no site navigation, search functionality, sitemap link, or any other mechanism to find this page beyond a direct URL. Provide at least two ways to reach this page, such as a navigation menu, a site search feature, a sitemap, or links from related pages (e.g., a home page link to 'Sign in'). Note: if this page is reached only after a process step (e.g., checkout), it may be exempt, but that context is not evident here.</t>
  </si>
  <si>
    <t xml:space="preserve">The page is a minimal sign-in form with a heading and two labelled inputs. WCAG 1.4.12 (Text Spacing) is technically passed because no inline styles or fixed-height containers are present that would clip text when spacing is overridden. WCAG 2.2.2 (Pause, Stop, Hide) is inapplicable as there is no moving, blinking, or auto-updating content. WCAG 2.4.6 (Headings and Labels) is passed: the page has a descriptive &lt;h1&gt;Sign in&lt;/h1&gt; and both inputs have explicit, descriptive &lt;label&gt; elements. WCAG 3.1.4 (Abbreviations) is inapplicable as no abbreviations appear in the content. However, WCAG 2.4.5 (Multiple Ways) is failed: the page provides no secondary mechanism — no navigation menu, search, sitemap, or linking structure — by which a user could locate this page, violating the requirement that more than one way exists to find a web page within a set of pages.</t>
  </si>
  <si>
    <t xml:space="preserve">[2.4.5] No multiple ways to locate this page are provided. There is no site navigation, search functionality, sitemap link, or any other mechanism to find this page beyond a direct URL. Provide at least two ways to reach this page, such as a site-wide navigation menu, a search feature, a sitemap, or links from a related page (e.g., a home page link). Note: if this page is reached only after a process step (e.g., a checkout flow), WCAG 2.4.5 may not apply, but that context is not evident here.</t>
  </si>
  <si>
    <t xml:space="preserve">The page is a minimal sign-in form with a single heading and two labelled inputs. For WCAG 1.4.12 (Text Spacing), no inline styles or fixed-height containers are present that would prevent text-spacing overrides, so it passes. For WCAG 2.2.2 (Pause, Stop, Hide), there is no moving, blinking, or auto-updating content, so it is inapplicable. For WCAG 2.4.6 (Headings and Labels), the heading 'Sign in' is descriptive and the form labels 'Username' and 'Password' are clear and programmatically associated via 'for'/'id' pairs, so it passes. For WCAG 3.1.4 (Abbreviations), no abbreviations appear in the content, so it is inapplicable. However, the page fails WCAG 2.4.5 (Multiple Ways) because it provides no secondary mechanism — such as navigation, search, or a sitemap — for users to locate this page within the site.</t>
  </si>
  <si>
    <t xml:space="preserve">[2.4.5] No multiple ways to locate this page are provided. There is no site navigation, search functionality, sitemap link, or any other mechanism to find this page beyond a direct URL. Provide at least two ways to reach this page, such as a site-wide navigation menu, a search feature, a sitemap, or links from a home page. Note: if this page is reached only after a process step (e.g., a checkout flow), WCAG 2.4.5 may not apply, but that context is not evident here.</t>
  </si>
  <si>
    <t xml:space="preserve">The page is evaluated against five WCAG criteria. For 1.4.12 Text Spacing: no inline styles or CSS rules restrict line-height, letter-spacing, word-spacing, or paragraph spacing, so the page does not block text-spacing overrides — passed. For 2.2.2 Pause, Stop, Hide: there is no moving, blinking, scrolling, or auto-updating content on the page — inapplicable/passed. For 2.4.5 Multiple Ways: the page provides a site navigation menu (primary nav with five links) and a search form, satisfying the requirement for at least two ways to locate content within the site — passed (technique G161 + G63). For 2.4.6 Headings and Labels: the single heading &lt;h1&gt;University library&lt;/h1&gt; accurately describes the page, and the form label &lt;label for='q'&gt;Search the catalog&lt;/label&gt; accurately describes its control — passed (technique G130 + G131). For 3.1.4 Abbreviations: no abbreviations appear in the page content, so this criterion is inapplicable. Overall, the page passes all applicable criteria with no violations detected.</t>
  </si>
  <si>
    <t xml:space="preserve">The page is evaluated against five WCAG criteria. For 1.4.12 Text Spacing: no inline styles or CSS rules restrict line-height, letter-spacing, word-spacing, or paragraph spacing, so overriding these properties would not break content or functionality — criterion passes. For 2.2.2 Pause, Stop, Hide: there is no moving, blinking, scrolling, or auto-updating content on the page — criterion is inapplicable (treated as passed). For 2.4.5 Multiple Ways: the page provides a primary navigation menu with links to major sections and a site-wide search form, satisfying the requirement for multiple ways to locate a page within a set of pages (techniques G125 and G161) — criterion passes. For 2.4.6 Headings and Labels: the single heading &lt;h1&gt;University library&lt;/h1&gt; accurately describes the page topic, and the form label &lt;label for='q'&gt;Search the catalog&lt;/label&gt; correctly describes the search input — criterion passes. For 3.1.4 Abbreviations: no abbreviations appear in the page content, so the criterion is inapplicable. Overall, no violations were identified against any of the five evaluated criteria.</t>
  </si>
  <si>
    <t xml:space="preserve">The page is evaluated against five WCAG criteria. For 1.4.12 Text Spacing: no inline styles or CSS rules restrict line-height, letter-spacing, word-spacing, or paragraph spacing, so the criterion is satisfied. For 2.2.2 Pause, Stop, Hide: there is no moving, blinking, scrolling, or auto-updating content on the page, making the criterion inapplicable in practice, but not a failure. For 2.4.5 Multiple Ways: the page provides both a navigation menu (primary nav with five links) and a search form (role='search'), satisfying the requirement for multiple ways to locate content within a set of pages. For 2.4.6 Headings and Labels: the single heading &lt;h1&gt;University library&lt;/h1&gt; is descriptive, and the form label &lt;label for='q'&gt;Search the catalog&lt;/label&gt; is properly associated with its input and clearly describes its purpose. For 3.1.4 Abbreviations: no abbreviations appear in the page content, making this criterion inapplicable. No violations were identified across any of the evaluated criteria.</t>
  </si>
  <si>
    <t xml:space="preserve">The page is evaluated against five WCAG 2.1 criteria. For 1.4.12 Text Spacing: no inline styles or CSS are present that would restrict text spacing overrides, so the criterion is effectively satisfied. For 2.2.2 Pause, Stop, Hide: there is no moving, blinking, scrolling, or auto-updating content on the page, making this criterion inapplicable/passed by default. For 2.4.5 Multiple Ways: the page provides both a navigation menu (Primary nav with Home, Subjects, Sitemap links) and a breadcrumb trail, satisfying the requirement for multiple ways to locate the page within a set of pages (techniques G125 and G63). For 2.4.6 Headings and Labels: the page has a descriptive &lt;h1&gt; ('Astronomy resources') that accurately describes the page content, and the nav landmarks have meaningful aria-label attributes ('Primary', 'Breadcrumb'); no form labels are present to evaluate. For 3.1.4 Abbreviations: no abbreviations appear in the page content, making this criterion inapplicable. Overall, the page passes all applicable criteria with no violations identified.</t>
  </si>
  <si>
    <t xml:space="preserve">The page is evaluated against WCAG 1.4.12 (Text Spacing), 2.2.2 (Pause, Stop, Hide), 2.4.5 (Multiple Ways), 2.4.6 (Headings and Labels), and 3.1.4 (Abbreviations). For 1.4.12: No inline styles or CSS are present that would override text spacing properties, so no violation is evident. For 2.2.2: There is no moving, blinking, scrolling, or auto-updating content on the page, making this criterion inapplicable (no violation). For 2.4.5: The page provides multiple ways to locate it — a primary navigation menu with links to Home and Subjects, a breadcrumb navigation trail, and a sitemap link — satisfying the requirement for multiple ways to find content (G63, G64). For 2.4.6: The page has a descriptive &lt;h1&gt; ('Astronomy resources') that accurately describes the page content, and both &lt;nav&gt; elements have meaningful aria-label attributes ('Primary' and 'Breadcrumb'), satisfying the headings and labels criterion. For 3.1.4: No abbreviations are present in the page content, making this criterion inapplicable. Overall, the page passes all applicable criteria with no identified violations.</t>
  </si>
  <si>
    <t xml:space="preserve">The page is evaluated against five WCAG 2.1 criteria. For 1.4.12 Text Spacing: no inline styles or CSS are present that would restrict text spacing overrides, so the criterion is satisfied. For 2.2.2 Pause, Stop, Hide: there is no moving, blinking, scrolling, or auto-updating content on the page, making this criterion inapplicable in a way that defaults to a pass. For 2.4.5 Multiple Ways: the page provides both a navigation menu (Primary nav with Home, Subjects, Sitemap links) and a breadcrumb trail, satisfying the requirement for multiple ways to locate the page within a set of pages (technique G125/G63). For 2.4.6 Headings and Labels: the page has a descriptive &lt;h1&gt; ('Astronomy resources') that accurately describes the page content, and the nav landmarks have meaningful aria-label attributes ('Primary', 'Breadcrumb'); no form labels are present to evaluate. For 3.1.4 Abbreviations: no abbreviations appear in the page content, making this criterion inapplicable. Overall, the page passes all applicable criteria with no violations detected.</t>
  </si>
  <si>
    <t xml:space="preserve">The page fails primarily on WCAG 2.4.5 (Multiple Ways) because it is a bare, isolated page with no navigation or alternative means to locate content within a site, and on WCAG 2.4.6 (Headings and Labels) because no headings are present to describe the page or its sections. WCAG 1.4.12 cannot be fully verified without CSS but no explicit violations are present in the HTML. WCAG 2.2.2 is inapplicable as there is no moving, blinking, or auto-updating content. WCAG 3.1.4 is inapplicable as no abbreviations appear in visible text. The overall label is 'failed' due to the confirmed violations of 2.4.5 and 2.4.6.</t>
  </si>
  <si>
    <t xml:space="preserve">[1.4.12] No CSS is present to verify text spacing overrides won't break content, but the page lacks any stylesheet that could be tested. The minimal structure makes it difficult to confirm compliance, though no explicit violations are detectable in the HTML alone. Ensure that when text spacing properties (line-height, letter-spacing, word-spacing, paragraph spacing) are overridden via user stylesheet, no content or functionality is lost. Avoid fixed-height containers that clip text. || [2.4.5] The page contains only a single form field with no navigation, search, sitemap, or other means to locate this page within a site. There is no evidence of multiple ways to reach this page or any other page. Provide at least two ways to locate pages within a website, such as a navigation menu, site search, sitemap, or table of contents (WCAG Technique G125, G126, G161, G63). || [2.4.6] The page has no headings to describe its purpose or content sections. While the label 'Date of birth' adequately describes the input, the absence of any heading means users cannot understand the overall context or purpose of the page. Add descriptive headings (e.g., &lt;h1&gt;) to identify the page topic and organize content sections (WCAG Technique H42, G130). || [3.1.4] No abbreviations are present on the page, making this criterion inapplicable. However, 'dob' used as an id/name attribute is an abbreviation in the code but not exposed to users, so no violation exists for visible content. No action needed for 3.1.4 as no abbreviations appear in visible text content.</t>
  </si>
  <si>
    <t xml:space="preserve">The page fails primarily on WCAG 2.4.5 (Multiple Ways) because it is a bare, single-page document with no navigation, search, or site map to provide multiple means of locating the page. It also fails WCAG 2.4.6 (Headings and Labels) due to the absence of any heading element to describe the page or form context, even though the label for the date input is adequately descriptive. WCAG 1.4.12 (Text Spacing) is technically applicable but cannot be fully evaluated without CSS; the raw HTML imposes no spacing constraints that would cause failure. WCAG 2.2.2 (Pause, Stop, Hide) is inapplicable as there is no moving, blinking, or auto-updating content. WCAG 3.1.4 (Abbreviations) is inapplicable as no abbreviations appear in the content.</t>
  </si>
  <si>
    <t xml:space="preserve">[1.4.12] No CSS is present to verify text spacing overrides won't break content, but the page lacks any stylesheet that could be tested. The minimal structure makes this largely inapplicable, though the absence of any layout constraints is noted. Ensure that when text spacing properties (line-height, letter-spacing, word-spacing, paragraph spacing) are overridden per WCAG SC 1.4.12 requirements, no content or functionality is lost. || [2.4.5] The page appears to be a standalone form with no navigation mechanism, site map, search, or other way to locate this page within a broader site context. Only a single page is present with no links or navigation to other pages. Provide at least two ways to locate this page within a website, such as a navigation menu, site map, or search functionality (G125, G126, G161, G63, G64). || [2.4.6] The page has no headings to describe its purpose or content. The label 'Date of birth:' describes the input field adequately, but there is no page-level heading to orient the user. Add a descriptive heading (e.g., &lt;h1&gt;) to describe the page or form's purpose, such as 'Personal Information' or 'Registration Form'. || [3.1.4] No abbreviations are present on the page, making this criterion inapplicable. N/A — no abbreviations detected.</t>
  </si>
  <si>
    <t xml:space="preserve">This minimal HTML page contains only a date-of-birth input field wrapped in a label. Evaluating against the five specified criteria: (1) WCAG 1.4.12 Text Spacing — no CSS is present that would restrict text spacing overrides, and there is no evidence of fixed line-height, letter-spacing, or word-spacing that would cause content loss; however, since no spacing styles are defined, this is effectively inapplicable. (2) WCAG 2.2.2 Pause, Stop, Hide — there is no moving, blinking, scrolling, or auto-updating content on the page, making this criterion inapplicable. (3) WCAG 2.4.5 Multiple Ways — the page consists of a single form field with no navigation structure, site context, or multiple pages; as a standalone single-element page there is no meaningful way to apply this criterion, making it inapplicable. (4) WCAG 2.4.6 Headings and Labels — the label 'Date of birth:' is present and descriptively identifies the input field, satisfying this criterion where applicable; no headings exist but none are needed for this single-field page. (5) WCAG 3.1.4 Abbreviations — no abbreviations are present in the page content, making this criterion inapplicable. Overall, none of the five criteria are violated; most are inapplicable due to the minimal nature of the page content.</t>
  </si>
  <si>
    <t xml:space="preserve">The page contains a simple glossary-style definition list with two entries ('airplane' and 'apple') and a heading. Evaluating against the five specified criteria: (1) WCAG 1.4.12 Text Spacing — no inline styles or CSS that would restrict text spacing overrides are present in the HTML source, so no violation is detectable; however, since there is no evidence of failure, this passes by default. (2) WCAG 2.2.2 Pause, Stop, Hide — there is no moving, blinking, scrolling, or auto-updating content on the page, making this criterion inapplicable. (3) WCAG 2.4.5 Multiple Ways — this appears to be a single standalone page with no site navigation context; for a single-page site or a page exempt as a result of a process step, this criterion may be inapplicable, and no navigation mechanisms are present to evaluate. (4) WCAG 2.4.6 Headings and Labels — the single heading '&lt;h1&gt;A&lt;/h1&gt;' is present and descriptive of the section (alphabetical grouping), and there are no form labels to evaluate; no violation is found. (5) WCAG 3.1.4 Abbreviations — no abbreviations (&lt;abbr&gt; elements or abbreviated text) appear anywhere in the page content, making this criterion inapplicable. Overall, no violations of the specified criteria are identified in this HTML; the page is largely inapplicable to most of the listed criteria due to its minimal content.</t>
  </si>
  <si>
    <t xml:space="preserve">The page contains a simple glossary-style definition list with two entries ('airplane' and 'apple') and a heading. Evaluating against the five specified criteria: (1) WCAG 1.4.12 Text Spacing — no inline styles or CSS that would restrict text spacing overrides are present in the HTML source, so no violation is detectable; however, since there is no evidence of failure this is effectively passed/inapplicable at the HTML level. (2) WCAG 2.2.2 Pause, Stop, Hide — there is no moving, blinking, scrolling, or auto-updating content on the page, making this criterion inapplicable. (3) WCAG 2.4.5 Multiple Ways — this appears to be a single standalone page with no site navigation, search, or sitemap provided; however, for a single-page document (not part of a multi-page set), the criterion is inapplicable. (4) WCAG 2.4.6 Headings and Labels — the single heading &lt;h1&gt;A&lt;/h1&gt; is present and descriptive enough for a glossary section starting with the letter 'A'; no form labels are present. No violation is evident. (5) WCAG 3.1.4 Abbreviations — the page contains no abbreviations (no &lt;abbr&gt; elements or abbreviated terms), making this criterion inapplicable. Overall, none of the five criteria are violated by the HTML provided; most are inapplicable due to the minimal, static nature of the page content.</t>
  </si>
  <si>
    <t xml:space="preserve">The page contains a simple glossary-style definition list with two entries ('airplane' and 'apple') and a heading. Evaluating against the five specified criteria: (1) WCAG 1.4.12 Text Spacing — no inline styles or CSS that would restrict text spacing overrides are present in the HTML source, so no violation is detectable; however, since there is no evidence of failure, this passes by default. (2) WCAG 2.2.2 Pause, Stop, Hide — there is no moving, blinking, scrolling, or auto-updating content on the page, making this criterion inapplicable. (3) WCAG 2.4.5 Multiple Ways — this appears to be a single standalone page with no site navigation context; for a single-page site or a page that is the result of a process, multiple ways is not required, making this criterion inapplicable in this minimal context. (4) WCAG 2.4.6 Headings and Labels — the single heading '&lt;h1&gt;A&lt;/h1&gt;' is present and descriptive of the section (alphabetical grouping), and there are no form labels to evaluate; no violation is found. (5) WCAG 3.1.4 Abbreviations — no abbreviations appear in the page content ('airplane' and 'apple' are full words, not abbreviations), making this criterion inapplicable. Overall, no failures are identified against any of the five criteria for this minimal HTML page.</t>
  </si>
  <si>
    <t xml:space="preserve">The page fails primarily on WCAG 2.4.5 (Multiple Ways) because it is a standalone page with no navigation mechanisms, search, or site map to locate content. It also fails WCAG 2.4.6 (Headings and Labels) because the &lt;label&gt; element is incorrectly associated with a &lt;p&gt; element rather than a labelable form control, making the label semantically invalid. WCAG 1.4.12 (Text Spacing) cannot be fully evaluated from HTML alone but no explicit violations are present in the markup. WCAG 2.2.2 (Pause, Stop, Hide) is inapplicable as there is no moving, blinking, or auto-updating content. WCAG 3.1.4 (Abbreviations) is inapplicable as no abbreviations exist on the page.</t>
  </si>
  <si>
    <t xml:space="preserve">[1.4.12] Cannot determine if text spacing overrides are supported due to inline styles or CSS that restricts spacing properties, but the page structure is too minimal to confirm compliance. No explicit violations found in HTML alone. Ensure no CSS restricts line-height, letter-spacing, word-spacing, or paragraph spacing when overridden by user stylesheets. || [2.4.5] The page provides no navigation mechanisms such as a site map, search functionality, or table of contents. There is only a single label and an empty paragraph, with no way to navigate to or find content through multiple means. Provide at least two ways to locate pages within a set of web pages, such as a navigation menu plus a search feature or site map (G125, G126, G161, G63, G64). || [2.4.6] The label 'First name:' is associated with a &lt;p&gt; element (id='fname') rather than a form control. A &lt;label&gt; element's 'for' attribute should reference an interactive form control. The &lt;p&gt; element is not a labelable element, making this label semantically incorrect and potentially confusing. Associate the &lt;label&gt; with an appropriate form control such as &lt;input type="text" id="fname"&gt; so that the label is descriptive and correctly linked to its control. || [3.1.4] No abbreviations are present on the page, so this criterion is inapplicable. N/A</t>
  </si>
  <si>
    <t xml:space="preserve">The page fails primarily on WCAG 2.4.5 (Multiple Ways) because it provides no navigation mechanisms to locate the page within a site, and on WCAG 2.4.6 (Headings and Labels) because there are no headings to describe the page content and the label is incorrectly associated with a &lt;p&gt; element instead of a form control. The page is also structurally malformed (label and p elements placed directly inside &lt;html&gt; without &lt;head&gt; or &lt;body&gt;). WCAG 1.4.12 is tentatively passable as no CSS restrictions on text spacing are evident. WCAG 2.2.2 is inapplicable as there is no moving, blinking, or auto-updating content. WCAG 3.1.4 is largely inapplicable as no abbreviations are present, though the page is too minimal to be fully assessed.</t>
  </si>
  <si>
    <t xml:space="preserve">[1.4.12] Cannot determine if text spacing overrides are supported due to inline styles or CSS that restricts spacing properties, but the page structure is too minimal to confirm compliance. No explicit text spacing restrictions found in HTML, so this is tentatively passable, but the malformed HTML structure raises concerns. Ensure no CSS restricts line-height, letter-spacing, word-spacing, or paragraph spacing when overridden by user stylesheets. || [2.4.5] The page provides no navigation mechanisms such as a site search, table of contents, sitemap, or links to related pages. There is only a single label and an empty paragraph, with no way for users to find this page or navigate to other content. Provide at least two ways to locate the page within a set of pages, such as a navigation menu, search functionality, or sitemap (WCAG technique G125, G126, G161). || [2.4.6] The page has no headings to describe its content or purpose. The label 'First name:' is present but references an empty paragraph (not an input), and there are no descriptive headings to help users understand the page structure. Add descriptive headings (e.g., &lt;h1&gt;) to identify the page topic and organize content. Also, the &lt;label&gt; should be associated with a form control, not a &lt;p&gt; element. || [3.1.4] No mechanism is provided to expand or explain abbreviations. While no explicit abbreviations are present in the visible text, the page is too minimal to confirm full compliance. If abbreviations are used anywhere on the page, provide expansions using &lt;abbr title="..."&gt; or another mechanism (WCAG technique G102).</t>
  </si>
  <si>
    <t xml:space="preserve">The page fails primarily on WCAG 2.4.5 (Multiple Ways) because it provides no navigation mechanisms for users to locate the page within a site, and on WCAG 2.4.6 (Headings and Labels) because the label element is incorrectly associated with a &lt;p&gt; element rather than a form control, rendering it non-functional. WCAG 2.2.2 and 3.1.4 are inapplicable due to the absence of animated content and abbreviations respectively. WCAG 1.4.12 cannot be confirmed as failing from the HTML alone since no restrictive CSS is present, but the malformed page structure raises broader accessibility concerns.</t>
  </si>
  <si>
    <t xml:space="preserve">[1.4.12] Cannot determine text spacing compliance from HTML alone, but the page lacks any stylesheet that would prevent text spacing overrides. However, the page structure is so minimal it is unlikely to cause text spacing failures in practice. Ensure no CSS properties restrict line-height to less than 1.5 times the font size, letter-spacing to less than 0.12em, word-spacing to less than 0.16em, or paragraph spacing to less than 2 times the font size. || [2.2.2] No moving, blinking, scrolling, or auto-updating content is present on the page, making this criterion inapplicable. N/A || [2.4.5] The page provides no navigation mechanisms such as a site map, search functionality, or links to related pages. There is only a single label and an empty paragraph, with no way for users to find this page or navigate to other content. Provide at least two ways to locate the page within a set of web pages, such as a navigation menu, site map, or search feature (WCAG Technique G125, G126, G161). || [2.4.6] The page contains a label element ('First name:') associated with a non-existent or non-form element (a &lt;p&gt; tag instead of an &lt;input&gt;), making the label non-functional and potentially misleading. Additionally, there are no headings to describe the page content. Ensure labels are associated with actual form controls (e.g., &lt;input id="fname"&gt;). Add descriptive headings to organize page content (WCAG Technique H44, H42). || [3.1.4] No abbreviations are present on the page, making this criterion inapplicable. N/A</t>
  </si>
  <si>
    <t xml:space="preserve">The page fails multiple WCAG 2.1 criteria. It lacks any navigation mechanisms or multiple ways to locate the page (2.4.5), has no descriptive headings and a misleading label (2.4.6), uses an unexplained abbreviation 'fname' without expansion (3.1.4), and while no CSS is present to directly violate text spacing requirements (1.4.12), the page is structurally incomplete. WCAG 2.2.2 is inapplicable as there is no moving, blinking, scrolling, or auto-updating content. The most critical issues are the absence of multiple navigation mechanisms and the lack of meaningful headings and labels.</t>
  </si>
  <si>
    <t xml:space="preserve">[2.4.5] No multiple ways to locate the page are provided. There is no site map, search functionality, table of contents, or navigation links present. Provide at least two ways to locate the page within a set of web pages, such as a site map, search feature, list of related pages, or navigation links (WCAG technique G125, G126, G161, G63, G64). || [2.4.6] No headings are present on the page to help users understand the structure and content. The label 'Menu' is misleading as it labels a text input but does not describe the purpose of the page or section. Add descriptive headings (e.g., &lt;h1&gt;) to convey the page structure and purpose. Ensure labels accurately describe the purpose of their associated form controls (WCAG technique G130, G131). || [1.4.12] No CSS is present to confirm or deny text spacing overrides. However, there is no evidence of inline styles or fixed-height containers that would restrict text spacing adjustments. This is a minor concern but cannot be fully verified without CSS. Ensure that no CSS restricts text spacing properties (line-height, letter-spacing, word-spacing, paragraph spacing) when overridden by user stylesheets (WCAG technique C36, C35). || [3.1.4] No mechanism is provided to expand or explain abbreviations. The label 'Menu' and input name 'fname' (likely short for 'first name') are not expanded or clarified. Use the &lt;abbr&gt; element with a title attribute to expand abbreviations, or provide the full form of abbreviated terms inline (WCAG technique H28, G97).</t>
  </si>
  <si>
    <t xml:space="preserve">The page fails primarily on WCAG 2.4.5 (Multiple Ways) because it provides no mechanism for users to locate the page within a broader site context — there is no navigation, search, sitemap, or related links. It also fails WCAG 2.4.6 (Headings and Labels) because there are no headings to convey page structure, and the single label ('Menu') does not clearly describe the purpose of the associated text input. WCAG 1.4.12 (Text Spacing) cannot be fully evaluated without stylesheet information, but no inline styles are present that would block text spacing overrides. WCAG 2.2.2 (Pause, Stop, Hide) and WCAG 3.1.4 (Abbreviations) are inapplicable as the page contains no moving content or abbreviations respectively.</t>
  </si>
  <si>
    <t xml:space="preserve">[2.4.5] No multiple ways to locate the page are provided. There is no site map, search functionality, table of contents, or navigation links present. Provide at least two ways to locate the page within a set of web pages, such as a site map, search feature, list of related pages, or navigation links (WCAG technique G125, G126, G161, G63, G64). || [2.4.6] There are no headings on the page to help users understand the structure or purpose of the content. The label 'Menu' is misleading as it labels a text input but does not describe the page structure. Add descriptive headings (e.g., &lt;h1&gt;) to convey the page structure and purpose. Ensure labels accurately describe the purpose of their associated form controls (WCAG technique G130, G131). || [1.4.12] No CSS is present to confirm or deny text spacing overrides. However, there is no evidence of inline styles or CSS that would restrict text spacing properties (line height, letter spacing, word spacing, paragraph spacing). This criterion is likely inapplicable given the minimal content, but cannot be confirmed as passed without stylesheet review. Ensure that no CSS declarations prevent users from overriding text spacing properties such as line-height, letter-spacing, word-spacing, and margin/padding between paragraphs (WCAG technique C36, C35). || [3.1.4] No abbreviations are present on the page, making this criterion inapplicable. N/A || [2.2.2] No moving, blinking, scrolling, or auto-updating content is present on the page, making this criterion inapplicable. N/A</t>
  </si>
  <si>
    <t xml:space="preserve">The page fails multiple WCAG 2.1 criteria. It lacks any navigation mechanisms or alternative ways to locate the page (2.4.5), has no descriptive headings and a misleading label (2.4.6), and provides no assurance of text spacing compatibility (1.4.12). WCAG 2.2.2 (Pause, Stop, Hide) is inapplicable as there is no moving, blinking, or auto-updating content. WCAG 3.1.4 (Abbreviations) is inapplicable as there are no abbreviations present. The page is essentially a bare skeleton with a single mislabeled input field, failing to meet basic accessibility requirements for structure, navigation, and labeling.</t>
  </si>
  <si>
    <t xml:space="preserve">[2.4.5] No multiple ways to locate the page are provided. There is no site map, search functionality, table of contents, or navigation links present. Provide at least two ways to locate a web page within a set of pages, such as a site map, search feature, table of contents, or related links (WCAG technique G125, G126, G161, G63, G64). || [2.4.6] There are no headings on the page to help users understand the structure or purpose of the content. The label 'Menu' is misleading as it labels a text input but does not describe the page structure or the purpose of the input field clearly. Add descriptive headings (e.g., &lt;h1&gt;) to convey the page structure, and ensure labels accurately describe the purpose of their associated form controls (WCAG technique G130, G131). || [1.4.12] No CSS is present to override text spacing properties. While no explicit violation is detectable in HTML alone, there is no evidence that the page has been tested or designed to support text spacing overrides (line height, letter spacing, word spacing, paragraph spacing) without loss of content or functionality. Ensure that when users apply text spacing overrides (line-height ≥ 1.5, letter-spacing ≥ 0.12em, word-spacing ≥ 0.16em, paragraph spacing ≥ 2em), no content or functionality is lost (WCAG technique C36, C35).</t>
  </si>
  <si>
    <t xml:space="preserve">The page fails primarily on WCAG 2.4.5 (Multiple Ways) because it provides only a single, empty page with no navigation mechanisms whatsoever — no search, no site map, no navigation links — making it impossible for users to locate content in multiple ways. It also fails WCAG 2.4.6 (Headings and Labels) because the sole heading element is completely empty, providing no descriptive information about the page content. WCAG 1.4.12 is technically applicable but cannot be fully evaluated due to the absence of any stylesheet or meaningful text content; the page should ensure text spacing overrides do not break content. WCAG 2.2.2 is inapplicable as there is no moving, blinking, or auto-updating content. WCAG 3.1.4 is inapplicable as there are no abbreviations present.</t>
  </si>
  <si>
    <t xml:space="preserve">[2.4.5] The page provides no navigation mechanisms. There is no site map, search functionality, table of contents, or links to related pages that would allow users to find content in multiple ways. Provide at least two ways to locate content, such as a navigation menu plus a search feature, or a site map plus navigation links (WCAG Technique G125, G126, G161, G63). || [2.4.6] The heading element is empty and provides no descriptive label, failing to describe the topic or purpose of the page content. Ensure all headings contain meaningful, descriptive text that accurately describes the section they introduce (WCAG Technique G130). || [1.4.12] No stylesheet is present to evaluate text spacing overrides, but the page structure is so minimal it cannot be assessed for compliance. However, the empty heading and lack of any real content means text spacing requirements cannot be meaningfully met. Ensure that when text spacing properties (line height, letter spacing, word spacing, paragraph spacing) are overridden via user stylesheet, no content or functionality is lost. || [3.1.4] No mechanism is provided to expand or explain abbreviations, though no abbreviations are present in this minimal page. This criterion is inapplicable given no abbreviations exist. N/A — no abbreviations present.</t>
  </si>
  <si>
    <t xml:space="preserve">The page fails primarily on WCAG 2.4.6 because the sole heading element (a &lt;p&gt; with role='heading' and aria-level='1') is completely empty, providing no descriptive content to help users understand the page structure or purpose. It also fails 2.4.5 because the page contains no navigation mechanisms, search, or site map to provide multiple ways to locate content. WCAG 1.4.12 is largely inapplicable due to the absence of text content and CSS, and 2.2.2 and 3.1.4 are inapplicable as there is no moving/auto-updating content and no abbreviations present.</t>
  </si>
  <si>
    <t xml:space="preserve">[2.4.6] The heading element is empty and provides no descriptive label or content. Provide meaningful, descriptive text content within the heading element so users can understand the topic or purpose of the section it introduces. || [2.4.5] The page appears to have no navigation mechanisms such as a site map, search functionality, table of contents, or navigation links, making it impossible to determine if multiple ways to locate the page exist. Provide at least two ways to locate this page within a site, such as a navigation menu, site map, or search feature (WCAG technique G125, G126, G161, G63). || [1.4.12] No CSS is present to evaluate text spacing overrides, but the page has no meaningful text content, making this criterion effectively inapplicable. However, the empty heading could mask spacing issues if content were added without proper CSS support. Ensure that when text content is added, no CSS properties restrict text spacing overrides (line-height, letter-spacing, word-spacing, paragraph spacing) in a way that causes loss of content or functionality.</t>
  </si>
  <si>
    <t xml:space="preserve">The page fails primarily on WCAG 2.4.6 (Headings and Labels) because the sole heading element is completely empty, providing no descriptive text to orient users. It also fails WCAG 2.4.5 (Multiple Ways) as there is only a single, empty page with no navigation mechanisms whatsoever. WCAG 1.4.12 (Text Spacing) is effectively inapplicable due to the absence of real content, though no violations are detectable. WCAG 2.2.2 (Pause, Stop, Hide) is inapplicable as there is no moving, blinking, or auto-updating content. WCAG 3.1.4 (Abbreviations) is inapplicable as there are no abbreviations present.</t>
  </si>
  <si>
    <t xml:space="preserve">[2.4.6] Heading element is present but has no text content, making it non-descriptive and meaningless to users. Provide a descriptive text label within the heading element that clearly describes the topic or purpose of the section it introduces. || [2.4.5] The page appears to have no navigation mechanisms such as a site map, search functionality, table of contents, or navigation links, providing only a single (and empty) heading with no other content or navigation aids. Provide at least two ways to locate content within the site, such as a navigation menu, search feature, site map, or table of contents. || [1.4.12] No explicit text spacing styles are applied, but the page contains virtually no content. While this criterion is primarily about ensuring content is not lost when spacing is overridden, the empty heading and lack of any meaningful content make it impossible to verify compliance. Ensure that when text spacing properties (line height, letter spacing, word spacing, paragraph spacing) are overridden to WCAG 1.4.12 thresholds, no content or functionality is lost. Avoid using fixed-height containers that clip text.</t>
  </si>
  <si>
    <t xml:space="preserve">The page fails primarily on WCAG 2.4.5 (Multiple Ways) because it provides only a single search mechanism with no navigation menu, sitemap, table of contents, or other means of locating content within a site. It also fails WCAG 2.4.6 (Headings and Labels) because there are no headings describing the page topic and the form label is hidden via display:none, making it invisible to sighted users. WCAG 2.2.2 is inapplicable as there is no moving, blinking, or auto-updating content. WCAG 3.1.4 is inapplicable as no abbreviations are present. WCAG 1.4.12 has no direct violation detectable from the source, but the page's minimal structure makes full compliance difficult to confirm.</t>
  </si>
  <si>
    <t xml:space="preserve">[2.4.5] The page provides no multiple ways to locate it within a set of web pages. There is only a search input with no navigation, sitemap, or other means of finding content. Provide at least two ways to locate a web page within a set of pages, such as a navigation menu plus search, or a sitemap plus search (WCAG technique G125, G126, G161, G63, G64). || [2.4.6] The page contains no headings or meaningful labels that describe the topic or purpose of the page content. The only label present ('Search' hidden via display:none combined with 'Go') is minimal and the page lacks any structural headings. Add descriptive headings to organize page content and ensure all form controls have visible, descriptive labels (WCAG technique H44, H71). || [1.4.12] The page uses inline styles (display:none) but no explicit text spacing properties are set. While no direct text-spacing override is present, the page lacks sufficient structure to verify that text spacing overrides would not break content, and the minimal content makes a full assessment impossible. However, no explicit violation of text spacing constraints is detectable. Ensure that when line-height, letter-spacing, word-spacing, and paragraph spacing are overridden per WCAG 1.4.12 requirements, no content or functionality is lost.</t>
  </si>
  <si>
    <t xml:space="preserve">The page fails multiple WCAG 2.1 criteria. For 2.4.5 (Multiple Ways), the page provides only a single search mechanism with no navigation menu, sitemap, or other means to locate content, which is insufficient. For 2.4.6 (Headings and Labels), the page has no headings and the search input's computed accessible name ('Go Search') is confusing and not clearly descriptive. For 1.4.12 (Text Spacing), the minimal page structure makes it difficult to confirm compliance, and the hidden span used as a label via display:none raises concerns. For 3.1.4 (Abbreviations), no mechanism is provided to expand or explain any abbreviated terms. The page is essentially a bare skeleton with a search field and lacks the structural and navigational elements required for WCAG 2.1 AA and AAA conformance.</t>
  </si>
  <si>
    <t xml:space="preserve">[2.4.5] The page provides no multiple ways to locate it within a set of web pages. There is only a single search input with no navigation, sitemap, or other means of finding content. Provide at least two ways to locate a web page within a set of pages, such as a navigation menu plus search, or a sitemap plus search (WCAG technique G161, G63, G64). || [2.4.6] The page contains no headings to describe its content or purpose, and the label for the search input ('Go Search') is ambiguous and does not clearly describe the control's purpose. Add meaningful headings to describe page sections (H1, H2, etc.) and provide a clear, descriptive label for the search input such as 'Search' alone (WCAG technique H42, H44). || [1.4.12] The page uses an inline style 'display: none' on the span used as a label. While this specific style does not directly violate text spacing, the page lacks any stylesheet or content that could be verified for text spacing compliance. The minimal content makes it impossible to confirm that text spacing overrides would not cause loss of content or functionality. Ensure that when text spacing properties (line-height, letter-spacing, word-spacing, paragraph spacing) are overridden by user stylesheets, no content or functionality is lost. Avoid using fixed-size containers that clip text. || [3.1.4] The page uses the abbreviation 'Go' as a button label without any expansion or explanation. While 'Go' may not be a formal abbreviation, the page provides no mechanism to identify the expanded form of any abbreviations that may appear. If abbreviations are used, provide their expanded form using &lt;abbr&gt; with a title attribute, or provide a glossary (WCAG technique G102, G55, H28).</t>
  </si>
  <si>
    <t xml:space="preserve">The page fails multiple WCAG criteria. For 2.4.5 (Multiple Ways), the page provides only a search widget with no additional navigation mechanism, sitemap, or other means to locate content within a site. For 2.4.6 (Headings and Labels), there are no headings on the page and the computed accessible name of the search input ('Go Search', derived from aria-labelledby referencing 'submit' then 'search') is confusing and does not clearly describe the field's purpose. For 1.4.12 (Text Spacing), the use of inline display:none on the label span raises concerns about robustness under user text-spacing overrides, though the page is too minimal to fully assess. For 3.1.4 (Abbreviations), the criterion is largely inapplicable given no abbreviations are present, but no mechanism exists if they were added. The page has significant structural and labeling deficiencies that would impede accessibility.</t>
  </si>
  <si>
    <t xml:space="preserve">[2.4.5] The page provides no multiple ways to locate it within a set of web pages. There is only a search input with no navigation, sitemap, or other means of finding content. Provide at least two ways to locate a web page within a set of pages, such as a navigation menu plus search, or a sitemap plus search (WCAG technique G125, G126, G161, G63). || [2.4.6] The page has no headings to describe its content or purpose, and the label for the search input ('Go Search') is ambiguous and does not clearly describe the purpose of the field. Add descriptive headings to organize page content (H1, H2, etc.) and ensure form labels clearly describe the purpose of each input. The computed label 'Go Search' (from aria-labelledby referencing 'submit' then 'search') is confusing; use a clear label such as 'Search' alone. || [1.4.12] The page uses inline styles (display: none on the label span) but there is no evidence that text spacing overrides are supported or that the layout would not break when text spacing properties are applied. The minimal page structure makes it impossible to confirm compliance. Ensure that when line height, letter spacing, word spacing, and paragraph spacing are overridden per WCAG 1.4.12 requirements, no content or functionality is lost. Avoid using inline styles that could interfere with user-applied text spacing. || [3.1.4] No mechanism is provided to expand or explain abbreviations. The button label 'Go' is not an abbreviation, but the page contains no &lt;abbr&gt; elements or other mechanisms for any abbreviations that may appear. If abbreviations are used on the page, provide their expansions using &lt;abbr title="..."&gt; or another mechanism (WCAG technique H28).</t>
  </si>
  <si>
    <t xml:space="preserve">The page fails on two criteria. For WCAG 2.4.5 (Multiple Ways), the page is a standalone document with no navigation, search, sitemap, or any other mechanism for users to locate it within a broader site context — only one way (direct URL) exists. For WCAG 3.1.4 (Abbreviations, Level AAA), the page is dense with unexpanded abbreviations (REST, JSON, CRUD, HTTP, ORM, ETL, ANSI, CLI, CI) and none are marked up with &lt;abbr title="..."&gt; or otherwise defined. WCAG 1.4.12 (Text Spacing) is effectively passed by omission — no inline styles or fixed-height containers block text-spacing overrides. WCAG 2.2.2 (Pause, Stop, Hide) is inapplicable — there is no moving, blinking, scrolling, or auto-updating content. WCAG 2.4.6 (Headings and Labels) is passed — the single &lt;h1&gt; accurately describes the page content and there are no form labels to evaluate.</t>
  </si>
  <si>
    <t xml:space="preserve">[2.4.5] No multiple ways to locate the page are provided. There is no site navigation, search functionality, sitemap, or table of contents — only a single standalone page with no links to other pages or mechanisms to find this page within a larger site. Provide at least two ways to locate the page, such as a site-wide navigation menu plus a search feature, or a sitemap link, per WCAG technique G125 and G126. || [3.1.4] Multiple abbreviations and acronyms are used throughout the page without any expansion or definition mechanism. Terms such as REST, JSON, CRUD, HTTP, ORM, PostgreSQL (abbreviated context), ETL, ANSI, CLI, and CI are not explained via &lt;abbr&gt; elements, a glossary, or first-use expansion. Wrap each abbreviation in an &lt;abbr&gt; element with a title attribute providing the full expansion (e.g., &lt;abbr title="Representational State Transfer"&gt;REST&lt;/abbr&gt;), or provide a glossary linked from the page, per WCAG technique G102 and H28.</t>
  </si>
  <si>
    <t xml:space="preserve">The page fails on two criteria. For WCAG 2.4.5 (Multiple Ways), the page is a standalone document with no navigation, search, sitemap, or linking structure, providing no alternative way to locate it within a site. For WCAG 3.1.4 (Abbreviations, Level AAA), the page uses numerous unexpanded abbreviations (REST, JSON, CRUD, HTTP, ORM, ETL, ANSI, CLI, CI) without &lt;abbr title="..."&gt; markup or any other expansion mechanism. WCAG 1.4.12 (Text Spacing) is effectively passed by omission—no inline styles or CSS restrict text spacing overrides. WCAG 2.2.2 (Pause, Stop, Hide) is inapplicable as there is no moving, blinking, scrolling, or auto-updating content. WCAG 2.4.6 (Headings and Labels) is passed: the single &lt;h1&gt; heading accurately describes the page content and there are no form labels to evaluate.</t>
  </si>
  <si>
    <t xml:space="preserve">[2.4.5] The page provides no alternative means of locating it. There is no site navigation, search functionality, sitemap link, or table of contents. A single standalone page with no navigation mechanisms fails to meet the requirement for multiple ways to locate a page within a set of pages. Provide at least two ways to reach this page, such as a site-wide navigation menu, a search feature, a sitemap, or links from a related index page. If this page is truly a standalone document not part of a set, the criterion is inapplicable, but that cannot be confirmed from the HTML alone. || [3.1.4] Multiple abbreviations appear in the text without any expansion mechanism (e.g., &lt;abbr&gt; elements with title attributes). Abbreviations used include: REST, JSON, CRUD, HTTP, ORM, PostgreSQL (commonly abbreviated), ETL, ANSI, CLI, CI. Wrap each abbreviation in an &lt;abbr&gt; element with a title attribute providing the full expansion, e.g., &lt;abbr title="Representational State Transfer"&gt;REST&lt;/abbr&gt;, &lt;abbr title="JavaScript Object Notation"&gt;JSON&lt;/abbr&gt;, &lt;abbr title="Create, Read, Update, Delete"&gt;CRUD&lt;/abbr&gt;, &lt;abbr title="Extract, Transform, Load"&gt;ETL&lt;/abbr&gt;, &lt;abbr title="Command-Line Interface"&gt;CLI&lt;/abbr&gt;, &lt;abbr title="Continuous Integration"&gt;CI&lt;/abbr&gt;, etc.</t>
  </si>
  <si>
    <t xml:space="preserve">The page fails on two criteria. For WCAG 2.4.5 (Multiple Ways), the page is a standalone document with no navigation, search, sitemap, or other mechanism allowing users to locate it through more than one means. For WCAG 3.1.4 (Abbreviations, Level AAA), the page uses at least ten abbreviations (REST, JSON, CRUD, HTTP, ORM, ETL, ANSI, CLI, CI, and implicitly PostgreSQL in an abbreviated technical context) without any &lt;abbr&gt; elements, title attributes, glossary, or first-use expansions. WCAG 1.4.12 (Text Spacing) is effectively passed by omission — no inline styles or CSS restrict text spacing overrides. WCAG 2.2.2 (Pause, Stop, Hide) is inapplicable as there is no moving, blinking, scrolling, or auto-updating content. WCAG 2.4.6 (Headings and Labels) is passed — the single &lt;h1&gt; heading 'API design notes' is descriptive and accurately reflects the page content; no form labels are present.</t>
  </si>
  <si>
    <t xml:space="preserve">[2.4.5] No multiple ways to locate the page are provided. There is no site navigation, search functionality, sitemap, or table of contents — only a single standalone page with no mechanism for users to find it through alternative means. Provide at least two ways to locate the page, such as a site-wide navigation menu, a search feature, a sitemap link, or links from related pages (WCAG technique G125, G126, G161, G63). || [3.1.4] Multiple abbreviations are used throughout the page without any expansion mechanism (e.g., &lt;abbr&gt; elements, a glossary, or first-use expansion). Abbreviations include: REST, JSON, CRUD, HTTP, ORM, PostgreSQL (abbreviated context), ETL, ANSI, CLI, CI. Wrap each abbreviation in an &lt;abbr&gt; element with a title attribute providing the full expansion, e.g., &lt;abbr title="Representational State Transfer"&gt;REST&lt;/abbr&gt;, or provide a glossary page linked from the content (WCAG technique G102, G55, H28).</t>
  </si>
  <si>
    <t xml:space="preserve">The page fails WCAG 3.1.4 (Abbreviations, Level AAA) because none of the three abbreviations on the page are properly expanded. 'PCR' uses an empty title attribute (no expansion provided), 'DNA' uses a title that merely repeats the abbreviation rather than expanding it, and 'SOP' has no title attribute whatsoever. WCAG technique G102 requires that the first occurrence of an abbreviation be accompanied by its expanded form, and H28 requires using the &lt;abbr&gt; element with a meaningful title attribute. All three instances fail to meet this requirement. The other evaluated criteria (1.4.12, 2.2.2, 2.4.5, 2.4.6) are either inapplicable or not violated by this minimal page.</t>
  </si>
  <si>
    <t xml:space="preserve">[3.1.4] Abbreviation 'PCR' has an empty title attribute, providing no expansion or definition. Provide a meaningful expansion in the title attribute, e.g., &lt;abbr title="Polymerase Chain Reaction"&gt;PCR&lt;/abbr&gt;. || [3.1.4] Abbreviation 'DNA' has a title attribute that merely repeats the abbreviation itself ('DNA'), which does not constitute a meaningful expansion. Provide the full expansion in the title attribute, e.g., &lt;abbr title="Deoxyribonucleic Acid"&gt;DNA&lt;/abbr&gt;. || [3.1.4] Abbreviation 'SOP' has no title attribute at all, so no mechanism is provided to identify its expanded form. Add a title attribute with the full expansion, e.g., &lt;abbr title="Standard Operating Procedure"&gt;SOP&lt;/abbr&gt;.</t>
  </si>
  <si>
    <t xml:space="preserve">The page fails WCAG 3.1.4 (Abbreviations, Level AAA) because none of the three abbreviations present ('PCR', 'DNA', 'SOP') are properly expanded. 'PCR' uses an empty title attribute, 'DNA' repeats the abbreviation itself as the title (providing no meaningful expansion), and 'SOP' lacks a title attribute entirely. WCAG technique H28 requires that abbreviations be given their full expansion via the &lt;abbr&gt; element's title attribute. All three instances must be corrected with accurate, non-empty expansions. The other evaluated criteria (1.4.12, 2.2.2, 2.4.5, 2.4.6) are either inapplicable or not violated by this simple single-page document.</t>
  </si>
  <si>
    <t xml:space="preserve">[3.1.4] Abbreviation 'PCR' has an empty title attribute, providing no expansion or definition. Provide a meaningful expansion in the title attribute, e.g., &lt;abbr title="Polymerase Chain Reaction"&gt;PCR&lt;/abbr&gt;. || [3.1.4] Abbreviation 'DNA' has a title attribute that merely repeats the abbreviation itself ('DNA'), which does not constitute a meaningful expansion. Provide the full expansion in the title attribute, e.g., &lt;abbr title="Deoxyribonucleic Acid"&gt;DNA&lt;/abbr&gt;. || [3.1.4] Abbreviation 'SOP' has no title attribute at all, so no expansion or definition is available to users. Add a title attribute with the full expansion, e.g., &lt;abbr title="Standard Operating Procedure"&gt;SOP&lt;/abbr&gt;.</t>
  </si>
  <si>
    <t xml:space="preserve">The page fails WCAG 3.1.4 (Abbreviations, Level AAA) because none of the three abbreviations on the page are properly expanded. 'PCR' uses an empty title attribute (no expansion provided), 'DNA' uses a title that merely repeats the abbreviation rather than expanding it, and 'SOP' has no title attribute whatsoever. WCAG technique G102 requires that the first occurrence of an abbreviation be accompanied by its expansion; technique H28 requires using the &lt;abbr&gt; element with a meaningful title attribute. The other evaluated criteria (1.4.12, 2.2.2, 2.4.5, 2.4.6) are either inapplicable or not violated: there is no moving/auto-updating content, the page is a simple single document with no navigation needs assessed, and the single heading 'Lab procedures' adequately describes the page content.</t>
  </si>
  <si>
    <t xml:space="preserve">The page is evaluated against five WCAG criteria. For 1.4.12 (Text Spacing), no inline styles or CSS constraints are present that would prevent text-spacing overrides, so this criterion passes. For 2.2.2 (Pause, Stop, Hide), there is no moving, blinking, scrolling, or auto-updating content, making this criterion inapplicable. For 2.4.6 (Headings and Labels), the single heading &lt;h1&gt;Welcome to the garden&lt;/h1&gt; is descriptive and accurate, so this criterion passes. For 3.1.4 (Abbreviations), no abbreviations appear in the content, making this criterion inapplicable. However, for 2.4.5 (Multiple Ways), the page provides no mechanism — no navigation menu, search, sitemap, or related links — by which users can locate this page within a broader site context. WCAG 2.4.5 requires that more than one way is available to locate a web page within a set of pages (exceptions apply only to pages that are the result of a process). This single-page document with no navigation infrastructure fails that requirement, resulting in an overall verdict of failed.</t>
  </si>
  <si>
    <t xml:space="preserve">[2.4.5] No multiple ways to locate the page are provided. There is no site navigation, search functionality, sitemap, or table of contents. This is a single page with no mechanism for users to find it or navigate to related content. Provide at least two ways to locate this page within a site, such as a navigation menu, a search feature, a sitemap link, or breadcrumb navigation (WCAG technique G125, G126, G161, G63).</t>
  </si>
  <si>
    <t xml:space="preserve">The page fails primarily on WCAG 2.4.5 (Multiple Ways) because it provides no navigation mechanism, search, sitemap, or any other means for users to locate the page within a broader site context — only a heading and two paragraphs of body text are present. WCAG 1.4.12 (Text Spacing) is technically passed by omission since no inline styles restrict text spacing overrides. WCAG 2.2.2 (Pause, Stop, Hide) is inapplicable as there is no moving, blinking, or auto-updating content. WCAG 2.4.6 (Headings and Labels) is passed because the single &lt;h1&gt; 'Welcome to the garden' is descriptive and accurate. WCAG 3.1.4 (Abbreviations) is inapplicable as no abbreviations appear in the content. The overall label is 'failed' due to the 2.4.5 violation.</t>
  </si>
  <si>
    <t xml:space="preserve">[2.4.5] No multiple ways to locate the page are provided. There is no site navigation, search functionality, sitemap, or table of contents. The page exists in isolation with no mechanism for users to find it or navigate to related content. Provide at least two ways to locate this page within the site, such as a navigation menu, a site search feature, a sitemap link, or breadcrumb navigation (WCAG technique G125, G126, G161, G63). || [3.1.4] The terms 'sunrise' and 'sunset' are used without abbreviation concerns, but no mechanism is provided to expand or explain any abbreviations. While no explicit abbreviations (e.g., &lt;abbr&gt;) appear in this snippet, the criterion requires that abbreviations have an expansion mechanism available. If any abbreviations were present, there is no &lt;abbr&gt; element or other technique in place. N/A — no abbreviations detected; criterion is inapplicable for this page.</t>
  </si>
  <si>
    <t xml:space="preserve">The page fails primarily on WCAG 2.4.5 (Multiple Ways) because it provides no mechanism beyond direct URL access to locate the page — there is no navigation menu, search, sitemap, or related links. It also has a moderate concern under WCAG 2.4.6 (Headings and Labels) because distinct content sections lack descriptive sub-headings. WCAG 1.4.12 (Text Spacing) is technically passed by omission since no inline styles constrain text spacing. WCAG 2.2.2 (Pause, Stop, Hide) is inapplicable as there is no moving, blinking, or auto-updating content. WCAG 3.1.4 (Abbreviations) is inapplicable as no abbreviations appear in the content.</t>
  </si>
  <si>
    <t xml:space="preserve">[2.4.5] No multiple ways to locate the page are provided. The page lacks a site map, search function, table of contents, or navigation links that would allow users to find this page through more than one means. Provide at least two ways to locate the page, such as a site-wide navigation menu plus a search feature, or a sitemap link (WCAG technique G125, G126, G161, G63). || [2.4.6] The single heading present ('Welcome to the garden') is descriptive, so no heading issue exists. However, the two body paragraphs cover distinct topics (garden hours/rules and watering/weeding instructions) with no sub-headings to label them, leaving content sections without descriptive labels. Add descriptive sub-headings (e.g., &lt;h2&gt;Garden Hours and Rules&lt;/h2&gt; and &lt;h2&gt;Plant Care Tips&lt;/h2&gt;) to label each content section (WCAG technique G130).</t>
  </si>
  <si>
    <t xml:space="preserve">The page fails primarily on WCAG 2.4.5 (Multiple Ways) because it provides no secondary navigation mechanism (search, sitemap, breadcrumb, or navigation menu) to locate the page within a site. It also fails WCAG 3.1.4 (Abbreviations, Level AAA) because common acronyms 'radar' and 'scuba' appear without expansion via &lt;abbr&gt; or other means. WCAG 1.4.12 is effectively passed as no restrictive CSS is present. WCAG 2.2.2 is inapplicable (no moving/blinking content). WCAG 2.4.6 is passed for the single descriptive heading, with labels being inapplicable due to no form controls.</t>
  </si>
  <si>
    <t xml:space="preserve">[1.4.12] No CSS is present to verify text spacing properties, but since no CSS overrides line-height, letter-spacing, word-spacing, or paragraph spacing with fixed/non-overridable units, this criterion is technically met by default. No violation detected. No action needed for 1.4.12; ensure any future CSS uses relative units for spacing properties. || [2.2.2] No moving, blinking, scrolling, or auto-updating content is present. Criterion is inapplicable. No action needed. || [2.4.5] The page provides only a single way to locate it (direct URL). There is no site search, sitemap, table of contents, related links, or navigation structure that would constitute a second way to find this page within a website. Add at least one additional navigation mechanism such as a site-wide search feature, a sitemap link, or a navigation menu (technique G125, G126, G161, G63). || [2.4.6] The single heading &lt;h1&gt;Marine research&lt;/h1&gt; is present and descriptive of the page content. No labels are used (no forms). This criterion is met for headings; labels are inapplicable. No action needed for existing heading. Ensure any future form controls include descriptive labels. || [3.1.4] The page contains abbreviations ('radar', 'scuba', 'Laser') used without expansion or definition. 'Radar' (Radio Detection And Ranging) and 'scuba' (Self-Contained Underwater Breathing Apparatus) are acronyms that are not expanded via &lt;abbr&gt; elements or other mechanisms. Wrap abbreviations/acronyms with &lt;abbr title="..."&gt; elements, e.g., &lt;abbr title="Radio Detection And Ranging"&gt;radar&lt;/abbr&gt; and &lt;abbr title="Self-Contained Underwater Breathing Apparatus"&gt;scuba&lt;/abbr&gt;, per WCAG technique H28.</t>
  </si>
  <si>
    <t xml:space="preserve">The page fails on two criteria. For WCAG 2.4.5 (Multiple Ways), the page is a standalone document with no navigation aids — no search, sitemap, or navigation links — meaning users have only one way (direct URL) to reach it, violating the requirement for at least two navigation mechanisms. For WCAG 3.1.4 (Abbreviations, Level AAA), the text contains well-known acronyms ('radar', 'scuba', 'Laser') that are not expanded via &lt;abbr title&gt; or any other technique. The remaining criteria are largely inapplicable or satisfied: there is no moving/auto-updating content (2.2.2 inapplicable), text spacing is not constrained by fixed CSS (1.4.12 passed by default), and the single heading 'Marine research' accurately describes the page content (2.4.6 passed).</t>
  </si>
  <si>
    <t xml:space="preserve">[2.4.5] The page provides no alternative means of navigation (e.g., site search, sitemap, table of contents, or navigation links). Only a single page with no navigation mechanism is present. Provide at least two ways to locate the page within a site, such as a site-wide navigation menu plus a search function, or a sitemap link (WCAG technique G125, G126, G161, G63). || [3.1.4] Several abbreviations appear in the body text without any expansion mechanism: 'radar' (Radio Detection And Ranging), 'scuba' (Self-Contained Underwater Breathing Apparatus), and 'Laser' (Light Amplification by Stimulated Emission of Radiation). No &lt;abbr&gt; element with a title attribute or other expansion technique is used. Wrap each abbreviation/acronym in an &lt;abbr title='...'&gt;  element providing the full expansion, e.g., &lt;abbr title='Radio Detection And Ranging'&gt;radar&lt;/abbr&gt;, &lt;abbr title='Self-Contained Underwater Breathing Apparatus'&gt;scuba&lt;/abbr&gt; (WCAG technique H28).</t>
  </si>
  <si>
    <t xml:space="preserve">The page fails on two criteria. For WCAG 2.4.5 (Multiple Ways, Level AA), the page is a standalone document with no navigation links, search, sitemap, or any other mechanism that would allow a user to locate it within a set of pages — only one way (direct URL) exists. For WCAG 3.1.4 (Abbreviations, Level AAA), the page uses at least three initialisms/acronyms ('radar', 'scuba', 'Laser') without providing expansions via &lt;abbr title&gt; or any other technique. WCAG 1.4.12 (Text Spacing) is effectively passed by omission — no inline styles or fixed-height containers block text-spacing overrides. WCAG 2.2.2 (Pause, Stop, Hide) is inapplicable — there is no moving, blinking, scrolling, or auto-updating content. WCAG 2.4.6 (Headings and Labels) is passed — the single &lt;h1&gt; 'Marine research' accurately describes the page content and there are no form labels to evaluate.</t>
  </si>
  <si>
    <t xml:space="preserve">[2.4.5] The page provides no second way to locate it (e.g., no site search, no sitemap, no table of contents, no navigation links to/from related pages). A single isolated page with no navigation mechanisms fails the requirement for multiple ways to locate a web page within a set of pages. Add at least one additional navigation mechanism such as a site-wide navigation menu, a search feature, or a link to a sitemap so users have multiple ways to find this page. || [3.1.4] Several abbreviations and acronyms appear in the text without any expansion mechanism (e.g., &lt;abbr&gt; element with a title attribute): 'radar' (Radio Detection And Ranging), 'scuba' (Self-Contained Underwater Breathing Apparatus), and 'Laser' (Light Amplification by Stimulated Emission of Radiation). Wrap each abbreviation/acronym with an &lt;abbr title="..."&gt; element, e.g., &lt;abbr title="Radio Detection And Ranging"&gt;radar&lt;/abbr&gt;, &lt;abbr title="Self-Contained Underwater Breathing Apparatus"&gt;scuba&lt;/abbr&gt;, and &lt;abbr title="Light Amplification by Stimulated Emission of Radiation"&gt;Laser&lt;/abbr&gt;.</t>
  </si>
  <si>
    <t xml:space="preserve">The page is evaluated against five WCAG 2.1 criteria. For 1.4.12 (Text Spacing): no inline styles or CSS rules restrict line-height, letter-spacing, word-spacing, or paragraph spacing, so overriding these properties would not break content — criterion passes. For 2.2.2 (Pause, Stop, Hide): there is no moving, blinking, scrolling, or auto-updating content on the page — criterion is inapplicable (treated as passed/not applicable). For 2.4.5 (Multiple Ways): this appears to be a single standalone page with no site navigation context visible in the HTML; however, as a single-page document the criterion is effectively inapplicable. For 2.4.6 (Headings and Labels): the page contains one heading, &lt;h1&gt;Web standards overview&lt;/h1&gt;, which accurately describes the page content; there are no form labels present — criterion passes. For 3.1.4 (Abbreviations): all four abbreviations used — W3C, WCAG, AG WG, and HTTP — are marked up with &lt;abbr&gt; elements each carrying a descriptive title attribute that expands the abbreviation (e.g., &lt;abbr title="World Wide Web Consortium"&gt;W3C&lt;/abbr&gt;), satisfying WCAG technique G102 — criterion passes. No violations were found across any of the evaluated criteria.</t>
  </si>
  <si>
    <t xml:space="preserve">The page is evaluated against five WCAG criteria. For WCAG 1.4.12 (Text Spacing), the page uses no inline styles or CSS that would restrict text spacing overrides, so it passes. For WCAG 2.2.2 (Pause, Stop, Hide), there is no moving, blinking, scrolling, or auto-updating content, making this criterion inapplicable — treated as passed by absence of violation. For WCAG 2.4.5 (Multiple Ways), this appears to be a single, standalone page with no site navigation context visible in the HTML; however, as a single-page document rather than a multi-page website, the criterion may be considered inapplicable. No failure is identified. For WCAG 2.4.6 (Headings and Labels), the page contains one heading (&lt;h1&gt;Web standards overview&lt;/h1&gt;) that accurately describes the page content, and there are no form labels present; the heading is descriptive and passes. For WCAG 3.1.4 (Abbreviations), all four abbreviations used — W3C, WCAG, AG WG, and HTTP — are each wrapped in &lt;abbr&gt; elements with descriptive title attributes providing the expanded form (e.g., &lt;abbr title="World Wide Web Consortium"&gt;W3C&lt;/abbr&gt;), fully satisfying the AAA requirement using technique H28. No violations were found across any of the evaluated criteria.</t>
  </si>
  <si>
    <t xml:space="preserve">The page is evaluated against five WCAG 2.1 criteria. For 1.4.12 (Text Spacing): no inline styles or CSS rules restrict line-height, letter-spacing, word-spacing, or paragraph spacing, so overriding these properties would not break content — criterion passes. For 2.2.2 (Pause, Stop, Hide): there is no moving, blinking, scrolling, or auto-updating content on the page — criterion is inapplicable (treated as passed/not applicable). For 2.4.5 (Multiple Ways): this appears to be a single, standalone page with no site navigation context visible in the HTML; however, as a single-page document the criterion is effectively inapplicable. For 2.4.6 (Headings and Labels): the page contains one heading (&lt;h1&gt;Web standards overview&lt;/h1&gt;) that accurately describes the page content; no form labels are present — criterion passes. For 3.1.4 (Abbreviations): all four abbreviations used in the page (W3C, WCAG, AG WG, HTTP) are marked up with &lt;abbr&gt; elements carrying descriptive title attributes that expand each abbreviation, satisfying the technique G97/H28 — criterion passes. No violations were identified across any of the evaluated criteria.</t>
  </si>
  <si>
    <t xml:space="preserve">The page fails on two criteria. For WCAG 3.1.4 (Abbreviations, Level AAA), multiple abbreviations (LMS, FAQ, PR/PRs) are introduced with parenthetical expansions in plain text but are not marked up with &lt;abbr title="..."&gt; elements or linked to a glossary, meaning the expansions are not programmatically associated with subsequent standalone uses of the abbreviations. For WCAG 2.4.5 (Multiple Ways, Level AA), the page offers no navigation aids whatsoever—no menu, search, sitemap, or breadcrumbs—leaving direct URL access as the only way to reach the page, which violates the requirement for at least two means of locating content. WCAG 1.4.12 (Text Spacing) is effectively passed by omission since no inline styles constrain text spacing. WCAG 2.2.2 (Pause, Stop, Hide) is inapplicable as there is no moving, blinking, or auto-updating content. WCAG 2.4.6 (Headings and Labels) is passed: the single &lt;h1&gt; heading 'Course registration' is descriptive and accurate for the page content.</t>
  </si>
  <si>
    <t xml:space="preserve">[3.1.4] Abbreviations are used without providing their expanded form via a mechanism such as &lt;abbr&gt; elements, a glossary, or first-use expansion that is programmatically determinable. Wrap each abbreviation in an &lt;abbr&gt; element with a title attribute providing the full expansion, e.g., &lt;abbr title="Learning Management System"&gt;LMS&lt;/abbr&gt;. Alternatively, provide a glossary page and link each abbreviation to it (WCAG technique G97 or G55). || [2.4.5] The page provides no navigation mechanism beyond direct URL access. There is no site navigation (nav landmark, search, sitemap link, or table of contents) that would allow users to locate this page through more than one means. Add at least one additional way to reach this page, such as a site-wide navigation menu (&lt;nav&gt;), a search feature, a sitemap link, or breadcrumb navigation (WCAG technique G125, G126, or G161).</t>
  </si>
  <si>
    <t xml:space="preserve">The page fails primarily on WCAG 3.1.4 (Abbreviations, Level AAA) because abbreviations such as 'LMS', 'FAQ', and 'PR'/'PRs' are not marked up with &lt;abbr title='...'&gt; elements to programmatically expose their expansions, even though inline parenthetical definitions are provided for first use. It also raises a concern under WCAG 2.4.5 (Multiple Ways, Level AA) because the page provides no navigation mechanism (search, sitemap, nav links) beyond the page itself, leaving users with only one way to reach this content. WCAG 1.4.12 is inapplicable (no inline styles constraining text spacing), and WCAG 2.2.2 is inapplicable (no moving, blinking, or auto-updating content). WCAG 2.4.6 is largely satisfied as the single heading 'Course registration' accurately describes the page content.</t>
  </si>
  <si>
    <t xml:space="preserve">[3.1.4] Abbreviations are used without providing their expanded form via an &lt;abbr&gt; element or equivalent mechanism. 'LMS', 'FAQ', and 'PR'/'PRs' are introduced with their expansions in parentheses inline, but subsequent uses (e.g., 'The LMS', 'The FAQ section', 'PRs') are not marked up with &lt;abbr title='...'&gt; to programmatically expose the expansion. Wrap each abbreviation in an &lt;abbr&gt; element with a title attribute providing the full expansion. For example: &lt;abbr title='Learning Management System'&gt;LMS&lt;/abbr&gt;, &lt;abbr title='Frequently Asked Questions'&gt;FAQ&lt;/abbr&gt;, and &lt;abbr title='Pull Request'&gt;PR&lt;/abbr&gt;/&lt;abbr title='Pull Requests'&gt;PRs&lt;/abbr&gt;. This applies to every occurrence, not just the first. || [2.4.5] The page appears to be a standalone page with no navigation aids such as a site search, sitemap, table of contents, or navigation links, providing only a single way to reach this content. Provide at least two ways to locate this page, such as adding a site-wide navigation menu, a search feature, a sitemap link, or breadcrumb navigation (WCAG technique G125, G126, G161, G63).</t>
  </si>
  <si>
    <t xml:space="preserve">The page fails on two criteria. For WCAG 3.1.4 (Abbreviations, Level AAA), multiple abbreviations (LMS, FAQ, PR/PRs) are expanded inline in parentheses but are not marked up with &lt;abbr title="..."&gt; elements, meaning assistive technologies cannot programmatically expose the expansions. For WCAG 2.4.5 (Multiple Ways, Level AA), the page offers no secondary navigation mechanism — no site menu, search, sitemap, or related links — leaving direct URL access as the only way to reach the page. WCAG 1.4.12 (Text Spacing) and 2.2.2 (Pause, Stop, Hide) are inapplicable because there are no CSS text-spacing constraints and no moving or auto-updating content. WCAG 2.4.6 (Headings and Labels) is largely satisfied: the single &lt;h1&gt; 'Course registration' accurately describes the page content and there are no form labels to evaluate.</t>
  </si>
  <si>
    <t xml:space="preserve">[3.1.4] Abbreviations are introduced with their expansions in parentheses on first use, but no machine-readable mechanism (e.g., &lt;abbr&gt; element) is provided to identify them as abbreviations or to make the expansion programmatically available. Wrap each abbreviation in an &lt;abbr&gt; element with a title attribute containing the full expansion, e.g., &lt;abbr title="Learning Management System"&gt;LMS&lt;/abbr&gt;. This satisfies WCAG technique G102 (providing the expansion or explanation of an abbreviation) and G97 (providing the first use expansion inline). || [2.4.5] The page provides no navigation mechanism beyond direct URL access. There is no site navigation, search function, sitemap link, or table of contents, so users have only one way to reach this page. Provide at least one additional way to locate this page, such as a site-wide navigation menu, a search feature, or a link from a sitemap or index page (WCAG technique G125, G126, or G161).</t>
  </si>
  <si>
    <t xml:space="preserve">detect_keyboard_violations, check_timing_and_timeouts, validate_focus_order, validate_focus_visible, validate_target_size</t>
  </si>
  <si>
    <t xml:space="preserve">All five target WCAG criteria are inapplicable to this page. The page contains only a single &lt;iframe&gt; element that is both hidden (via the 'hidden' attribute, which removes it from rendering and the accessibility tree) and explicitly excluded from the tab order (via tabindex="-1"). The link inside the iframe's srcdoc is therefore completely unreachable by any user. With no visible, focusable, or interactive elements present, there is nothing to evaluate against WCAG 2.1.1 (Keyboard), 2.2.1 (Timing Adjustable), 2.4.3 (Focus Order), 2.4.7 (Focus Visible), or 2.5.5 (Target Size). All tools confirmed inapplicability or found zero issues, yielding an overall verdict of inapplicable.</t>
  </si>
  <si>
    <t xml:space="preserve">None of the five target WCAG criteria apply to this page. The page's only interactive element — an &lt;iframe&gt; — is both hidden (via the HTML 'hidden' attribute, which removes it from rendering and the accessibility tree) and explicitly excluded from keyboard focus via tabindex="-1". As a result: (2.1.1 Keyboard) there are no operable UI components reachable by keyboard; (2.2.1 Timing Adjustable) no time limits of any kind are present; (2.4.3 Focus Order) there are zero focusable elements, so no focus sequence exists to evaluate; (2.4.7 Focus Visible) with no focusable elements, there is nothing to display a focus indicator on; and (2.5.5 Target Size) there are no visible interactive targets to measure. All five criteria are therefore inapplicable to this page in its current state.</t>
  </si>
  <si>
    <t xml:space="preserve">None of the five target WCAG criteria apply to this page. The page's only interactive element — an &lt;iframe&gt; containing an anchor link — is fully hidden from users via both the HTML 'hidden' attribute (which removes it from rendering and the accessibility tree) and 'tabindex="-1"' (which explicitly removes it from the tab order). As a result: (2.1.1) there are no keyboard-operable components to evaluate; (2.2.1) there are no time limits or session controls present; (2.4.3) there are zero focusable elements, so focus order is moot; (2.4.7) with nothing focusable, focus visibility is inapplicable; and (2.5.5) there are no visible interactive targets to measure. All five tools confirmed either a PASS with zero issues or an explicit INAPPLICABLE status, making the overall verdict 'inapplicable'.</t>
  </si>
  <si>
    <t xml:space="preserve">All five WCAG criteria (2.1.1 Keyboard, 2.2.1 Timing Adjustable, 2.4.3 Focus Order, 2.4.7 Focus Visible, and 2.5.5 Target Size) are inapplicable to this page. The sole element is an &lt;iframe tabindex="-1" inert&gt;, which is explicitly removed from the tab order via tabindex="-1" and rendered fully non-interactive and invisible to assistive technologies via the inert attribute. The anchor link embedded in the iframe's srcdoc is neutralized by inert and is therefore not a focusable or interactive element. No timing mechanisms, focusable elements, interactive widgets, or tappable targets exist on the page, so none of the target criteria have anything to evaluate against.</t>
  </si>
  <si>
    <t xml:space="preserve">None of the five target WCAG criteria apply to this page. The sole interactive element — an &lt;iframe&gt; containing an anchor link — is rendered completely inert and unreachable by keyboard users via two independent mechanisms: (1) tabindex="-1" removes the iframe itself from the tab order, and (2) the HTML `inert` attribute suppresses all interactivity and focusability for the iframe and its entire subtree, including the inner &lt;a href='/'&gt;Home&lt;/a&gt; link. As a result, the page exposes zero focusable or interactive elements to any user agent. WCAG 2.1.1 (Keyboard), 2.4.3 (Focus Order), and 2.4.7 (Focus Visible) are inapplicable because there is nothing to navigate to or focus on. WCAG 2.2.1 (Timing Adjustable) is inapplicable because no time limits, meta-refresh directives, or timeout scripts are present. WCAG 2.5.5 (Target Size) is inapplicable because there are no reachable interactive targets to measure. The verdict is therefore 'inapplicable' across all five criteria.</t>
  </si>
  <si>
    <t xml:space="preserve">All five target WCAG criteria are inapplicable to this page. The sole interactive element — an &lt;iframe&gt; containing an anchor link — is rendered completely inert and unreachable by keyboard users via two independent mechanisms: (1) tabindex="-1" removes the iframe itself from the sequential tab order, and (2) the HTML `inert` attribute suppresses all interactivity and focusability for the iframe and its entire subtree, including the inner &lt;a href='/'&gt;Home&lt;/a&gt; link. As a result, the page has zero keyboard-focusable elements, making WCAG 2.1.1 (Keyboard), 2.4.3 (Focus Order), 2.4.7 (Focus Visible), and 2.5.5 (Target Size) all inapplicable. No timing mechanisms, meta-refresh directives, or JavaScript timeouts were detected, so WCAG 2.2.1 (Timing Adjustable) is likewise inapplicable. No violations were found.</t>
  </si>
  <si>
    <t xml:space="preserve">The page contains a single &lt;iframe&gt; with an inline srcdoc document embedding a simple anchor link ('Home'). All five evaluated WCAG criteria pass or are inapplicable. WCAG 2.1.1 (Keyboard): No mouse-only interactives, hover-only behaviors, or ARIA widget issues were detected — the iframe's anchor link is natively keyboard-accessible. WCAG 2.2.1 (Timing Adjustable): No meta-refresh, setTimeout, or setInterval constructs are present, so no time limits exist. WCAG 2.4.3 (Focus Order): The tool found no focusable elements in the outer DOM (the iframe's internal content is opaque to static analysis), and no positive tabindex or ordering anomalies were detected — marked inapplicable. WCAG 2.4.7 (Focus Visible): No elements with suppressed focus indicators (e.g., outline:none without replacement) were found — marked inapplicable. WCAG 2.5.5 (Target Size, AAA): No interactive targets were measurable in the outer DOM — marked inapplicable. Overall, the page is minimal and well-formed with no accessibility violations against the targeted criteria.</t>
  </si>
  <si>
    <t xml:space="preserve">The page contains a single &lt;iframe&gt; with an inline srcdoc document hosting a simple anchor link ('Home'). All five evaluated WCAG criteria pass or are inapplicable. WCAG 2.1.1 (Keyboard): No mouse-only interactives, hover-only behaviors, or ARIA widget issues were detected — the iframe's anchor link is natively keyboard-accessible. WCAG 2.2.1 (Timing Adjustable): No meta-refresh directives, setTimeout/setInterval calls, or time-limit UI controls are present. WCAG 2.4.3 (Focus Order): The tool found no focusable elements in the outer document's DOM (the iframe content is treated as a separate browsing context), making this criterion inapplicable at the outer-document level; the single link inside the iframe has a natural, logical tab order. WCAG 2.4.7 (Focus Visible): No focus-outline suppression (e.g., outline:none without replacement) was detected; the browser's default focus indicator applies. WCAG 2.5.5 (Target Size, AAA): No interactive elements were analyzed in the outer document; the criterion is inapplicable. Overall, the page is minimal and well-formed with no accessibility violations against the targeted criteria.</t>
  </si>
  <si>
    <t xml:space="preserve">The page contains a single &lt;iframe&gt; with an inline srcdoc document embedding a simple anchor link ('Home'). All five evaluated WCAG criteria pass or are inapplicable. WCAG 2.1.1 (Keyboard): No mouse-only interactives, hover-only behaviors, or ARIA widget issues were detected — the iframe and its embedded link are natively keyboard-accessible. WCAG 2.2.1 (Timing Adjustable): No meta-refresh directives, setTimeout/setInterval calls, or time-limit UI controls are present. WCAG 2.4.3 (Focus Order): The tool found no focusable elements in the outer DOM (the iframe's inner content is handled by the browser's native tab order), and no positive tabindex or ordering anomalies exist — criterion is inapplicable at the outer-document level. WCAG 2.4.7 (Focus Visible): No elements suppress focus outlines; the browser's default focus indicator is preserved — criterion is inapplicable at the outer-document level. WCAG 2.5.5 (Target Size, AAA): No interactive targets were found in the outer document to measure — criterion is inapplicable. Overall, the page is minimal and well-formed, with no accessibility violations against the targeted criteria.</t>
  </si>
  <si>
    <t xml:space="preserve">The page passes four of the five evaluated WCAG criteria. WCAG 2.1.1 (Keyboard) is satisfied — the single anchor link is fully keyboard-operable with no mouse-only interactions. WCAG 2.2.1 (Timing Adjustable) is inapplicable — no meta-refresh, timeouts, or time-limited content is present. WCAG 2.4.3 (Focus Order) passes — the single focusable element follows natural DOM order with no positive tabindex or ordering conflicts. WCAG 2.4.7 (Focus Visible) passes — the browser's default focus outline is intact and no `outline: none` suppression was detected. However, the page fails WCAG 2.5.5 (Target Size, Level AAA): the anchor link measures 276×36px, which is 8px short of the required 44px minimum height. Since 2.5.5 is a Level AAA criterion the severity is minor, but it is nonetheless a measurable violation.</t>
  </si>
  <si>
    <t xml:space="preserve">[2.5.5] The anchor link 'WCAG 2.1 Abstract' has a height of only 36px, falling short of the required 44×44px minimum target size. Increase the clickable target height to at least 44px by applying padding (e.g., `padding-top: 4px; padding-bottom: 4px;`) or a minimum height via CSS, ensuring the link's touch/click area meets the 44×44px threshold.</t>
  </si>
  <si>
    <t xml:space="preserve">The page passes four of the five evaluated WCAG criteria cleanly. WCAG 2.1.1 (Keyboard): the single anchor link is fully keyboard-operable with no mouse-only interactions detected. WCAG 2.2.1 (Timing Adjustable): no meta-refresh, setTimeout, or time-limit mechanisms are present. WCAG 2.4.3 (Focus Order): the single focusable element follows a logical DOM order with no positive tabindex or mismatches. WCAG 2.4.7 (Focus Visible): the anchor retains its default browser focus indicator with no outline suppression. However, the page fails WCAG 2.5.5 (Target Size, Level AAA): the anchor link measures 276×36px, which is 8px short of the required 44px minimum height. Note that WCAG 2.5.5 is a Level AAA criterion, making this a minor conformance issue that does not affect Level A or AA compliance, but it should be addressed to meet the highest accessibility standard.</t>
  </si>
  <si>
    <t xml:space="preserve">[2.5.5] The anchor link 'WCAG 2.1 Abstract' has a height of only 36px, falling short of the required 44×44px minimum target size. Increase the clickable target height to at least 44px by applying CSS padding (e.g., padding-top: 4px; padding-bottom: 4px) or setting min-height: 44px with display: inline-block on the anchor element.</t>
  </si>
  <si>
    <t xml:space="preserve">The page passes four of the five evaluated WCAG criteria cleanly. WCAG 2.1.1 (Keyboard): the single anchor link is fully keyboard-operable with no mouse-only interactions or ARIA widget issues. WCAG 2.2.1 (Timing Adjustable): no meta-refresh, setTimeout, or time-limit controls are present. WCAG 2.4.3 (Focus Order): the single focusable element follows a logical DOM order with no positive tabindex or mismatches. WCAG 2.4.7 (Focus Visible): the anchor retains its default browser focus indicator with no outline suppression. However, the page fails WCAG 2.5.5 (Target Size, Level AAA): the anchor link measures 276×36px, 8px short of the required 44px minimum height. Since 2.5.5 is a Level AAA criterion the severity is minor, but it is a real, tool-confirmed violation. Adding vertical padding to the anchor would resolve it.</t>
  </si>
  <si>
    <t xml:space="preserve">[2.5.5] The anchor link 'WCAG 2.1 Abstract' has a height of only 36px, falling short of the required 44×44px minimum target size. Increase the clickable target height to at least 44px by adding padding (e.g., `padding: 8px 0;` or `display: inline-block; padding: 4px 0;`) to the anchor element so its total height meets or exceeds 44px.</t>
  </si>
  <si>
    <t xml:space="preserve">The page fails WCAG 2.1.1 (Keyboard) because its sole scrollable region — a &lt;section&gt; element constrained to 100px height with overflow-y: scroll — lacks a tabindex attribute. Without it, keyboard-only users have no way to focus the container and scroll through the overflowed text content, making a significant portion of the page's information inaccessible. The remaining four criteria (2.2.1 Timing Adjustable, 2.4.3 Focus Order, 2.4.7 Focus Visible, and 2.5.5 Target Size) are all inapplicable because the page contains no interactive elements, no time limits, and no focusable components beyond the non-focusable scrollable region.</t>
  </si>
  <si>
    <t xml:space="preserve">[2.1.1] A scrollable region with overflow-y: scroll is not keyboard accessible. Keyboard-only users cannot scroll the container to access the overflowed content. Add tabindex="0" to the scrollable &lt;section&gt; element so it can receive keyboard focus and be scrolled using arrow keys. Example: &lt;section tabindex="0" style="height: 100px; width: 500px; overflow-y: scroll"&gt;. Additionally, consider providing a visible label (e.g., aria-label or aria-labelledby) to describe the scrollable region to assistive technology users.</t>
  </si>
  <si>
    <t xml:space="preserve">check_keyboard_focusables, detect_keyboard_violations, check_timing_and_timeouts, validate_focus_order, validate_focus_visible, validate_target_size, check_keyboard_navigation</t>
  </si>
  <si>
    <t xml:space="preserve">The page fails WCAG 2.1.1 (Keyboard) because its sole scrollable content region — a &lt;section&gt; constrained to 100px in height with overflow-y: scroll — has no tabindex attribute. Without keyboard focus, users who rely solely on a keyboard cannot scroll the container to read the full paragraph text. All other evaluated criteria (2.2.1 Timing Adjustable, 2.4.3 Focus Order, 2.4.7 Focus Visible, and 2.5.5 Target Size) are inapplicable because the page contains no interactive elements, no time limits, no focusable elements, and no pointer targets. The single but serious failure is the inaccessible scrollable region, which must be made keyboard-operable by adding tabindex="0" to the container.</t>
  </si>
  <si>
    <t xml:space="preserve">[2.1.1] A scrollable content region is not keyboard accessible. The &lt;section&gt; element has overflow-y: scroll with a constrained height of 100px, but lacks a tabindex attribute, making it impossible for keyboard-only users to scroll and access the overflowing text content. Add tabindex="0" to the scrollable &lt;section&gt; element so keyboard users can focus it and use arrow keys to scroll through the content. Example: &lt;section tabindex="0" style="height: 100px; width: 500px; overflow-y: scroll"&gt;. Additionally, consider providing a visible label (e.g., aria-label or aria-labelledby) to describe the scrollable region to assistive technology users.</t>
  </si>
  <si>
    <t xml:space="preserve">detect_keyboard_violations, check_timing_and_timeouts, validate_focus_order, validate_focus_visible, validate_target_size, check_keyboard_navigation</t>
  </si>
  <si>
    <t xml:space="preserve">The page fails WCAG 2.1.1 (Keyboard) due to a scrollable content region that is inaccessible to keyboard-only users. The &lt;section&gt; element is styled with overflow-y: scroll and a fixed height of 100px, meaning its text content overflows and requires scrolling to read in full — yet the element lacks a tabindex attribute, so keyboard users cannot focus it or scroll through its content. The remaining four criteria (2.2.1 Timing Adjustable, 2.4.3 Focus Order, 2.4.7 Focus Visible, and 2.5.5 Target Size) are all inapplicable to this page, as it contains no time limits, no focusable/interactive elements, and no timed animations. The sole but critical failure is the keyboard-inaccessible scroll container.</t>
  </si>
  <si>
    <t xml:space="preserve">[2.1.1] Scrollable content region is not keyboard accessible. The &lt;section&gt; element has overflow-y: scroll and contains content that overflows its 100px height, but it has no tabindex attribute, making it unreachable and unscrollable via keyboard. Add tabindex="0" to the scrollable &lt;section&gt; element so keyboard users can focus it and scroll its content using arrow keys. Example: &lt;section tabindex="0" style="height: 100px; width: 500px; overflow-y: scroll"&gt;</t>
  </si>
  <si>
    <t xml:space="preserve">The page fails WCAG 2.1.1 (Keyboard). The sole interactive element on the page — an anchor link ('Home') embedded inside an &lt;iframe&gt; — is completely inaccessible to keyboard users because the iframe carries tabindex="-1". This attribute explicitly removes the iframe from the sequential tab order, meaning no keyboard user can ever focus or activate the link within it. All other evaluated criteria (2.2.1 Timing Adjustable, 2.4.3 Focus Order, 2.4.7 Focus Visible, and 2.5.5 Target Size) are inapplicable because there are no timing mechanisms, no reachable focusable elements in the tab sequence, and no measurable interactive targets on the page.</t>
  </si>
  <si>
    <t xml:space="preserve">[2.1.1] The &lt;iframe&gt; has tabindex="-1", which removes it from the tab order. The link inside the iframe (&lt;a href='/'&gt;Home&lt;/a&gt;) is therefore unreachable via keyboard navigation, even though it is a meaningful, interactive element. Remove the tabindex="-1" attribute from the &lt;iframe&gt; so that keyboard users can tab into it and reach the 'Home' link inside. If the iframe must be excluded from the tab sequence for a specific reason, the interactive content inside it must be made accessible through an alternative keyboard mechanism.</t>
  </si>
  <si>
    <t xml:space="preserve">The page fails WCAG 2.1.1 (Keyboard). The sole interactive element — an anchor link (&lt;a href='/'&gt;Home&lt;/a&gt;) — is embedded inside an &lt;iframe&gt; that carries tabindex="-1". This attribute explicitly removes the iframe from the sequential keyboard focus order, making the link inside it completely inaccessible to keyboard-only users. No timing issues (2.2.1), focus-order problems (2.4.3), focus-visibility issues (2.4.7), or target-size violations (2.5.5) were detected, as those criteria are inapplicable given the absence of any reachable interactive elements in the outer document.</t>
  </si>
  <si>
    <t xml:space="preserve">[2.1.1] The &lt;iframe&gt; has tabindex="-1", which removes it from the sequential tab order. The link inside its srcdoc document (&lt;a href='/'&gt;Home&lt;/a&gt;) is therefore unreachable by keyboard. Remove the tabindex="-1" attribute from the &lt;iframe&gt; so that keyboard users can Tab into it and access the embedded link. If the iframe must be excluded from the tab order for layout reasons, move the link (or an equivalent) into the main document where it is keyboard-accessible.</t>
  </si>
  <si>
    <t xml:space="preserve">The page fails WCAG 2.1.1 (Keyboard). An &lt;iframe&gt; with tabindex="-1" embeds a navigable hyperlink (&lt;a href='/'&gt;Home&lt;/a&gt;) in its srcdoc. Applying tabindex="-1" to the iframe removes it from the sequential tab order, making the inner link unreachable or unpredictably reachable for keyboard-only users — a clear violation of the requirement that all functionality be operable via keyboard. The remaining four criteria (2.2.1 Timing Adjustable, 2.4.3 Focus Order, 2.4.7 Focus Visible, and 2.5.5 Target Size) are inapplicable: no time limits, meta-refresh, or timeouts are present; no focusable elements are exposed to the outer document's tab sequence; no CSS suppresses focus outlines; and no interactive targets exist in the outer DOM to measure.</t>
  </si>
  <si>
    <t xml:space="preserve">[2.1.1] An interactive link inside an iframe is made inaccessible or unreachable via keyboard due to tabindex="-1" on the iframe element. The link (&lt;a href='/'&gt;Home&lt;/a&gt;) embedded in the srcdoc cannot be reliably reached or operated by keyboard-only users because the iframe is excluded from the sequential tab order, yet the inner content is not independently navigable in a predictable way. Remove tabindex="-1" from the &lt;iframe&gt; element so that keyboard users can Tab into the iframe and reach the embedded link. If the iframe must be excluded from tab order, also ensure its inner content is either non-interactive or that an equivalent keyboard-accessible mechanism is provided outside the iframe.</t>
  </si>
  <si>
    <t xml:space="preserve">The page fails WCAG 2.2.1 (Timing Adjustable) due to a meta refresh tag that forces a redirect to https://w3.org after 5 seconds, with no user controls to pause, stop, or extend this time limit. This is a critical barrier for users who need more time to read or interact with content — particularly those using screen readers, cognitive aids, or other assistive technologies. The remaining four criteria (2.1.1 Keyboard, 2.4.3 Focus Order, 2.4.7 Focus Visible, and 2.5.5 Target Size) are all inapplicable, as the page contains no interactive or focusable elements whatsoever.</t>
  </si>
  <si>
    <t xml:space="preserve">[2.2.1] A meta refresh tag redirects the page after 5 seconds with no mechanism for the user to turn off, adjust, or extend the time limit. Remove the meta refresh redirect entirely, or provide a clearly visible control that allows users to stop, adjust, or extend the time limit before it expires. If a redirect is necessary, consider using server-side redirects (HTTP 301/302) for instant redirects (0-second delay), which are exempt from this criterion.</t>
  </si>
  <si>
    <t xml:space="preserve">The page fails WCAG 2.2.1 (Timing Adjustable) due to a meta refresh tag that forces a redirect to https://w3.org after only 5 seconds, with no user controls to pause, stop, or extend this time limit. This is a critical barrier for users who need more time to read or interact with content — including users with cognitive disabilities, screen reader users, and users with motor impairments. The remaining four criteria (2.1.1 Keyboard, 2.4.3 Focus Order, 2.4.7 Focus Visible, and 2.5.5 Target Size) are all inapplicable, as the page contains no interactive or focusable elements whatsoever.</t>
  </si>
  <si>
    <t xml:space="preserve">[2.2.1] A meta refresh tag redirects the page after 5 seconds with no mechanism for the user to turn off, adjust, or extend the time limit. Remove the meta refresh redirect entirely and replace it with a server-side redirect (HTTP 301/302), or provide clearly visible controls that allow users to stop, adjust, or extend the time limit before it expires. If the redirect is essential, the timeout must be at least 20 hours, or the user must be warned and given the ability to extend it.</t>
  </si>
  <si>
    <t xml:space="preserve">The page fails WCAG 2.2.1 (Timing Adjustable, Level A) due to a meta refresh tag that automatically redirects the user to https://w3.org after 5 seconds, with no controls provided to pause, stop, or extend this time limit. This is a critical barrier for users who need more time to read or interact with content — including users with cognitive, motor, or visual disabilities. The remaining four criteria (2.1.1 Keyboard, 2.4.3 Focus Order, 2.4.7 Focus Visible, and 2.5.5 Target Size) are either passing or inapplicable, as the page contains no interactive or focusable elements beyond the paragraph of static text.</t>
  </si>
  <si>
    <t xml:space="preserve">[2.2.1] A meta refresh with a 5-second time limit redirects the user to another URL with no mechanism to turn off, adjust, or extend the time limit. Remove the meta refresh entirely, or provide controls that allow users to turn off, adjust, or extend the time limit before it expires. If a redirect is necessary, use a server-side redirect (HTTP 301/302) instead, which is instantaneous and does not impose a time limit on the user.</t>
  </si>
  <si>
    <t xml:space="preserve">The page was evaluated against all five target WCAG 2.1 criteria. WCAG 2.1.1 (Keyboard): No interactive elements exist on the page, and no mouse-only or ARIA widget violations were detected — passes. WCAG 2.2.1 (Timing Adjustable): Although a bare &lt;meta http-equiv="refresh" /&gt; tag is present, it carries no 'content' attribute specifying a time interval or redirect URL, so no actual time limit is imposed — passes. WCAG 2.4.3 (Focus Order): There are zero focusable elements on the page, making this criterion inapplicable — passes. WCAG 2.4.7 (Focus Visible): Again, no focusable elements exist, so this criterion is inapplicable — passes. WCAG 2.5.5 (Target Size): No interactive targets are present, making this criterion inapplicable — passes. Overall, the page raises no violations against any of the five evaluated criteria.</t>
  </si>
  <si>
    <t xml:space="preserve">The page passes all five evaluated WCAG 2.1 criteria. For WCAG 2.1.1 (Keyboard), no mouse-only interactives, hover-only behaviors, or ARIA widget issues were detected. For WCAG 2.2.1 (Timing Adjustable), the &lt;meta http-equiv="refresh"&gt; tag is present but carries no 'content' attribute specifying a time interval, so no actual refresh or redirect is triggered — no timing violation exists. For WCAG 2.4.3 (Focus Order), 2.4.7 (Focus Visible), and 2.5.5 (Target Size), the page contains zero focusable or interactive elements (only a static paragraph), making all three criteria inapplicable by definition. Overall, this is a minimal, static page with no accessibility violations against the target criteria.</t>
  </si>
  <si>
    <t xml:space="preserve">The page was evaluated against all five target WCAG 2.1 criteria. WCAG 2.1.1 (Keyboard): No interactive elements exist on the page, and no mouse-only or hover-only behaviors were detected — passes. WCAG 2.2.1 (Timing Adjustable): Although a bare &lt;meta http-equiv="refresh" /&gt; tag is present in the &lt;head&gt;, it carries no 'content' attribute specifying a time interval or redirect URL, meaning no actual time limit is imposed — passes. WCAG 2.4.3 (Focus Order): There are zero focusable elements on the page, making this criterion inapplicable — no violation. WCAG 2.4.7 (Focus Visible): Likewise, with no focusable elements, this criterion is inapplicable — no violation. WCAG 2.5.5 (Target Size): No interactive targets exist to measure, making this criterion inapplicable — no violation. Overall, the page is extremely minimal and raises no accessibility failures against the evaluated criteria.</t>
  </si>
  <si>
    <t xml:space="preserve">The page fails three of the five evaluated WCAG 2.1 criteria. Most critically, the page uses an immediate meta-refresh redirect (content='0') with no mechanism for the user to pause, stop, or adjust the timing, violating WCAG 2.2.1 (Timing Adjustable). The destination page (github.com) that the tool evaluated also exhibits a broken focus order — the 'Skip to content' link is unreachable via keyboard — violating WCAG 2.4.3 (Focus Order). Additionally, ten CSS rules suppress focus outlines on interactive elements without compensating visual indicators, violating WCAG 2.4.7 (Focus Visible). WCAG 2.1.1 (Keyboard) passed with no mouse-only or ARIA widget issues detected, and WCAG 2.5.5 (Target Size) was inapplicable as no interactive elements were found in the source HTML itself.</t>
  </si>
  <si>
    <t xml:space="preserve">[2.2.1] Immediate meta-refresh redirect with no user control to adjust or cancel the timing. Remove the meta-refresh redirect entirely. If a redirect is necessary, perform it server-side (HTTP 301/302) or provide the user with a visible link and sufficient time (or no time limit) before the redirect occurs. If a time limit is unavoidable, provide controls to turn off, adjust, or extend it. || [2.4.3] The 'Skip to content' link is listed as unreachable in the tab sequence, meaning keyboard users cannot reach it in the correct focus order. Ensure the 'Skip to content' link is the first focusable element in the DOM and is reachable via Tab key. Do not hide it with display:none or visibility:hidden without a proper focus-triggered reveal mechanism. || [2.4.7] Multiple CSS rules suppress focus outlines (outline: none / outline: 0) on interactive elements without providing a compensating visual focus indicator. Remove outline: none / outline: 0 rules on :focus selectors, or replace them with a clearly visible alternative focus indicator (e.g., a high-contrast box-shadow, border, or background change) so keyboard users can always see which element has focus.</t>
  </si>
  <si>
    <t xml:space="preserve">The page fails three of the five evaluated WCAG 2.1 criteria. Most critically, the `&lt;meta http-equiv="refresh" content="0"&gt;` tag triggers an instantaneous, uncontrollable redirect, directly violating WCAG 2.2.1 (Timing Adjustable), which requires that any time limit be user-adjustable or disableable — a zero-second redirect with no controls is the most severe form of this violation. As a downstream consequence of the redirect, the focus order (WCAG 2.4.3) is also broken: the originating page has no usable content or tab sequence, and the tool detected an unreachable 'Skip to content' link. Additionally, CSS inherited or fetched from the redirect destination suppresses focus outlines on numerous interactive elements without compensation, violating WCAG 2.4.7 (Focus Visible). WCAG 2.1.1 (Keyboard) passed as no mouse-only interactions were detected on the bare source page, and WCAG 2.5.5 (Target Size) is inapplicable because the source page contains no interactive elements.</t>
  </si>
  <si>
    <t xml:space="preserve">[2.2.1] Immediate meta-refresh redirect with no user control to adjust or cancel the timing Remove the meta-refresh redirect entirely. If a redirect is necessary, perform it server-side (HTTP 301/302) or provide the user with a visible link and sufficient time (or no time limit) before the redirect occurs. If a time limit is unavoidable, provide controls to turn off, adjust, or extend it. || [2.4.3] Focus order is broken: the 'Skip to content' link is listed as unreachable in the tab sequence, and the tab sequence resolves to elements on the redirect destination (github.com) rather than the source page, indicating the redirect disrupts any meaningful focus order on the originating page Ensure the page has a logical, complete tab sequence before any redirect occurs. If a redirect is required, use a server-side redirect so users never land on an intermediate page with broken focus order. If an intermediate page must exist, all focusable elements must be reachable in a meaningful sequence. || [2.4.7] Multiple CSS rules suppress focus outlines (outline: none / outline: 0) on interactive elements without providing a compensating visible focus indicator For every element where outline is suppressed, provide an equivalent visible focus indicator such as a box-shadow, border change, or background-color change that meets the minimum contrast requirements. Never suppress focus styles without a replacement.</t>
  </si>
  <si>
    <t xml:space="preserve">The page fails on two of the five evaluated criteria. The most critical violation is WCAG 2.2.1 (Timing Adjustable): the meta-refresh tag fires instantly (delay = 0 seconds), giving users — especially those using assistive technologies — zero time to read, orient themselves, or adjust the time limit. This is a well-known, explicitly prohibited pattern under WCAG 2.2.1. As a direct consequence, WCAG 2.4.3 (Focus Order) also fails because the instant redirect makes focusable elements unreachable before the user can interact with them. The remaining criteria — 2.1.1 (Keyboard), 2.4.7 (Focus Visible), and 2.5.5 (Target Size) — are either passing or inapplicable given the near-empty page content.</t>
  </si>
  <si>
    <t xml:space="preserve">[2.2.1] Instant meta-refresh redirect with no mechanism to turn off, adjust, or extend the time limit. Remove the meta-refresh redirect entirely and replace it with a server-side HTTP 301/302 redirect. If a client-side redirect is unavoidable, set the delay to at least 20 hours (72000 seconds) or provide a clearly visible mechanism that allows users to turn off, adjust, or extend the time limit before it expires. A delay of 0 seconds gives users absolutely no time to react. || [2.4.3] The focus order tool detected an unreachable focusable element ('Skip to content' link), indicating the tab sequence is broken — likely because the page is immediately redirected before the user can interact with it. Since the root cause is the instant meta-refresh (content="0"), fixing the 2.2.1 violation above will also resolve this focus-order issue. If any content is intentionally rendered before a redirect, ensure all focusable elements are reachable in a logical tab sequence.</t>
  </si>
  <si>
    <t xml:space="preserve">The page fails WCAG 2.2.1 (Timing Adjustable) due to an unconditional 30-second meta refresh with no user controls to pause, stop, or extend the time limit. This is a critical barrier, particularly for users with cognitive or motor disabilities who need more time to read or interact with content. The remaining four criteria — 2.1.1 (Keyboard), 2.4.3 (Focus Order), 2.4.7 (Focus Visible), and 2.5.5 (Target Size) — are all inapplicable because the page contains no interactive or focusable elements whatsoever, so no violations were found for those criteria.</t>
  </si>
  <si>
    <t xml:space="preserve">[2.2.1] A meta http-equiv='refresh' with a 30-second interval is present, with no mechanism for the user to turn off, adjust, or extend the time limit. Remove the meta refresh entirely, or provide a clearly accessible control that allows users to turn off, adjust, or extend the time limit before it expires. If the refresh is essential (e.g., for live data), ensure users can request more time at least 20 seconds before the refresh occurs and that this option is available for at least 10 repetitions.</t>
  </si>
  <si>
    <t xml:space="preserve">The page fails WCAG 2.2.1 (Timing Adjustable) due to an unconditional &lt;meta http-equiv='refresh' content='30'&gt; that automatically reloads the page every 30 seconds with no user control to pause, stop, or extend this time limit. This is a critical barrier, particularly for users who rely on assistive technologies or need more time to read and interact with content — a forced reload can disrupt their context entirely. The remaining four criteria (2.1.1 Keyboard, 2.4.3 Focus Order, 2.4.7 Focus Visible, and 2.5.5 Target Size) are all inapplicable, as the page contains no interactive or focusable elements whatsoever.</t>
  </si>
  <si>
    <t xml:space="preserve">[2.2.1] A meta http-equiv='refresh' with a 30-second interval is present, with no mechanism for the user to turn off, adjust, or extend the time limit. Remove the meta refresh entirely, or provide a user-accessible control (e.g., a button or setting) that allows the user to turn off, extend, or adjust the 30-second refresh interval before it expires. If the refresh is essential (e.g., a real-time feed), ensure users are warned and given at least 20 hours to extend the limit, per WCAG 2.2.1 exceptions.</t>
  </si>
  <si>
    <t xml:space="preserve">The page fails WCAG 2.2.1 (Timing Adjustable) due to a hard-coded &lt;meta http-equiv='refresh' content='30'&gt; that automatically reloads the page every 30 seconds. No controls exist to pause, stop, or extend this time limit, which can disorient users relying on screen readers, keyboard navigation, or cognitive aids who may need more time to read or interact with content. The remaining four criteria — 2.1.1 Keyboard, 2.4.3 Focus Order, 2.4.7 Focus Visible, and 2.5.5 Target Size — are all inapplicable because the page contains no interactive or focusable elements whatsoever, so no violations were found for those criteria.</t>
  </si>
  <si>
    <t xml:space="preserve">[2.2.1] A meta refresh with a 30-second timeout is present with no mechanism for the user to turn off, adjust, or extend the time limit. Remove the meta refresh entirely, or provide a user-accessible control (e.g., a button or setting) that allows the user to turn off, extend, or adjust the refresh interval before it triggers. If the refresh is essential, the timeout must be at least 20 hours, or the user must be warned and given at least 20 seconds to extend it.</t>
  </si>
  <si>
    <t xml:space="preserve">The page fails exclusively on WCAG 2.2.1 (Timing Adjustable). A meta http-equiv refresh tag imposes a hard 72,000-second (20-hour) time limit that will forcibly navigate the user to https://w3.org with no user control to pause, stop, or extend it. WCAG 2.2.1 requires that any such time limit be turn-off-able, adjustable, or extendable by the user (unless it exceeds 20 hours — this one is exactly 20 hours, which does not clear the exemption threshold). The remaining four criteria — 2.1.1 Keyboard, 2.4.3 Focus Order, 2.4.7 Focus Visible, and 2.5.5 Target Size — are all inapplicable because the page contains no interactive or focusable elements whatsoever.</t>
  </si>
  <si>
    <t xml:space="preserve">[2.2.1] A meta refresh with a fixed 20-hour (72000-second) time limit is present with no mechanism for the user to turn off, adjust, or extend it. Remove the meta refresh entirely and replace it with a server-side redirect, or provide a clearly visible control that allows users to turn off, adjust, or extend the time limit before it expires. If the redirect is truly necessary, consider using a 0-second refresh (instant redirect) which is exempt under WCAG 2.2.1, or ensure users can extend the session at least 10× the default limit.</t>
  </si>
  <si>
    <t xml:space="preserve">The page fails WCAG 2.2.1 (Timing Adjustable, Level A) because it uses a meta refresh tag that will forcibly redirect the user after 72,000 seconds (20 hours) with no user-facing controls to pause, stop, or extend that timer. WCAG 2.2.1 requires that any time limit set by content must be adjustable by the user unless it meets a specific exception (essential, 20-hour threshold, or real-time). Although 20 hours is exactly at the 20-hour threshold mentioned in the WCAG exception, the exception applies only when the time limit is 'more than 20 hours' — a limit of exactly 20 hours does not satisfy that exception. All other evaluated criteria (2.1.1 Keyboard, 2.4.3 Focus Order, 2.4.7 Focus Visible, 2.5.5 Target Size) are inapplicable because the page contains no interactive or focusable elements whatsoever.</t>
  </si>
  <si>
    <t xml:space="preserve">[2.2.1] A meta refresh with a 72,000-second (20-hour) time limit is present with no mechanism for the user to turn off, adjust, or extend the countdown before the redirect occurs. Remove the meta refresh entirely and replace it with a server-side redirect, or provide a clearly visible, keyboard-accessible control that allows users to turn off, adjust (to at least 10× the default), or extend (by at least 20 seconds upon request) the time limit before it expires. Alternatively, if the time limit is essential, document why and ensure it meets the 'essential' exception — though a 20-hour redirect is unlikely to qualify.</t>
  </si>
  <si>
    <t xml:space="preserve">The page fails WCAG 2.2.1 (Timing Adjustable) because it uses a meta refresh tag that unconditionally redirects the user after exactly 20 hours (72,000 seconds) with no user controls to pause, stop, adjust, or extend that time limit. The remaining four criteria — 2.1.1 Keyboard, 2.4.3 Focus Order, 2.4.7 Focus Visible, and 2.5.5 Target Size — are all inapplicable, since the page contains no interactive or focusable elements whatsoever. The sole actionable failure is the uncontrolled timing mechanism, which is a serious barrier for users who may need more time or who rely on assistive technologies that interact with the page over extended sessions.</t>
  </si>
  <si>
    <t xml:space="preserve">[2.2.1] A meta refresh with a fixed 20-hour (72000-second) time limit is present with no mechanism for the user to turn off, adjust, or extend the redirect. Remove the meta refresh entirely and replace it with a server-side redirect, or provide clearly visible controls that allow users to turn off, adjust (to at least 10× the default), or extend (with at least 20 seconds' warning) the time limit before it expires. If the time limit is truly essential, document why no exception applies.</t>
  </si>
  <si>
    <t xml:space="preserve">The page fails WCAG 2.2.1 (Timing Adjustable, Level A) because it contains a meta refresh tag with a non-zero timeout of 72,001 seconds and provides no mechanism for the user to stop, adjust, or extend that time limit. All other evaluated criteria — 2.1.1 Keyboard, 2.4.3 Focus Order, 2.4.7 Focus Visible, and 2.5.5 Target Size — are inapplicable, as the page contains no interactive elements, focusable content, or rendered UI targets whatsoever. The single, critical fix required is to either remove the meta refresh or supply a user-accessible control to manage the timing.</t>
  </si>
  <si>
    <t xml:space="preserve">[2.2.1] A meta refresh with a non-zero timeout is present and no mechanism exists to turn off, adjust, or extend the time limit. Remove the meta refresh entirely, or — if a timed redirect is genuinely necessary — provide an accessible control that allows users to turn off, adjust, or extend the time limit before it expires. Note: a timeout of 72,001 seconds (~20 hours) is unusual; verify this value is intentional. If the intent is a zero-delay redirect, use content="0" (which WCAG exempts), otherwise the time limit must be user-adjustable.</t>
  </si>
  <si>
    <t xml:space="preserve">The page fails WCAG 2.2.1 (Timing Adjustable) due to a meta refresh tag that redirects the user after 72,001 seconds (~20 hours and 1 second) with no user-facing controls to pause, stop, or extend the countdown. WCAG 2.2.1 provides an exception for time limits longer than 20 hours, but 72,001 seconds is only marginally above that threshold (20 hours = 72,000 seconds), making this a borderline case that warrants remediation to be safe. The remaining four criteria — 2.1.1 Keyboard, 2.4.3 Focus Order, 2.4.7 Focus Visible, and 2.5.5 Target Size — are all inapplicable because the page contains no interactive or focusable elements whatsoever.</t>
  </si>
  <si>
    <t xml:space="preserve">[2.2.1] A meta refresh with a non-zero timeout is present and no mechanism is provided to turn off, adjust, or extend the time limit. Remove the meta refresh entirely, or provide an accessible mechanism (e.g., a visible control) that allows users to turn off, adjust, or extend the time limit before it expires. Alternatively, if the timeout is truly essential, ensure it meets one of the WCAG 2.2.1 exceptions (e.g., the limit is more than 20 hours — note: 72001 seconds ≈ 20 hours and 1 second, which is borderline and should be verified against the exact exception threshold).</t>
  </si>
  <si>
    <t xml:space="preserve">The page fails WCAG 2.2.1 (Timing Adjustable) because it contains a meta-refresh tag that will automatically redirect the user to https://w3.org after 72,001 seconds, with no on-page control to pause, stop, or extend that timer. Although the timeout is very long (≈20 hours), WCAG 2.2.1 requires that any programmatic time limit be user-adjustable unless a specific exception applies (e.g., real-time events or essential limits), none of which are met here. The remaining four criteria — 2.1.1 Keyboard, 2.4.3 Focus Order, 2.4.7 Focus Visible, and 2.5.5 Target Size — are all inapplicable because the page contains no interactive or focusable elements whatsoever.</t>
  </si>
  <si>
    <t xml:space="preserve">[2.2.1] A meta-refresh directive is present with a timeout of 72001 seconds and no mechanism for the user to turn off, adjust, or extend the time limit. Remove the meta-refresh redirect entirely and replace it with a server-side redirect (HTTP 301/302), or — if a timed redirect is truly necessary — provide an accessible on-page control that allows users to cancel, extend, or adjust the time limit before the redirect fires. Per WCAG 2.2.1, any time limit that cannot be turned off, adjusted to at least 10× the default, or extended must be removed.</t>
  </si>
  <si>
    <t xml:space="preserve">The page fails on two of the five evaluated criteria. The most impactful issue is a WCAG 2.4.3 (Focus Order) violation caused by the use of explicit positive tabindex values (1–4) on all form controls. This forces the keyboard tab sequence to be q2 → q3 → q1 → Submit, which contradicts the visual top-to-bottom layout and the DOM order, creating a disorienting and illogical navigation experience for keyboard users. The fix is straightforward: remove all tabindex attributes and let the browser use natural DOM order. Additionally, all four interactive elements fail WCAG 2.5.5 (Target Size, AAA) because their rendered height is only 21px — less than half the required 44px minimum — making them difficult to activate for users with motor disabilities or on touch screens. On the positive side, WCAG 2.1.1 (Keyboard) passes with no mouse-only or inaccessible controls detected; WCAG 2.2.1 (Timing Adjustable) is inapplicable as there are no time limits; and WCAG 2.4.7 (Focus Visible) passes as all four focusable elements retain their default browser focus indicators.</t>
  </si>
  <si>
    <t xml:space="preserve">[2.4.3] Positive tabindex values create a tab order that is inconsistent with the visual and DOM reading order of the form fields. Remove all explicit positive tabindex attributes from the inputs and the submit button. Without tabindex (or with tabindex=0), the browser will follow natural DOM order (q1 → q2 → q3 → Submit), which matches both the visual layout and the logical reading order. || [2.5.5] All four interactive elements (3 text inputs and 1 submit button) have a height of only 21px, well below the 44×44px AAA minimum target size. Increase the height of all inputs and the button to at least 44px using CSS (e.g., min-height: 44px; padding: 10px 12px;). This ensures comfortable activation for users with motor impairments or touch-based devices.</t>
  </si>
  <si>
    <t xml:space="preserve">The page fails on two of the five evaluated WCAG criteria. The most impactful issue is a WCAG 2.4.3 (Focus Order) violation: all four interactive elements carry explicit positive tabindex values (1–4) that force the keyboard tab sequence to visit q2 first, then q3, then q1, then Submit — directly contradicting the top-to-bottom visual layout. This disorienting mismatch can cause serious confusion for keyboard-only users and screen-reader users. The fix is straightforward: remove all tabindex attributes and rely on natural DOM order. A secondary failure exists under WCAG 2.5.5 (Target Size, AAA): every interactive element is only 21px tall, well below the 44×44px threshold, making them difficult to activate for users with motor disabilities or on touch devices. The remaining criteria all pass: no mouse-only interactions or keyboard traps were found (WCAG 2.1.1 ✅), no time limits or meta-refresh are present (WCAG 2.2.1 ✅), and all focusable elements retain their browser-default focus indicators with no outline suppression detected (WCAG 2.4.7 ✅).</t>
  </si>
  <si>
    <t xml:space="preserve">[2.4.3] Positive tabindex values create a tab order that is completely misaligned with the visual and DOM reading order of the form. Remove all explicit tabindex attributes from the form fields and the submit button. Native DOM order (q1 → q2 → q3 → Submit) already matches the visual reading order and will produce a correct, meaningful focus sequence without any tabindex manipulation. || [2.5.5] All four interactive elements (3 text inputs and 1 submit button) fall below the 44×44 CSS pixel minimum target size required by WCAG 2.5.5 (Level AAA). Increase the height of all inputs and the button to at least 44px using CSS (e.g., `min-height: 44px; padding: 10px 16px;`). This ensures comfortable activation for users with motor impairments and touch-screen users.</t>
  </si>
  <si>
    <t xml:space="preserve">The page fails on two of the five evaluated criteria. The most impactful failure is WCAG 2.4.3 (Focus Order): all four interactive elements carry explicit positive tabindex values (1–4) that force the keyboard tab sequence to visit q2 first, then q3, then q1 — the opposite of the visual top-to-bottom order — before reaching the Submit button. This disorients keyboard and assistive-technology users who expect focus to follow the visual layout. The fix is straightforward: remove all tabindex attributes and let the browser use natural DOM order. A secondary failure is WCAG 2.5.5 (Target Size, AAA): every element is only 21px tall, less than half the 44px minimum; adding vertical padding via CSS resolves this. The remaining criteria all pass: no mouse-only interactions or keyboard traps were found (WCAG 2.1.1 ✅), no time limits or meta-refresh are present (WCAG 2.2.1 ✅), and all focusable elements retain their default browser focus indicators with no outline suppression (WCAG 2.4.7 ✅).</t>
  </si>
  <si>
    <t xml:space="preserve">[2.4.3] Positive tabindex values create a tab order that is completely mismatched with the visual and DOM reading order of the form fields. Remove all explicit tabindex attributes from the form fields and the submit button. Native HTML form elements receive focus in DOM order by default, which already matches the intended visual reading order (q1 → q2 → q3 → Submit). If reordering is needed, reorder the elements in the DOM instead. || [2.5.5] All four interactive elements (3 text inputs and 1 submit button) have a height of only 21px, well below the 44×44px AAA minimum target size. Increase the height of all inputs and the button to at least 44px using CSS (e.g., `min-height: 44px; padding: 10px 12px;`). This ensures comfortable activation for users with motor impairments or touch-based devices. Note: WCAG 2.5.5 is Level AAA, so this is an enhancement rather than a Level A/AA conformance requirement.</t>
  </si>
  <si>
    <t xml:space="preserve">The page fails on two of the five evaluated criteria. The most impactful failure is WCAG 2.4.3 (Focus Order): the CSS flexbox `order` property visually resequences the three address inputs (City → State → Street) while the DOM — and therefore the keyboard tab order — remains Street → City → State. This disconnect means keyboard users experience a disorienting, non-sequential focus path that does not match what they see on screen. Additionally, all three inputs fail WCAG 2.5.5 (Target Size, AAA) because their rendered height is only 21px, far short of the 44px minimum. The remaining criteria all pass: no timing mechanisms are present (2.2.1 inapplicable), no mouse-only interactions or ARIA widget issues were found (2.1.1 passes), and native browser focus indicators are intact on all inputs (2.4.7 passes).</t>
  </si>
  <si>
    <t xml:space="preserve">[2.4.3] CSS flexbox `order` property resequences the visual layout of the three inputs (City → State → Street) without changing their DOM order, causing keyboard tab focus to follow DOM order (Street → City → State) while the visual order is City → State → Street. This mismatch means a keyboard user's focus jumps rightward to the last visual position first, then back to the leftmost field. Align DOM source order with the intended visual reading order. Reorder the HTML elements so that City comes first, State second, and Street third — matching the CSS `order` values — or remove the CSS reordering and rely solely on DOM order. Never use CSS `order` or `flex`/`grid` reordering to create a visual sequence that diverges from the tab sequence. || [2.5.5] All three text inputs have a rendered height of only 21px, well below the 44×44px minimum target size required by WCAG 2.5.5 (Level AAA). Increase the height of each input to at least 44px (e.g., via CSS `min-height: 44px; padding: 10px 8px;`). Width already exceeds 44px, so only height needs adjustment.</t>
  </si>
  <si>
    <t xml:space="preserve">The page fails on two of the five evaluated criteria. The most impactful failure is WCAG 2.4.3 (Focus Order): CSS flexbox `order` properties visually resequence the three address fields (City → State → Street) while the DOM — and therefore the keyboard tab order — keeps them in the original order (Street → City → State). This mismatch means a keyboard user's focus jumps erratically across the screen rather than moving left-to-right through the visible layout, directly violating the requirement that focus order preserve meaning and operability. The page also fails WCAG 2.5.5 (Target Size, AAA) because all three inputs are only 21 px tall, far short of the 44 px minimum. The remaining criteria pass: no timing mechanisms are present (2.2.1 inapplicable), no mouse-only interactions or ARIA widget issues were found (2.1.1 passes), and native browser focus indicators are intact (2.4.7 passes).</t>
  </si>
  <si>
    <t xml:space="preserve">[2.4.3] CSS `order` property causes the visual rendering order to differ from the DOM (tab) order, creating a disorienting focus sequence for keyboard users. Reorder the elements in the HTML source to match the intended visual order (City → State → Street, or whichever order is correct), and remove or adjust the CSS `order` overrides so that DOM order and visual order are consistent. Never use CSS `order` or `flex`/`grid` reordering to change the visual sequence of focusable elements without also changing the DOM sequence. || [2.5.5] All three text inputs have a height of only 21 px, well below the 44×44 px minimum target size required by WCAG 2.5.5 (Level AAA). Increase the height (and optionally padding) of each input so its clickable/tappable area is at least 44×44 px. For example, add `min-height: 44px; padding: 10px;` to the input styles. If strict AAA compliance is not required, aim for at least 24×24 px to satisfy the WCAG 2.2 Level AA Target Size (Minimum) criterion.</t>
  </si>
  <si>
    <t xml:space="preserve">The page fails on two of the five evaluated criteria. The most serious issue is a WCAG 2.4.3 (Focus Order, Level A) violation: the CSS flexbox `order` property visually reorders the three address fields (City → State → Street) while the DOM — and therefore the keyboard tab sequence — retains the original order (Street → City → State). This mismatch means a keyboard user's focus jumps in a sequence that does not match what they see on screen, directly undermining comprehension and operability. The page also fails WCAG 2.5.5 (Target Size, Level AAA) because all three inputs are only 21 px tall, far below the 44 px threshold; however, since this is a AAA criterion it does not affect Level AA conformance. The remaining criteria all pass: no timing mechanisms are present (2.2.1 inapplicable), no mouse-only interactions or keyboard traps were detected (2.1.1 passes), and focus indicators are visible on all inputs (2.4.7 passes). The critical fix is to reconcile DOM order with visual order for the address fields.</t>
  </si>
  <si>
    <t xml:space="preserve">[2.4.3] CSS flexbox `order` property causes the visual rendering order to diverge from the DOM (tab) order, creating a disorienting focus sequence for keyboard users. Align the DOM source order with the intended visual reading order. Either reorder the HTML elements so Street, City, State appear in the correct sequence in the markup, or remove the CSS `order` overrides so visual and DOM order match. Never rely solely on CSS to reorder content that must be navigated sequentially. || [2.5.5] All three text inputs have a height of only 21 px, well below the 44×44 px minimum target size required by WCAG 2.5.5 (Level AAA). Increase the clickable/tappable area of each input to at least 44×44 px, for example by setting `min-height: 44px` and `padding` in CSS. Note: WCAG 2.5.5 is Level AAA, so this is an enhancement rather than a Level A/AA conformance blocker, but it is strongly recommended for touch and motor-impaired users.</t>
  </si>
  <si>
    <t xml:space="preserve">The page is a simple static 'About' page containing only a heading and a paragraph of text — no interactive elements (links, buttons, inputs, widgets), no scripted timeouts, no meta-refresh, no CSS animations, and no focusable elements of any kind. All five target criteria are therefore inapplicable: WCAG 2.1.1 (Keyboard) has nothing to operate; WCAG 2.2.1 (Timing Adjustable) finds no time limits; WCAG 2.4.3 (Focus Order) and 2.4.7 (Focus Visible) have no focusable elements to evaluate; and WCAG 2.5.5 (Target Size) finds zero interactive targets to measure. Every tool confirmed either a clean PASS or an INAPPLICABLE result with zero violations, so the overall verdict is inapplicable.</t>
  </si>
  <si>
    <t xml:space="preserve">The page is a simple static content page containing only a heading and a paragraph of text — no interactive elements (links, buttons, inputs, widgets), no scripted timers, no animations, and no CSS that suppresses focus outlines. All five target criteria are inapplicable: WCAG 2.1.1 (Keyboard) and 2.4.7 (Focus Visible) have nothing to operate or focus; 2.4.3 (Focus Order) has zero focusable elements in the tab sequence; 2.2.1 (Timing Adjustable) finds no meta-refresh, setTimeout, or time-limit controls; and 2.5.5 (Target Size) finds no interactive targets to measure. Every tool confirmed either a clean PASS or an explicit INAPPLICABLE result, so no violations exist and no remediation is required.</t>
  </si>
  <si>
    <t xml:space="preserve">The page is a minimal static content page containing only a heading and a paragraph of text — no interactive elements (links, buttons, inputs, widgets), no scripted time limits, no CSS animations, and no focusable elements of any kind. As a result, all five target criteria are inapplicable: WCAG 2.1.1 (Keyboard) found zero mouse-only or keyboard-inaccessible interactives; WCAG 2.2.1 (Timing Adjustable) found no meta-refresh, setTimeout, or time-limit controls; WCAG 2.4.3 (Focus Order) and 2.4.7 (Focus Visible) both confirmed there are zero focusable elements on the page, making tab-order and focus-indicator requirements moot; and WCAG 2.5.5 (Target Size) found zero interactive targets to measure. No violations were detected, and no remediation is required.</t>
  </si>
  <si>
    <t xml:space="preserve">The page is a minimal maintenance notice with a single interactive element — a 'Refresh' button. It passes WCAG 2.1.1 (Keyboard): the button is natively keyboard-operable with no mouse-only interactions or ARIA widget issues. It passes WCAG 2.2.1 (Timing Adjustable): no meta-refresh, setTimeout, or time-limit mechanisms are present. It passes WCAG 2.4.3 (Focus Order): the single focusable element has no positive tabindex and follows natural DOM order. It passes WCAG 2.4.7 (Focus Visible): the browser's default focus indicator is intact with no outline suppression. However, it fails WCAG 2.5.5 (Target Size, Level AAA): the 'Refresh' button renders at only 63×21px, significantly below the required 44×44px minimum, making it difficult to activate for users with motor impairments or on touch devices. Note that 2.5.5 is a Level AAA criterion, so this failure does not affect AA conformance, but it is still recommended to fix for maximum accessibility.</t>
  </si>
  <si>
    <t xml:space="preserve">[2.5.5] The 'Refresh' button's touch/click target is too small. Its height (21px) falls well below the 44×44px AAA minimum. Apply CSS to ensure the button meets the 44×44px minimum target size, e.g.: button { min-height: 44px; min-width: 44px; padding: 10px 16px; }. This guarantees the interactive area is large enough for users with motor impairments or touch-screen users.</t>
  </si>
  <si>
    <t xml:space="preserve">The page passes four of the five evaluated criteria cleanly. WCAG 2.1.1 (Keyboard): the single interactive element — a native &lt;button&gt; — is fully keyboard-operable with no mouse-only or ARIA widget issues. WCAG 2.2.1 (Timing Adjustable): no meta-refresh, setTimeout, or time-limit controls are present. WCAG 2.4.3 (Focus Order): the lone focusable element has no positive tabindex and its DOM order is logical. WCAG 2.4.7 (Focus Visible): the browser's default focus indicator is intact (no outline:none suppression). The sole failure is WCAG 2.5.5 (Target Size, Level AAA): the 'Refresh' button renders at only 63×21px, far below the required 44×44px minimum. Because 2.5.5 is a Level AAA criterion the overall conformance impact is minor, but it should still be addressed to improve usability for touch and motor-impaired users.</t>
  </si>
  <si>
    <t xml:space="preserve">[2.5.5] The 'Refresh' button's touch/click target is too small. Its height (21px) falls well below the 44×44px AAA minimum, and even its width (63px) only satisfies one dimension. Apply CSS to ensure the button meets at least 44×44px in both dimensions, e.g.: button { min-height: 44px; min-width: 44px; padding: 10px 16px; }. This benefits users with motor impairments and touch-screen users.</t>
  </si>
  <si>
    <t xml:space="preserve">The page is a minimal maintenance notice with a single interactive element — a 'Refresh' button. Four of the five evaluated criteria pass cleanly: the button is fully keyboard-operable (WCAG 2.1.1 ✓), no time limits or meta-refresh are present (WCAG 2.2.1 ✓), the single-element tab sequence is logically ordered with no positive tabindex (WCAG 2.4.3 ✓), and the browser's native focus indicator is preserved with no outline suppression (WCAG 2.4.7 ✓). The sole failure is against WCAG 2.5.5 Target Size (Level AAA): the button renders at only 63×21 px, well below the required 44×44 px minimum height. Because 2.5.5 is a AAA criterion the severity is minor, but it should still be addressed — particularly for touch-device users — by adding sufficient padding or an explicit min-height to the button.</t>
  </si>
  <si>
    <t xml:space="preserve">[2.5.5] The 'Refresh' button's touch/click target is too small, failing the 44×44 CSS pixel minimum required by WCAG 2.5.5 (AAA). Apply CSS to ensure the button meets at least 44×44 px: e.g., set `min-height: 44px; padding: 10px 16px;` on the button element so both width and height satisfy the AAA target-size requirement.</t>
  </si>
  <si>
    <t xml:space="preserve">The page passes WCAG 2.1.1 Keyboard (no mouse-only interactions, no keyboard traps, no positive tabindex manipulation), 2.2.1 Timing Adjustable (no meta-refresh or JavaScript timeouts detected), 2.4.3 Focus Order (tab sequence follows natural DOM order with no mismatches), and 2.4.7 Focus Visible (all 5 focusable elements retain their browser-default focus indicators). The sole failure is WCAG 2.5.5 Target Size (AAA): every interactive element — the four text/email/password inputs and the submit button — renders at only 21px tall, far short of the required 44×44px minimum. Because 2.5.5 is a Level AAA criterion the severity is rated minor rather than critical, but all five controls should have their height increased to at least 44px via CSS to satisfy this criterion.</t>
  </si>
  <si>
    <t xml:space="preserve">[2.5.5] All 5 interactive elements (4 inputs + 1 button) are only 21px tall, well below the 44×44px AAA minimum target size. Apply CSS to give all inputs and the button a minimum height (and where appropriate, minimum width) of 44px. For example: `input, button { min-height: 44px; padding: 10px 16px; box-sizing: border-box; }`</t>
  </si>
  <si>
    <t xml:space="preserve">The page passes four of the five evaluated criteria cleanly. WCAG 2.1.1 (Keyboard): all interactive elements are native HTML controls with no mouse-only or hover-only behaviors, so full keyboard access is guaranteed. WCAG 2.2.1 (Timing Adjustable): no meta-refresh, setTimeout, or session-timeout mechanisms are present. WCAG 2.4.3 (Focus Order): the five focusable elements follow natural DOM order (fn → ln → em → pw → submit button) with no positive tabindex values or visual-order mismatches. WCAG 2.4.7 (Focus Visible): all five focusable elements retain the browser's default focus indicator — no `outline: none` suppression was detected. The sole failure is WCAG 2.5.5 (Target Size, Level AAA): every interactive element renders at only 21px tall, far short of the required 44×44px minimum. Because 2.5.5 is a Level AAA criterion the overall conformance impact is minor, but it meaningfully degrades usability for motor-impaired and touch users. Adding `min-height: 44px` and appropriate padding to inputs and the button will resolve the issue.</t>
  </si>
  <si>
    <t xml:space="preserve">[2.5.5] All 5 interactive elements (4 inputs + 1 button) have a rendered height of only 21px, well below the 44×44px AAA minimum target size. Apply CSS to give each input and button a minimum height (and where appropriate, minimum width) of 44px. For example: `input, button { min-height: 44px; padding: 10px 12px; box-sizing: border-box; }`. This ensures comfortable touch and pointer activation for all users.</t>
  </si>
  <si>
    <t xml:space="preserve">The page passes four of the five evaluated criteria cleanly. WCAG 2.1.1 (Keyboard): all five focusable elements — four native inputs and a submit button — are reachable and operable via keyboard with no mouse-only interactions, hover-only behaviors, or keyboard traps detected. The 'dead focus stop' flag raised by one tool for the text inputs is a false positive; text inputs are not expected to respond to Enter/Space activation. WCAG 2.2.1 (Timing Adjustable): no meta-refresh, setTimeout, or time-limit controls are present. WCAG 2.4.3 (Focus Order): tab sequence follows natural DOM order (fn → ln → em → pw → button) with no positive tabindex values or visual/DOM mismatches. WCAG 2.4.7 (Focus Visible): all five focusable elements retain browser-default focus outlines; no outline:none suppression was found. The sole failure is WCAG 2.5.5 (Target Size, Level AAA): every interactive element renders at only 21px tall, falling significantly short of the 44×44px minimum. Because 2.5.5 is a Level AAA criterion, this is a minor severity finding that does not affect Level A or AA conformance, but it should be addressed to improve usability for motor-impaired and touch users.</t>
  </si>
  <si>
    <t xml:space="preserve">[2.5.5] All 5 interactive elements (4 inputs + 1 button) are only 21px tall, well below the 44×44px AAA minimum target size. Apply CSS to give all inputs and the button a minimum height of 44px (e.g., `min-height: 44px; padding: 10px 12px;`). This ensures comfortable touch and pointer activation for all users.</t>
  </si>
  <si>
    <t xml:space="preserve">detect_keyboard_violations, check_keyboard_navigation, check_timing_and_timeouts, validate_focus_order, validate_focus_visible, validate_target_size</t>
  </si>
  <si>
    <t xml:space="preserve">The page fails on two of the five evaluated criteria. Under WCAG 2.1.1 (Keyboard), the modal dialog lacks an Escape-key handler to dismiss it, and both action buttons appear to have no wired keyboard-activation handlers, making them dead focus stops — a serious barrier for keyboard-only users. Under WCAG 2.5.5 (Target Size, AAA), both buttons are only 21 px tall, well below the 44 px minimum, making them difficult to activate on touch devices. On the positive side, WCAG 2.4.3 (Focus Order) passes cleanly with a logical left-to-right tab sequence and no positive tabindex abuse; WCAG 2.4.7 (Focus Visible) passes because the browser's native focus ring is preserved; and WCAG 2.2.1 (Timing Adjustable) is inapplicable as no time limits exist. The most critical fix is adding keyboard event handlers (especially Escape) to the dialog and ensuring button actions are fully operable by keyboard.</t>
  </si>
  <si>
    <t xml:space="preserve">[2.1.1] Modal dialog does not close on the Escape key, violating the expected keyboard interaction pattern for dialogs. Add a JavaScript keydown listener on the dialog (or document) that calls the dialog's close/dismiss logic when event.key === 'Escape'. This is the standard expected keyboard behavior for modal dialogs per ARIA Authoring Practices. || [2.1.1] Both buttons inside the dialog are flagged as dead focus stops — they receive focus but no observable state change occurs on Space/Enter activation, suggesting missing event handlers. Attach click (or keydown) event handlers to both buttons so they perform their intended actions (dismiss dialog / delete account) when activated via keyboard. Native &lt;button&gt; elements already support Space/Enter natively, so ensure no JavaScript is suppressing default behavior or that the handlers are actually wired up. || [2.4.3] Focus order is technically correct (Cancel → Delete account, left-to-right DOM order), and no positive tabindex values are present. This criterion passes. No action required for this criterion. || [2.4.7] Both focusable buttons retain the browser's default focus indicator. No outline:none or equivalent suppression was detected. This criterion passes. No action required. Consider enhancing the default focus ring with a custom high-contrast style for better visibility. || [2.2.1] No time limits, meta-refresh, or setTimeout/setInterval constructs were detected. This criterion is inapplicable. No action required. || [2.5.5] Both buttons fail the 44×44 px minimum target size requirement (AAA). The Cancel button is 58×21 px and the Delete account button is 105×21 px — both are too short in height. Apply CSS padding or an explicit min-height of at least 44px to both buttons (e.g., `button { min-height: 44px; padding: 10px 16px; }`). This ensures the clickable/tappable area meets the AAA target size requirement.</t>
  </si>
  <si>
    <t xml:space="preserve">The page fails primarily on WCAG 2.1.1 (Keyboard). While the structural markup is sound — native &lt;button&gt; elements are used, aria-modal and aria-labelledby are correctly applied, and the inert attribute properly suppresses background content — the dialog lacks the JavaScript scaffolding required for full keyboard operability: neither button has an activation handler, the Escape key does not close the dialog, and focus is never programmatically moved into the dialog on open. WCAG 2.2.1 (Timing Adjustable) is inapplicable (no time limits detected). WCAG 2.4.3 (Focus Order) passes — the two-button tab sequence is logical and DOM-ordered with no positive tabindex values. WCAG 2.4.7 (Focus Visible) passes — browser-default focus outlines are intact. WCAG 2.5.5 (Target Size, AAA) fails because both buttons are only 21 px tall, well below the 44 px threshold; this is a best-practice concern at the AAA level. The most critical remediation is adding keyboard event handling and focus management to the dialog.</t>
  </si>
  <si>
    <t xml:space="preserve">[2.1.1] Modal dialog does not close on the Escape key, and both buttons are flagged as dead focus stops — they receive focus but have no keyboard-activated event handlers wired up in this HTML snippet. Add JavaScript event listeners so that (1) pressing Escape closes the dialog and returns focus to the trigger element, and (2) activating Cancel or Delete account via Space/Enter executes the intended action. This is the minimum required for a keyboard-operable modal pattern. || [2.1.1] Focus is not programmatically moved into the dialog when it opens. Without a focus-management script, keyboard users may be left outside the dialog or unable to reach its controls predictably. On dialog open, call .focus() on the first interactive element inside the dialog (e.g., the Cancel button) or on the dialog element itself if it has tabindex="-1". On close, restore focus to the element that triggered the dialog. || [2.4.3] Focus order is technically correct (Cancel → Delete account, left-to-right DOM order with no positive tabindex), and the inert attribute correctly removes background content from the tab sequence. No remediation needed for focus order itself, but ensure focus is moved into the dialog on open (see 2.1.1 issue above) so the correct order is actually experienced by keyboard users. || [2.5.5] Both buttons fail the 44×44 px minimum target size requirement (AAA). Cancel is 58×21 px and Delete account is 105×21 px — both are only 21 px tall. Apply CSS padding or min-height to ensure each button's clickable area is at least 44×44 px (e.g., padding: 12px 16px; min-height: 44px;). Note: WCAG 2.5.5 is Level AAA, so this is a best-practice finding rather than a Level A/AA conformance blocker.</t>
  </si>
  <si>
    <t xml:space="preserve">The page fails on two of the five evaluated criteria. Under WCAG 2.1.1 (Keyboard), the modal dialog has two critical gaps: neither button responds to keyboard activation (dead focus stops), and the dialog cannot be dismissed with the Escape key — both are fundamental keyboard-accessibility failures. There is also a WCAG 2.4.3 (Focus Order) concern: although the tab sequence within the dialog is logically ordered and the background is correctly inerted, no script moves focus into the dialog on open, meaning a keyboard user may not land inside the dialog at all. WCAG 2.2.1 (Timing Adjustable) is inapplicable — no time limits or meta-refresh were detected. WCAG 2.4.7 (Focus Visible) passes — browser-default focus outlines are intact on both buttons. WCAG 2.5.5 (Target Size, AAA) fails — both buttons are only 21 px tall, well below the 44 px minimum. The most critical fixes are: wire real event handlers to the buttons, implement Escape-key dismissal, and move focus into the dialog on open.</t>
  </si>
  <si>
    <t xml:space="preserve">[2.1.1] Modal dialog does not close on the Escape key, and both dialog buttons are dead focus stops — they receive keyboard focus but do not respond to Enter or Space activation. Add a JavaScript keydown listener on the dialog (or document) that calls the cancel/close handler when Escape is pressed. Ensure both buttons have click/keydown event handlers so they respond to keyboard activation (Enter and Space). Native &lt;button&gt; elements handle this automatically when wired to real event listeners. || [2.4.3] Focus is not programmatically moved into the dialog when it opens. Without an explicit focus-management call (e.g., dialog.focus() or focusing the first interactive element), keyboard focus remains outside the dialog, making the dialog content unreachable in the correct reading order. On dialog open, call focus() on the first focusable element inside the dialog (e.g., the 'Cancel' button) or on the dialog container itself (add tabindex='-1' to the &lt;div role='dialog'&gt;). On close, restore focus to the element that triggered the dialog. || [2.5.5] Both dialog buttons fail the 44×44 CSS pixel minimum target size requirement (AAA). The 'Cancel' button is 58×21 px and the 'Delete account' button is 105×21 px — both are too short in height. Apply CSS padding or an explicit min-height of at least 44px to both buttons (e.g., min-height: 44px; padding: 10px 16px;) so that each button's clickable/tappable area meets the 44×44 px threshold.</t>
  </si>
  <si>
    <t xml:space="preserve">The page passes four of the five evaluated criteria cleanly. WCAG 2.1.1 (Keyboard): the single anchor link is natively keyboard-focusable with no mouse-only or ARIA widget issues. WCAG 2.2.1 (Timing Adjustable): no meta-refresh, setTimeout, or time-limit controls are present. WCAG 2.4.3 (Focus Order): only one focusable element exists, no positive tabindex or DOM/visual order mismatches. WCAG 2.4.7 (Focus Visible): the browser's default focus outline is intact and no outline-suppression CSS is present. However, the page fails WCAG 2.5.5 (Target Size, Level AAA): the 'ACT rules' anchor renders at only 67×17 px, well below the required 44×44 px minimum. Because 2.5.5 is a Level AAA criterion, this is a minor severity finding rather than a blocking one, but it should be remediated to ensure full AAA conformance.</t>
  </si>
  <si>
    <t xml:space="preserve">[2.5.5] The anchor link's tap/click target is too small, falling below the 44×44 CSS pixel minimum required by WCAG 2.5.5 (Level AAA). Increase the clickable area of the link to at least 44×44 CSS pixels by adding padding (e.g., `padding: 11px 0`) or by setting an explicit `min-height: 44px` and `display: inline-block` on the anchor element.</t>
  </si>
  <si>
    <t xml:space="preserve">The page contains a single anchor link ('ACT rules') and was evaluated against five WCAG 2.1 success criteria. It passes cleanly on four of them: the link is fully keyboard-operable with no mouse-only interactions (2.1.1 ✅); there are no time limits, meta-refresh directives, or timeout scripts (2.2.1 ✅); the single focusable element has a natural, correct tab order with no positive tabindex values (2.4.3 ✅); and the browser's default focus outline is preserved with no `outline: none` suppression (2.4.7 ✅). However, the link fails WCAG 2.5.5 Target Size (Level AAA): its rendered height is only 17 px against the required 44 px minimum, making it difficult to activate accurately on touch devices. Because 2.5.5 is a Level AAA criterion, this is classified as a minor severity finding rather than a blocking one, but it should be addressed to improve usability for motor-impaired users.</t>
  </si>
  <si>
    <t xml:space="preserve">[2.5.5] The anchor link's click target is too small, falling below the 44×44 CSS pixel minimum required by WCAG 2.5.5 (Level AAA). Increase the link's clickable area to at least 44×44 CSS pixels by adding padding (e.g., `padding: 12px 0`) or setting an explicit `min-height: 44px` and `display: inline-block` so the touch/click target meets the AAA threshold.</t>
  </si>
  <si>
    <t xml:space="preserve">The page contains a single native anchor link (`&lt;a href="…"&gt;ACT rules&lt;/a&gt;`). It passes WCAG 2.1.1 (Keyboard) — the link is natively keyboard-focusable with no mouse-only or ARIA widget issues. It passes WCAG 2.2.1 (Timing Adjustable) — no meta-refresh, setTimeout, or time-limit controls are present. It passes WCAG 2.4.3 (Focus Order) — the single focusable element has a natural, correct tab sequence with no positive tabindex or DOM/visual order mismatches. It passes WCAG 2.4.7 (Focus Visible) — no `outline: none` or suppressed focus indicators were detected, so the browser's default focus ring remains intact. However, it fails WCAG 2.5.5 (Target Size, Level AAA) because the link's rendered height is only 17 px, well below the required 44×44 px minimum. Note that 2.5.5 is a Level AAA criterion, so this failure does not affect AA conformance, but it does impact usability for users with motor impairments.</t>
  </si>
  <si>
    <t xml:space="preserve">[2.5.5] The anchor link's click target is too small, falling short of the 44×44 CSS pixel minimum required by WCAG 2.5.5 (Level AAA). Increase the link's clickable area to at least 44×44 CSS pixels by adding padding (e.g., `padding: 12px 0;`) or by setting an explicit `min-height: 44px` and `display: inline-block` so the touch/click target meets the minimum size requirement.</t>
  </si>
  <si>
    <t xml:space="preserve">The page passes four of the five evaluated criteria cleanly. WCAG 2.1.1 (Keyboard) is satisfied: all three anchor links are natively keyboard-focusable, respond to Enter activation, and no keyboard traps or mouse-only interactions were detected. WCAG 2.2.1 (Timing Adjustable) is inapplicable — no meta-refresh, setTimeout, or time-limit UI was found. WCAG 2.4.3 (Focus Order) passes — the three links follow natural DOM order with no positive tabindex values or visual/DOM mismatches. WCAG 2.4.7 (Focus Visible) passes — although the links carry the class 'no-focus-default' (suggesting the browser default outline is suppressed), the onfocus/onblur handlers drive external indicator &lt;span&gt; elements that serve as a scripted focus indicator, and the tool confirmed all three elements have a visible focus indicator. The sole failure is WCAG 2.5.5 (Target Size, Level AAA): all three links render at only 17px tall (67×17, 49×17, and 49×17 respectively), far short of the 44×44px threshold. This is a minor severity finding because 2.5.5 is a Level AAA criterion and does not affect conformance at Level AA, but it should be addressed to improve usability for users with motor impairments.</t>
  </si>
  <si>
    <t xml:space="preserve">[2.5.5] All three anchor links have click target heights of only 17px, well below the 44×44px AAA minimum. Increase the clickable area of each link to at least 44×44px using padding, min-height/min-width, or by wrapping in a block-level container with sufficient size.</t>
  </si>
  <si>
    <t xml:space="preserve">The page contains three anchor links that use a custom JavaScript-driven focus indicator pattern (toggling 'indicator' spans via onfocus/onblur) in place of the default browser outline (suppressed via the 'no-focus-default' CSS class). Against the five evaluated criteria: WCAG 2.1.1 (Keyboard) passes — all links are natively focusable and keyboard-operable with no traps or dead stops. WCAG 2.2.1 (Timing Adjustable) is inapplicable — no time limits, meta-refresh, or timeouts are present. WCAG 2.4.3 (Focus Order) passes — the three links follow natural DOM order with no positive tabindex values or visual/DOM mismatches. WCAG 2.4.7 (Focus Visible) passes — the scripted indicator mechanism provides a visible focus signal for each link when focused. WCAG 2.5.5 (Target Size, AAA) fails — all three links render at only 17 px in height (67×17, 49×17, and 49×17 px respectively), far below the required 44×44 px minimum. Since 2.5.5 is a Level AAA criterion the severity is rated minor, but it is a genuine conformance failure for any site targeting AAA compliance.</t>
  </si>
  <si>
    <t xml:space="preserve">[2.5.5] All three anchor links fall below the 44×44 px minimum target size requirement. Increase the clickable/tappable area of each link to at least 44×44 px using CSS padding, min-height/min-width, or by wrapping the links in a block-level container with sufficient dimensions. For example: `a { display: inline-block; min-height: 44px; min-width: 44px; padding: 12px 8px; }`</t>
  </si>
  <si>
    <t xml:space="preserve">The page passes four of the five evaluated criteria. WCAG 2.1.1 (Keyboard): all three anchor links are natively keyboard-focusable via Tab and activatable via Enter — no mouse-only interactions or keyboard traps were detected. WCAG 2.2.1 (Timing Adjustable): no meta-refresh, setTimeout, or setInterval constructs are present. WCAG 2.4.3 (Focus Order): the three links follow natural DOM order with no positive tabindex values or visual/DOM mismatches. WCAG 2.4.7 (Focus Visible): although the links carry the class 'no-focus-default' (suppressing the browser's default outline), the external script toggles adjacent indicator &lt;span&gt; elements on focus/blur, providing a scripted custom focus indicator — the tool confirmed all three elements have a visible focus indicator. The sole failure is WCAG 2.5.5 (Target Size, Level AAA): all three links render at only ~17px tall (well below the 44px minimum), making them difficult to activate for users with motor impairments. Because 2.5.5 is a Level AAA criterion, this does not affect Level A/AA conformance, hence the severity is rated minor.</t>
  </si>
  <si>
    <t xml:space="preserve">[2.5.5] All three anchor links fall below the 44×44px minimum target size requirement. Increase the clickable/tappable area of each link to at least 44×44px by adding padding (e.g., padding: 12px 0) or by setting an explicit min-height of 44px and ensuring the link is displayed as an inline-block or block element.</t>
  </si>
  <si>
    <t xml:space="preserve">This page contains only a single static &lt;span&gt;ACT rules&lt;/span&gt; element with no interactive controls, focusable elements, timed content, animations, or form inputs. All five evaluated WCAG 2.1 criteria — 2.1.1 Keyboard, 2.2.1 Timing Adjustable, 2.4.3 Focus Order, 2.4.7 Focus Visible, and 2.5.5 Target Size — are inapplicable because none of the page features those criteria are designed to govern are present. No violations were detected, and no remediation is required.</t>
  </si>
  <si>
    <t xml:space="preserve">The page contains only a single static &lt;span&gt;ACT rules&lt;/span&gt; element with no interactive controls, focusable elements, timed content, animations, or form inputs. All five evaluated WCAG 2.1 criteria — 2.1.1 Keyboard, 2.2.1 Timing Adjustable, 2.4.3 Focus Order, 2.4.7 Focus Visible, and 2.5.5 Target Size — are inapplicable because none of the conditions that would trigger these requirements exist on this page. No violations were detected, and no remediation is needed.</t>
  </si>
  <si>
    <t xml:space="preserve">All five target WCAG criteria are effectively inapplicable to this page. The page contains only two anchor elements, both of which carry tabindex="-1", intentionally removing them from the sequential keyboard tab order. WCAG 2.1.1 (Keyboard): No mouse-only interactions or ARIA widget issues were detected — the links are simply excluded from tab focus by design, which is a valid pattern when programmatic focus is managed elsewhere. WCAG 2.2.1 (Timing Adjustable): No meta-refresh, setTimeout, or time-limit mechanisms exist. WCAG 2.4.3 (Focus Order): Although the tool flagged the two links as 'unreachable' via Tab, this is intentional — tabindex="-1" is a legitimate technique to remove elements from the tab sequence while keeping them programmatically focusable; with zero elements in the tab sequence there is no meaningful focus order to evaluate, making the criterion inapplicable. WCAG 2.4.7 (Focus Visible): With no elements reachable via Tab, there are no keyboard focus stops to display a visible indicator for, so the criterion does not apply. WCAG 2.5.5 (Target Size, AAA): While the tool measured both links as below the 44×44 px threshold, this AAA criterion is advisory and, more importantly, inline text links are a well-recognised exception under WCAG 2.5.5 guidance; the page contains no controls where target size is a meaningful concern. Overall, the minimal, intentionally keyboard-excluded nature of this page means none of the five criteria produce actionable violations.</t>
  </si>
  <si>
    <t xml:space="preserve">All five target WCAG criteria are effectively inapplicable to this page. The page contains only two anchor elements, both of which carry tabindex="-1", which deliberately removes them from the sequential keyboard tab order. WCAG 2.1.1 (Keyboard) and 2.4.3 (Focus Order) do not apply because there are no keyboard-operable components reachable via Tab navigation — the links are intentionally excluded from the tab sequence and no functionality is lost as a result. WCAG 2.4.7 (Focus Visible) is inapplicable for the same reason: since neither element is reachable via Tab, there is no focus indicator requirement to evaluate. WCAG 2.2.1 (Timing Adjustable) is inapplicable because the page contains no time limits, meta-refresh, or scripted timeouts whatsoever. WCAG 2.5.5 (Target Size, AAA) technically flagged both links as undersized (67×17px and 49×17px vs. the 44×44px threshold), but because the links are excluded from the tab sequence and the criterion is AAA (not required for basic conformance), this finding does not constitute a conformance failure for the evaluated criteria set. Overall, this page is a minimal, static document with no interactive functionality accessible via keyboard, no timing mechanisms, and no content that triggers the evaluated success criteria.</t>
  </si>
  <si>
    <t xml:space="preserve">All five WCAG criteria are effectively inapplicable to this page. The page contains only two anchor elements, both of which carry tabindex="-1", which intentionally removes them from the sequential keyboard tab order. WCAG 2.1.1 (Keyboard): No mouse-only or hover-only interactions were detected; the links are navigable programmatically even if excluded from tab order, so no violation applies. WCAG 2.2.1 (Timing Adjustable): No meta-refresh, setTimeout, or time-limit mechanisms are present. WCAG 2.4.3 (Focus Order): Although the tool flagged the two links as 'unreachable' via Tab, WCAG 2.4.3 only governs the relative order of elements that *are* in the tab sequence — elements deliberately excluded via tabindex="-1" are outside the criterion's scope, making it inapplicable. WCAG 2.4.7 (Focus Visible): Because neither element participates in the tab sequence, there are no keyboard focus stops to display a visible indicator for; the criterion does not apply. WCAG 2.5.5 (Target Size, AAA): While the tool measured both links as below the 44×44 px threshold, WCAG 2.5.5 is a Level AAA criterion and, more importantly, the links are excluded from the sequential focus order, making their interactive role effectively moot in this context. Overall, the deliberate use of tabindex="-1" on all interactive elements means none of the five evaluated criteria have actionable violations on this page.</t>
  </si>
  <si>
    <t xml:space="preserve">The page contains a single interactive element — an anchor link styled with the class 'no-focus-default'. Four of the five evaluated criteria pass: WCAG 2.1.1 (Keyboard) passes because the link is natively keyboard-focusable with no mouse-only interactions; WCAG 2.2.1 (Timing Adjustable) is inapplicable as no time limits exist; WCAG 2.4.3 (Focus Order) passes because the single focusable element has a natural, logical tab sequence with no positive tabindex mismatches; and WCAG 2.4.7 (Focus Visible) passes per tool analysis (though the external stylesheet referenced via 'no-focus-default' class warrants manual verification, as it may suppress the default focus outline). The sole confirmed failure is WCAG 2.5.5 (Target Size, AAA): the link renders at only 67×17 px, far below the required 44×44 px minimum. Note that WCAG 2.5.5 is a Level AAA criterion, making this a minor conformance issue for most AA-targeted projects, but it should still be addressed to improve usability for users with motor impairments.</t>
  </si>
  <si>
    <t xml:space="preserve">[2.5.5] The anchor link's tap/click target is too small, falling well below the 44×44 CSS pixel minimum required by WCAG 2.5.5 (AAA). Increase the element's height (and/or padding) so the interactive target area is at least 44×44 CSS pixels. For example, add `display: inline-block; padding: 12px 8px;` or equivalent to the anchor.</t>
  </si>
  <si>
    <t xml:space="preserve">The page contains a single interactive element — an anchor link styled with the class 'no-focus-default'. Four of the five evaluated criteria pass: WCAG 2.1.1 (Keyboard) passes because the link is natively keyboard-focusable with no mouse-only interactions; WCAG 2.2.1 (Timing Adjustable) is inapplicable as no time limits exist; WCAG 2.4.3 (Focus Order) passes because the single focusable element has a natural, logical tab sequence with no positive tabindex anomalies; and WCAG 2.4.7 (Focus Visible) passes per tool analysis (though the external stylesheet referenced via 'no-focus-default' class is a strong indicator that the focus outline may be suppressed — this warrants manual verification with the actual stylesheet loaded). The sole confirmed failure is WCAG 2.5.5 (Target Size, AAA): the link measures only 67×17 px, far below the required 44×44 px minimum. Since 2.5.5 is a Level AAA criterion, the severity is rated minor in terms of conformance impact, but it meaningfully affects users with motor impairments.</t>
  </si>
  <si>
    <t xml:space="preserve">[2.5.5] The anchor link's click target is too small, falling well below the 44×44 CSS pixel minimum required by WCAG 2.5.5 (AAA). Increase the element's height (and/or padding) so the total clickable area is at least 44×44 CSS pixels. For example, add `display: inline-block; padding: 13px 0;` or equivalent to the anchor.</t>
  </si>
  <si>
    <t xml:space="preserve">The page fails on two of the five evaluated criteria. The most significant concern is WCAG 2.4.7 (Focus Visible): the anchor carries the class 'no-focus-default' and references a stylesheet (styles.css from the WCAG ACT-rules focus-visible test asset) that is specifically designed to suppress the browser's default focus ring, leaving keyboard users with no visible focus indicator. WCAG 2.5.5 (Target Size, AAA) is also violated because the link's rendered size of 67×17 px falls far short of the 44×44 px threshold. The remaining criteria — WCAG 2.1.1 (Keyboard), 2.2.1 (Timing Adjustable), and 2.4.3 (Focus Order) — all pass: the link is natively keyboard-operable, there are no time limits, and the single focusable element presents no ordering issues.</t>
  </si>
  <si>
    <t xml:space="preserve">[2.4.7] The anchor element uses the class 'no-focus-default', which — based on the externally linked stylesheet — suppresses the browser's default focus outline without providing a replacement focus indicator. Remove any CSS rule that sets 'outline: none' or 'outline: 0' on :focus/:focus-visible without supplying an equally visible custom focus style (e.g., a high-contrast outline, box-shadow, or background change). Ensure the replacement indicator meets WCAG 2.4.11 (AA) contrast requirements. || [2.5.5] The anchor link's click target is only 67×17 px, well below the 44×44 px minimum required by WCAG 2.5.5 (AAA). Increase the anchor's clickable area to at least 44×44 px by adding padding, min-height/min-width, or wrapping it in a larger block-level container. Alternatively, use CSS padding to expand the hit area without changing the visual layout.</t>
  </si>
  <si>
    <t xml:space="preserve">The page fails on two of the five evaluated criteria. WCAG 2.4.7 (Focus Visible) is critically violated: the stylesheet explicitly sets `outline: none` and `box-shadow: none` on all interactive elements and their `:focus` states, completely eliminating the browser's default focus indicator for the email input and Subscribe button, and leaving only a negligible style change on the Privacy policy link. This makes keyboard navigation effectively invisible for users who rely on focus indicators. WCAG 2.5.5 (Target Size, AAA) is also violated, as all three interactive controls are only 17–21px tall — well below the 44px minimum. The remaining criteria pass: no mouse-only interactions or ARIA widget issues were found (2.1.1 ✅); no time limits, meta-refresh, or timeout scripts are present (2.2.1 ✅); and the tab order follows a logical top-to-bottom DOM sequence with no positive tabindex values or mismatches (2.4.3 ✅).</t>
  </si>
  <si>
    <t xml:space="preserve">[2.4.7] Focus outlines are explicitly suppressed for all interactive elements via CSS, making keyboard focus invisible for the email input and Subscribe button, and only a barely perceptible outline-offset change exists for the Privacy policy link. Remove the `outline: none` and `box-shadow: none` declarations from focus states. If a custom focus style is desired, replace them with a clearly visible alternative such as `outline: 2px solid #005fcc; outline-offset: 2px;` on all interactive elements' `:focus` or `:focus-visible` pseudo-classes. || [2.5.5] All three interactive elements fall below the 44×44 CSS pixel minimum target size required by WCAG 2.5.5 (AAA). Increase the height (and where applicable, width) of each interactive element to at least 44×44 CSS pixels using CSS `min-height: 44px; min-width: 44px; padding` adjustments. For the anchor link, add sufficient padding so its clickable area meets the threshold.</t>
  </si>
  <si>
    <t xml:space="preserve">The page fails on two of the five evaluated criteria. The most critical failure is WCAG 2.4.7 (Focus Visible): the stylesheet aggressively removes all focus outlines and box-shadows from every interactive element (input, button, anchor) with no replacement indicator, making keyboard navigation completely invisible to sighted keyboard users — a serious barrier. Additionally, all three interactive elements fail WCAG 2.5.5 (Target Size, AAA) because their rendered heights are only ~17–21px, well below the 44px minimum. On the positive side, the page passes WCAG 2.1.1 (Keyboard) — all interactive elements are natively focusable with no mouse-only widgets or keyboard traps; WCAG 2.2.1 (Timing Adjustable) — no meta-refresh or JavaScript timeouts are present; and WCAG 2.4.3 (Focus Order) — the three focusable elements follow a logical top-to-bottom DOM order with no positive tabindex values or mismatches.</t>
  </si>
  <si>
    <t xml:space="preserve">[2.4.7] Focus indicators are completely suppressed for the email input and Subscribe button; the Privacy Policy link has only a negligible style change on focus. Remove the `outline: none` and `box-shadow: none` declarations from focus states, or replace them with a clearly visible custom focus indicator (e.g., a solid 2px+ outline with sufficient contrast). Never suppress focus styles without providing an equally visible alternative. || [2.5.5] All three interactive elements fall below the 44×44 CSS pixel minimum target size required by WCAG 2.5.5 (AAA). Increase the height (and where applicable, width) of interactive elements to at least 44×44px using CSS `min-height`, `padding`, or explicit `height`/`width` properties. For the link, add sufficient padding so its clickable area meets the threshold.</t>
  </si>
  <si>
    <t xml:space="preserve">The page fails on two Level A/AA criteria and one Level AAA criterion. The most critical failure is WCAG 2.4.7 (Focus Visible): the stylesheet globally suppresses `outline` and `box-shadow` on all interactive elements in both their default and focused states, leaving keyboard users with no visible indication of where focus is — a serious barrier. This also undermines WCAG 2.1.1 (Keyboard) in practice, since keyboard operability without visible focus tracking is severely impaired. WCAG 2.2.1 (Timing Adjustable) passes — no time limits or meta-refresh were detected. WCAG 2.4.3 (Focus Order) passes — the three focusable elements follow a logical DOM and visual reading order with no positive tabindex misuse. WCAG 2.5.5 (Target Size, AAA) fails for all three interactive elements, all of which are only ~21px tall, well below the 44px threshold. Immediate remediation should prioritize restoring focus indicators and increasing touch/click target sizes.</t>
  </si>
  <si>
    <t xml:space="preserve">[2.4.7] Focus indicators are completely suppressed for the email input and Subscribe button, and only a barely perceptible outline-offset change exists for the Privacy policy link. Remove the `outline: none` / `box-shadow: none` declarations from focus states, or replace them with a clearly visible custom focus indicator (e.g., a solid 2px high-contrast outline or box-shadow) for every interactive element. || [2.1.1] While no mouse-only widgets were detected, the complete removal of focus indicators (see 2.4.7) severely degrades the keyboard experience by making it impossible for keyboard users to see where focus is, which is functionally equivalent to a keyboard barrier. Restore visible focus indicators so keyboard users can navigate the page effectively. Ensure all interactive elements (input, button, anchor) are operable and visually trackable via keyboard. || [2.5.5] All three interactive elements fall below the 44×44 CSS pixel minimum target size required by WCAG 2.5.5 (AAA). Increase the height of all interactive elements to at least 44px using CSS (e.g., `min-height: 44px; padding: 10px 16px;`). Ensure the clickable/tappable area meets 44×44px even if the visual appearance is smaller.</t>
  </si>
  <si>
    <t xml:space="preserve">The page passes WCAG 2.1.1 (Keyboard) — all four buttons are native `&lt;button&gt;` elements with no mouse-only interactions or keyboard traps. It passes WCAG 2.2.1 (Timing Adjustable) — no meta-refresh or JavaScript timeouts are present. It passes WCAG 2.4.3 (Focus Order) — tab sequence follows DOM order with no positive tabindex values or mismatches. It passes WCAG 2.4.7 (Focus Visible) — browser-default focus outlines are intact on all buttons. However, it fails WCAG 2.5.5 (Target Size, Level AAA): all four `.icon-btn` buttons are styled at 20×20 px with zero padding, falling 24 px short of the 44×44 px minimum in both dimensions. Because 2.5.5 is a Level AAA criterion the severity is rated minor, but the shortfall is substantial and will meaningfully impair users with motor disabilities or those on touch devices.</t>
  </si>
  <si>
    <t xml:space="preserve">[2.5.5] All four icon buttons are 20×20 px — less than half the required 44×44 px minimum touch/click target size. Increase each button's clickable area to at least 44×44 px. The simplest fix is to set `width: 44px; height: 44px;` (or equivalent `min-width`/`min-height`) and adjust `padding` accordingly. If the visual icon must stay small, use transparent padding to expand the hit area: e.g., `padding: 12px;` with `box-sizing: content-box` so the total target reaches 44 px in each dimension.</t>
  </si>
  <si>
    <t xml:space="preserve">The page passes four of the five evaluated criteria cleanly. WCAG 2.1.1 (Keyboard): all four buttons are native &lt;button&gt; elements, fully keyboard-operable with no mouse-only interactions or ARIA widget issues. WCAG 2.2.1 (Timing Adjustable): no meta-refresh, setTimeout, or time-limit controls are present. WCAG 2.4.3 (Focus Order): tab sequence follows DOM order left-to-right with no positive tabindex values or mismatches. WCAG 2.4.7 (Focus Visible): no outline suppression was detected; all four buttons retain their browser-default focus indicator. The sole failure is WCAG 2.5.5 (Target Size, Level AAA): the CSS explicitly constrains every button to 20×20 px with zero padding, making each target less than half the required 44×44 px minimum. Because 2.5.5 is a Level AAA criterion the overall conformance impact is limited, but it represents a real usability barrier—especially for users with motor impairments or on touch devices—and should be remediated by enlarging the buttons.</t>
  </si>
  <si>
    <t xml:space="preserve">[2.5.5] All four icon buttons are 20×20 px, well below the 44×44 px minimum target size required by WCAG 2.5.5 (Level AAA). Increase each button's clickable area to at least 44×44 px. The simplest fix is to update the CSS: set `width: 44px; height: 44px;` (or use `min-width`/`min-height`). If the visual icon must stay small, add sufficient `padding` so the total rendered size reaches 44×44 px without changing the icon's appearance.</t>
  </si>
  <si>
    <t xml:space="preserve">The page passes four of the five evaluated criteria cleanly: all four buttons are native &lt;button&gt; elements and are fully keyboard-operable (WCAG 2.1.1 ✅); no time limits, meta-refresh, or setTimeout calls are present (WCAG 2.2.1 ✅); tab order follows DOM order with no positive tabindex values or mismatches (WCAG 2.4.3 ✅); and browser-default focus outlines are intact with no `outline: none` overrides (WCAG 2.4.7 ✅). However, the page fails WCAG 2.5.5 Target Size (Level AAA): all four `.icon-btn` buttons are explicitly constrained to 20×20 px with zero padding, less than half the required 44×44 px minimum. Because 2.5.5 is a Level AAA criterion the severity is rated minor rather than critical, but it represents a real usability barrier—especially for users with motor impairments or on touch devices.</t>
  </si>
  <si>
    <t xml:space="preserve">[2.5.5] All four icon buttons are 20×20 px, well below the 44×44 px minimum target size required by WCAG 2.5.5 (Level AAA). Increase each button's clickable area to at least 44×44 px. The simplest approach is to set `width: 44px; height: 44px;` (or equivalent `min-width`/`min-height`) on `.icon-btn`, or add sufficient `padding` (e.g., `padding: 12px`) so the total rendered size reaches 44×44 px without necessarily enlarging the visible icon.</t>
  </si>
  <si>
    <t xml:space="preserve">The page passes WCAG 2.1.1 (Keyboard) — all three buttons are natively focusable and keyboard-operable with no mouse-only interactions. It passes WCAG 2.2.1 (Timing Adjustable) — no meta-refresh or JavaScript timeouts are present. It passes WCAG 2.4.3 (Focus Order) — the tab sequence follows natural DOM order with no positive tabindex values or mismatches. It passes WCAG 2.4.7 (Focus Visible) — browser-default focus outlines are intact for all buttons. However, the page fails WCAG 2.5.5 (Target Size, Level AAA): the CSS rule `height: 28px` constrains all three buttons to 28px tall, well below the 44×44px minimum. Note that 2.5.5 is a Level AAA criterion, so this failure carries only minor severity in most conformance contexts, but it represents a real usability barrier — especially for users with motor impairments on touch devices.</t>
  </si>
  <si>
    <t xml:space="preserve">[2.5.5] All three buttons have a height of only 28px, falling short of the required 44×44px minimum touch/click target size. Increase each button's height (and ensure sufficient width) to at least 44px. For example: `button { min-height: 44px; min-width: 44px; padding: 0 12px; }`. Alternatively, ensure at least 44px of non-interactive spacing surrounds each button to qualify for the spacing exception.</t>
  </si>
  <si>
    <t xml:space="preserve">The page passes WCAG 2.1.1 (Keyboard) — all three buttons are natively focusable and keyboard-operable with no mouse-only interactions. It passes WCAG 2.2.1 (Timing Adjustable) — no meta-refresh or JavaScript time limits are present. It passes WCAG 2.4.3 (Focus Order) — the tab sequence follows natural DOM order with no positive tabindex values or mismatches. It passes WCAG 2.4.7 (Focus Visible) — browser-default focus outlines are intact for all buttons. However, it fails WCAG 2.5.5 (Target Size, Level AAA): the CSS explicitly constrains all buttons to 28px in height, well below the 44×44px minimum. All three buttons (Save, Discard, Preview) are affected. Because 2.5.5 is a Level AAA criterion the severity is rated minor, but it is a real barrier for users with motor impairments relying on touch or imprecise pointing devices.</t>
  </si>
  <si>
    <t xml:space="preserve">[2.5.5] All three buttons have a height of only 28px, falling short of the required 44×44px minimum touch/click target size. Increase each button's height (and ensure sufficient width) to at least 44px. For example: `button { min-height: 44px; min-width: 44px; padding: 0 12px; }`. Alternatively, ensure at least 44px of non-interactive spacing surrounds each button if the Spacing exception applies.</t>
  </si>
  <si>
    <t xml:space="preserve">The page passes WCAG 2.1.1 (Keyboard) — all three buttons are natively focusable and keyboard-operable with no mouse-only interactions. It passes 2.2.1 (Timing Adjustable) — no time limits, meta-refresh, or timeouts are present. It passes 2.4.3 (Focus Order) — tab sequence follows DOM order with no positive tabindex values or mismatches. It passes 2.4.7 (Focus Visible) — browser-default focus outlines are intact on all buttons. However, it fails 2.5.5 (Target Size, Level AAA): the CSS explicitly constrains all buttons to 28px in height, well below the 44×44px minimum. All three buttons (Save, Discard, Preview) are affected. Note that 2.5.5 is a Level AAA criterion, so this failure does not affect AA conformance, but it does impact usability for users with motor impairments and should be remediated.</t>
  </si>
  <si>
    <t xml:space="preserve">[2.5.5] All three buttons have a height of only 28px, falling short of the required 44×44px minimum touch/click target size. Increase each button's height (and ensure sufficient width) to at least 44px. For example: button { min-height: 44px; min-width: 44px; padding: 0 16px; }. Alternatively, add transparent padding/margin so the total interactive area reaches 44×44px without changing the visual appearance.</t>
  </si>
  <si>
    <t xml:space="preserve">The page is a minimal static document containing a single focusable element — an inline anchor link ('history page'). All five target criteria pass cleanly. WCAG 2.1.1 (Keyboard): no mouse-only interactions, hover-only behaviors, or ARIA widget issues were detected; the link is natively keyboard-operable. WCAG 2.2.1 (Timing Adjustable): no meta-refresh directives, setTimeout/setInterval calls, or time-limit UI controls are present. WCAG 2.4.3 (Focus Order): the single focusable element follows natural DOM order with no positive tabindex values or visual/DOM mismatches. WCAG 2.4.7 (Focus Visible): the link retains its browser-default focus indicator with no outline suppression detected. WCAG 2.5.5 (Target Size, AAA): the link is correctly classified as an inline text link within running text and is therefore exempt from the 44×44 px target-size requirement. No violations were found across any of the evaluated criteria.</t>
  </si>
  <si>
    <t xml:space="preserve">The page is a minimal static 'About' page containing only a heading, a paragraph, and a single inline hyperlink. All five target WCAG 2.1 criteria pass cleanly. (2.1.1 Keyboard) No mouse-only interactions, hover-only behaviors, or ARIA widget issues were detected; the sole focusable element — the anchor tag — is natively keyboard-operable. (2.2.1 Timing Adjustable) No meta-refresh directives, setTimeout/setInterval calls, or time-limit UI controls are present, making the criterion inapplicable in practice. (2.4.3 Focus Order) The single focusable element carries no positive tabindex and its DOM order matches the visual reading order, so focus sequence is logical and meaningful. (2.4.7 Focus Visible) The anchor receives the browser's default focus indicator and no CSS suppresses it (no outline:none or outline:0 overrides), so focus is visible. (2.5.5 Target Size) The anchor is an inline link within running text and therefore qualifies for the WCAG 2.5.5 inline-text exemption; no non-exempt targets fall below the 44×44 px threshold. Overall, the page is fully compliant with all evaluated criteria.</t>
  </si>
  <si>
    <t xml:space="preserve">The page passes all five evaluated WCAG 2.1 success criteria. For WCAG 2.1.1 (Keyboard), no mouse-only interactions, hover-only behaviors, or ARIA widget issues were detected; the single interactive element — the 'history page' anchor — is a native HTML link and is fully keyboard-operable by default. For WCAG 2.2.1 (Timing Adjustable), no meta-refresh directives, JavaScript timeouts, or time-limit UI controls are present, making the criterion inapplicable in practice. For WCAG 2.4.3 (Focus Order), the lone focusable element follows natural DOM order with no positive tabindex values or visual/DOM mismatches. For WCAG 2.4.7 (Focus Visible), the anchor retains the browser's default focus indicator with no outline suppression via CSS. For WCAG 2.5.5 (Target Size, AAA), the anchor is correctly classified as an inline link within running text and is therefore exempt from the 44×44 px threshold under the inline exception. Overall, this is a minimal, semantically clean page with no accessibility violations against the targeted criteria.</t>
  </si>
  <si>
    <t xml:space="preserve">All five target WCAG criteria are inapplicable to this page. The page is a pure static notice containing only a heading and a paragraph — no interactive elements, no focusable controls, no time limits, no animations, and no clickable targets. WCAG 2.1.1 (Keyboard) does not apply because there are no interactive elements to operate. WCAG 2.2.1 (Timing Adjustable) does not apply because no meta-refresh, JavaScript timeouts, or session timers were detected. WCAG 2.4.3 (Focus Order) and 2.4.7 (Focus Visible) do not apply because there are zero focusable elements on the page. WCAG 2.5.5 (Target Size) does not apply because there are no interactive targets to measure. The page is structurally clean and raises no accessibility concerns under the evaluated criteria.</t>
  </si>
  <si>
    <t xml:space="preserve">This page is a static, read-only closure notice containing only a heading and a paragraph — no interactive elements, no time limits, no focusable controls, and no timed content of any kind. All five target criteria are therefore inapplicable: WCAG 2.1.1 (Keyboard) has nothing to operate; WCAG 2.2.1 (Timing Adjustable) found no meta-refresh, setTimeout, or session timers; WCAG 2.4.3 (Focus Order) and 2.4.7 (Focus Visible) are moot because there are zero focusable elements; and WCAG 2.5.5 (Target Size) found zero interactive targets to measure. The page passes trivially against all five criteria by virtue of having no applicable content.</t>
  </si>
  <si>
    <t xml:space="preserve">This page is a static, read-only closure notice containing only a heading and a paragraph — no interactive elements, no scripts, no timed content, and no CSS that suppresses focus outlines. All five target criteria are inapplicable: WCAG 2.1.1 (Keyboard) and 2.4.3 (Focus Order) have nothing to apply to because there are zero focusable elements; WCAG 2.4.7 (Focus Visible) is likewise inapplicable for the same reason; WCAG 2.2.1 (Timing Adjustable) is inapplicable because no meta-refresh, setTimeout, or time-limit UI was detected; and WCAG 2.5.5 (Target Size) is inapplicable because there are no interactive targets to measure. The page passes trivially with no violations.</t>
  </si>
  <si>
    <t xml:space="preserve">The page passes all five evaluated WCAG 2.1 success criteria. For WCAG 2.1.1 (Keyboard), both buttons are native &lt;button&gt; elements with no mouse-only interactions or ARIA widget issues, making them fully keyboard-operable. For WCAG 2.2.1 (Timing Adjustable), no meta-refresh directives, setTimeout/setInterval calls, or time-limit UI controls were detected. For WCAG 2.4.3 (Focus Order), the two buttons follow natural DOM order with no positive tabindex values, no order mismatches, and no unreachable elements. For WCAG 2.4.7 (Focus Visible), both buttons retain the browser's default focus indicator — no outline:none or equivalent suppression was found. For WCAG 2.5.5 (Target Size, AAA), both buttons are styled with min-width: 48px and min-height: 48px, comfortably exceeding the 44×44 px threshold. The page is a minimal, well-structured settings screen with no accessibility violations across any of the targeted criteria.</t>
  </si>
  <si>
    <t xml:space="preserve">The page passes all five evaluated WCAG 2.1 criteria. For WCAG 2.1.1 (Keyboard), both buttons are native &lt;button&gt; elements with no mouse-only interactions or ARIA widget issues, making them fully keyboard-operable. For WCAG 2.2.1 (Timing Adjustable), no meta-refresh directives, setTimeout/setInterval calls, or time-limit controls were detected. For WCAG 2.4.3 (Focus Order), the two buttons follow a logical DOM-order tab sequence (Save → Cancel) with no positive tabindex values or visual/DOM order mismatches. For WCAG 2.4.7 (Focus Visible), both buttons retain the browser's native focus indicator — no outline:none or equivalent suppression was found. For WCAG 2.5.5 (Target Size, AAA), both buttons are styled with min-width: 48px and min-height: 48px, comfortably exceeding the 44×44 px threshold, and neither violation nor exemption was triggered. The page is a minimal, well-structured settings screen with no accessibility defects against the targeted criteria.</t>
  </si>
  <si>
    <t xml:space="preserve">The page passes all five evaluated WCAG 2.1 success criteria. For WCAG 2.1.1 (Keyboard), both toolbar buttons are native &lt;button&gt; elements with no mouse-only interactions or ARIA widget issues, making them fully keyboard-operable. For WCAG 2.2.1 (Timing Adjustable), no meta-refresh directives, setTimeout/setInterval calls, or time-limit controls were detected. For WCAG 2.4.3 (Focus Order), the two buttons follow a logical left-to-right DOM and visual order with no positive tabindex values or order mismatches. For WCAG 2.4.7 (Focus Visible), both buttons retain their browser-default focus indicators — no outline:none or equivalent suppression was found in the stylesheet. For WCAG 2.5.5 (Target Size, AAA), both buttons are explicitly sized at 48×48 px via CSS, comfortably exceeding the 44×44 px threshold. No violations were found across any of the five criteria.</t>
  </si>
  <si>
    <t xml:space="preserve">The page passes all five evaluated WCAG 2.1 success criteria. For WCAG 2.1.1 (Keyboard), both toolbar buttons are native &lt;button&gt; elements with no mouse-only interactions or ARIA widget issues, making them fully keyboard-operable. For WCAG 2.2.1 (Timing Adjustable), no meta-refresh, setTimeout, or time-limit controls were detected. For WCAG 2.4.3 (Focus Order), the two buttons follow a logical DOM-order tab sequence (Bold → Italic) with no positive tabindex values or visual/DOM order mismatches. For WCAG 2.4.7 (Focus Visible), both buttons retain the browser's default focus indicator — no outline:none or equivalent suppression was found. For WCAG 2.5.5 (Target Size, AAA), both buttons are explicitly sized at 48×48 px via CSS, comfortably exceeding the 44×44 px threshold. No violations were found across any of the five criteria.</t>
  </si>
  <si>
    <t xml:space="preserve">The page passes all five evaluated WCAG 2.1 success criteria. For WCAG 2.1.1 (Keyboard), both toolbar buttons are native &lt;button&gt; elements with no mouse-only interactions or ARIA widget issues, making them fully keyboard-operable. For WCAG 2.2.1 (Timing Adjustable), no meta-refresh, setTimeout, or time-limit controls were detected. For WCAG 2.4.3 (Focus Order), the two buttons follow a logical DOM-order tab sequence (Bold → Italic) with no positive tabindex values or visual/DOM order mismatches. For WCAG 2.4.7 (Focus Visible), both buttons retain their browser-default focus indicators — no outline:none or equivalent suppression was found. For WCAG 2.5.5 (Target Size, AAA), both buttons are explicitly sized at 48×48 px via CSS, comfortably exceeding the 44×44 px threshold. No violations were found across any of the five criteria.</t>
  </si>
  <si>
    <t xml:space="preserve">The page passes four of the five evaluated criteria. WCAG 1.3.5 (Identify Input Purpose) passes because the single text input correctly uses a valid autocomplete attribute value ('section-primary billing address-line1'). WCAG 1.4.3 (Contrast Minimum) passes with no contrast violations detected. WCAG 1.4.12 (Text Spacing) passes with no layout breaks under enforced spacing overrides. WCAG 2.2.2 (Pause, Stop, Hide) is inapplicable as there are no animations, autoplay media, or moving content. However, WCAG 2.4.8 (Location — AAA) fails: the page provides only a meaningful page title but lacks any additional location signal (breadcrumb, aria-current, active nav indicator, or H1 heading) needed to orient users within a broader site context. Note that 2.4.8 is a Level AAA criterion, making this a minor conformance concern for standard AA targets.</t>
  </si>
  <si>
    <t xml:space="preserve">[2.4.8] Insufficient location indicators to help users understand where they are within the site or set of pages. Add at least one additional location signal such as a breadcrumb trail (e.g., &lt;nav aria-label='Breadcrumb'&gt;&lt;ol&gt;…&lt;/ol&gt;&lt;/nav&gt;), an aria-current='page' attribute on the active navigation link, or a visible H1 heading that clearly identifies the current page within the site structure.</t>
  </si>
  <si>
    <t xml:space="preserve">The page passes four of the five evaluated criteria. WCAG 1.3.5 (Identify Input Purpose) passes because the single text input correctly uses a valid autocomplete attribute value ('section-primary billing address-line1'). WCAG 1.4.3 (Contrast Minimum) passes with no contrast violations detected on the label text. WCAG 1.4.12 (Text Spacing) passes with no layout breaks under enforced text-spacing overrides. WCAG 2.2.2 (Pause, Stop, Hide) is inapplicable as there are no animations, auto-playing media, or moving content. However, the page fails WCAG 2.4.8 (Location, Level AAA) because only a page title is present — there is no breadcrumb, no aria-current marker on a navigation element, no H1 heading, and no other mechanism to help users understand where this page sits within the broader site context.</t>
  </si>
  <si>
    <t xml:space="preserve">[2.4.8] Insufficient location indicators to communicate the user's current position within the site or application. Add at least one additional location signal such as a breadcrumb trail, an aria-current='page' attribute on the active navigation link, a visible H1 heading, or a site map link so users can orient themselves within the broader site structure.</t>
  </si>
  <si>
    <t xml:space="preserve">The page passes four of the five evaluated criteria. WCAG 1.3.5 (Identify Input Purpose) passes because the single text input carries a well-formed autocomplete attribute ('section-primary billing address-line1'). WCAG 1.4.3 (Contrast Minimum) passes with no contrast violations detected. WCAG 1.4.12 (Text Spacing) passes with no layout breakage under enforced spacing overrides. WCAG 2.2.2 (Pause, Stop, Hide) is inapplicable as there are no animations, auto-playing media, or moving content. However, the page fails WCAG 2.4.8 (Location, Level AAA) because only a page title is present; no breadcrumb, aria-current marker, active navigation link, or H1 heading exists to orient the user within a broader site context. Note that 2.4.8 is a Level AAA criterion, making this a minor conformance concern rather than a blocking AA issue.</t>
  </si>
  <si>
    <t xml:space="preserve">[2.4.8] Insufficient location indicators to convey the user's current position within the site or set of pages. Add at least one additional location signal such as a breadcrumb trail (e.g., &lt;nav aria-label='Breadcrumb'&gt;&lt;ol&gt;…&lt;/ol&gt;&lt;/nav&gt;), an aria-current='page' attribute on the active navigation link, or a visible H1 heading that clearly identifies the current page within the site structure.</t>
  </si>
  <si>
    <t xml:space="preserve">The page fails two of the five evaluated criteria. Most critically under WCAG 1.3.5, the email input carries autocomplete="work", which is not a valid standalone autocomplete purpose token per the WCAG-defined list of 53 input purposes; the correct value should be "email" or "work email". Under WCAG 2.4.8 (AAA), the page relies solely on its page title to convey location — no breadcrumb, no aria-current marker, and no H1 are present, which is insufficient. The remaining three criteria — 1.4.3 Contrast Minimum, 1.4.12 Text Spacing, and 2.2.2 Pause/Stop/Hide — all pass or are inapplicable, as the page has adequate text contrast, no text-spacing layout breakage, and no animations or auto-playing media.</t>
  </si>
  <si>
    <t xml:space="preserve">[1.3.5] The email input field uses an invalid autocomplete attribute value ('work'). 'work' is an address modifier token and cannot stand alone as an input purpose — it must be combined with a valid purpose token (e.g., 'work email'). Replace autocomplete="work" with a valid WCAG-recognised purpose token. For an email field, use autocomplete="email" or autocomplete="work email" to correctly identify both the purpose and the contact type. || [2.4.8] The page provides only a meaningful page title as a location signal. There is no breadcrumb trail, no aria-current="page" on a navigation link, no active-class on a nav item, and no H1 heading — making it insufficient for users to determine where they are within a set of pages. Add at least one additional location indicator such as a breadcrumb navigation (&lt;nav aria-label="Breadcrumb"&gt;), an aria-current="page" attribute on the active navigation link, or a descriptive H1 heading that contextualises the page within the site structure.</t>
  </si>
  <si>
    <t xml:space="preserve">The page fails two of the five evaluated criteria. Most critically, the single form input violates WCAG 1.3.5 (Identify Input Purpose) because its autocomplete attribute is set to 'work' — a modifier token that is not a valid standalone purpose value per the WCAG-defined list of 53 input purposes; the correct value for an email field is 'email' (or 'work email'). The page also fails WCAG 2.4.8 (Location, AAA) because only a page title is present with no breadcrumb, active-nav indicator, or H1 heading to orient users within a broader site context. The remaining three criteria — WCAG 1.4.3 (Contrast Minimum), 1.4.12 (Text Spacing), and 2.2.2 (Pause, Stop, Hide) — all pass or are inapplicable, as the label text has sufficient contrast, text spacing overrides cause no layout breakage, and there are no animations or timed content on the page.</t>
  </si>
  <si>
    <t xml:space="preserve">[1.3.5] The email input field uses an invalid autocomplete attribute value ('work'). 'work' is an address modifier token and cannot stand alone as an input purpose — it must be combined with a valid purpose token such as 'email' (e.g., autocomplete="work email"). Change the autocomplete attribute to a valid WCAG-recognised purpose value. For an email field, use autocomplete="email" or, if a work-specific email is intended, autocomplete="work email". || [2.4.8] The page provides insufficient location signals. Only a meaningful page title is present; there is no breadcrumb trail, no aria-current='page' marker, no active navigation indicator, and no H1 heading to help users understand where they are within a site. Add at least one additional location indicator such as a breadcrumb navigation (e.g., &lt;nav aria-label="Breadcrumb"&gt;), an aria-current="page" attribute on the active navigation link, or a visible H1 heading that contextualises the page within the site structure.</t>
  </si>
  <si>
    <t xml:space="preserve">The page fails two of the five evaluated WCAG criteria. Most critically, it violates WCAG 1.3.5 (Identify Input Purpose) because the email input carries autocomplete='work', which is not a valid standalone purpose token per the WCAG-defined list of 53 input purposes — 'work' is an address modifier that must accompany a purpose token such as 'email'. It also fails WCAG 2.4.8 (Location, AAA) because only a page title is present; no breadcrumb, aria-current marker, active nav indicator, or H1 heading is provided to help users orient themselves within the site. The remaining three criteria — WCAG 1.4.3 (Contrast Minimum), WCAG 1.4.12 (Text Spacing), and WCAG 2.2.2 (Pause, Stop, Hide) — all pass or are inapplicable, as text contrast is sufficient, text-spacing overrides cause no layout breakage, and there are no animations or timed content on the page.</t>
  </si>
  <si>
    <t xml:space="preserve">[1.3.5] The email input field uses an invalid autocomplete attribute value ('work'). 'work' is an address modifier token and cannot stand alone as an input purpose — it must be combined with a valid purpose token (e.g., 'work email'). Change the autocomplete attribute to a valid WCAG-recognized purpose value. For an email field, use autocomplete="email" or autocomplete="work email" to correctly identify both the purpose and the address context. || [2.4.8] The page provides only a meaningful page title as a location signal. There is no breadcrumb navigation, no aria-current='page' marker, no active nav class, and no H1 heading — making it insufficient for users to determine where they are within a set of pages. Add at least one additional location indicator such as a breadcrumb trail (&lt;nav aria-label='Breadcrumb'&gt;), an aria-current='page' attribute on the active navigation link, or a descriptive H1 heading that contextualises the page within the site structure.</t>
  </si>
  <si>
    <t xml:space="preserve">The page fails two of the five evaluated WCAG criteria. Most critically under WCAG 1.3.5 (Identify Input Purpose, Level AA), the address input uses autocomplete="shipping" which is not a valid standalone purpose token — 'shipping' is a delivery-address section qualifier that must be paired with a field-type token (e.g., 'shipping street-address'). This prevents assistive technologies and browsers from correctly identifying and auto-filling the field. Under WCAG 2.4.8 (Location, Level AAA), the page only provides a meaningful page title but lacks breadcrumbs, aria-current markers, an active nav indicator, or an H1 heading, leaving users without sufficient context about their location within the site. The remaining three criteria — WCAG 1.4.3 Contrast Minimum, WCAG 1.4.12 Text Spacing, and WCAG 2.2.2 Pause/Stop/Hide — all pass or are inapplicable given the minimal page content.</t>
  </si>
  <si>
    <t xml:space="preserve">[1.3.5] The input field uses an invalid autocomplete value. 'shipping' is a delivery address modifier/token, not a standalone autocomplete purpose. It must be combined with a valid field token (e.g., 'shipping street-address'). Replace autocomplete="shipping" with a valid combined value such as autocomplete="shipping street-address". The 'shipping' token is a section qualifier and must precede a recognized field purpose token from the WCAG-defined list of 53 valid autocomplete values. || [2.4.8] The page provides insufficient location signals. Only a meaningful page title is present; there is no breadcrumb trail, no aria-current='page' indicator, no active navigation class, and no H1 heading to help users understand where they are within a site. Add at least one additional location indicator such as a breadcrumb navigation (e.g., &lt;nav aria-label='Breadcrumb'&gt;), an aria-current='page' attribute on the active navigation link, or a descriptive H1 heading that contextualises the page within the site structure.</t>
  </si>
  <si>
    <t xml:space="preserve">The page fails two of the five evaluated WCAG criteria. Under WCAG 1.3.5 (Identify Input Purpose), the address input uses autocomplete="shipping", which is an incomplete and therefore invalid value — 'shipping' is a section modifier token that must be paired with a recognized field-purpose token (e.g., 'shipping street-address'). This means assistive technologies and browsers cannot programmatically identify the field's purpose to offer autofill assistance. Under WCAG 2.4.8 (Location, AAA), the page lacks sufficient signals to orient users within the site — only a page title is present, with no breadcrumb, no aria-current marker, no active nav indicator, and no H1 heading. The remaining three criteria — WCAG 1.4.3 (Contrast Minimum), WCAG 1.4.12 (Text Spacing), and WCAG 2.2.2 (Pause, Stop, Hide) — all pass or are inapplicable given the minimal page content.</t>
  </si>
  <si>
    <t xml:space="preserve">[1.3.5] The input field uses an incomplete and invalid autocomplete attribute value. 'shipping' alone is not a valid autocomplete token — it must be combined with a field name token (e.g., 'shipping street-address'). Replace autocomplete="shipping" with a valid combined value such as autocomplete="shipping street-address". The 'shipping' token is a section/group modifier and must be followed by a recognized field purpose token from the WCAG-defined list (e.g., street-address, address-line1, postal-code, etc.). || [2.4.8] The page provides insufficient location signals. Only a meaningful page title is present; there is no breadcrumb navigation, no aria-current='page' indicator, no active nav class, and no H1 heading to help users understand where they are within a site. Add at least one additional location indicator such as a breadcrumb trail (e.g., &lt;nav aria-label="Breadcrumb"&gt;&lt;ol&gt;…&lt;/ol&gt;&lt;/nav&gt;), an aria-current="page" attribute on the active navigation link, or a descriptive H1 heading that contextualizes the page within the site structure.</t>
  </si>
  <si>
    <t xml:space="preserve">The page fails two of the five evaluated criteria. Under WCAG 1.3.5 (Identify Input Purpose), the single text input carries autocomplete="shipping", which is an incomplete and therefore invalid value — 'shipping' is an address-group qualifier that must be paired with a concrete field-purpose token (e.g., 'shipping street-address'). This prevents assistive technologies and browsers from correctly identifying the field's purpose. Under WCAG 2.4.8 (Location), the page supplies only a meaningful title; it lacks a breadcrumb, an H1, and any active-navigation indicator, leaving users without adequate context about their location within the site. The remaining three criteria — 1.4.3 Contrast Minimum, 1.4.12 Text Spacing, and 2.2.2 Pause/Stop/Hide — all pass or are inapplicable to this minimal page.</t>
  </si>
  <si>
    <t xml:space="preserve">[1.3.5] The input field uses an invalid autocomplete attribute value. 'shipping' is an address-group token and must be combined with a valid field token (e.g., 'shipping street-address'), not used alone. Replace autocomplete="shipping" with a valid combined value such as autocomplete="shipping street-address". The 'shipping' token is a modifier that must precede a recognized field-purpose token from the WCAG/HTML spec list (e.g., street-address, address-line1, postal-code, etc.). || [2.4.8] The page provides insufficient location signals. Only a meaningful page title is present; no breadcrumb, no aria-current='page', no active nav indicator, and no H1 heading are found. Add at least one additional location indicator such as a breadcrumb trail (&lt;nav aria-label='Breadcrumb'&gt;), an H1 heading that reflects the current page, or aria-current='page' on the active navigation link so users always know where they are within the site.</t>
  </si>
  <si>
    <t xml:space="preserve">The page passes four of the five evaluated criteria. WCAG 1.3.5 (Identify Input Purpose) passes because the single input field correctly uses autocomplete='bday-day', a valid WCAG-recognised token. WCAG 1.4.3 (Contrast Minimum) passes with no contrast violations detected on the label text. WCAG 1.4.12 (Text Spacing) passes with no layout breakage under enforced text-spacing overrides. WCAG 2.2.2 (Pause, Stop, Hide) is inapplicable as there are no animations, auto-playing media, or moving content. However, the page fails WCAG 2.4.8 (Location, Level AAA) because only a page title is present — no breadcrumb, no aria-current marker on a navigation link, and no H1 heading — leaving users without sufficient cues about where this page sits within a broader site structure. Note that WCAG 2.4.8 is a Level AAA criterion, so this failure is classified as minor in practical impact.</t>
  </si>
  <si>
    <t xml:space="preserve">[2.4.8] Insufficient location indicators to convey the user's current position within a set of pages or a website. Add at least one additional location signal such as a breadcrumb trail (e.g., &lt;nav aria-label='Breadcrumb'&gt;&lt;ol&gt;…&lt;/ol&gt;&lt;/nav&gt;), an aria-current='page' attribute on the active navigation link, or a visible H1 heading that reinforces the user's current location within the site.</t>
  </si>
  <si>
    <t xml:space="preserve">Four of the five evaluated criteria pass cleanly. WCAG 1.3.5 (Identify Input Purpose) passes because the single input field uses the valid autocomplete value 'bday-day', correctly identifying its purpose. WCAG 1.4.3 (Contrast Minimum) passes with no contrast violations detected. WCAG 1.4.12 (Text Spacing) passes with no layout breaks under enforced spacing overrides. WCAG 2.2.2 (Pause, Stop, Hide) is inapplicable as the page contains no animations, auto-playing media, or moving content. However, WCAG 2.4.8 (Location — Level AAA) fails: the page provides only a meaningful page title as a location signal, which alone is insufficient. WCAG 2.4.8 requires users to know where they are within a set of pages, typically requiring a combination of signals such as breadcrumbs, aria-current on active nav links, or a descriptive H1. Since this is a AAA criterion the severity is minor, but it is nonetheless a real gap.</t>
  </si>
  <si>
    <t xml:space="preserve">[2.4.8] Insufficient location indicators — only a meaningful page title is present; no breadcrumb, aria-current, active nav class, or H1 heading was found. Add at least one additional location signal such as a breadcrumb navigation (&lt;nav aria-label='Breadcrumb'&gt;), an aria-current='page' attribute on the active navigation link, or an &lt;h1&gt; heading that contextualises the current page within the site structure.</t>
  </si>
  <si>
    <t xml:space="preserve">The page passes four of the five evaluated criteria. WCAG 1.3.5 (Identify Input Purpose) passes because the single input field correctly uses autocomplete='bday-day', a valid WCAG-recognised token. WCAG 1.4.3 (Contrast Minimum) passes with no contrast violations detected on the label text. WCAG 1.4.12 (Text Spacing) passes with no layout breaks under enforced text-spacing overrides. WCAG 2.2.2 (Pause, Stop, Hide) is inapplicable as there are no animations, auto-playing media, or moving content. However, the page fails WCAG 2.4.8 (Location, Level AAA) because only a page title is present — no breadcrumb, no aria-current marker on a navigation item, no active-class nav link, and no H1 heading — leaving users without sufficient context about where this page sits within a broader site structure.</t>
  </si>
  <si>
    <t xml:space="preserve">The page fails primarily on WCAG 2.4.8 (Location, Level AAA): it provides only a page title as a location signal, with no breadcrumb, no aria-current marker, no active nav link, and no H1 heading — insufficient for users to understand where they are within a site. WCAG 1.3.5 (Identify Input Purpose) is technically inapplicable because the sole input collects a friend's (third-party's) name, not the user's own personal data; the tool's FAIL flag is a false positive in this context. WCAG 1.4.3 (Contrast Minimum) passes with all text meeting the 4.5:1 ratio. WCAG 1.4.12 (Text Spacing) passes with no layout breakage under forced spacing overrides. WCAG 2.2.2 (Pause, Stop, Hide) is inapplicable as there are no animations, autoplay media, or moving content on the page.</t>
  </si>
  <si>
    <t xml:space="preserve">[1.3.5] The text input for "Friend's first name" uses autocomplete="off", which suppresses browser autofill. However, WCAG 1.3.5 only applies to inputs that collect information about the user themselves — not about third parties. Because this field collects a friend's name (not the current user's), the criterion is technically inapplicable. The tool flagged it as a FAIL due to autocomplete="off", but no actual violation exists under 1.3.5. No change needed for WCAG 1.3.5 compliance. The field collects a third-party's name, so the criterion does not apply. Retaining autocomplete="off" is acceptable here. || [2.4.8] The page lacks sufficient location indicators. Only a meaningful page title is present; there is no breadcrumb trail, no aria-current="page" on a navigation link, no active nav class, and no H1 heading to orient the user within a site structure. Add at least one additional location signal. For a multi-page site, include a breadcrumb (e.g., &lt;nav aria-label="Breadcrumb"&gt;&lt;ol&gt;…&lt;/ol&gt;&lt;/nav&gt;), mark the active navigation link with aria-current="page", and add an &lt;h1&gt; heading that reflects the current page context.</t>
  </si>
  <si>
    <t xml:space="preserve">The page fails on WCAG 2.4.8 (Location, AAA) because it provides only a page title as a location signal, with no breadcrumb, no aria-current marker, no active nav indicator, and no H1 heading. WCAG 1.3.5 (Identify Input Purpose) is technically inapplicable here — the sole input collects a friend's name (a third party), not the user's own personal data, so the autocomplete requirement does not apply despite the tool flagging autocomplete="off" as a failure. WCAG 1.4.3 (Contrast Minimum) passes with all text meeting the 4.5:1 ratio. WCAG 1.4.12 (Text Spacing) passes with no layout breakage under spacing overrides. WCAG 2.2.2 (Pause, Stop, Hide) is inapplicable as there are no animations, autoplay media, or moving content on the page.</t>
  </si>
  <si>
    <t xml:space="preserve">[1.3.5] The text input for "Friend's first name" uses autocomplete="off", which explicitly disables autocomplete. However, WCAG 1.3.5 only applies to inputs that collect information about the user themselves — not about third parties. Since this field collects a friend's name (not the user's own name), the criterion is technically inapplicable. The tool flagged it as a FAIL due to autocomplete="off", but this is a false positive in this context. No change needed for WCAG 1.3.5 compliance. The field collects a third party's name, so the criterion does not apply. If the field were collecting the user's own name, autocomplete="given-name" would be required. || [2.4.8] The page lacks sufficient location indicators. Only a meaningful page title is present; there is no breadcrumb navigation, no aria-current="page" attribute, no active nav class, and no H1 heading to help users understand where they are within a site. Add at least one additional location signal such as a breadcrumb trail (e.g., &lt;nav aria-label="Breadcrumb"&gt;&lt;ol&gt;...&lt;/ol&gt;&lt;/nav&gt;), an aria-current="page" attribute on the active navigation link, or a visible H1 heading that contextualises the page within the site structure.</t>
  </si>
  <si>
    <t xml:space="preserve">The page fails on WCAG 2.4.8 (Location, Level AAA) because it provides only a page title as a location signal, with no breadcrumb, aria-current marker, active nav indicator, or H1 heading to help users understand where they are within a site. WCAG 1.3.5 (Identify Input Purpose) is technically inapplicable: the sole input collects a friend's name (a third party), not the user's own personal data, so the criterion does not apply despite the tool flagging autocomplete="off". WCAG 1.4.3 (Contrast Minimum) passes — the label text meets the 4.5:1 ratio. WCAG 1.4.12 (Text Spacing) passes — no layout breaks were detected under forced text-spacing overrides. WCAG 2.2.2 (Pause, Stop, Hide) is inapplicable — there are no animations, autoplay media, or moving content on the page.</t>
  </si>
  <si>
    <t xml:space="preserve">[1.3.5] The text input for "Friend's first name" uses autocomplete="off", which suppresses browser autofill. However, WCAG 1.3.5 only applies to inputs that collect information about the user themselves — not about third parties. Because this field collects a friend's name (not the user's own name), the criterion is technically inapplicable. The tool flagged it as a FAIL due to autocomplete="off", but no actual violation exists under WCAG 1.3.5. No change required for WCAG 1.3.5 compliance. The field collects a third-party's name, so autocomplete="off" is acceptable. If the field were collecting the user's own name, autocomplete="name" or "given-name" would be required. || [2.4.8] The page lacks sufficient location indicators. Only a meaningful page title is present; there is no breadcrumb trail, no aria-current="page" on a navigation link, no active nav class, and no H1 heading to orient the user within a site structure. Add at least one additional location signal such as a breadcrumb navigation (e.g., &lt;nav aria-label="Breadcrumb"&gt;), an aria-current="page" attribute on the active navigation link, or a visible H1 heading that contextualises the page within the site.</t>
  </si>
  <si>
    <t xml:space="preserve">Four of the five evaluated criteria are inapplicable to this minimal page: WCAG 1.3.5 (Identify Input Purpose) does not apply because the sole input is a submit button, which is explicitly excluded from the autocomplete requirement; WCAG 1.4.3 (Contrast Minimum) does not apply because there are no rendered text elements; WCAG 1.4.12 (Text Spacing) does not apply because there is no meaningful text content; and WCAG 2.2.2 (Pause, Stop, Hide) does not apply because there are no animations, auto-playing media, or moving content. However, the page fails WCAG 2.4.8 (Location, Level AAA): while the page title is meaningful, no other location signals are present — there is no H1 heading, no breadcrumb, no aria-current marker, and no active navigation indicator. Since WCAG 2.4.8 is a Level AAA criterion, the severity is rated minor, but the violation is real and should be addressed.</t>
  </si>
  <si>
    <t xml:space="preserve">[2.4.8] The page lacks sufficient location indicators to help users understand where they are within a set of pages or a website. Add at least one additional location signal such as a breadcrumb trail (e.g., &lt;nav aria-label='Breadcrumb'&gt;), an &lt;h1&gt; heading that reflects the current page, or aria-current='page' on the active navigation link to clearly communicate the user's current location.</t>
  </si>
  <si>
    <t xml:space="preserve">Four of the five evaluated criteria are inapplicable to this page: WCAG 1.3.5 (no data-collection input fields — the sole input is type='submit'), WCAG 1.4.3 (no rendered text content to measure), WCAG 1.4.12 (no text content subject to spacing overrides), and WCAG 2.2.2 (no animations, auto-playing media, or moving content). However, WCAG 2.4.8 (Location, Level AAA) fails: the page provides only a meaningful page title as a location signal, which is insufficient on its own. A breadcrumb, an H1 heading, or an aria-current='page' marker on an active navigation item should be added to clearly communicate the user's location within the site. The severity is rated minor because WCAG 2.4.8 is a Level AAA criterion and the page is extremely sparse, but the gap should still be addressed.</t>
  </si>
  <si>
    <t xml:space="preserve">[2.4.8] Insufficient location indicators present on the page. Only a meaningful page title is detected; no breadcrumb, aria-current='page', active nav class, or H1 heading is present. Add at least one additional location signal such as a breadcrumb trail (&lt;nav aria-label='Breadcrumb'&gt;), an H1 heading that reflects the current page, or aria-current='page' on the active navigation link so users always know where they are within the site.</t>
  </si>
  <si>
    <t xml:space="preserve">Four of the five evaluated criteria are inapplicable to this page: WCAG 1.3.5 (Identify Input Purpose) does not apply because the sole input is a submit button — not a data-collection field — so autocomplete purpose mapping is irrelevant; WCAG 1.4.3 (Contrast Minimum) is inapplicable because there are no rendered text elements to measure; WCAG 1.4.12 (Text Spacing) is inapplicable for the same reason; and WCAG 2.2.2 (Pause, Stop, Hide) is inapplicable because there are no animations, auto-playing media, or moving content. However, the page fails WCAG 2.4.8 (Location, Level AAA): only a page title is present, which alone is insufficient to orient users within a set of pages. At minimum, a second mechanism such as a breadcrumb trail, an aria-current marker on an active nav link, or a descriptive H1 should be added. The severity is rated minor because 2.4.8 is a Level AAA criterion and the page is extremely sparse.</t>
  </si>
  <si>
    <t xml:space="preserve">[2.4.8] Insufficient location indicators to orient the user within the site or set of pages. Add at least one additional location signal such as a breadcrumb navigation (e.g., &lt;nav aria-label='Breadcrumb'&gt;), an aria-current='page' attribute on the active navigation link, or a visible H1 heading that clearly identifies the current page within the site structure.</t>
  </si>
  <si>
    <t xml:space="preserve">Four of the five evaluated criteria are inapplicable to this page: there are no form inputs (WCAG 1.3.5), no text content (WCAG 1.4.3), no text to reflow (WCAG 1.4.12), and no animations or auto-playing media (WCAG 2.2.2). The page fails solely on WCAG 2.4.8 (Location, Level AAA): while the page title 'Inapplicable Example 2' is meaningful, no other location signals — breadcrumb, aria-current, active nav class, or H1 — are present. Because 2.4.8 is a Level AAA criterion and the page is otherwise nearly empty, the severity is rated minor.</t>
  </si>
  <si>
    <t xml:space="preserve">[2.4.8] Insufficient location indicators: the page provides only a meaningful page title but lacks breadcrumbs, aria-current='page', an active navigation indicator, or an H1 heading to help users understand where they are within a set of pages. Add at least one additional location signal such as: (1) a breadcrumb trail with aria-label='Breadcrumb', (2) an aria-current='page' attribute on the active navigation link, (3) a visible active-class on the current nav item, or (4) an H1 heading that reflects the page's position in the site hierarchy.</t>
  </si>
  <si>
    <t xml:space="preserve">Four of the five evaluated criteria are inapplicable to this page: there are no form inputs (WCAG 1.3.5), no text content (WCAG 1.4.3), no meaningful text to reflow (WCAG 1.4.12), and no animations or auto-playing media (WCAG 2.2.2). However, the page fails WCAG 2.4.8 (Location, Level AAA): although the &lt;title&gt; element is meaningful ('Inapplicable Example 2'), no other location signals are present — there is no breadcrumb, no aria-current marker, no active navigation indicator, and no H1 heading. Because WCAG 2.4.8 is a Level AAA criterion the severity is rated minor, but the finding is a genuine conformance failure for any site targeting AAA.</t>
  </si>
  <si>
    <t xml:space="preserve">[2.4.8] Insufficient location indicators: the page provides only a meaningful page title but lacks breadcrumbs, aria-current='page', an active navigation class, or an H1 heading to orient the user within the site. Add at least one additional location signal. For example: (1) include a breadcrumb trail (&lt;nav aria-label='Breadcrumb'&gt;&lt;ol&gt;…&lt;/ol&gt;&lt;/nav&gt;) with aria-current='page' on the current item, (2) mark the active link in the site navigation with aria-current='page', or (3) add a descriptive &lt;h1&gt; heading that reflects the current page context.</t>
  </si>
  <si>
    <t xml:space="preserve">Four of the five target criteria are entirely inapplicable to this page: there are no form inputs (WCAG 1.3.5), no text content (WCAG 1.4.3), no meaningful text to reflow (WCAG 1.4.12), and no animations, autoplay media, or moving content (WCAG 2.2.2). However, the page fails WCAG 2.4.8 (Location, Level AAA): while the page title 'Inapplicable Example 2' is meaningful, it is the only location signal present. No breadcrumb, no H1, no aria-current marker, and no active navigation class are provided. Because WCAG 2.4.8 is a Level AAA criterion the severity is rated minor, but the violation is real and should be remediated by adding complementary location indicators.</t>
  </si>
  <si>
    <t xml:space="preserve">[2.4.8] Insufficient location indicators: the page provides only a meaningful page title but lacks breadcrumbs, aria-current='page', an active navigation class, or an H1 heading to help users understand where they are within a set of pages. Add at least one additional location signal such as a breadcrumb trail (&lt;nav aria-label='Breadcrumb'&gt;), an &lt;h1&gt; heading that reflects the current page, or aria-current='page' on the active navigation link so users can reliably determine their location within the site.</t>
  </si>
  <si>
    <t xml:space="preserve">Four of the five evaluated criteria pass or are inapplicable. WCAG 1.3.5 (Identify Input Purpose) is inapplicable — there are no form inputs. WCAG 1.4.3 (Contrast Minimum) passes — the single text element meets the 4.5:1 ratio. WCAG 1.4.12 (Text Spacing) passes — the inline `line-height: 2em !important` override correctly wins the cascade, so WCAG text-spacing overrides cause no layout breakage. WCAG 2.2.2 (Pause, Stop, Hide) is inapplicable — no animations, autoplay media, or moving content are present. However, WCAG 2.4.8 (Location, Level AAA) fails: the page relies solely on its page title ('Passed Example 6') to convey location; it has no breadcrumb, no H1, no aria-current marker, and no active navigation link, which is insufficient for users to determine their location within a multi-page site.</t>
  </si>
  <si>
    <t xml:space="preserve">[2.4.8] Insufficient location indicators: the page only provides a meaningful page title but lacks breadcrumbs, aria-current='page', an active navigation class, or an H1 heading to help users understand where they are within a set of pages. Add at least one additional location signal such as a breadcrumb trail (e.g., &lt;nav aria-label='Breadcrumb'&gt;&lt;ol&gt;…&lt;/ol&gt;&lt;/nav&gt;), an H1 heading that reflects the page's position, or aria-current='page' on the active navigation link so users always know where they are within the site.</t>
  </si>
  <si>
    <t xml:space="preserve">The page passes four of the five evaluated criteria. WCAG 1.3.5 (Identify Input Purpose) is inapplicable — there are no form inputs. WCAG 1.4.3 (Contrast Minimum) passes — the default black-on-white text meets the 4.5:1 ratio. WCAG 1.4.12 (Text Spacing) passes — the inline `line-height: 2em !important` style actually enforces a generous line height, and applying WCAG text-spacing overrides causes no layout breakage. WCAG 2.2.2 (Pause, Stop, Hide) is inapplicable — no animations, autoplay media, or moving content are present. However, the page fails WCAG 2.4.8 (Location, Level AAA): only a meaningful page title exists as a location signal; there is no breadcrumb, H1 heading, or aria-current marker to help users understand where this page sits within a larger site structure. Because 2.4.8 is a Level AAA criterion the severity is rated minor, but it is still a conformance failure for any site targeting AAA.</t>
  </si>
  <si>
    <t xml:space="preserve">[2.4.8] Insufficient location indicators to orient the user within a set of pages. Only a meaningful page title is present; no breadcrumb, aria-current='page', active nav class, or H1 heading was found. Add at least one additional location signal such as a breadcrumb navigation (e.g., &lt;nav aria-label='Breadcrumb'&gt;), an &lt;h1&gt; heading that identifies the current page, or aria-current='page' on the active navigation link so users always know where they are within the site.</t>
  </si>
  <si>
    <t xml:space="preserve">Four of the five target criteria are either passing or inapplicable for this minimal page. WCAG 1.3.5 (Identify Input Purpose) is inapplicable — there are no form inputs. WCAG 1.4.3 (Contrast Minimum) passes — the single paragraph of default black text on a white background exceeds the 4.5:1 ratio. WCAG 1.4.12 (Text Spacing) passes — the inline `line-height: 2em !important` override correctly wins the cascade, so WCAG-mandated text-spacing overrides do not break content or cause overflow. WCAG 2.2.2 (Pause, Stop, Hide) is inapplicable — no animations, auto-playing media, or moving content are present. However, WCAG 2.4.8 (Location — Level AAA) fails: the page provides only a meaningful page title as a location signal, with no breadcrumb, no H1, no aria-current marker, and no active navigation indicator to orient users within a larger site context.</t>
  </si>
  <si>
    <t xml:space="preserve">[2.4.8] Insufficient location indicators: the page only provides a meaningful page title but lacks breadcrumbs, aria-current='page', an active navigation class, or an H1 heading to help users understand where they are within a set of pages. Add at least one additional location signal such as a breadcrumb trail (e.g., &lt;nav aria-label='Breadcrumb'&gt;&lt;ol&gt;…&lt;/ol&gt;&lt;/nav&gt;), an H1 heading that reflects the current page, or aria-current='page' on the active navigation link so users always know their location within the site.</t>
  </si>
  <si>
    <t xml:space="preserve">Four of the five evaluated criteria are either passing or inapplicable for this page. WCAG 1.3.5 (Identify Input Purpose) is inapplicable — there are no form inputs. WCAG 1.4.3 (Contrast Minimum) passes — the default black-on-white text meets the 4.5:1 ratio. WCAG 1.4.12 (Text Spacing) passes — despite the inline line-height style, applying WCAG text-spacing overrides causes no layout breakage or content loss. WCAG 2.2.2 (Pause, Stop, Hide) is inapplicable — there are no animations, autoplay media, or moving content. However, WCAG 2.4.8 (Location, Level AAA) fails: the page provides only a meaningful page title as a location signal, which is insufficient on its own. A breadcrumb, aria-current marker on a navigation link, or a descriptive H1 should be added. Note that WCAG 2.4.8 is a Level AAA criterion, so the severity is minor in practical terms.</t>
  </si>
  <si>
    <t xml:space="preserve">[2.4.8] The page lacks sufficient location indicators to help users understand where they are within a set of pages or a website. Add at least one additional location mechanism such as a breadcrumb trail with aria-current='page', an active/highlighted navigation link, or a descriptive H1 heading that reinforces the user's current location within the site.</t>
  </si>
  <si>
    <t xml:space="preserve">Four of the five evaluated criteria are either inapplicable or passing for this minimal page. WCAG 1.3.5 (Identify Input Purpose) is inapplicable because there are no form inputs. WCAG 1.4.3 (Contrast Minimum) passes — the default black-on-white text meets the 4.5:1 ratio. WCAG 1.4.12 (Text Spacing) passes — applying the required text-spacing overrides causes no layout breakage. WCAG 2.2.2 (Pause, Stop, Hide) is inapplicable because there are no animations, auto-playing media, or moving content. However, WCAG 2.4.8 (Location — Level AAA) fails: the page supplies only a meaningful title ('Inapplicable Example 10') but provides no breadcrumb, no H1, no aria-current marker, and no active navigation link, leaving users without sufficient context about where this page sits within a larger site or set of pages.</t>
  </si>
  <si>
    <t xml:space="preserve">[2.4.8] Insufficient location indicators: the page provides only a meaningful page title but lacks breadcrumbs, aria-current='page', an active navigation class, or an H1 heading to orient the user within a set of pages. Add at least one additional location signal such as a breadcrumb trail (&lt;nav aria-label='Breadcrumb'&gt;), an &lt;h1&gt; that reflects the current page, or aria-current='page' on the active navigation link so users can determine where they are within the site.</t>
  </si>
  <si>
    <t xml:space="preserve">The page was evaluated against five WCAG 2.1 criteria. Four of the five criteria are either inapplicable or passing: WCAG 1.3.5 (Identify Input Purpose) is inapplicable because there are no form inputs; WCAG 1.4.3 (Contrast Minimum) passes with sufficient contrast for the single text element; WCAG 1.4.12 (Text Spacing) passes — despite the use of 'line-height: unset !important' on the inner span, the tool found no layout breakage or content loss when WCAG text-spacing overrides were applied; and WCAG 2.2.2 (Pause, Stop, Hide) is inapplicable because there are no animations, autoplay media, or moving content. However, the page fails WCAG 2.4.8 (Location, Level AAA): only a page title is present as a location signal, which is insufficient on its own. A breadcrumb trail, aria-current marker on an active nav link, or an H1 heading should be added to adequately communicate the user's location within the broader site context. The severity is minor given that 2.4.8 is a Level AAA criterion and the page is a minimal single-paragraph example.</t>
  </si>
  <si>
    <t xml:space="preserve">[2.4.8] Insufficient location indicators to help users understand where they are within a set of pages. Add at least one additional location signal such as a breadcrumb navigation (e.g., &lt;nav aria-label='Breadcrumb'&gt;), an aria-current='page' attribute on the active navigation link, or an H1 heading that clearly identifies the current page within the site structure.</t>
  </si>
  <si>
    <t xml:space="preserve">Four of the five evaluated criteria are either passing or inapplicable for this minimal page. WCAG 1.3.5 (Identify Input Purpose) is inapplicable — there are no form inputs. WCAG 1.4.3 (Contrast Minimum) passes — the default black-on-white text meets the 4.5:1 ratio. WCAG 1.4.12 (Text Spacing) passes — applying the required spacing overrides causes no layout breakage, though the inline word-spacing: 2px !important declaration is itself the pattern WCAG 1.4.12 warns against (using !important to suppress user overrides); however, the tool found no actual content loss. WCAG 2.2.2 (Pause, Stop, Hide) is inapplicable — no animations or auto-playing media are present. WCAG 2.4.8 (Location) fails — the page relies solely on its page title to indicate location; no breadcrumb, aria-current marker, active nav link, or H1 heading is present to help users understand where they are within a larger site context.</t>
  </si>
  <si>
    <t xml:space="preserve">[2.4.8] Insufficient location indicators: the page provides only a meaningful page title but lacks breadcrumbs, aria-current='page', an active navigation indicator, or an H1 heading to orient the user within the site. Add at least one supplementary location signal: (1) a breadcrumb trail (e.g., &lt;nav aria-label='Breadcrumb'&gt;&lt;ol&gt;…&lt;/ol&gt;&lt;/nav&gt;), (2) aria-current='page' on the active navigation link, (3) a visible active-state class on the current nav item, or (4) an &lt;h1&gt; that clearly identifies the current page within the site structure.</t>
  </si>
  <si>
    <t xml:space="preserve">The page fails solely on WCAG 2.4.8 (Location, Level AAA). The only location signal present is a meaningful page title; no breadcrumb, no H1, no aria-current, and no active nav class are provided. The remaining four criteria are either inapplicable or passing: WCAG 1.3.5 is inapplicable (no form inputs exist), WCAG 1.4.3 passes (default black-on-white text meets the 4.5:1 contrast ratio), WCAG 1.4.12 passes (the inline word-spacing style uses !important but the tool found no layout breakage under WCAG text-spacing overrides — though the !important declaration itself is the canonical failure pattern for 1.4.12 in WCAG understanding documents, the automated tool did not flag a layout break), and WCAG 2.2.2 is inapplicable (no animations, autoplay media, or moving content detected).</t>
  </si>
  <si>
    <t xml:space="preserve">[2.4.8] Insufficient location indicators to convey the user's current position within the site or set of pages. Add at least one additional location signal such as: a breadcrumb trail (&lt;nav aria-label='Breadcrumb'&gt;), an &lt;h1&gt; heading identifying the current page, or aria-current='page' on the active navigation link. Combining multiple signals (e.g., breadcrumb + H1) provides the most robust location context.</t>
  </si>
  <si>
    <t xml:space="preserve">The page fails two of the five evaluated criteria. For WCAG 1.4.12 (Text Spacing), the inline style 'word-spacing: 2px !important' uses the !important flag to lock word-spacing at 2px, preventing users or assistive tools from overriding it to the minimum required value of 0.16× the font size (3.2px at the declared 20px font size) — this is the core failure the page title 'Failed Example 2' alludes to. For WCAG 2.4.8 (Location, AAA), the page provides only a page title as a location signal, which is insufficient on its own; a breadcrumb, aria-current marker, or active navigation indicator is also needed. The remaining three criteria are inapplicable: there are no form inputs (1.3.5), contrast passes with default browser colors (1.4.3), and there are no animations or timed media (2.2.2).</t>
  </si>
  <si>
    <t xml:space="preserve">[2.4.8] Insufficient location indicators to help users understand where they are within the site or set of pages. Add at least one additional location signal such as a breadcrumb trail (e.g., &lt;nav aria-label='Breadcrumb'&gt;), an aria-current='page' attribute on the active navigation link, or a visible H1 heading that clearly identifies the current page within its context. || [1.4.12] The paragraph uses word-spacing: 2px !important, which overrides user-applied text-spacing styles and prevents WCAG-required spacing from taking effect. Remove the !important flag from the word-spacing declaration (and any other text-spacing properties). Allow user agents and user stylesheets to override spacing properties freely. If a specific spacing value is needed, set it without !important so it can be overridden.</t>
  </si>
  <si>
    <t xml:space="preserve">The page passes four of the five evaluated criteria: WCAG 1.3.5 is inapplicable (no form inputs), WCAG 1.4.3 passes (default black-on-white text meets the 4.5:1 contrast ratio), WCAG 1.4.12 passes (the word-spacing override via !important does not break layout or clip content), and WCAG 2.2.2 is inapplicable (no animations, autoplay media, or moving content). However, the page fails WCAG 2.4.8 (Location, Level AAA): only a page title is present as a location signal, which is insufficient on its own. A breadcrumb, aria-current marker on a navigation link, or an H1 heading contextualising the page's position within the site would be needed to satisfy this criterion.</t>
  </si>
  <si>
    <t xml:space="preserve">[2.4.8] Insufficient location indicators to inform users of their current position within a set of pages. Add at least one additional location signal such as a breadcrumb trail, an aria-current='page' attribute on the active navigation link, or a visible H1 heading that contextualises the current page within the site structure.</t>
  </si>
  <si>
    <t xml:space="preserve">The page passes four of the five evaluated criteria: WCAG 1.3.5 is inapplicable (no form inputs), WCAG 1.4.3 contrast passes (default black-on-white text meets the 4.5:1 ratio), WCAG 1.4.12 text spacing passes (the existing word-spacing inline style does not block WCAG spacing overrides from being applied without content loss), and WCAG 2.2.2 is inapplicable (no animations, autoplay media, or moving content). However, the page fails WCAG 2.4.8 (Location, Level AAA): only a page title is present as a location signal, which is insufficient on its own. A breadcrumb, an H1 heading, or an aria-current marker on an active navigation item should be added to satisfy this criterion.</t>
  </si>
  <si>
    <t xml:space="preserve">[2.4.8] Insufficient location indicators to convey the user's current position within a set of pages or a website. Add at least one additional location signal such as a breadcrumb trail, an H1 heading that reflects the current page, or aria-current='page' on the active navigation link to help users understand where they are within the site.</t>
  </si>
  <si>
    <t xml:space="preserve">The page passes four of the five evaluated criteria: WCAG 1.3.5 is inapplicable (no form inputs), WCAG 1.4.3 contrast passes (default black-on-white text meets the 4.5:1 ratio), WCAG 1.4.12 text spacing passes (the word-spacing override does not break layout or clip content), and WCAG 2.2.2 is inapplicable (no animations, autoplay media, or moving content). However, the page fails WCAG 2.4.8 (Location, Level AAA): only a page title is present as a location signal, which is insufficient on its own. A breadcrumb trail, aria-current marker on an active navigation link, or an H1 heading providing contextual orientation should be added to satisfy this criterion.</t>
  </si>
  <si>
    <t xml:space="preserve">[2.4.8] Insufficient location indicators to convey the user's current position within a set of pages. Add at least one additional location signal such as a breadcrumb navigation, an aria-current='page' attribute on the active navigation link, or a visible H1 heading that contextualises the page within the site structure.</t>
  </si>
  <si>
    <t xml:space="preserve">The page fails on two of the five evaluated WCAG criteria. First, WCAG 1.4.12 (Text Spacing) is violated because the inline style `word-spacing: 0.1em !important` uses `!important`, which blocks user stylesheet overrides — the very mechanism WCAG 1.4.12 relies on to ensure users can adjust text spacing without loss of content or functionality. The tool reported a structural pass (no layout breakage was detected under its own override), but the `!important` flag is itself the failure mode per the criterion's intent. Second, WCAG 2.4.8 (Location, Level AAA) fails because the page provides only a meaningful title and no other location signals (no breadcrumb, no aria-current, no active nav link, no H1). The remaining three criteria — 1.3.5 (Identify Input Purpose), 1.4.3 (Contrast Minimum), and 2.2.2 (Pause, Stop, Hide) — are either inapplicable (no forms, no animations/autoplay media) or fully passing (contrast ratio meets the 4.5:1 AA threshold).</t>
  </si>
  <si>
    <t xml:space="preserve">[2.4.8] Insufficient location indicators to help users understand where they are within a set of pages. Only a meaningful page title is present; no breadcrumb, aria-current, active nav class, or H1 heading was found. Add at least one additional location indicator such as: (1) a breadcrumb navigation with aria-label='Breadcrumb', (2) aria-current='page' on the active navigation link, (3) a visible active class on the current nav item, or (4) an &lt;h1&gt; heading that clearly identifies the current page/section. || [1.4.12] The paragraph uses `word-spacing: 0.1em !important`, which overrides user-applied text-spacing styles via the `!important` declaration. WCAG 1.4.12 requires that content does not lose functionality when users override spacing properties (including word-spacing to at least 0.16em). The `!important` flag prevents such user overrides from taking effect. Remove the `!important` flag from the `word-spacing` declaration so that user stylesheets and assistive technology spacing overrides can take effect. If a specific word-spacing value is needed for design purposes, set it without `!important` and ensure the value meets or exceeds the WCAG 1.4.12 minimum of 0.16em.</t>
  </si>
  <si>
    <t xml:space="preserve">The page fails on two of the five evaluated criteria. For WCAG 2.4.8 (Location, AAA), the page provides only a page title as a location signal — no breadcrumb, no H1, no aria-current, and no active nav indicator — which is insufficient for users to understand where they are within a site. For WCAG 1.4.12 (Text Spacing, AA), the inline style 'word-spacing: 0.1em !important' is the root problem: the !important flag prevents any user or assistive-technology stylesheet from overriding the word-spacing value to meet the required minimum of 0.16em, directly violating the criterion's requirement that content remain functional when text-spacing properties are adjusted. The remaining three criteria — 1.3.5 (Input Purpose), 1.4.3 (Contrast Minimum), and 2.2.2 (Pause, Stop, Hide) — are either inapplicable (no forms, no animations/media) or passing (contrast ratio is sufficient).</t>
  </si>
  <si>
    <t xml:space="preserve">[2.4.8] Insufficient location indicators to convey the user's current position within a set of pages or a site. Add at least one additional location signal beyond the page title — for example, a breadcrumb trail (&lt;nav aria-label='Breadcrumb'&gt;), an H1 heading that reflects the current page, or aria-current='page' on the active navigation link — so users always know where they are within the site structure. || [1.4.12] The inline style 'word-spacing: 0.1em !important' uses !important, which prevents users from overriding text-spacing properties with their own stylesheets. Remove the !important declaration from the word-spacing property. WCAG 1.4.12 requires that content does not lose functionality when users apply the specified text-spacing overrides (line-height ≥ 1.5×, letter-spacing ≥ 0.12em, word-spacing ≥ 0.16em, spacing after paragraphs ≥ 2em). Using !important blocks user-agent or user stylesheet overrides, making compliance impossible.</t>
  </si>
  <si>
    <t xml:space="preserve">Four of the five evaluated criteria are either passing or inapplicable for this minimal page. WCAG 1.3.5 (Identify Input Purpose) is inapplicable — there are no form inputs. WCAG 1.4.3 (Contrast Minimum) passes — the default black-on-white text meets the 4.5:1 ratio. WCAG 1.4.12 (Text Spacing) passes — although the paragraph uses word-spacing: 0.1em !important, the tool confirmed no layout breakage when WCAG text-spacing overrides are applied; however, the use of !important is a red flag because it can prevent user-agent or user-stylesheet overrides from taking effect, and this pattern is the canonical WCAG 1.4.12 failure mode — manual verification is strongly advised. WCAG 2.2.2 (Pause, Stop, Hide) is inapplicable — no animations or auto-playing media are present. WCAG 2.4.8 (Location) fails — the page supplies only a meaningful title; no breadcrumb, aria-current marker, active nav class, or H1 is present to help users understand where they are within a site.</t>
  </si>
  <si>
    <t xml:space="preserve">[2.4.8] Insufficient location indicators — the page provides only a meaningful page title but lacks breadcrumbs, aria-current='page', an active navigation class, or an H1 heading to orient the user within a larger site. Add at least one additional location signal: (1) a breadcrumb trail (e.g., &lt;nav aria-label='Breadcrumb'&gt;&lt;ol&gt;…&lt;/ol&gt;&lt;/nav&gt;), (2) aria-current='page' on the active navigation link, (3) a visible active-state class on the current nav item, or (4) an &lt;h1&gt; that reflects the page's position in the site hierarchy.</t>
  </si>
  <si>
    <t xml:space="preserve">The page passes four of the five evaluated criteria. WCAG 1.3.5 (Identify Input Purpose) is inapplicable — there are no form inputs. WCAG 1.4.3 (Contrast Minimum) passes: the black (#000) text on a mid-grey (#666) background at 18pt (large text) achieves a contrast ratio above the 3:1 large-text threshold. WCAG 1.4.12 (Text Spacing) passes with no layout breakage under forced spacing overrides. WCAG 2.2.2 (Pause, Stop, Hide) is inapplicable — no animations, autoplay media, or moving content exist. However, WCAG 2.4.8 (Location, Level AAA) fails: the page provides only a meaningful title as a location signal, which is insufficient on its own. A breadcrumb, aria-current marker on an active nav link, or an H1 heading should be added to adequately communicate the user's location within the site.</t>
  </si>
  <si>
    <t xml:space="preserve">[2.4.8] Insufficient location indicators to convey the user's current position within the site or set of pages. Add at least one additional location signal such as a breadcrumb trail (&lt;nav aria-label='Breadcrumb'&gt;), an aria-current='page' attribute on the active navigation link, or a visible H1 heading that clearly identifies the current page within its context.</t>
  </si>
  <si>
    <t xml:space="preserve">The page passes four of the five evaluated criteria. WCAG 1.3.5 (Identify Input Purpose) is inapplicable — there are no form inputs. WCAG 1.4.3 (Contrast Minimum) passes — the black (#000) text on a mid-grey (#666) background achieves a contrast ratio that meets the large-text threshold of 3:1 (the text is 18pt, qualifying as large text). WCAG 1.4.12 (Text Spacing) passes — no fixed-height containers or overflow issues were detected. WCAG 2.2.2 (Pause, Stop, Hide) is inapplicable — no animations, auto-playing media, or moving content exist. However, the page fails WCAG 2.4.8 (Location, Level AAA): only a meaningful page title is present, which alone is insufficient to convey the user's location within a set of web pages. At minimum, a breadcrumb trail, an aria-current='page' marker on a navigation link, or an H1 heading should be added to satisfy this criterion.</t>
  </si>
  <si>
    <t xml:space="preserve">[2.4.8] Insufficient location indicators: only a meaningful page title is present. No breadcrumb, aria-current, active nav class, or H1 heading was found. Add at least one additional location signal such as a breadcrumb navigation (&lt;nav aria-label='Breadcrumb'&gt;), an aria-current='page' attribute on the active navigation link, or an &lt;h1&gt; heading that clearly identifies the current page within the site structure.</t>
  </si>
  <si>
    <t xml:space="preserve">Four of the five evaluated criteria pass or are inapplicable to this minimal page. WCAG 1.3.5 (Identify Input Purpose) is inapplicable — there are no form inputs. WCAG 1.4.3 (Contrast Minimum) passes — black text (#000) on a mid-grey background (#666) at 18pt (large text) yields a contrast ratio that meets the 3:1 large-text threshold. WCAG 1.4.12 (Text Spacing) passes — no fixed-height containers or overflow issues were detected. WCAG 2.2.2 (Pause, Stop, Hide) is inapplicable — no animations, autoplay media, or moving content exist. However, WCAG 2.4.8 (Location, Level AAA) fails: the page provides only a page title as a location signal, which is insufficient on its own. At minimum, one additional mechanism — such as a breadcrumb, an aria-current attribute on a nav link, or a prominent H1 — should be added to help users understand where they are within the broader site context.</t>
  </si>
  <si>
    <t xml:space="preserve">[2.4.8] Insufficient location indicators to convey the user's current position within the site or set of pages. Add at least one additional location signal such as: a breadcrumb navigation trail, an aria-current='page' attribute on the active navigation link, a visible active/selected class on the current nav item, or an H1 heading that clearly identifies the current page.</t>
  </si>
  <si>
    <t xml:space="preserve">The page is a minimal single-link document. Four of the five evaluated criteria are either passing or inapplicable: WCAG 1.3.5 (Identify Input Purpose) is inapplicable because there are no form inputs; WCAG 1.4.3 (Contrast Minimum) passes as the single link text meets the 4.5:1 ratio threshold; WCAG 1.4.12 (Text Spacing) passes with no layout breakage under forced spacing overrides; and WCAG 2.2.2 (Pause, Stop, Hide) is inapplicable because there are no animations, autoplay media, or moving content. However, WCAG 2.4.8 (Location — Level AAA) fails: the page provides only a page title as a location signal, which is insufficient on its own. A breadcrumb trail, aria-current marker on an active nav item, or an H1 heading contextualising the page's position within the site would be needed to satisfy this criterion.</t>
  </si>
  <si>
    <t xml:space="preserve">[2.4.8] Insufficient location indicators to help users understand where they are within the site. Add at least one additional location signal such as a breadcrumb navigation (e.g., &lt;nav aria-label='Breadcrumb'&gt;), an aria-current='page' attribute on the active navigation link, or a visible H1 heading that contextualises the current page within the site structure.</t>
  </si>
  <si>
    <t xml:space="preserve">The page passes four of the five evaluated criteria: WCAG 1.3.5 (Identify Input Purpose) is inapplicable as there are no form inputs; WCAG 1.4.3 (Contrast Minimum) passes with the single link text meeting the 4.5:1 ratio threshold; WCAG 1.4.12 (Text Spacing) passes with no layout breakage under forced spacing overrides; and WCAG 2.2.2 (Pause, Stop, Hide) is inapplicable as there are no animations, autoplay media, or moving content. However, the page fails WCAG 2.4.8 (Location, Level AAA) — while the page title 'Passed Example 10' is meaningful, no other location signals (breadcrumb, aria-current, active nav link, or H1) are present to adequately communicate the user's location within the site. Since 2.4.8 is a Level AAA criterion, the severity is minor, but it is still a conformance failure.</t>
  </si>
  <si>
    <t xml:space="preserve">[2.4.8] Insufficient location indicators to help users understand where they are within a set of pages. Only a meaningful page title is present; no breadcrumb, aria-current, active nav class, or H1 heading was found. Add at least one additional location signal such as a breadcrumb navigation (e.g., &lt;nav aria-label='Breadcrumb'&gt;), an aria-current='page' attribute on the active navigation link, or a descriptive &lt;h1&gt; heading. Ideally, combine multiple signals for robust location awareness.</t>
  </si>
  <si>
    <t xml:space="preserve">The page passes four of the five evaluated criteria: WCAG 1.3.5 (Identify Input Purpose) is inapplicable as there are no form inputs; WCAG 1.4.3 (Contrast Minimum) passes with no contrast violations detected on the single link element; WCAG 1.4.12 (Text Spacing) passes with no layout breaks under enforced spacing overrides; and WCAG 2.2.2 (Pause, Stop, Hide) is inapplicable as there are no animations, autoplay media, or moving content. However, the page fails WCAG 2.4.8 (Location, Level AAA) — a minimal page with only a single external link and a generic title ('Passed Example 10') provides only one weak location signal (the page title) and lacks breadcrumbs, an H1, or any active navigation indicator. Since WCAG 2.4.8 is a Level AAA criterion, this failure is considered minor in severity.</t>
  </si>
  <si>
    <t xml:space="preserve">[2.4.8] Insufficient location indicators to help users understand where they are within the site. Only a meaningful page title is present; no breadcrumb, aria-current, active nav class, or H1 heading was found. Add at least one additional location signal such as a breadcrumb navigation (e.g., &lt;nav aria-label='Breadcrumb'&gt;), an &lt;h1&gt; heading that reflects the current page, or aria-current='page' on the active navigation link to clearly communicate the user's location within the site.</t>
  </si>
  <si>
    <t xml:space="preserve">The page fails two of the five evaluated WCAG 2.1 criteria. Most critically, the button's text color (#777) against its background (#EEE) yields a contrast ratio of only 3.86:1, falling short of the 4.5:1 minimum required by WCAG 1.4.3 (AA). Additionally, the page fails WCAG 2.4.8 (AAA) by providing only a page title as a location signal, with no breadcrumb, aria-current marker, active nav indicator, or H1 heading to orient users within the broader site. The remaining three criteria — 1.3.5 (Identify Input Purpose), 1.4.12 (Text Spacing), and 2.2.2 (Pause, Stop, Hide) — are inapplicable, as the page contains no form inputs, no text-spacing constraints, and no animations or auto-updating content.</t>
  </si>
  <si>
    <t xml:space="preserve">[1.4.3] Insufficient color contrast between text and background on the button element. Darken the foreground color or lighten/darken the background to achieve a contrast ratio of at least 4.5:1. For example, changing the text color from #777 to #595959 against #EEE would meet the threshold. || [2.4.8] The page provides insufficient location indicators for users to understand where they are within a set of pages. Add at least one additional location signal such as a breadcrumb navigation, an aria-current='page' attribute on the active navigation link, or a visible H1 heading that contextualizes the current page within the site structure.</t>
  </si>
  <si>
    <t xml:space="preserve">The page fails two of the five evaluated criteria. Most critically, the WCAG 1.4.3 Contrast Minimum (AA) criterion is violated: the button text 'My button!' is rendered in #777 on an #EEE background, yielding a contrast ratio of only 3.86:1 — well below the required 4.5:1 for normal-weight, normal-sized text. Additionally, WCAG 2.4.8 Location (AAA) fails because the page provides only a page title as a location signal, with no breadcrumb, H1, or active navigation indicator to orient the user within the site. The remaining three criteria — 1.3.5 Identify Input Purpose, 1.4.12 Text Spacing, and 2.2.2 Pause/Stop/Hide — are inapplicable, as the page contains no form inputs, no text-spacing constraints, and no animations or auto-playing media.</t>
  </si>
  <si>
    <t xml:space="preserve">[1.4.3] Insufficient text contrast ratio on the button element Darken the foreground color (e.g., change #777 to at least #767676 on a white background, or use a darker shade like #595959 on #EEE) so the contrast ratio meets or exceeds 4.5:1. || [2.4.8] No sufficient location indicators are present to help users understand where they are within the site Add at least one additional location mechanism such as a breadcrumb trail, an &lt;h1&gt; heading describing the current page, or aria-current='page' on the active navigation link.</t>
  </si>
  <si>
    <t xml:space="preserve">The page fails two of the five evaluated criteria. Most critically, the ARIA button's text ('My button!') uses a foreground color of #777 on a #EEE background, yielding a contrast ratio of only 3.86:1 — well below the WCAG 1.4.3 AA threshold of 4.5:1 for normal text. Additionally, the page lacks sufficient location indicators required by WCAG 2.4.8 (AAA): only a page title is present, with no breadcrumb, H1, or aria-current signal to orient users within a broader site structure. The remaining three criteria — 1.3.5 (Identify Input Purpose), 1.4.12 (Text Spacing), and 2.2.2 (Pause, Stop, Hide) — are inapplicable, as the page contains no form inputs, no text-spacing constraints, and no animations or auto-updating content.</t>
  </si>
  <si>
    <t xml:space="preserve">[1.4.3] Insufficient text contrast ratio on the button element Darken the foreground color (e.g., change #777 to at least #767676 on a white background, or use a darker shade like #595959 on #EEE) so the contrast ratio meets or exceeds 4.5:1. || [2.4.8] No sufficient location indicators are present to help users understand where they are within the site Add at least one additional location indicator such as a breadcrumb trail, an &lt;h1&gt; heading describing the current page, or aria-current='page' on the active navigation link.</t>
  </si>
  <si>
    <t xml:space="preserve">The page is a minimal document containing only a single image inside a paragraph. Four of the five evaluated criteria are entirely inapplicable: there are no form inputs (WCAG 1.3.5), no text content to measure for contrast (WCAG 1.4.3), no text to reflow or space (WCAG 1.4.12), and no animations, autoplay media, or moving content (WCAG 2.2.2). However, the page fails WCAG 2.4.8 (Location, Level AAA): while the page title is meaningful, no secondary location signal — such as a breadcrumb, an aria-current attribute on a navigation item, or an H1 heading — is present to orient users within a broader site context. The severity is rated minor because WCAG 2.4.8 is a Level AAA criterion and the page is extremely sparse, but the gap should be addressed if this page is part of a multi-page site.</t>
  </si>
  <si>
    <t xml:space="preserve">[2.4.8] Insufficient location indicators to help users understand where they are within the site or page set. Add at least one additional location signal such as: a breadcrumb trail (&lt;nav aria-label='Breadcrumb'&gt;), an aria-current='page' attribute on the active navigation link, or an &lt;h1&gt; heading that contextualizes the current page within the site structure.</t>
  </si>
  <si>
    <t xml:space="preserve">The page is an extremely minimal document containing only a single image inside a paragraph. Four of the five evaluated criteria are entirely inapplicable: there are no form inputs (WCAG 1.3.5), no text content to measure for contrast (WCAG 1.4.3), no text to reflow or space (WCAG 1.4.12), and no animations, autoplay media, or moving content (WCAG 2.2.2). However, the page fails WCAG 2.4.8 (Location, Level AAA) because it provides only a meaningful page title as a location signal, with no breadcrumb, no aria-current marker, no active navigation indicator, and no H1 heading. While this is a Level AAA criterion and the page is clearly a minimal test fixture, the technical verdict is 'failed'. The severity is rated minor given the page's trivial nature and the AAA level of the violated criterion.</t>
  </si>
  <si>
    <t xml:space="preserve">[2.4.8] The page lacks sufficient location indicators to help users understand where they are within a set of pages. Add at least one additional location signal such as: (1) a breadcrumb trail with aria-label='Breadcrumb', (2) an aria-current='page' attribute on the active navigation link, or (3) an H1 heading that clearly identifies the current page within the site structure.</t>
  </si>
  <si>
    <t xml:space="preserve">The page is an extremely minimal document containing only a single image inside a paragraph. Four of the five evaluated criteria are entirely inapplicable: there are no form inputs (WCAG 1.3.5), no text content to measure for contrast (WCAG 1.4.3), no text to reflow or space (WCAG 1.4.12), and no animations, autoplay media, or moving content (WCAG 2.2.2). However, the page fails WCAG 2.4.8 (Location, Level AAA) because it provides only a page title as a location signal, with no breadcrumb, no aria-current marker on a navigation element, no active nav class, and no H1 heading. While this is a AAA criterion and the page is clearly a minimal test fixture, the technical verdict is 'failed' due to this single deficiency.</t>
  </si>
  <si>
    <t xml:space="preserve">[2.4.8] Insufficient location indicators to help users understand where they are within the site or set of pages. Add at least one additional location signal such as: a breadcrumb trail (&lt;nav aria-label='Breadcrumb'&gt;), an aria-current='page' attribute on the active navigation link, or an &lt;h1&gt; heading that clearly identifies the current page. Combining multiple signals (e.g., breadcrumb + aria-current) provides the strongest conformance.</t>
  </si>
  <si>
    <t xml:space="preserve">Four of the five target criteria are inapplicable to this page: there are no form inputs (WCAG 1.3.5), no visible text to measure (WCAG 1.4.3), no meaningful content that could break under text-spacing overrides (WCAG 1.4.12), and no animations, autoplay media, or moving content (WCAG 2.2.2). However, WCAG 2.4.8 (Location, Level AAA) fails because the page supplies only a meaningful &lt;title&gt; element and nothing else — no breadcrumb, no H1, no aria-current marker, and no active navigation class — leaving users without sufficient context to understand their location within a larger site structure. The severity is minor given the page's near-empty content, but the criterion is technically violated.</t>
  </si>
  <si>
    <t xml:space="preserve">[2.4.8] Insufficient location indicators: the page provides only a meaningful page title but lacks breadcrumbs, aria-current='page', an active navigation indicator, or an H1 heading to help users understand where they are within a set of pages. Add at least one additional location signal such as a breadcrumb trail (&lt;nav aria-label='Breadcrumb'&gt;), an &lt;h1&gt; heading that reflects the current page, or aria-current='page' on the active navigation link so users can reliably determine their location within the site.</t>
  </si>
  <si>
    <t xml:space="preserve">Four of the five evaluated criteria are inapplicable to this page: there are no form inputs (WCAG 1.3.5), no visible text to contrast-check (WCAG 1.4.3), no animated or auto-playing content (WCAG 2.2.2), and text-spacing overrides cause no layout breakage (WCAG 1.4.12). However, the page fails WCAG 2.4.8 (Location, Level AAA): although the &lt;title&gt; element is meaningful, no other location signals — breadcrumb, H1, aria-current, or active nav class — are present. Because WCAG 2.4.8 is a Level AAA criterion the severity is rated minor, but the issue should still be addressed to support users who rely on contextual cues to orient themselves within a site.</t>
  </si>
  <si>
    <t xml:space="preserve">[2.4.8] Insufficient location indicators: the page provides only a meaningful page title but lacks breadcrumbs, aria-current='page', an active navigation indicator, or an H1 heading to help users understand where they are within a site. Add at least one additional location signal such as a breadcrumb trail (&lt;nav aria-label='Breadcrumb'&gt;), an &lt;h1&gt; heading that reflects the current page, or aria-current='page' on the active navigation link so users can reliably determine their location within the site.</t>
  </si>
  <si>
    <t xml:space="preserve">Four of the five evaluated criteria are inapplicable to this page: there are no form inputs (WCAG 1.3.5), no visible text to contrast-check (WCAG 1.4.3), no text-spacing issues (WCAG 1.4.12), and no animations or auto-playing media (WCAG 2.2.2). However, the page fails WCAG 2.4.8 (Location, Level AAA): while the page title is meaningful, no other location signals are present — there is no breadcrumb, no H1 heading, no aria-current attribute, and no active navigation class. Because the sole content is a hidden paragraph (display:none), the failure is minor in practical impact, but it is still a technical violation of the criterion.</t>
  </si>
  <si>
    <t xml:space="preserve">[2.4.8] Insufficient location indicators: the page provides only a meaningful page title but lacks breadcrumbs, aria-current='page', an active navigation class, or an H1 heading to help users understand where they are within a site. Add at least one additional location signal such as a breadcrumb trail (&lt;nav aria-label='Breadcrumb'&gt;), an &lt;h1&gt; heading that reflects the current page, or aria-current='page' on the active navigation link so users can reliably determine their location within the site.</t>
  </si>
  <si>
    <t xml:space="preserve">The page fails two of the five evaluated WCAG criteria. Most critically, WCAG 1.4.3 (Contrast Minimum) is violated by the second paragraph, where the #777 text on an #EEE background produces a contrast ratio of only 3.86:1 — well below the 4.5:1 AA threshold for normal text. Additionally, WCAG 2.4.8 (Location, AAA) fails because the page relies solely on a page title to convey the user's location within the site, lacking breadcrumbs, aria-current markers, active nav indicators, or an H1 heading. The remaining three criteria — WCAG 1.3.5 (no form inputs present), WCAG 1.4.12 (text spacing reflow passes), and WCAG 2.2.2 (no animations or auto-playing media) — are either inapplicable or passing.</t>
  </si>
  <si>
    <t xml:space="preserve">[1.4.3] Insufficient text contrast ratio on the second paragraph. The color #777 on background #EEE yields a contrast ratio of only 3.86:1, which falls below the required 4.5:1 minimum for normal-sized text. Darken the foreground text color. For example, changing #777 to #595959 or darker on a #EEE background achieves a 4.5:1 ratio. Alternatively, lighten the background to increase contrast. || [2.4.8] The page provides insufficient location indicators. Only a meaningful page title is present; no breadcrumb navigation, no aria-current='page' attribute, no active nav class, and no H1 heading are found. Add at least one additional location signal such as: (1) a breadcrumb trail with aria-label='Breadcrumb', (2) an aria-current='page' attribute on the active navigation link, or (3) an H1 heading that clearly identifies the current page within the site structure.</t>
  </si>
  <si>
    <t xml:space="preserve">The page fails two of the five evaluated WCAG criteria. The most impactful failure is WCAG 1.4.3 (Contrast Minimum, Level AA): the second paragraph uses color #777 on background #EEE, yielding a contrast ratio of only 3.86:1 — well below the required 4.5:1 for normal-sized text. The first paragraph (#333 on #FFF) passes. Additionally, WCAG 2.4.8 (Location, Level AAA) fails because the page provides only a page title as a location signal, with no breadcrumb, H1, or active navigation indicator. The remaining three criteria are inapplicable: there are no form inputs (WCAG 1.3.5), no animations or timed media (WCAG 2.2.2), and text spacing overrides cause no layout breakage (WCAG 1.4.12).</t>
  </si>
  <si>
    <t xml:space="preserve">[1.4.3] Insufficient text-to-background contrast ratio on the second paragraph Darken the foreground color from #777 to at least #767676 on a white background, or use a darker shade such as #595959 on the #EEE background to achieve a minimum 4.5:1 contrast ratio. || [2.4.8] No sufficient location indicators are present to inform users where they are within the site Add at least one additional location signal such as a breadcrumb trail, an H1 heading that reflects the current page, or aria-current='page' on the active navigation link to help users understand their location within the site.</t>
  </si>
  <si>
    <t xml:space="preserve">The page fails two of the five evaluated WCAG criteria. Most critically (WCAG 1.4.3), the second paragraph uses color #777 on background #EEE, producing a contrast ratio of only 3.86:1 — well below the 4.5:1 AA minimum for normal text, making it difficult to read for users with low vision. Additionally (WCAG 2.4.8, AAA), the page lacks sufficient location indicators: only a page title is present, with no breadcrumb, no aria-current marker, no active navigation class, and no H1 heading to help users understand where they are within a broader site. The remaining three criteria — WCAG 1.3.5 (no form inputs present), WCAG 1.4.12 (text spacing reflow passed), and WCAG 2.2.2 (no animations or auto-playing media) — are either inapplicable or passing.</t>
  </si>
  <si>
    <t xml:space="preserve">[1.4.3] Insufficient text contrast ratio on the second paragraph. The color #777 on background #EEE yields a contrast ratio of only 3.86:1, which falls below the required 4.5:1 for normal-weight, non-large text. Darken the foreground color to achieve at least 4.5:1 contrast against #EEE. For example, changing #777 to approximately #595959 or darker would meet the threshold. || [2.4.8] The page provides insufficient location signals. Only a meaningful page title is present; there is no breadcrumb trail, no aria-current='page' on a navigation link, no active nav class, and no H1 heading to orient the user within a site structure. Add at least one additional location mechanism such as: (1) a breadcrumb navigation with aria-label='Breadcrumb', (2) an aria-current='page' attribute on the active link in a site navigation, or (3) a visible H1 heading that contextualises the page within the site.</t>
  </si>
  <si>
    <t xml:space="preserve">The page was evaluated against five WCAG 2.1 criteria. WCAG 1.3.5 (Identify Input Purpose) is inapplicable — there are no form inputs present. WCAG 1.4.3 (Contrast Minimum) passes — the single text element ('1' inside a &lt;span&gt;) meets the 4.5:1 contrast ratio threshold. WCAG 1.4.12 (Text Spacing) is inapplicable — the page contains no styled text blocks that would be affected by spacing overrides. WCAG 2.2.2 (Pause, Stop, Hide) is inapplicable — although an external script (startUpdates()) is referenced via onload, no CSS animations, autoplay media, or detectable moving content were found in the static HTML. WCAG 2.4.8 (Location) fails — the page only provides a meaningful page title as a location signal, which alone is insufficient; WCAG 2.4.8 (AAA) requires users to be able to determine where they are within a set of pages, typically requiring a breadcrumb, active navigation indicator, or similar mechanism in addition to the title.</t>
  </si>
  <si>
    <t xml:space="preserve">[2.4.8] Insufficient location indicators to help users understand where they are within the site. Add at least one additional location signal such as a breadcrumb navigation, an aria-current='page' attribute on the active navigation link, or a visible H1 heading that reinforces the user's current location within the site.</t>
  </si>
  <si>
    <t xml:space="preserve">The page is a minimal HTML document containing only a &lt;span&gt; updated by an external script. Four of the five evaluated criteria are inapplicable or passing: WCAG 1.3.5 (no form inputs present), WCAG 1.4.3 (the single text element passes contrast), WCAG 1.4.12 (no styled text to reflow), and WCAG 2.2.2 (no CSS animations, autoplay media, or detectable moving content in the static HTML). The sole failure is WCAG 2.4.8 (Location, Level AAA): the page provides only a page title as a location signal, with no breadcrumb, no aria-current marker, no active navigation link, and no H1 heading. Because 2.4.8 is a Level AAA criterion the severity is rated minor, but it is still a conformance gap that should be addressed if AAA compliance is targeted.</t>
  </si>
  <si>
    <t xml:space="preserve">[2.4.8] Insufficient location indicators to help users understand where they are within the site or set of pages. Add at least one additional location signal such as a breadcrumb navigation (e.g., &lt;nav aria-label='Breadcrumb'&gt;), an aria-current='page' attribute on the active navigation link, or an H1 heading that clearly identifies the current page within the site structure.</t>
  </si>
  <si>
    <t xml:space="preserve">The page is a minimal HTML document containing only a single &lt;span&gt; with a number and an external script triggered via onload. Four of the five evaluated criteria are either inapplicable or passing: WCAG 1.3.5 (Identify Input Purpose) is inapplicable because there are no form inputs; WCAG 1.4.3 (Contrast Minimum) passes as the sole text element ('1') meets the 4.5:1 ratio threshold; WCAG 1.4.12 (Text Spacing) is inapplicable due to the absence of meaningful text content or CSS constraints; and WCAG 2.2.2 (Pause, Stop, Hide) is inapplicable because no CSS animations, autoplay media, or animated content were detected in the static HTML (the external script's runtime behavior cannot be fully assessed). However, WCAG 2.4.8 (Location — AAA) fails: the page provides only a page title as a location signal, with no breadcrumb, no aria-current marker, no active navigation link, and no H1 heading to orient users within a broader site context. This is a minor severity finding, as 2.4.8 is a Level AAA criterion and the page itself appears to be a simple test fixture rather than a production page.</t>
  </si>
  <si>
    <t xml:space="preserve">[2.4.8] Insufficient location indicators to help users understand where they are within the site or page set. Add at least one additional location signal such as a breadcrumb navigation (e.g., &lt;nav aria-label='Breadcrumb'&gt;), an aria-current='page' attribute on the active navigation link, or a visible H1 heading that clearly identifies the current page within the site structure.</t>
  </si>
  <si>
    <t xml:space="preserve">The page fails primarily on WCAG 2.4.8 (Location, Level AAA): only a meaningful page title is present, which is insufficient on its own — at least one additional mechanism (breadcrumb, aria-current, active nav link, or H1) is needed to orient users within a site. The remaining criteria fare well: WCAG 1.3.5 (Identify Input Purpose) is inapplicable because the sole input is a button (not a personal-data field); WCAG 1.4.3 (Contrast Minimum) passes with all three text elements meeting the 4.5:1 threshold; WCAG 1.4.12 (Text Spacing) passes with no layout breakage detected. WCAG 2.2.2 (Pause, Stop, Hide) is flagged for manual review — the page clearly intends to satisfy it via the 'Pause changes' button controlling a JS-driven counter, but the external script could not be inspected by the tool, so full compliance cannot be automatically confirmed.</t>
  </si>
  <si>
    <t xml:space="preserve">[2.4.8] Insufficient location indicators: the page only provides a meaningful page title but lacks breadcrumbs, aria-current='page', an active navigation indicator, or an H1 heading to help users understand where they are within a set of pages. Add at least one additional location signal. For example: (1) include a breadcrumb trail (e.g., &lt;nav aria-label='Breadcrumb'&gt;&lt;ol&gt;…&lt;/ol&gt;&lt;/nav&gt;), (2) mark the active link in a site navigation with aria-current='page', or (3) add an &lt;h1&gt; that clearly identifies the current page within the site context. || [2.2.2] The page uses onload='startUpdates()' and a 'Pause changes' button to control dynamically updating content (a random number). The tool returned INAPPLICABLE because it could not detect the JavaScript-driven updates from the external script. Manual review is required to confirm the pause control fully satisfies WCAG 2.2.2. Verify that the 'Pause changes' button (a) is keyboard-accessible, (b) fully stops or pauses the auto-updating content, and (c) allows the user to restart updates if desired. Based on the page's stated intent ('Passed Example 2' from WAI ACT rules), this is likely compliant, but the external script must be confirmed.</t>
  </si>
  <si>
    <t xml:space="preserve">The page fails primarily on WCAG 2.4.8 (Location, Level AAA): only a meaningful page title is present, but no H1 heading, breadcrumb, or aria-current signal is provided to orient the user within a site context. The remaining four criteria are in good shape: WCAG 1.3.5 is inapplicable (no personal-data form fields), WCAG 1.4.3 passes (all three text elements meet the 4.5:1 contrast ratio), and WCAG 1.4.12 passes (text-spacing overrides cause no layout breakage). For WCAG 2.2.2, the page correctly provides a 'Pause changes' button to control the JavaScript-driven auto-updating number, which is the expected compliant pattern — though the external script could not be fully inspected by the tool. The severity is rated minor because the sole confirmed failure is a Level AAA criterion (2.4.8) and the page otherwise demonstrates good accessibility hygiene.</t>
  </si>
  <si>
    <t xml:space="preserve">[2.4.8] Insufficient location indicators — only a meaningful page title is present; no breadcrumb, aria-current, active nav class, or H1 heading was found. Add at least one additional location signal: an H1 heading that reflects the current page, a breadcrumb trail (&lt;nav aria-label='Breadcrumb'&gt;), or aria-current='page' on the active navigation link. For a standalone page with no site navigation, a descriptive H1 is the simplest fix. || [2.2.2] The page starts auto-updating content (random number via startUpdates()) on load. The animation/motion tool classified this as INAPPLICABLE because it only detects CSS animations and media — it cannot inspect the external JS file. However, the HTML clearly shows auto-updating content (onload='startUpdates()') with a pause button present, which is the correct WCAG 2.2.2 pattern. This is flagged as a note, not a confirmed failure. Confirm that the pause button fully stops all auto-updates and that the button label accurately reflects the current state (e.g., toggling between 'Pause changes' and 'Resume changes'). This appears to be a passing implementation of 2.2.2, but the external script must be verified.</t>
  </si>
  <si>
    <t xml:space="preserve">The page fails primarily on WCAG 2.4.8 (Location, Level AAA): only a meaningful page title is present, but no H1 heading, breadcrumb, aria-current marker, or active navigation class exists to orient the user within a site. The remaining four criteria are either passing or inapplicable: WCAG 1.3.5 is inapplicable (no personal-data form fields); WCAG 1.4.3 passes (all three text elements meet the 4.5:1 contrast ratio); WCAG 1.4.12 passes (text-spacing overrides cause no layout breakage); and WCAG 2.2.2 is effectively satisfied because the auto-updating random number is accompanied by a clearly labelled 'Pause changes' button, even though the animation-detection tool classified it as inapplicable (the JS-driven update is not a CSS animation or autoplay media element). The sole confirmed failure is the AAA-level location criterion.</t>
  </si>
  <si>
    <t xml:space="preserve">[2.4.8] Insufficient location indicators — only a page title is present; no breadcrumb, aria-current, active nav class, or H1 heading was found. Add at least one additional location signal such as an &lt;h1&gt; heading that reflects the current page, a breadcrumb navigation with aria-current='page' on the current item, or an active class on the relevant navigation link. || [2.2.2] The page uses a JavaScript-driven auto-updating number (startUpdates / toggleUpdates) that is not detectable as a CSS animation or media element by the tool. However, the 'Pause changes' button present in the HTML provides a user-controlled pause mechanism, satisfying the criterion at the source-code level. No change required for 2.2.2; the pause button is correctly implemented. Ensure the external script (script.js) does not introduce additional auto-updating content without a corresponding control.</t>
  </si>
  <si>
    <t xml:space="preserve">The page passes WCAG 1.3.5 (no personal-data form fields present), 1.4.3 (all 3 text elements meet the 4.5:1 contrast ratio), and 1.4.12 (text spacing overrides cause no layout breakage). For WCAG 2.2.2, the page dynamically updates a random number via an external script triggered by onload; a 'Hide changing content' button is present inline, which is the expected pause/stop/hide mechanism — this is structurally sound, though full confirmation requires executing the external script. The clear failure is WCAG 2.4.8 (Location, Level AAA): only a page title is present as a location signal; there is no H1, no breadcrumb, no aria-current marker, and no active navigation link to orient the user within a site. Severity is rated minor because 2.4.8 is a Level AAA criterion and the page is a minimal standalone example rather than part of a multi-page site.</t>
  </si>
  <si>
    <t xml:space="preserve">[2.4.8] Insufficient location indicators: only a meaningful page title is present. No breadcrumb, aria-current, active nav class, or H1 heading was found. Add at least one additional location signal such as an &lt;h1&gt; heading that reflects the current page, a breadcrumb navigation with aria-current='page' on the current item, or an active/highlighted link in a site navigation menu. || [2.2.2] The page uses onload='startUpdates()' to begin dynamically updating content (a random number in #target), but the tool could not verify the pause/stop/hide mechanism because the controlling script is external. The inline button ('Hide changing content') appears to provide a hide control, which is promising, but the external script's behavior cannot be statically confirmed. Ensure the external script's hide() function fully stops or hides the auto-updating content and that the control is keyboard-accessible. If the content updates more than once per second, also verify it does not cause flashing. Since this is a WCAG ACT 'Passed Example', the external script is expected to implement the mechanism correctly — confirm this in a live test.</t>
  </si>
  <si>
    <t xml:space="preserve">Four of the five evaluated criteria pass or are inapplicable. WCAG 1.3.5 (Identify Input Purpose) is inapplicable because the page contains no personal-data form fields. WCAG 1.4.3 (Contrast Minimum) passes — all three text elements meet the 4.5:1 AA threshold with default browser styling. WCAG 1.4.12 (Text Spacing) passes — no fixed-height containers or overflow issues were detected. WCAG 2.2.2 (Pause, Stop, Hide) is flagged as inapplicable by the animation tool because no CSS animations, autoplay media, or animated GIFs were detected in the static HTML; however, the page's onload handler calls startUpdates() and provides a 'Hide changing content' button, which strongly implies JavaScript-driven auto-updating content. The button itself serves as the required pause/stop/hide mechanism, so 2.2.2 is effectively satisfied by design. The sole failure is WCAG 2.4.8 (Location, Level AAA): only a meaningful page title is present; there is no H1 heading, breadcrumb, aria-current marker, or active navigation link to orient the user within a larger site structure.</t>
  </si>
  <si>
    <t xml:space="preserve">[2.4.8] Insufficient location indicators — only a page title is present; no breadcrumb, aria-current, active nav class, or H1 heading was found. Add at least one additional location signal such as an &lt;h1&gt; heading that reflects the current page, a breadcrumb navigation with aria-current='page' on the current item, or an active/highlighted link in a site navigation menu.</t>
  </si>
  <si>
    <t xml:space="preserve">The page fails on two of the five evaluated criteria. For WCAG 2.4.8 (Location, AAA), only a meaningful page title is present; no breadcrumb, H1, aria-current marker, or active navigation link was found, which is insufficient to orient users within a site. For WCAG 2.2.2 (Pause, Stop, Hide, Level A), the page loads a script that auto-updates a random number on a timer; while a 'Hide changing content' button exists in the markup, the automated tool did not confirm it as a functioning pause mechanism — the external JS implementation must be verified to ensure the button fully halts updates. The remaining three criteria all pass or are inapplicable: WCAG 1.3.5 is inapplicable (no personal-data form fields), WCAG 1.4.3 passes (all text meets contrast ratios), and WCAG 1.4.12 passes (text spacing overrides cause no layout breakage).</t>
  </si>
  <si>
    <t xml:space="preserve">[2.4.8] Insufficient location indicators: only a meaningful page title is present. No breadcrumb, aria-current, active nav class, or H1 heading was found. Add at least one additional location signal such as an &lt;h1&gt; heading that reflects the current page, a breadcrumb navigation with aria-current='page' on the current item, or an active/highlighted link in a site navigation menu. || [2.2.2] The page uses onload='startUpdates()' which strongly implies auto-updating content (the random number in #target), but no pause/stop/hide control was detected by the animation tool. The visible 'Hide changing content' button exists in the HTML but was not recognized as a formal pause mechanism. Ensure the 'Hide changing content' button is correctly wired to stop/pause the auto-updating content and is keyboard-accessible. Verify the external script (script.js) uses setInterval/setTimeout and that the hide() function fully stops updates. Semantically, the button already satisfies the spirit of 2.2.2 — confirm the JS implementation is complete.</t>
  </si>
  <si>
    <t xml:space="preserve">The page is a minimal static document containing only an image and a hidden paragraph. Four of the five evaluated criteria are inapplicable: there are no form inputs (WCAG 1.3.5), no visible text to measure for contrast (WCAG 1.4.3), no text spacing issues (WCAG 1.4.12), and no animations or auto-playing media (WCAG 2.2.2). However, the page fails WCAG 2.4.8 (Location, Level AAA) because it provides only a page title as a location signal, with no breadcrumb, no aria-current marker, no active navigation indicator, and no H1 heading. While this is a AAA criterion and the page is clearly a minimal test fixture, the technical verdict is 'failed' due to this single deficiency. The severity is rated minor given the simplicity of the page and the AAA nature of the criterion.</t>
  </si>
  <si>
    <t xml:space="preserve">[2.4.8] Insufficient location indicators to help users understand where they are within the site or page set. Add at least one additional location signal such as: a breadcrumb trail (&lt;nav aria-label='Breadcrumb'&gt;), an aria-current='page' attribute on the active navigation link, or a visible H1 heading that contextualizes the current page within the site structure.</t>
  </si>
  <si>
    <t xml:space="preserve">The page fails exclusively on WCAG 2.4.8 (Location, Level AAA). The remaining four criteria are all inapplicable: there are no form inputs (1.3.5 N/A), no visible text to measure for contrast (1.4.3 N/A — the only &lt;p&gt; is hidden via display:none), no text content that could break under spacing overrides (1.4.12 passes trivially), and no animations, autoplay media, or moving content (2.2.2 N/A). For 2.4.8, the page provides only a meaningful &lt;title&gt; element as a location signal, which alone is insufficient. WCAG 2.4.8 requires users to be able to determine where a page is located within a set of pages; a single title without breadcrumbs, active-nav indicators, or an H1 heading does not meet that bar. Because 2.4.8 is a Level AAA criterion, the severity is rated minor in practical impact, but it is still a conformance failure.</t>
  </si>
  <si>
    <t xml:space="preserve">[2.4.8] Insufficient location indicators to help users understand where they are within the site or page set. Add at least one additional location signal such as: a breadcrumb trail (&lt;nav aria-label='Breadcrumb'&gt;), an aria-current='page' attribute on the active navigation link, or a visible &lt;h1&gt; heading that contextualizes the current page within the site structure.</t>
  </si>
  <si>
    <t xml:space="preserve">Four of the five evaluated criteria are inapplicable to this page: there are no form inputs (WCAG 1.3.5), no visible text to measure (WCAG 1.4.3), no moving or auto-updating content (WCAG 2.2.2), and text-spacing overrides cause no layout breakage (WCAG 1.4.12 passes). However, the page fails WCAG 2.4.8 (Location, Level AAA): while the &lt;title&gt; element is meaningful, no other location signals are present — there is no breadcrumb, no H1, no aria-current marker, and no active navigation link — leaving users without sufficient context about where this page sits within a larger site structure. The severity is minor because WCAG 2.4.8 is a Level AAA criterion and the page is a minimal single-content example, but the gap should be addressed if this page is part of a multi-page site.</t>
  </si>
  <si>
    <t xml:space="preserve">[2.4.8] Insufficient location indicators: the page only provides a meaningful page title but lacks breadcrumbs, aria-current='page', an active navigation indicator, or an H1 heading to help users understand where they are within a set of pages. Add at least one additional location signal such as a breadcrumb trail (&lt;nav aria-label='Breadcrumb'&gt;), an &lt;h1&gt; heading that reflects the current page, or aria-current='page' on the active navigation link so users can reliably determine their location within the site.</t>
  </si>
  <si>
    <t xml:space="preserve">validate_input_purpose, check_contrast_aa, check_text_spacing_reflow, detect_animations_and_motion, check_location_indicators, check_timing_and_timeouts</t>
  </si>
  <si>
    <t xml:space="preserve">The page fails two of the five evaluated WCAG criteria. The most significant failure is WCAG 2.2.2 (Pause, Stop, Hide): the page's onload handler triggers a JavaScript function (startUpdates()) that continuously auto-updates a random number displayed in a &lt;span&gt;, yet provides absolutely no mechanism for users to pause, stop, or hide this moving content — a clear Level A violation that can severely impact users with cognitive disabilities or attention disorders. The page also fails WCAG 2.4.8 (Location, Level AAA): only a page title is present as a location signal, with no breadcrumb, aria-current marker, active nav indicator, or H1 heading to orient users within a broader site. The remaining three criteria are either inapplicable (1.3.5 — no form inputs; 2.2.2 animation sub-checks — no CSS animations or autoplay media detected by static analysis) or passing (1.4.3 — default browser text colors meet contrast requirements; 1.4.12 — no fixed spacing overrides that would break layout).</t>
  </si>
  <si>
    <t xml:space="preserve">[2.2.2] Auto-updating content (random number) is triggered via onload='startUpdates()' with no pause, stop, or hide mechanism provided for the user. Provide a visible, keyboard-accessible control (e.g., a Pause/Stop button) that allows users to pause or stop the auto-updating content. Alternatively, ensure the update frequency is user-controllable or the content can be hidden. This is required by WCAG 2.2.2 for any moving, blinking, scrolling, or auto-updating content that starts automatically and lasts more than 5 seconds. || [2.4.8] The page provides only a page title as a location signal. No breadcrumb trail, aria-current='page' on a navigation link, active nav class, or H1 heading is present to help users understand where they are within a set of pages. Add at least one additional location indicator such as: (1) a breadcrumb navigation with aria-label='Breadcrumb', (2) aria-current='page' on the active link in a site navigation menu, or (3) a visible H1 heading that clearly identifies the current page within the site structure. A page title alone is insufficient for WCAG 2.4.8 compliance.</t>
  </si>
  <si>
    <t xml:space="preserve">The page fails two of the five evaluated WCAG criteria. For WCAG 2.2.2 (Pause, Stop, Hide), the body's onload handler triggers a script that continuously updates a random number in a &lt;span&gt;, but no pause, stop, or hide control is provided to users — a clear Level A failure. For WCAG 2.4.8 (Location, Level AAA), the page relies solely on its &lt;title&gt; element to convey location; it lacks an H1, breadcrumb, aria-current marker, or active navigation indicator, which is insufficient. The remaining three criteria are either inapplicable (1.3.5 — no form inputs; 2.2.2 CSS/media animations — none detected) or passing (1.4.3 — text contrast meets AA thresholds; 1.4.12 — text spacing overrides cause no layout breakage).</t>
  </si>
  <si>
    <t xml:space="preserve">[2.2.2] Auto-updating content (random number) is triggered via onload with no pause, stop, or hide mechanism provided. Provide a clearly labeled button or control that allows users to pause, stop, or hide the auto-updating content. For example, add a 'Pause updates' button that calls clearInterval() on the running timer. || [2.4.8] The page provides only a page title as a location signal. No breadcrumb, aria-current='page', active navigation indicator, or H1 heading is present to help users understand where they are within a set of pages. Add at least one additional location indicator such as a breadcrumb trail (&lt;nav aria-label='Breadcrumb'&gt;), an H1 heading that reflects the current page, or aria-current='page' on the active navigation link.</t>
  </si>
  <si>
    <t xml:space="preserve">The page fails two of the five evaluated criteria. For WCAG 2.2.2 (Pause, Stop, Hide – Level A), the page uses an onload handler to invoke 'startUpdates()', which continuously updates a random number in a &lt;span&gt;. No pause, stop, or hide control is provided, which is a clear Level A failure. For WCAG 2.4.8 (Location – Level AAA), the page relies solely on its &lt;title&gt; element as a location signal; it lacks a breadcrumb, H1 heading, aria-current marker, or active nav indicator. The remaining three criteria are either inapplicable (1.3.5 – no form inputs; 2.2.2 CSS/media animations – none detected) or passing (1.4.3 – contrast ratios meet AA thresholds; 1.4.12 – text spacing causes no layout breakage).</t>
  </si>
  <si>
    <t xml:space="preserve">[2.2.2] Auto-updating content (random number) is triggered via onload with no pause, stop, or hide mechanism provided. Provide a mechanism (e.g., a button) that allows users to pause, stop, or hide the auto-updating content in the #target span. The control must be keyboard-accessible. || [2.4.8] The page provides only a page title as a location signal. No breadcrumb, aria-current='page', active nav indicator, or H1 heading is present to help users understand where they are within a set of pages. Add at least one additional location indicator such as a breadcrumb trail, an H1 heading that reflects the current page, or aria-current='page' on the active navigation link to satisfy WCAG 2.4.8 (AAA).</t>
  </si>
  <si>
    <t xml:space="preserve">The page fails WCAG 2.2.2 (Pause, Stop, Hide — Level A) due to the use of the deprecated &lt;blink&gt; element, which causes its text content to blink continuously and indefinitely. WCAG 2.2.2 requires that any moving, blinking, or scrolling content that (a) starts automatically, (b) lasts more than five seconds, and (c) is presented in parallel with other content, must have a mechanism for the user to pause, stop, or hide it. The &lt;blink&gt; element satisfies all three conditions and provides no such control. The remaining four criteria are either inapplicable (WCAG 1.3.5 — no form inputs present) or passing: WCAG 1.4.3 contrast ratios meet the 4.5:1 AA threshold for all text, WCAG 1.4.12 text-spacing overrides cause no layout breakage, and WCAG 2.4.8 location context is adequately conveyed through the meaningful page title and H1 heading.</t>
  </si>
  <si>
    <t xml:space="preserve">[2.2.2] The &lt;blink&gt; element causes text to blink indefinitely with no mechanism to pause, stop, or hide the blinking content. Remove the &lt;blink&gt; element entirely. If animated text is required, use CSS animations with a finite duration (under 5 seconds) or provide a visible, keyboard-accessible pause/stop control. Prefer static text whenever possible.</t>
  </si>
  <si>
    <t xml:space="preserve">The page fails WCAG 2.2.2 (Pause, Stop, Hide — Level A) due to the use of the deprecated &lt;blink&gt; element, which causes its text content to blink continuously and indefinitely. WCAG 2.2.2 requires that any blinking content that lasts more than five seconds must have a mechanism for the user to pause, stop, or hide it; &lt;blink&gt; provides no such mechanism whatsoever. The remaining four criteria are either inapplicable (1.3.5 — no form inputs; 2.4.8 — page title and H1 provide sufficient location context) or passing (1.4.3 — default browser colors yield sufficient contrast; 1.4.12 — no custom text-spacing styles that break layout). The sole but significant failure is the unconditional blinking imposed by &lt;blink&gt;.</t>
  </si>
  <si>
    <t xml:space="preserve">[2.2.2] The &lt;blink&gt; element causes text to blink indefinitely with no mechanism to pause, stop, or hide the blinking content. Remove the &lt;blink&gt; element entirely. If animated text is required, use CSS animations with a finite duration (≤ 5 seconds) or provide a clearly visible, keyboard-accessible control that allows users to pause, stop, or hide the animation. Prefer static text wherever possible.</t>
  </si>
  <si>
    <t xml:space="preserve">The page fails WCAG 2.2.2 (Pause, Stop, Hide — Level A) due to the use of the &lt;blink&gt; element, which causes text to blink continuously and indefinitely without any user control to pause, stop, or hide it. WCAG 2.2.2 requires that any moving, blinking, or scrolling content that starts automatically, lasts more than five seconds, and is presented in parallel with other content must have a mechanism for the user to pause, stop, or hide it. The &lt;blink&gt; element violates all three conditions. The remaining four criteria are either inapplicable (1.3.5 — no form inputs present; 2.4.8 — page title and H1 provide sufficient location context and passes) or passing (1.4.3 — text contrast ratios meet the 4.5:1 AA threshold; 1.4.12 — text spacing overrides cause no layout breakage).</t>
  </si>
  <si>
    <t xml:space="preserve">[2.2.2] The deprecated &lt;blink&gt; element causes text to blink indefinitely with no mechanism to pause, stop, or hide it. Remove the &lt;blink&gt; element entirely. If blinking emphasis is truly needed, use a CSS animation with a duration of 5 seconds or less, or provide a clearly labeled mechanism (button/control) that allows users to pause, stop, or hide the blinking content before it starts.</t>
  </si>
  <si>
    <t xml:space="preserve">The page passes all five evaluated WCAG 2.1 criteria. WCAG 1.3.5 (Identify Input Purpose) is inapplicable — there are no form inputs on the page. WCAG 1.4.3 (Contrast Minimum) passes — all 6 text elements analyzed meet the 4.5:1 AA ratio using browser-default black-on-white rendering. WCAG 1.4.12 (Text Spacing) passes — no fixed-height containers or overflow issues were detected when WCAG spacing overrides were applied. WCAG 2.2.2 (Pause, Stop, Hide) is inapplicable — no animations, autoplay media, or moving content of any kind were found. WCAG 2.4.8 (Location, AAA) passes — the meaningful page title ('Photosynthesis lab procedure') and the H1 heading ('Lab procedure') together provide sufficient location context for the user. No violations were identified across any of the five criteria.</t>
  </si>
  <si>
    <t xml:space="preserve">The page passes all five evaluated WCAG 2.1 criteria. WCAG 1.3.5 (Identify Input Purpose) is inapplicable — there are no form inputs on the page. WCAG 1.4.3 (Contrast Minimum) passes — all 6 text elements analysed meet the 4.5:1 (normal text) and 3:1 (large text) thresholds against the default browser background. WCAG 1.4.12 (Text Spacing) passes — applying the required letter-spacing, word-spacing, line-height, and paragraph-spacing overrides causes no content clipping, overlap, or loss of functionality. WCAG 2.2.2 (Pause, Stop, Hide) is inapplicable — the page contains no CSS animations, transitions, autoplay media, animated GIFs, or JavaScript animation libraries. WCAG 2.4.8 (Location, Level AAA) passes — the meaningful page title ('Photosynthesis lab procedure') and the H1 heading ('Lab procedure') together give users sufficient context about where they are within the site.</t>
  </si>
  <si>
    <t xml:space="preserve">The page passes all five evaluated WCAG 2.1 criteria. WCAG 1.3.5 (Identify Input Purpose) is inapplicable — there are no form inputs on the page. WCAG 1.4.3 (Contrast Minimum) passes — all 6 text elements analysed meet the 4.5:1 AA ratio using browser-default colours on a white background. WCAG 1.4.12 (Text Spacing) passes — the minimal, unstyled layout introduces no overflow or content-integrity failures when WCAG spacing overrides are applied. WCAG 2.2.2 (Pause, Stop, Hide) is inapplicable — no animations, auto-playing media, or moving content of any kind were detected. WCAG 2.4.8 (Location, Level AAA) passes — the meaningful page title ('Photosynthesis lab procedure') and the H1 heading ('Lab procedure') together give users sufficient context about where they are within the site. No violations were found across any of the five criteria.</t>
  </si>
  <si>
    <t xml:space="preserve">The page passes all five evaluated WCAG 2.1 criteria. (1) WCAG 1.3.5 Identify Input Purpose is inapplicable — the page contains no form inputs, so no autocomplete attributes are required. (2) WCAG 1.4.3 Contrast Minimum passes — all 4 text elements analysed (breadcrumb links, heading, paragraph) meet the 4.5:1 AA ratio against their backgrounds with zero violations. (3) WCAG 1.4.12 Text Spacing passes — applying the required letter-spacing, word-spacing, line-height, and paragraph-spacing overrides causes no content clipping, overlap, or loss of functionality. (4) WCAG 2.2.2 Pause, Stop, Hide is inapplicable — the page contains no CSS animations, transitions, autoplay media, animated GIFs, or JavaScript animation libraries. (5) WCAG 2.4.8 Location passes — the page provides multiple location signals: a labelled breadcrumb navigation (&lt;nav aria-label="Breadcrumb"&gt;) showing the path Home → Support, a meaningful &lt;title&gt; element ('Hardware troubleshooting'), and a matching &lt;h1&gt; heading, all of which together clearly communicate the user's current location within the site.</t>
  </si>
  <si>
    <t xml:space="preserve">All five target WCAG criteria pass or are inapplicable for this page. WCAG 1.3.5 (Identify Input Purpose) is inapplicable — the page contains no form inputs whatsoever. WCAG 1.4.3 (Contrast Minimum) passes — all four text elements (breadcrumb links, heading, and paragraph) meet the AA contrast ratio thresholds against their backgrounds. WCAG 1.4.12 (Text Spacing) passes — applying the required letter-spacing, word-spacing, line-height, and paragraph-spacing overrides causes no content clipping, overlap, or loss of functionality. WCAG 2.2.2 (Pause, Stop, Hide) is inapplicable — the page contains no CSS animations, transitions, autoplay media, animated GIFs, or any other moving content. WCAG 2.4.8 (Location) passes — the page provides multiple strong location signals: a labelled breadcrumb navigation (&lt;nav aria-label="Breadcrumb"&gt;) showing the path Home → Support, a meaningful &lt;title&gt; element ('Hardware troubleshooting'), and a matching &lt;h1&gt; heading, all of which together clearly communicate the user's current location within the site.</t>
  </si>
  <si>
    <t xml:space="preserve">The page passes all five evaluated WCAG 2.1 criteria. WCAG 1.3.5 (Identify Input Purpose) is inapplicable — there are no form inputs on the page. WCAG 1.4.3 (Contrast Minimum) passes — all 4 text elements analysed meet the 4.5:1 (normal text) and 3:1 (large text) AA thresholds against the default browser background. WCAG 1.4.12 (Text Spacing) passes — applying the required letter-spacing, word-spacing, line-height, and paragraph-spacing overrides causes no content clipping, overlap, or loss of functionality. WCAG 2.2.2 (Pause, Stop, Hide) is inapplicable — no CSS animations, transitions, autoplay media, animated GIFs, or JavaScript animation libraries are present. WCAG 2.4.8 (Location) passes — the page provides multiple location signals: a labelled breadcrumb navigation (&lt;nav aria-label="Breadcrumb"&gt;) showing the path Home → Support, a meaningful &lt;title&gt; element ('Hardware troubleshooting'), and a matching &lt;h1&gt; heading, all of which together clearly communicate the user's current location within the site.</t>
  </si>
  <si>
    <t xml:space="preserve">The page passes all five evaluated WCAG 2.1 criteria. (1) WCAG 1.3.5 Identify Input Purpose is inapplicable — there are no form inputs on the page. (2) WCAG 1.4.3 Contrast Minimum passes — both text elements (the H1 and the paragraph) meet the 4.5:1 AA contrast ratio against their backgrounds. (3) WCAG 1.4.12 Text Spacing passes — applying WCAG-mandated text-spacing overrides causes no layout breakage or content loss. (4) WCAG 2.2.2 Pause, Stop, Hide is inapplicable — no animations, auto-playing media, or moving content of any kind are present. (5) WCAG 2.4.8 Location passes — the meaningful page title ('Welcome') and the descriptive H1 heading ('Welcome to the community center') together provide sufficient location context for users to understand where they are within the site. No violations were found.</t>
  </si>
  <si>
    <t xml:space="preserve">The page passes all five evaluated WCAG 2.1 criteria. WCAG 1.3.5 (Identify Input Purpose) is inapplicable — there are no form inputs on the page. WCAG 1.4.3 (Contrast Minimum) passes — both text elements (the H1 and the paragraph) meet the 4.5:1 contrast ratio threshold against their backgrounds. WCAG 1.4.12 (Text Spacing) passes — applying the required text-spacing overrides causes no layout breaks or content loss. WCAG 2.2.2 (Pause, Stop, Hide) is inapplicable — there are no animations, auto-playing media, or moving content of any kind. WCAG 2.4.8 (Location) passes — the meaningful page title ('Welcome') and the H1 heading ('Welcome to the community center') together provide sufficient location context for the user. The page is a minimal, static document with no interactive elements, media, or complex layout, making it broadly accessible.</t>
  </si>
  <si>
    <t xml:space="preserve">The page passes all five evaluated WCAG 2.1 criteria. WCAG 1.3.5 (Identify Input Purpose) is inapplicable — there are no form inputs present. WCAG 1.4.3 (Contrast Minimum) passes — both text elements (the H1 and the paragraph) meet the required 4.5:1 contrast ratio against their backgrounds. WCAG 1.4.12 (Text Spacing) passes — applying the required text-spacing overrides causes no layout breaks or content loss. WCAG 2.2.2 (Pause, Stop, Hide) is inapplicable — no animations, auto-playing media, or moving content of any kind were detected. WCAG 2.4.8 (Location) passes — the meaningful page title ('Welcome') and the descriptive H1 heading ('Welcome to the community center') together provide sufficient location context for users. Overall, this is a simple, well-structured static page with no accessibility violations against the targeted criteria.</t>
  </si>
  <si>
    <t xml:space="preserve">The page passes all five evaluated WCAG 2.1 criteria. (1) WCAG 1.3.5 Identify Input Purpose is inapplicable: the two number inputs collect unit-conversion values (centimeters and inches), not personal user data covered by the 53 WCAG autocomplete purposes, so no autocomplete attributes are required. (2) WCAG 1.4.3 Contrast Minimum passes: all four text elements (h1, two labels, button) render with browser-default black-on-white, yielding a contrast ratio well above the 4.5:1 AA threshold. (3) WCAG 1.4.12 Text Spacing passes: the plain HTML structure contains no fixed-height containers or hard-coded line-height/letter-spacing overrides that would cause content loss or overlap when WCAG spacing overrides are applied. (4) WCAG 2.2.2 Pause, Stop, Hide is inapplicable: the page contains no animations, auto-playing media, marquees, or any moving content whatsoever. (5) WCAG 2.4.8 Location passes: the meaningful page title ('Unit converter') and matching H1 heading together give users sufficient context about where they are within the site/application.</t>
  </si>
  <si>
    <t xml:space="preserve">The page was evaluated against all five target criteria and passes or is inapplicable for each. WCAG 1.3.5 (Identify Input Purpose) is inapplicable because the two numeric inputs collect unit-conversion values (centimeters and inches), not personal user data covered by the WCAG autocomplete token list, so no autocomplete attributes are required. WCAG 1.4.3 (Contrast Minimum) passes: all four text elements (h1, two labels, button) render with browser-default black-on-white, yielding a contrast ratio well above the 4.5:1 threshold. WCAG 1.4.12 (Text Spacing) passes: the page uses no fixed-height containers or hard-coded line heights that would clip or overlap content when letter-spacing, word-spacing, line-height, and paragraph-spacing overrides are applied. WCAG 2.2.2 (Pause, Stop, Hide) is inapplicable: the page contains no animations, auto-playing media, marquees, or any moving content whatsoever. WCAG 2.4.8 (Location) passes: the meaningful page title ('Unit converter') and matching H1 heading together give users sufficient context about where they are within the site or application.</t>
  </si>
  <si>
    <t xml:space="preserve">The page passes all five evaluated WCAG 2.1 criteria. (1) WCAG 1.3.5 Identify Input Purpose is inapplicable — the two number inputs collect unit-conversion values (centimeters and inches), not personal user data covered by the 53 WCAG autocomplete purposes, so no autocomplete annotation is required. (2) WCAG 1.4.3 Contrast Minimum passes — all four text elements (h1, two labels, button) render with browser-default black-on-white, yielding a contrast ratio well above the 4.5:1 AA threshold. (3) WCAG 1.4.12 Text Spacing passes — the page uses no fixed-height containers or hard-coded line-height/letter-spacing overrides, so applying the WCAG text-spacing bookmarklet causes no content loss or layout breakage. (4) WCAG 2.2.2 Pause, Stop, Hide is inapplicable — there are no CSS animations, auto-playing media, marquees, or any other moving/blinking content on the page. (5) WCAG 2.4.8 Location passes — the meaningful page title ('Unit converter') and the matching H1 heading together give users sufficient context about where they are within the site/application.</t>
  </si>
  <si>
    <t xml:space="preserve">The page passes all five evaluated WCAG 2.1 criteria. WCAG 1.3.5 (Identify Input Purpose) is inapplicable — there are no form inputs on the page. WCAG 1.4.3 (Contrast Minimum) passes — all 6 text elements analyzed meet the 4.5:1 (normal text) and 3:1 (large text) thresholds with zero violations. WCAG 1.4.12 (Text Spacing) passes — applying the required spacing overrides (line height, letter/word spacing, paragraph spacing) causes no layout breaks or content loss. WCAG 2.2.2 (Pause, Stop, Hide) is inapplicable — no animations, auto-playing media, marquees, or moving content of any kind are present. WCAG 2.4.8 (Location) passes — the page provides multiple strong location signals: a properly marked-up breadcrumb trail (&lt;nav aria-label='Breadcrumb'&gt; with an ordered list), the current page item marked with aria-current='page', a meaningful &lt;title&gt; element ('Quarterly report'), and a matching &lt;h1&gt; heading ('Q1 quarterly report'). The page is clean, minimal, and fully compliant with all applicable criteria.</t>
  </si>
  <si>
    <t xml:space="preserve">The page passes all five evaluated WCAG 2.1 criteria. WCAG 1.3.5 (Identify Input Purpose) is inapplicable — there are no form inputs on the page. WCAG 1.4.3 (Contrast Minimum) passes — all 6 text elements analyzed meet the AA contrast ratio thresholds (4.5:1 for normal text, 3:1 for large text) using browser-default colors. WCAG 1.4.12 (Text Spacing) passes — no fixed heights, overflow clipping, or layout breakage was detected when WCAG text-spacing overrides were applied. WCAG 2.2.2 (Pause, Stop, Hide) is inapplicable — the page contains no animations, auto-playing media, marquees, or moving content of any kind. WCAG 2.4.8 (Location) passes with strong evidence — the page provides a well-structured breadcrumb navigation (&lt;nav aria-label='Breadcrumb'&gt;) with a proper ordered list, the current page item is marked with aria-current='page', the &lt;title&gt; element is meaningful ('Quarterly report'), and a matching &lt;h1&gt; is present, giving users multiple clear signals about their location within the site.</t>
  </si>
  <si>
    <t xml:space="preserve">The page passes all five evaluated WCAG 2.1 criteria. (1) WCAG 1.3.5 Identify Input Purpose is inapplicable — the page contains no form inputs whatsoever, so no autocomplete attributes are required. (2) WCAG 1.4.3 Contrast Minimum passes — all 6 text elements (breadcrumb links, breadcrumb current item, heading, and paragraph) achieve sufficient contrast ratios against their backgrounds with zero violations. (3) WCAG 1.4.12 Text Spacing passes — applying the required letter-spacing, word-spacing, line-height, and paragraph-spacing overrides causes no content clipping, overlap, or layout breakage, as the page uses plain semantic HTML with no fixed-height containers or hard-coded spacing. (4) WCAG 2.2.2 Pause, Stop, Hide is inapplicable — the page contains no CSS animations, transitions, autoplay media, animated GIFs, or JavaScript animation libraries. (5) WCAG 2.4.8 Location passes — the page provides multiple strong location signals: a properly marked-up breadcrumb trail (&lt;nav aria-label='Breadcrumb'&gt; with an ordered list), the final breadcrumb item annotated with aria-current='page', a meaningful &lt;title&gt; ('Quarterly report'), and a matching &lt;h1&gt; ('Q1 quarterly report'), collectively giving users a clear sense of where they are within the site.</t>
  </si>
  <si>
    <t xml:space="preserve">The page was evaluated against all five target WCAG 2.1 criteria and passes or is inapplicable for each. (1) WCAG 1.3.5 Identify Input Purpose is inapplicable — the page contains no form inputs whatsoever. (2) WCAG 1.4.3 Contrast Minimum passes — all 6 text elements analysed meet the 4.5:1 (normal text) and 3:1 (large text) thresholds with zero violations. (3) WCAG 1.4.12 Text Spacing passes — applying the required spacing overrides (line-height, letter-spacing, word-spacing, paragraph spacing) causes no content clipping, overlap, or loss of functionality. (4) WCAG 2.2.2 Pause, Stop, Hide is inapplicable — no CSS animations, transitions, autoplay media, animated GIFs, or JavaScript animation libraries were detected. (5) WCAG 2.4.8 Location passes — the page provides multiple clear location signals: the nav link for 'Admissions' carries aria-current="page", the &lt;title&gt; element reads 'Admissions', and an &lt;h1&gt; heading also reads 'Admissions', collectively giving users a clear sense of where they are within the site.</t>
  </si>
  <si>
    <t xml:space="preserve">The page passes all five evaluated WCAG 2.1 criteria. (1) WCAG 1.3.5 Identify Input Purpose is inapplicable — the page contains no form inputs, so no autocomplete attributes are required. (2) WCAG 1.4.3 Contrast Minimum passes — all 6 text elements analyzed meet the AA contrast thresholds (4.5:1 for normal text, 3:1 for large text) using browser-default styling. (3) WCAG 1.4.12 Text Spacing passes — applying the required spacing overrides (line height, letter/word spacing, paragraph spacing) causes no content clipping, overlap, or layout breakage. (4) WCAG 2.2.2 Pause, Stop, Hide is inapplicable — no CSS animations, autoplay media, animated GIFs, or JavaScript animation libraries were detected. (5) WCAG 2.4.8 Location passes — the page provides multiple strong location signals: aria-current='page' on the active navigation link, a meaningful &lt;title&gt; element ('Admissions'), and a matching &lt;h1&gt; heading, all of which clearly communicate the user's current position within the site.</t>
  </si>
  <si>
    <t xml:space="preserve">The page passes all five evaluated WCAG 2.1 criteria. WCAG 1.3.5 (Identify Input Purpose) is inapplicable — there are no form inputs on the page. WCAG 1.4.3 (Contrast Minimum) passes — all 6 text elements analyzed meet the 4.5:1 (normal text) and 3:1 (large text) AA thresholds with zero violations. WCAG 1.4.12 (Text Spacing) passes — applying the required spacing overrides (line height, letter/word spacing, paragraph spacing) causes no layout breaks or content loss. WCAG 2.2.2 (Pause, Stop, Hide) is inapplicable — no animations, auto-playing media, marquees, or moving content of any kind are present. WCAG 2.4.8 (Location) passes — the page provides multiple strong location signals: a meaningful &lt;title&gt; ('Admissions'), an &lt;h1&gt; matching the page topic, and aria-current='page' on the active navigation link, collectively giving users a clear sense of where they are within the site.</t>
  </si>
  <si>
    <t xml:space="preserve">The page fails primarily on WCAG 1.3.1 (Info and Relationships) due to a critical ARIA misuse: an &lt;ol&gt; element is assigned role='tablist', which overrides its native list semantics and creates an invalid ARIA hierarchy since its &lt;li role='listitem'&gt; child is not a permitted child of a tablist (which requires role='tab' children). Assistive technologies will expose a broken or misleading structure to users. A secondary failure exists under WCAG 2.4.6 (Headings and Labels) as the page contains no headings whatsoever. WCAG 2.2.2 (Pause, Stop, Hide) is inapplicable — no animations or timed content are present. WCAG 3.1.4 (Abbreviations) and 3.1.5 (Reading Level) are inapplicable due to insufficient text content.</t>
  </si>
  <si>
    <t xml:space="preserve">[1.3.1] Conflicting ARIA roles destroy the semantic structure of the ordered list. The &lt;ol&gt; element's native list semantics are overridden with role='tablist', while its &lt;li&gt; child retains role='listitem'. This creates an invalid ARIA parent-child relationship (tablist expects tab children, not listitem), meaning the structural information conveyed visually is not programmatically determinable. Do not override the native semantics of &lt;ol&gt; with role='tablist' unless you are genuinely building a tab widget. If a list is intended, remove the role='tablist' attribute (and the redundant role='listitem' on &lt;li&gt;) to preserve the native, correct semantics. If a tab widget is intended, use &lt;div role='tablist'&gt; with &lt;button role='tab'&gt; children instead of &lt;ol&gt;/&lt;li&gt; elements. || [2.4.6] The page has no headings at all (missing H1 and any heading structure). While the page content is minimal, the absence of any heading means there are no descriptive labels to help users understand the page's structure or content. Add a meaningful &lt;h1&gt; heading that describes the page's purpose or content, so users — especially those using assistive technologies — can orient themselves within the page.</t>
  </si>
  <si>
    <t xml:space="preserve">The page fails primarily on WCAG 1.3.1 (Info and Relationships) due to a critical ARIA role conflict: the &lt;ol&gt; element is assigned role='tablist' while its &lt;li&gt; child retains role='listitem'. Since 'listitem' is not a valid owned child of 'tablist' (which requires 'tab' children), the programmatic structure communicated to assistive technologies is semantically invalid and contradictory. This means the true relationship of the content cannot be determined by AT. Additionally, the page has no heading structure, which is a serious gap under WCAG 2.4.6. The remaining criteria (2.2.2, 3.1.4, 3.1.5) are inapplicable given the absence of animations, media, and substantive text content.</t>
  </si>
  <si>
    <t xml:space="preserve">[1.3.1] Conflicting ARIA roles break the programmatic structure: an &lt;ol&gt; is given role='tablist' but its &lt;li&gt; child retains role='listitem', which is not a valid child of a tablist. This destroys the semantic relationship between parent and child for assistive technology users. If a tab widget is intended, use role='tablist' on the container and role='tab' on each child item (not role='listitem'). Alternatively, if an ordered list is intended, remove the ARIA role overrides entirely and use the native &lt;ol&gt;/&lt;li&gt; semantics. Never mix tablist/listitem roles, as listitem is not a permitted child of tablist per the ARIA specification. || [2.4.6] The page contains no headings whatsoever (no H1–H6), providing no structural labeling to help users understand or navigate the page content. Add at least one descriptive heading (starting with &lt;h1&gt;) that accurately labels the page content or section, so users of assistive technologies can understand the page structure.</t>
  </si>
  <si>
    <t xml:space="preserve">The page fails primarily on WCAG 1.3.1 (Info and Relationships) due to a critical ARIA role conflict: an &lt;ol&gt; is assigned role='tablist' while its &lt;li&gt; child retains role='listitem'. These roles are semantically incompatible — a tablist must own 'tab' children, not 'listitem' children — so assistive technologies receive contradictory and broken structural information. The page also lacks any headings, a secondary concern under WCAG 2.4.6. WCAG 2.2.2, 3.1.4, and 3.1.5 are inapplicable given the absence of animations and the minimal text content.</t>
  </si>
  <si>
    <t xml:space="preserve">[1.3.1] Conflicting ARIA roles destroy the programmatic structure of the list. The &lt;ol&gt; is assigned role='tablist', overriding its native ordered-list semantics, while its &lt;li&gt; child retains role='listitem'. 'listitem' is not a valid owned child of 'tablist' (which requires 'tab' children). This breaks the parent–child relationship that assistive technologies use to convey structure. Do not mix incompatible ARIA roles. If a tablist widget is intended, use role='tablist' on the container and role='tab' on each child item (not role='listitem'). If a plain ordered list is intended, remove both ARIA role overrides entirely and rely on the native &lt;ol&gt;/&lt;li&gt; semantics. || [2.4.6] The page has no headings at all (no H1–H6 elements), providing no structural labeling for the page content. Add at least one descriptive heading (starting with &lt;h1&gt;) to label the page's primary content and aid navigation for screen reader users.</t>
  </si>
  <si>
    <t xml:space="preserve">None of the five target criteria apply meaningfully to this page. (1) WCAG 1.3.1 Info and Relationships: the table carries role='presentation', explicitly removing its semantic table structure from the accessibility tree, so no data-table relationships exist to evaluate — and there are no other structural elements (lists, forms, landmarks) present. (2) WCAG 2.2.2 Pause, Stop, Hide: no animations, auto-playing media, marquees, or moving content of any kind were detected. (3) WCAG 2.4.6 Headings and Labels: the page contains zero headings and zero form labels; while the absence of an H1 would normally be flagged, there is no content complex enough to require headings, and no labels to assess — making the criterion inapplicable rather than a violation. (4) WCAG 3.1.4 Abbreviations: the eight words of visible text contain no abbreviations or acronyms. (5) WCAG 3.1.5 Reading Level: the text corpus is far too short (8 words) for any readability formula to produce a meaningful grade-level score. Overall, this is a minimal, static, presentation-role table with no interactive, animated, or richly structured content, so all five criteria are inapplicable.</t>
  </si>
  <si>
    <t xml:space="preserve">None of the five target criteria apply meaningfully to this page. (1) WCAG 1.3.1 Info and Relationships: the table carries role='presentation', explicitly removing all semantic table structure from the accessibility tree, so no data-table relationships exist to evaluate — the criterion is inapplicable. (2) WCAG 2.2.2 Pause, Stop, Hide: the tool confirmed zero animations, autoplay media, or moving content of any kind — inapplicable. (3) WCAG 2.4.6 Headings and Labels: the page contains no headings and no form labels; while the heading tool flagged a missing H1, the criterion only requires that headings and labels that *do exist* be descriptive — since none exist, the criterion is inapplicable. (4) WCAG 3.1.4 Abbreviations: no abbreviations (no &lt;abbr&gt;, no title attributes, no expansion mechanisms) are present in the eight words of visible text — inapplicable. (5) WCAG 3.1.5 Reading Level: with only eight words of content the readability tool correctly determined that a meaningful reading-level assessment cannot be performed — inapplicable. Overall, this minimal presentation-table page triggers none of the five evaluated success criteria.</t>
  </si>
  <si>
    <t xml:space="preserve">The page fails on two of the five target criteria. For WCAG 1.3.1 (Info and Relationships), the table carries role='presentation', which strips all semantic table structure from assistive technologies, yet the data it contains ('Project Status: 15%', 'Objective: 10%') represents meaningful relationships that should be programmatically determinable. The contradictory use of 'headers' attributes alongside role='presentation' compounds the problem. For WCAG 2.4.6 (Headings and Labels), the page has no headings at all, and the intended column labels are plain &lt;td&gt; cells rather than &lt;th&gt; elements, so they are not exposed as labels. The remaining three criteria — WCAG 2.2.2 (Pause, Stop, Hide), WCAG 3.1.4 (Abbreviations), and WCAG 3.1.5 (Reading Level) — are inapplicable: there are no animations or auto-updating content, and the text content is too minimal (8 words) for meaningful abbreviation or reading-level analysis.</t>
  </si>
  <si>
    <t xml:space="preserve">[1.3.1] The table uses role='presentation', stripping its semantic meaning, yet the cells still use 'headers' attributes referencing IDs of other cells — creating a contradictory and misleading structure. The data cells contain percentage values that are meaningfully associated with column labels ('Project Status', 'Objective'), but the presentation role removes all table semantics, so assistive technologies will not convey those relationships. If this table conveys data relationships, remove role='presentation' and use proper semantic table markup: replace the header &lt;td&gt; elements with &lt;th scope='col'&gt; elements, and remove the now-redundant 'headers' attributes (or keep them only if needed for complex headers). If the table is truly layout-only, remove the 'headers' and 'id' attributes entirely to avoid misleading associations. || [2.4.6] The page contains no headings whatsoever (no H1–H6 elements). While the page is minimal, the absence of any heading means users cannot orient themselves or navigate by heading. The table's column labels ('Project Status', 'Objective') are marked up as plain &lt;td&gt; cells rather than &lt;th&gt; elements, so they are not exposed as labels to assistive technologies. Add a descriptive &lt;h1&gt; to the page to identify its purpose. Promote the column label cells from &lt;td&gt; to &lt;th scope='col'&gt; so they are properly identified as column headers/labels by assistive technologies.</t>
  </si>
  <si>
    <t xml:space="preserve">None of the five target WCAG criteria apply to this page. The page contains only a layout table (role='presentation'), which explicitly removes it from data-table semantics, making WCAG 1.3.1 (Info and Relationships) inapplicable for table structure. There are no headings present, but the page is a minimal stub with no content requiring headings, so WCAG 2.4.6 (Headings and Labels) is inapplicable. No animations, auto-playing media, or moving content exist, so WCAG 2.2.2 (Pause, Stop, Hide) is inapplicable. The page contains only 5 words of visible text ('Time' and '12:00'), which is far too little to meaningfully evaluate WCAG 3.1.4 (Abbreviations) or WCAG 3.1.5 (Reading Level) — both confirmed inapplicable by the readability tool. No violations were found, and no criteria are triggered by the page's content.</t>
  </si>
  <si>
    <t xml:space="preserve">None of the five target WCAG criteria apply to this page. The page contains only a layout table (role='presentation'), which explicitly removes it from data-table semantics, making WCAG 1.3.1 (Info and Relationships) inapplicable — the &lt;th&gt; inside a presentation table carries no programmatic relationship. There are no animations, auto-updating content, or moving elements, so WCAG 2.2.2 (Pause, Stop, Hide) is inapplicable. The page has no headings or form labels whatsoever, so WCAG 2.4.6 (Headings and Labels) is inapplicable (no headings or labels exist to evaluate for descriptiveness). The text content is extremely minimal (only 'Time' and '12:00' — 5 words total), providing no meaningful basis for evaluating WCAG 3.1.4 (Abbreviations) or WCAG 3.1.5 (Reading Level), both of which the readability tool confirmed as inapplicable. The page passes all five criteria by virtue of non-applicability.</t>
  </si>
  <si>
    <t xml:space="preserve">None of the five target WCAG criteria apply meaningfully to this page. The page contains only a minimal presentational table (role='presentation') with two cells — 'Time' and '12:00' — and no other content. WCAG 2.2.2 is inapplicable because there are no animations, autoplay media, or moving elements. WCAG 2.4.6 is inapplicable because the page has no headings or form labels to evaluate. WCAG 3.1.4 and 3.1.5 are inapplicable because the text content (5 words) is too minimal to contain abbreviations or assess reading level. For WCAG 1.3.1, the table is explicitly marked role='presentation', signaling it is a layout table rather than a data table, so data-table relationship semantics are not expected; the trivial content does not establish any meaningful information relationships that would require structural markup. Overall, the criteria are inapplicable to this page as authored.</t>
  </si>
  <si>
    <t xml:space="preserve">The page fails on two of the five evaluated criteria. For WCAG 1.3.1 (Info and Relationships), the list structure is semantically broken: a &lt;div role='list'&gt; contains a bare &lt;li&gt; (which is only valid inside &lt;ul&gt;/&lt;ol&gt;) and a &lt;span role='link'&gt; that carries no listitem role, meaning assistive technologies will receive conflicting or incorrect structural information. For WCAG 2.4.6 (Headings and Labels), the page has no headings whatsoever, providing no navigational landmarks or descriptive labels. The remaining three criteria — WCAG 2.2.2 (Pause, Stop, Hide), WCAG 3.1.4 (Abbreviations), and WCAG 3.1.5 (Reading Level) — are inapplicable because the page contains no animations/auto-updating content, no abbreviations, and insufficient text for a meaningful reading-level assessment.</t>
  </si>
  <si>
    <t xml:space="preserve">[1.3.1] Invalid list markup: a &lt;li&gt; element is used as a direct child of a &lt;div role='list'&gt; instead of a proper &lt;ul&gt; or &lt;ol&gt;, and a &lt;span role='link'&gt; is used as the second list item without a proper list-item role or native &lt;li&gt; element. This creates a mismatch between the semantic structure conveyed to assistive technologies and the actual DOM structure. Use a native &lt;ul&gt; or &lt;ol&gt; element with proper &lt;li&gt; children to convey list structure. If a custom element must be used, ensure every list item has role='listitem' (e.g., &lt;span role='listitem'&gt;). The &lt;span role='link'&gt; acting as a list item is also missing role='listitem', and a link nested inside a list item should be a native &lt;a&gt; element or at minimum have a proper keyboard handler and role. || [2.4.6] The page has no headings at all (H1–H6 are absent). While the page is very simple, the complete absence of any heading means there are no descriptive labels to help users understand the page's content or structure. Add at least one descriptive &lt;h1&gt; heading that accurately describes the page's purpose or content, so users of assistive technologies can orient themselves.</t>
  </si>
  <si>
    <t xml:space="preserve">The page fails on two of the five evaluated criteria. Most critically, WCAG 1.3.1 (Info and Relationships) is violated because the list structure is semantically broken: a bare &lt;li&gt; is placed inside a div[role='list'] without a proper &lt;ul&gt;/&lt;ol&gt; parent, and a &lt;span role='link'&gt; acts as a list item without role='listitem', meaning assistive technologies cannot correctly convey the list relationship to users. WCAG 2.4.6 (Headings and Labels) also fails because the page contains no headings whatsoever, leaving users without any structural landmarks to navigate or understand the page. The remaining three criteria — WCAG 2.2.2 (Pause, Stop, Hide), 3.1.4 (Abbreviations), and 3.1.5 (Reading Level) — are inapplicable: there are no animations or timed content, no abbreviations, and the text content is too minimal for a meaningful reading-level assessment.</t>
  </si>
  <si>
    <t xml:space="preserve">[1.3.1] Invalid list markup: a &lt;li&gt; element is used inside a div[role='list'] without a proper parent &lt;ul&gt; or &lt;ol&gt;, and a &lt;span role='link'&gt; is used as a list item without role='listitem', breaking the programmatic list structure. Use semantically correct list markup: wrap items in a &lt;ul&gt; or &lt;ol&gt; with native &lt;li&gt; children, OR keep div[role='list'] but give each child item role='listitem' (e.g., &lt;div role='listitem'&gt;). The &lt;span role='link'&gt; acting as a list item must also carry role='listitem' and be keyboard-operable. || [2.4.6] The page has no headings at all (H1–H6 absent), and no visible labels for any content sections, providing no structural orientation for users. Add at least one descriptive &lt;h1&gt; heading to identify the page's primary topic. Add further headings as needed to label distinct content sections.</t>
  </si>
  <si>
    <t xml:space="preserve">analyze_heading_structure, detect_animations_and_motion, analyze_readability, run_nvda_full_audit</t>
  </si>
  <si>
    <t xml:space="preserve">The page fails on two criteria. Under WCAG 1.3.1 (Info and Relationships), the semantic structure is broken in two ways: a native &lt;li&gt; element is orphaned inside a &lt;div role='list'&gt; (an invalid ARIA ownership pattern), and a &lt;span role='link'&gt; is used without the native interactivity or keyboard support that a true link requires — both misrepresent the programmatic relationships of the content to assistive technologies. Under WCAG 2.4.6 (Headings and Labels), the page has no headings at all, providing no structural or navigational landmarks for users. WCAG 2.2.2, 3.1.4, and 3.1.5 are inapplicable due to the absence of animations, abbreviations, or sufficient text content.</t>
  </si>
  <si>
    <t xml:space="preserve">[1.3.1] An &lt;li&gt; element is placed directly inside a &lt;div role='list'&gt;, which is not a valid owner for native &lt;li&gt; elements. The &lt;li&gt; requires a native &lt;ul&gt; or &lt;ol&gt; parent to convey its list-item semantics correctly; using it inside a ARIA-only list role creates a broken semantic relationship that assistive technologies may not interpret correctly. Replace the &lt;div role='list'&gt; with a native &lt;ul&gt; or &lt;ol&gt; element, and ensure all children are &lt;li&gt; elements. If a &lt;div&gt; wrapper is required for styling, use &lt;ul&gt; or &lt;ol&gt; inside it. Alternatively, if keeping &lt;div role='list'&gt;, replace &lt;li&gt; with &lt;div role='listitem'&gt; or &lt;span role='listitem'&gt; to maintain a consistent and valid ARIA ownership pattern. || [1.3.1] A &lt;span&gt; element is given role='link' but has no href, no keyboard interactivity, and no native anchor semantics. This creates a mismatch between the announced role and the actual element behavior, breaking the programmatic relationship between the role and its interactive properties. Use a native &lt;a href='...'&gt; element instead of &lt;span role='link'&gt;. If a &lt;span&gt; must be used, add tabindex='0', a valid href equivalent via JavaScript, and keyboard event handlers (Enter/Space) to fully replicate link behavior. || [2.4.6] The page contains no headings whatsoever (no H1–H6 elements). Without headings, users cannot understand the structure or navigate the page by heading, and there is no descriptive label for the page's content sections. Add at least one descriptive &lt;h1&gt; heading that identifies the page's primary topic or purpose. Use a logical heading hierarchy (H1 → H2 → H3, etc.) to reflect the structure of the content.</t>
  </si>
  <si>
    <t xml:space="preserve">The page passes all applicable WCAG criteria. The core feature under evaluation is the data table: it correctly uses semantic HTML (&lt;thead&gt;, &lt;th&gt; with id attributes) and explicitly associates the spanning data cell with both column headers via the headers attribute (headers='header1 header2'), satisfying WCAG 1.3.1 Info and Relationships. WCAG 2.2.2 is inapplicable as there are no animations or auto-playing media. WCAG 2.4.6 is effectively inapplicable since the page contains only a minimal table with no content requiring headings, and the table's own &lt;th&gt; labels are descriptive and meaningful. WCAG 3.1.4 and 3.1.5 are inapplicable due to insufficient text content (6 words) to assess abbreviations or reading level. No violations were found.</t>
  </si>
  <si>
    <t xml:space="preserve">The page passes all applicable target criteria. For WCAG 1.3.1 (Info and Relationships), the HTML table is correctly structured: column headers use &lt;th&gt; elements with explicit `id` attributes (`header1`, `header2`), and the spanning data cell uses the `headers` attribute to programmatically associate itself with both column headers — a valid and well-formed technique for conveying table relationships. For WCAG 2.4.6 (Headings and Labels), no headings are present on the page, but the page content is a single, self-contained table with no body text requiring heading navigation; the absence of headings is not a violation given the minimal content scope. For WCAG 2.2.2 (Pause, Stop, Hide), no animations, auto-playing media, or moving content were detected — the criterion is inapplicable. For WCAG 3.1.4 (Abbreviations) and 3.1.5 (Reading Level), the page contains only 6 words of text content, making both criteria inapplicable per tool analysis. No violations were found across any of the five evaluated criteria.</t>
  </si>
  <si>
    <t xml:space="preserve">The page passes all applicable WCAG criteria. The core content is a simple data table that correctly uses &lt;th&gt; elements with unique id attributes and a spanning &lt;td&gt; that explicitly associates itself with both column headers via the headers attribute, satisfying WCAG 1.3.1 (Info and Relationships). WCAG 2.4.6 is met because the table headers serve as proper labels for the data cell. WCAG 2.2.2 is inapplicable as there are no animations or auto-playing media. WCAG 3.1.4 and 3.1.5 are inapplicable due to minimal text content with no abbreviations and insufficient prose for a reading-level assessment.</t>
  </si>
  <si>
    <t xml:space="preserve">The page uses a Shadow DOM pattern to construct a list structure: a host `&lt;div&gt;` carries `role='list'` in the light DOM, while two `&lt;div role='listitem'&gt;` children are injected into its shadow root. This correctly conveys the list relationship semantically (WCAG 1.3.1), satisfying Info and Relationships. No animations, autoplay media, or moving content are present, so WCAG 2.2.2 (Pause, Stop, Hide) is inapplicable. The page contains no headings at all, but because the page is a minimal, single-purpose code example with no substantive content requiring navigation or labeling, the absence of headings does not constitute a meaningful WCAG 2.4.6 failure in this context — the criterion is effectively inapplicable. The text content ('List item 1', 'List item 2') is trivially short (3 words), so both WCAG 3.1.4 (Abbreviations) and WCAG 3.1.5 (Reading Level) are inapplicable. No violations were detected across any of the five target criteria.</t>
  </si>
  <si>
    <t xml:space="preserve">The page uses a Shadow DOM pattern to construct a list: a host `&lt;div&gt;` carries `role='list'` in the light DOM, while its shadow root injects two `&lt;div role='listitem'&gt;` children. This correctly conveys list structure via ARIA roles, satisfying WCAG 1.3.1 (Info and Relationships) — the parent/child role relationship (list → listitem) is semantically valid and programmatically determinable. WCAG 2.2.2 (Pause, Stop, Hide) is inapplicable: no animations, auto-playing media, or moving content were detected. WCAG 2.4.6 (Headings and Labels) is effectively inapplicable: the page contains no headings or form labels, and the sole content is a simple two-item list that does not require heading structure to be understandable. WCAG 3.1.4 (Abbreviations) and 3.1.5 (Reading Level) are both inapplicable: the page contains only three words of visible text ('List item 1/2'), with no abbreviations and insufficient content for a meaningful reading-level assessment. No violations were found across any of the five evaluated criteria.</t>
  </si>
  <si>
    <t xml:space="preserve">The page uses a Shadow DOM pattern to construct a list: a host `&lt;div&gt;` carries `role='list'` in the light DOM, while its shadow root injects two `&lt;div role='listitem'&gt;` children. This correctly conveys list structure via ARIA roles, satisfying WCAG 1.3.1 (Info and Relationships) — the parent–child semantic relationship between `list` and `listitem` is properly expressed. WCAG 2.2.2 (Pause, Stop, Hide) is inapplicable because no animations, auto-playing media, or moving content are present. WCAG 2.4.6 (Headings and Labels) is effectively inapplicable: the page contains no headings or form labels, and the absence of headings is not a violation of 2.4.6 itself (which only requires that headings and labels, *when used*, be descriptive). WCAG 3.1.4 (Abbreviations) and 3.1.5 (Reading Level) are both inapplicable due to the trivially short, plain-language text content ('List item 1', 'List item 2') with no abbreviations and no complex prose. No violations were detected across any of the five target criteria.</t>
  </si>
  <si>
    <t xml:space="preserve">None of the five target WCAG criteria apply to this page. The page contains virtually no content — only a single &lt;span&gt; element displaying the number '1' and a reference to an external JavaScript file invoked via the body's onload handler. WCAG 1.3.1 (Info and Relationships) and 2.4.6 (Headings and Labels) are inapplicable because there is no meaningful content, structure, forms, or labels to evaluate. WCAG 2.2.2 (Pause, Stop, Hide) is inapplicable because no CSS animations, autoplay media, or moving content are present in the static HTML (the external script's runtime behavior cannot be statically assessed, but no in-page motion elements exist). WCAG 3.1.4 (Abbreviations) and 3.1.5 (Reading Level) are inapplicable because the page contains only a single numeric character with no prose, abbreviations, or meaningful text to analyze. The overall verdict is inapplicable.</t>
  </si>
  <si>
    <t xml:space="preserve">analyze_heading_structure, detect_animations_and_motion, analyze_readability, check_timing_and_timeouts</t>
  </si>
  <si>
    <t xml:space="preserve">None of the five target WCAG criteria apply meaningfully to this page. The page contains only a bare &lt;span&gt; element with a single character ('1'), an external script loaded via &lt;body onload='startUpdates()'&gt;, and no other content. Specifically: (1) WCAG 1.3.1 Info and Relationships — there are no structural elements (tables, lists, forms, headings, landmarks) whose relationships need to be conveyed programmatically; the absence of headings is noted but there is no content requiring structure. (2) WCAG 2.2.2 Pause, Stop, Hide — no CSS animations, autoplay media, marquees, or animated GIFs are present in the inline HTML; the external script may introduce timed updates (suggested by 'startUpdates()'), but no pause/stop/hide controls are required for content that is not moving/blinking/scrolling in the static HTML. (3) WCAG 2.4.6 Headings and Labels — there are no headings or form labels present; the criterion is inapplicable because no headings or labels exist to evaluate for descriptiveness. (4) WCAG 3.1.4 Abbreviations — no abbreviations are present in the page content. (5) WCAG 3.1.5 Reading Level — the text content is a single digit ('1'), far too minimal for any reading-level assessment to be meaningful. All tools returned 'INAPPLICABLE' or found no relevant elements, confirming the page does not trigger any of the five criteria.</t>
  </si>
  <si>
    <t xml:space="preserve">This page is a minimal stub containing only a single &lt;span&gt; element with the text '1' and an externally loaded script triggered via the body's onload handler. Against all five target criteria: (1) WCAG 1.3.1 Info and Relationships — there are no structural elements (tables, lists, forms, headings, or semantic regions) whose visual relationships need to be conveyed programmatically, so the criterion does not apply; (2) WCAG 2.2.2 Pause, Stop, Hide — no CSS animations, autoplay media, marquees, or moving content were detected in the inline HTML (the external script may update the span, but no pause/stop/hide mechanism is required for content that is not 'moving, blinking, scrolling, or auto-updating' in a way that is detectable from the static markup); (3) WCAG 2.4.6 Headings and Labels — the page has no headings or form labels whatsoever, meaning the criterion is inapplicable rather than failed (there is no content that purports to use headings or labels); (4) WCAG 3.1.4 Abbreviations — no abbreviations, acronyms, or &lt;abbr&gt; elements are present; and (5) WCAG 3.1.5 Reading Level — the page contains only the numeral '1' as visible text content, which is far too minimal for a meaningful reading-level assessment. All five criteria are therefore inapplicable to this page.</t>
  </si>
  <si>
    <t xml:space="preserve">The page passes all five evaluated criteria. For WCAG 2.2.2, the page auto-updates a random number via JavaScript (startUpdates/toggleUpdates) and provides a clearly labeled 'Pause changes' button, satisfying the requirement to allow users to pause moving/auto-updating content. For WCAG 1.3.1 and 2.4.6, the page is a minimal single-purpose utility with only two short paragraphs and one button; no headings are needed to convey structure for content of this simplicity, and the button has a descriptive value label. For WCAG 3.1.4, the abbreviations 'W3C' and 'WAI' are expanded inline within the same sentence ('W3C Web Accessibility Initiative (WAI)'), meeting the abbreviation criterion. For WCAG 3.1.5, the text is too minimal (24 words) for a meaningful reading-level assessment, and the language used is straightforward. No violations were identified across any of the five target criteria.</t>
  </si>
  <si>
    <t xml:space="preserve">The page partially passes the evaluated criteria but fails on three counts. For WCAG 1.3.1, the page provides no landmark regions, leaving its structure non-programmatically determinable beyond bare paragraph tags. For WCAG 2.4.6, the complete absence of headings on a page with distinct content is a moderate failure, as users relying on heading navigation have no structural cues. WCAG 2.2.2 is effectively passed: the dynamically updating random number (driven by startUpdates() on page load) is accompanied by a clearly labeled 'Pause changes' button that gives users control over the moving content. For WCAG 3.1.4 (AAA), the abbreviations 'W3C' and 'WAI' lack proper &lt;abbr&gt; markup, though 'WAI' is parenthetically spelled out in prose. WCAG 3.1.5 is inapplicable given the minimal text volume.</t>
  </si>
  <si>
    <t xml:space="preserve">[1.3.1] Page lacks any landmark regions or structural semantics beyond plain paragraphs. Wrap the main content in a &lt;main&gt; element to provide a programmatically determinable structure that conveys information and relationships. || [2.4.6] The page has no headings at all, despite containing distinct content sections. Add a descriptive &lt;h1&gt; heading to label the page's primary content, enabling users to understand and navigate the page structure. || [3.1.4] Abbreviations 'W3C' and 'WAI' appear in the text without any expansion or &lt;abbr&gt; element. Wrap abbreviations in &lt;abbr title="..."&gt; elements, e.g., &lt;abbr title="World Wide Web Consortium"&gt;W3C&lt;/abbr&gt; and &lt;abbr title="Web Accessibility Initiative"&gt;WAI&lt;/abbr&gt;, so assistive technologies can convey the full meaning.</t>
  </si>
  <si>
    <t xml:space="preserve">The page fails primarily on WCAG 1.3.1 and 2.4.6 due to the complete absence of heading structure — no &lt;h1&gt; or any other heading element is present, leaving the page without programmatic structural landmarks. For WCAG 2.2.2, the page actually passes: the auto-updating random number (driven by startUpdates() on body load) is paired with a clearly labeled 'Pause changes' button (toggleUpdates()), satisfying the requirement for user control over moving content. For WCAG 3.1.4, the abbreviations 'W3C' and 'WAI' appear without &lt;abbr&gt; markup or inline expansion, which is a minor AAA-level failure. WCAG 3.1.5 (Reading Level) is inapplicable given the minimal text content (24 words). The most impactful fix is adding an &lt;h1&gt; and marking up abbreviations with &lt;abbr title="..."&gt;.</t>
  </si>
  <si>
    <t xml:space="preserve">[1.3.1] Page has no headings, and the content structure is entirely flat with no semantic sectioning elements. While this page is simple, consider adding an &lt;h1&gt; to identify the page's primary topic, ensuring programmatic structure is conveyed to assistive technologies. || [2.4.6] No headings or labels are present on the page. The button has a value ('Pause changes') which serves as its label, but there are no headings to orient users. Add a descriptive &lt;h1&gt; heading to give the page a meaningful title beyond the &lt;title&gt; element, helping screen reader users understand the page context. || [3.1.4] Abbreviations 'W3C' and 'WAI' appear in the body text without any &lt;abbr&gt; element or inline expansion to identify their meaning. Wrap abbreviations in &lt;abbr title="..."&gt; elements, e.g., &lt;abbr title="World Wide Web Consortium"&gt;W3C&lt;/abbr&gt; and &lt;abbr title="Web Accessibility Initiative"&gt;WAI&lt;/abbr&gt;, so their expansions are programmatically available.</t>
  </si>
  <si>
    <t xml:space="preserve">The page passes WCAG 2.2.2 (Pause, Stop, Hide) — the auto-updating random number driven by startUpdates() is accompanied by a clearly labelled 'Hide changing content' button, satisfying the requirement to allow users to stop or hide moving content. WCAG 1.3.1 is satisfied: the minimal content uses semantically appropriate elements (paragraphs, a typed input button) with no implied structural relationships that are missing markup. WCAG 2.4.6 is effectively inapplicable given the page's trivial structure — no headings are needed and the sole interactive control has a descriptive label. WCAG 3.1.5 is inapplicable due to insufficient text volume. However, the page fails WCAG 3.1.4 (Level AAA): the abbreviations 'W3C' and 'WAI' appear in the body text without any &lt;abbr title="..."&gt; markup or other mechanism to expose their expanded forms to users.</t>
  </si>
  <si>
    <t xml:space="preserve">[3.1.4] Abbreviations 'W3C' and 'WAI' are used in the text without any mechanism to identify their expanded form. Wrap each abbreviation in an &lt;abbr&gt; element with a descriptive title, e.g., &lt;abbr title="World Wide Web Consortium"&gt;W3C&lt;/abbr&gt; and &lt;abbr title="Web Accessibility Initiative"&gt;WAI&lt;/abbr&gt;.</t>
  </si>
  <si>
    <t xml:space="preserve">The page fails on multiple criteria. For WCAG 1.3.1 and 2.4.6, the page contains no headings whatsoever — not even an H1 — meaning content structure and relationships are not programmatically determinable and users of assistive technologies cannot navigate by heading. For WCAG 2.2.2, the page auto-starts a dynamically updating number on load via an external script; while a 'Hide changing content' button exists, its actual pause/stop behavior cannot be confirmed from the available HTML alone, and the automated tool did not recognize it as a valid pause mechanism. For WCAG 3.1.4 (AAA), the abbreviations 'W3C' and 'WAI' are used without &lt;abbr&gt; markup to expose their expansions. For WCAG 3.1.5 (AAA), the text is too short for a reliable readability score, but technical vocabulary is used without supplemental aids. The most severe issues are the missing heading structure (1.3.1 / 2.4.6) and the unverifiable auto-update pause control (2.2.2).</t>
  </si>
  <si>
    <t xml:space="preserve">[1.3.1] No headings are present on the page. The content structure is conveyed only visually through paragraphs, with no semantic heading hierarchy to communicate relationships and organization to assistive technologies. Add at least one meaningful &lt;h1&gt; heading that describes the page's primary topic. Use additional heading levels (h2, h3, etc.) to mark up any sub-sections so that structure and relationships are programmatically determinable. || [2.4.6] The page has no headings at all (missing H1 and any sub-headings). WCAG 2.4.6 requires that headings, when used, be descriptive — but the broader intent also requires that pages with meaningful sections provide headings so users can identify and navigate content. The absence of any heading on a page with distinct content blocks fails this criterion. Introduce a descriptive &lt;h1&gt; for the page and, where appropriate, label the dynamic content section with a heading or visible label so users understand the purpose of each content block. || [2.2.2] The page starts auto-updating content (a random number in &lt;span id='target'&gt;) via startUpdates() on page load. Although a 'Hide changing content' button is present, the tool found no recognized pause/stop/hide control. The button's onclick calls hide(), which is defined in an external script — its actual behavior (whether it truly stops or merely hides the updates) cannot be verified. If hide() only visually hides the element without stopping the timer, the criterion is violated. Ensure the hide() function both stops the JavaScript interval/timeout AND removes the content from view (or alternatively provides a clearly labeled pause/stop control). Inline or make the script inspectable so automated tools can verify the mechanism. Prefer a button labeled 'Pause' or 'Stop' that halts the timer, satisfying the pause/stop/hide requirement unambiguously. || [3.1.4] The abbreviation 'WAI' (Web Accessibility Initiative) and the initialism 'W3C' (World Wide Web Consortium) appear in t...</t>
  </si>
  <si>
    <t xml:space="preserve">The page largely complies with the evaluated criteria. WCAG 1.3.1 is satisfied: the minimal content uses appropriate semantic elements (&lt;p&gt;, &lt;input type='button'&gt; with a value label), and no structural relationships are misrepresented. WCAG 2.2.2 is passed by design: the auto-updating random number (started via onload='startUpdates()') is accompanied by a clearly labeled 'Hide changing content' button, fulfilling the requirement to allow users to stop or hide moving content. WCAG 2.4.6 is inapplicable in practice since no headings are present on this simple page and the sole interactive label ('Hide changing content') is descriptive. WCAG 3.1.5 is inapplicable due to insufficient text volume. However, the page fails WCAG 3.1.4 (AAA) because the abbreviations 'W3C' and 'WAI' appear without any &lt;abbr&gt; markup, title attributes, or first-use textual expansion, leaving screen reader users and unfamiliar readers without a mechanism to discover their meanings.</t>
  </si>
  <si>
    <t xml:space="preserve">[3.1.4] Abbreviations 'W3C' and 'WAI' are used without expansion or markup. Wrap each abbreviation in an &lt;abbr&gt; element with a descriptive title, e.g., &lt;abbr title="World Wide Web Consortium"&gt;W3C&lt;/abbr&gt; and &lt;abbr title="Web Accessibility Initiative"&gt;WAI&lt;/abbr&gt;, or spell them out in full on first use.</t>
  </si>
  <si>
    <t xml:space="preserve">None of the five target criteria apply to this page. The page contains only a single image with an alt attribute and a paragraph hidden via 'display: none' (making its text non-perceivable). WCAG 1.3.1 (Info and Relationships) has nothing to evaluate — there are no structural relationships, tables, lists, or forms present. WCAG 2.4.6 (Headings and Labels) is inapplicable because the page has no headings or form labels whatsoever; while the absence of headings is noted, the criterion only requires that headings and labels that *do* exist be descriptive — it does not mandate their presence. WCAG 2.2.2 (Pause, Stop, Hide) is inapplicable as no animations, auto-playing media, or moving content were detected. WCAG 3.1.4 (Abbreviations) and 3.1.5 (Reading Level) are inapplicable because the only text content is hidden from rendering ('display: none'), leaving no visible text to assess for abbreviations or reading complexity.</t>
  </si>
  <si>
    <t xml:space="preserve">None of the five target criteria apply to this page. The page contains only a single image with an alt attribute and a paragraph that is hidden via 'display: none' (making its text content non-perceivable and non-rendered). WCAG 1.3.1 (Info and Relationships) is inapplicable because there are no structural relationships, data tables, forms, or semantic groupings to convey — just a lone image. WCAG 2.4.6 (Headings and Labels) is inapplicable because the page has no headings and no form labels; while the absence of headings was flagged by the tool, the criterion only requires that headings and labels that *do exist* be descriptive — it does not mandate their presence. WCAG 2.2.2 (Pause, Stop, Hide) is inapplicable because no animations, auto-playing media, or moving content were detected. WCAG 3.1.4 (Abbreviations) and 3.1.5 (Reading Level) are inapplicable because the only visible text content is the image's alt text ('W3C logo'), which is too minimal to evaluate for reading level or abbreviation handling, and the hidden paragraph is not rendered to users. Overall, this minimal page does not trigger any of the evaluated success criteria.</t>
  </si>
  <si>
    <t xml:space="preserve">None of the five target criteria apply to this page. The page contains only a single image with an alt attribute and a paragraph hidden via 'display: none' (making its text non-perceivable and non-rendered). WCAG 1.3.1 (Info and Relationships) is inapplicable because there are no structural relationships, data tables, forms, or semantic groupings to convey — the sole visible element is a decoratively-labelled image. WCAG 2.4.6 (Headings and Labels) is inapplicable because the page has no headings or form labels whatsoever; while the absence of headings was flagged by the tool, the criterion only requires that headings and labels that *do exist* be descriptive — it does not mandate their presence. WCAG 2.2.2 (Pause, Stop, Hide) is inapplicable because no animations, auto-playing media, or moving content of any kind were detected. WCAG 3.1.4 (Abbreviations) and 3.1.5 (Reading Level) are inapplicable because the only text content ('WAI', 'W3C', etc.) is hidden from rendering via 'display: none' and is therefore not presented to users; the readability tool confirmed the visible word count is too minimal for meaningful analysis. The page passes no criteria because none apply.</t>
  </si>
  <si>
    <t xml:space="preserve">The page fails on multiple criteria. Most critically, under WCAG 2.2.2, the page auto-updates a 'Random number' display via an onload script with no pause, stop, or hide control provided to the user — a clear Level A failure. Under WCAG 1.3.1, the dynamically updated &lt;span&gt; carries no ARIA live region semantics, so its informational relationship and live nature are invisible to assistive technologies. Under WCAG 2.4.6, the page contains zero headings (no H1 or any other level), depriving users of any structural navigation aid. Under WCAG 3.1.4 (AAA), the abbreviations 'W3C' and 'WAI' are not marked up with &lt;abbr title='...'&gt;, even though 'WAI' is used as a standalone term after its first parenthetical definition. WCAG 3.1.5 and 2.2.2 (CSS/media-based animation) are inapplicable due to minimal text content and no CSS animations respectively.</t>
  </si>
  <si>
    <t xml:space="preserve">[2.2.2] Auto-updating content (random number) has no pause, stop, or hide mechanism. Provide a visible, keyboard-accessible control (e.g., a Pause/Stop button) that allows users to halt the auto-updating content, or ensure the update frequency is user-controllable. Alternatively, expose the region as an ARIA live region only when the user explicitly requests updates. || [1.3.1] The auto-updating region lacks an ARIA live region role, so its dynamic relationship and purpose are not programmatically conveyed to assistive technologies. Add aria-live="polite" (or role="status") to the &lt;span id="target"&gt; element so that assistive technologies are informed of content changes and the informational relationship between the label 'Random number:' and its value is programmatically determinable. || [2.4.6] The page has no headings whatsoever, making it impossible for users to understand the page's structure or navigate by heading. Add at least one descriptive &lt;h1&gt; heading that accurately describes the page's topic or purpose (e.g., 'Accessibility Updates'). Use additional heading levels as needed to reflect the content hierarchy. || [3.1.4] The abbreviation 'WAI' is used in the text without any expansion or definition mechanism. Wrap the abbreviation in an &lt;abbr&gt; element with a title attribute: &lt;abbr title="Web Accessibility Initiative"&gt;WAI&lt;/abbr&gt;. Similarly, consider marking up 'W3C' as &lt;abbr title="World Wide Web Consortium"&gt;W3C&lt;/abbr&gt;.</t>
  </si>
  <si>
    <t xml:space="preserve">The page fails on multiple criteria. Most critically, it violates WCAG 2.2.2 by auto-updating a 'Random number' display via a JavaScript onload handler (startUpdates()) with no pause, stop, or hide control provided to the user. It also fails WCAG 1.3.1 and 2.4.6 because the page contains no headings whatsoever (missing H1, no structural hierarchy), depriving assistive technology users of navigational structure and content relationships. Additionally, it fails WCAG 3.1.4 (AAA) because the abbreviation 'W3C' is used without an &lt;abbr&gt; element or title expansion. WCAG 3.1.5 and WCAG 2.2.2 (CSS/media animation) are inapplicable due to minimal text content and absence of CSS animations respectively.</t>
  </si>
  <si>
    <t xml:space="preserve">[2.2.2] Auto-updating content has no pause, stop, or hide mechanism Provide a visible, keyboard-accessible button that allows users to pause, stop, or hide the auto-updating content. Alternatively, limit updates to a user-initiated action. || [1.3.1] Page has no headings or structural landmarks to convey information and relationships Add a meaningful &lt;h1&gt; heading to identify the page's primary topic. Use semantic HTML5 landmark elements (e.g., &lt;main&gt;) to define page regions. || [2.4.6] No headings are present to label or describe the page content Add a descriptive &lt;h1&gt; (e.g., 'WAI Accessibility Resources') and, if needed, sub-headings to label distinct content sections such as the live number display. || [3.1.4] Abbreviations 'W3C' and 'WAI' are used without expansion or &lt;abbr&gt; markup Wrap abbreviations in &lt;abbr&gt; elements with a title attribute: e.g., &lt;abbr title="World Wide Web Consortium"&gt;W3C&lt;/abbr&gt; and &lt;abbr title="Web Accessibility Initiative"&gt;WAI&lt;/abbr&gt;.</t>
  </si>
  <si>
    <t xml:space="preserve">detect_animations_and_motion, analyze_heading_structure, analyze_readability</t>
  </si>
  <si>
    <t xml:space="preserve">The page fails on two of the five evaluated criteria. Most critically, WCAG 2.2.2 (Pause, Stop, Hide) is violated because the page uses a JavaScript onload handler (startUpdates()) to continuously auto-update a random number displayed in a &lt;span&gt;, yet provides absolutely no mechanism for users to pause, stop, or hide this moving content — a direct barrier for users with attention or cognitive disabilities. Additionally, WCAG 1.3.1 (Info and Relationships) and WCAG 2.4.6 (Headings and Labels) are both violated because the page contains no heading elements whatsoever, depriving users of structural cues and navigation landmarks. WCAG 3.1.4 (Abbreviations) and 3.1.5 (Reading Level) are inapplicable given the minimal text content (24 words), though it is worth noting that the abbreviation 'WAI' appears in the text without an expansion mechanism such as &lt;abbr&gt;.</t>
  </si>
  <si>
    <t xml:space="preserve">[2.2.2] Auto-updating content (random number updated via JavaScript startUpdates()) has no pause, stop, or hide mechanism provided to the user. Provide a visible and keyboard-accessible button or control that allows users to pause, stop, or hide the auto-updating content. For example, add a 'Pause updates' button that calls clearInterval() on the update timer. || [1.3.1] The page has no headings or semantic structure to convey information and relationships. Content is presented as plain paragraphs with no structural markup. Add appropriate heading elements (e.g., &lt;h1&gt;) to establish a meaningful document structure and convey the relationships between content sections. || [2.4.6] No headings are present on the page, so there are no descriptive headings to help users navigate or understand the content. Introduce at least one meaningful &lt;h1&gt; heading that describes the page's primary topic, and use additional heading levels (h2, h3, etc.) as needed to label distinct content sections.</t>
  </si>
  <si>
    <t xml:space="preserve">The page fails WCAG 2.2.2 (Pause, Stop, Hide) due to the use of the deprecated HTML &lt;blink&gt; element, which causes content to blink indefinitely. WCAG 2.2.2 requires that any blinking content that lasts more than 5 seconds must have a mechanism to pause, stop, or hide it — the &lt;blink&gt; element provides no such mechanism and cannot be controlled by the user. The automated animation tool did not flag it because it focuses on CSS animations and media, but the &lt;blink&gt; tag is a well-known violation of this criterion (and is explicitly cited in axe-core's rule set). The remaining criteria are either passed or inapplicable: the heading structure (WCAG 1.3.1 / 2.4.6) is valid with a single, properly used &lt;h1&gt;; and the readability/abbreviation criteria (WCAG 3.1.4 / 3.1.5) are inapplicable given the minimal text content on the page.</t>
  </si>
  <si>
    <t xml:space="preserve">[2.2.2] The &lt;blink&gt; element causes text to blink continuously with no mechanism to pause, stop, or hide it. Remove the &lt;blink&gt; element entirely. If blinking emphasis is needed, use a CSS animation with a duration under 5 seconds, or provide a visible pause/stop control that allows users to halt the blinking effect.</t>
  </si>
  <si>
    <t xml:space="preserve">The page fails WCAG 2.2.2 (Pause, Stop, Hide) due to the use of the HTML &lt;blink&gt; element, which causes content to blink indefinitely with no user control to pause, stop, or hide the motion. The automated animation tool did not flag it (it targets CSS/media-based motion), but the &lt;blink&gt; tag is a well-documented WCAG 2.2.2 violation recognized by axe-core and other auditing engines. All other evaluated criteria are either passing or inapplicable: the heading structure is valid and descriptive (WCAG 1.3.1 and 2.4.6 pass with a single, well-formed H1), and the page's minimal text content makes WCAG 3.1.4 (Abbreviations) and 3.1.5 (Reading Level) inapplicable.</t>
  </si>
  <si>
    <t xml:space="preserve">[2.2.2] The deprecated &lt;blink&gt; element causes text to blink continuously with no mechanism to pause, stop, or hide it. Remove the &lt;blink&gt; element entirely. If blinking emphasis is required, use a CSS animation with a duration under 5 seconds, or provide a visible pause/stop control that allows users to halt the blinking effect.</t>
  </si>
  <si>
    <t xml:space="preserve">The page fails WCAG 2.2.2 (Pause, Stop, Hide — Level A) due to the use of the deprecated &lt;blink&gt; element, which causes its text content to blink continuously and automatically without any user control to pause, stop, or hide the effect. WCAG 2.2.2 requires that any moving, blinking, or scrolling content that starts automatically, lasts more than five seconds, and is presented in parallel with other content must have a mechanism for the user to pause, stop, or hide it — none of which is present here. The remaining criteria are either passed or inapplicable: the heading structure (WCAG 1.3.1 / 2.4.6) is valid with a single, descriptive &lt;h1&gt;, and the page's minimal text content makes WCAG 3.1.4 (Abbreviations) and 3.1.5 (Reading Level) inapplicable.</t>
  </si>
  <si>
    <t xml:space="preserve">[2.2.2] The &lt;blink&gt; element causes text to blink indefinitely with no mechanism to pause, stop, or hide the blinking content. Remove the &lt;blink&gt; element entirely. If animated emphasis is needed, use a CSS animation with a finite duration (under 5 seconds) or provide a visible, keyboard-accessible control that allows users to pause, stop, or hide the motion.</t>
  </si>
  <si>
    <t xml:space="preserve">The page fails on two of the five target criteria. For WCAG 1.3.1 (Info and Relationships), the HTML is structurally malformed: content is placed directly inside &lt;html&gt; with no &lt;head&gt;, &lt;body&gt;, page title, landmark regions, or headings, so the document's information and relationships cannot be programmatically determined beyond the single label–input pair. For WCAG 2.4.6 (Headings and Labels), there are zero headings on the page, which is a serious violation; the label itself is descriptive ('Date of birth:'), so the label portion of 2.4.6 is satisfied, but the heading requirement is not. The remaining three criteria are inapplicable: WCAG 2.2.2 (Pause, Stop, Hide) does not apply because there are no animations, auto-playing media, or moving content; WCAG 3.1.4 (Abbreviations) and 3.1.5 (Reading Level) are inapplicable because the page contains only three words of text, which is insufficient for a meaningful readability or abbreviation analysis.</t>
  </si>
  <si>
    <t xml:space="preserve">[1.3.1] Page has no headings, no landmark regions, no &lt;body&gt;, &lt;head&gt;, or &lt;title&gt; elements, and the &lt;label&gt; is placed directly inside &lt;html&gt;, outside any structural container. The document structure conveys no semantic relationships beyond the single label–input pairing. Wrap content in a proper &lt;body&gt; element, add a &lt;head&gt; with a meaningful &lt;title&gt;, include at least one &lt;h1&gt; heading, and use landmark elements (e.g., &lt;main&gt;, &lt;form&gt;) so that the structure and relationships of the page are conveyed programmatically. || [2.4.6] The page contains no headings at all (missing H1 and any heading hierarchy). While the single label 'Date of birth:' is descriptive, the complete absence of headings means users cannot understand the page's organisation or navigate by heading. Add a meaningful &lt;h1&gt; (and further heading levels as needed) that describes the purpose of the page or form section, e.g., &lt;h1&gt;Personal Information&lt;/h1&gt;.</t>
  </si>
  <si>
    <t xml:space="preserve">The page fails on two of the five evaluated criteria. For WCAG 1.3.1 (Info and Relationships), the HTML is structurally deficient: content is placed directly inside &lt;html&gt; with no &lt;body&gt;, no &lt;form&gt;, no landmark regions, and no heading hierarchy, meaning relationships between content cannot be programmatically determined. For WCAG 2.4.6 (Headings and Labels), the page has zero headings, violating the requirement that headings be present and descriptive where they are used to identify sections. The remaining three criteria are inapplicable: WCAG 2.2.2 (Pause, Stop, Hide) does not apply because there are no animations or moving content; WCAG 3.1.4 (Abbreviations) and 3.1.5 (Reading Level) are inapplicable because the page contains only three words of text ('Date of birth'), which is insufficient for a meaningful readability or abbreviation assessment.</t>
  </si>
  <si>
    <t xml:space="preserve">[1.3.1] Page has no headings, no landmark regions, and no structural markup. The single label/input pair exists outside any &lt;body&gt;, &lt;main&gt;, &lt;form&gt;, or other semantic container, providing no programmatic structure. Wrap content in proper semantic elements: add a &lt;body&gt;, place the input inside a &lt;form&gt; with an appropriate role or landmark, and add at least one &lt;h1&gt; to convey page structure. Ensure all relationships between content sections are expressed through semantic HTML or ARIA. || [2.4.6] The page contains no headings at all (missing H1 and any heading hierarchy). While the single label 'Date of birth:' is descriptive, the complete absence of headings means users cannot understand the page's purpose or navigate by heading. Add a meaningful &lt;h1&gt; that describes the page's purpose (e.g., 'User Registration' or 'Profile Information'). Headings must be present and descriptive so users — especially screen reader users — can understand and navigate the page.</t>
  </si>
  <si>
    <t xml:space="preserve">The page fails on two of the five evaluated criteria. For WCAG 1.3.1 (Info and Relationships), the page contains no heading elements whatsoever, meaning structural and hierarchical relationships cannot be programmatically determined by assistive technologies. For WCAG 2.4.6 (Headings and Labels), the absence of any heading leaves users without a descriptive label for the page or form context; the single &lt;label&gt; element for the date input is correctly associated and passes its own label check, but it cannot substitute for a page/section heading. The remaining three criteria — WCAG 2.2.2 (Pause, Stop, Hide), WCAG 3.1.4 (Abbreviations), and WCAG 3.1.5 (Reading Level) — are inapplicable: there are no animations or timed media, and the text content ('Date of birth:') is too minimal (3 words) for meaningful readability or abbreviation analysis.</t>
  </si>
  <si>
    <t xml:space="preserve">[1.3.1] Page has no headings to convey structure or relationships between content sections. Add at least one meaningful &lt;h1&gt; heading to identify the page's primary topic and establish a logical document structure. Additional heading levels (h2, h3, etc.) should be used as content grows to reflect the information hierarchy. || [2.4.6] No headings are present on the page. While the single form field has an associated &lt;label&gt; ('Date of birth:'), the complete absence of any heading means there is no descriptive heading to help users understand the purpose or context of the page/form. Provide a descriptive page-level heading (e.g., &lt;h1&gt;Personal Information&lt;/h1&gt; or &lt;h1&gt;Date of Birth&lt;/h1&gt;) so users — especially those using assistive technologies — can understand the purpose of the form and navigate to it efficiently.</t>
  </si>
  <si>
    <t xml:space="preserve">The page fails WCAG 2.4.6 (Headings and Labels) because its only heading, &lt;h1&gt;A&lt;/h1&gt;, consists of a single ambiguous character that provides no meaningful description of the content it introduces. WCAG 2.4.6 requires headings to describe their topic or purpose; a bare letter 'A' does not satisfy this requirement. The remaining criteria are either inapplicable or pass: WCAG 1.3.1 is satisfied because the page uses semantically correct HTML elements (&lt;h1&gt; for the heading, &lt;dl&gt;/&lt;dt&gt;/&lt;dd&gt; for the definition list), correctly conveying structure and relationships; WCAG 2.2.2 is inapplicable as there are no animations, auto-playing media, or moving content; and WCAG 3.1.4 and 3.1.5 are inapplicable because the page contains only 42 words of content — too little for a meaningful readability or abbreviation analysis, and no unexpanded abbreviations are present.</t>
  </si>
  <si>
    <t xml:space="preserve">[2.4.6] The sole heading &lt;h1&gt; contains only the single character 'A', which is too short and non-descriptive to convey the purpose or topic of the section. Replace the heading text with a meaningful, descriptive label that clearly communicates the content of the section it introduces — for example, &lt;h1&gt;Dictionary: Words Beginning with A&lt;/h1&gt;.</t>
  </si>
  <si>
    <t xml:space="preserve">The page fails WCAG 2.4.6 (Headings and Labels) because its only heading — &lt;h1&gt;A&lt;/h1&gt; — is a single character that provides no meaningful description of the content it introduces. While the heading hierarchy itself is structurally valid (no skipped levels, no duplicate H1), a one-character heading does not describe the topic or purpose of the section as required. The remaining criteria are either inapplicable or satisfied: WCAG 1.3.1 is met because the definition list (&lt;dl&gt;, &lt;dt&gt;, &lt;dd&gt;) correctly encodes the term-definition relationships semantically; WCAG 2.2.2 is inapplicable as there are no animations, auto-playing media, or moving content; and WCAG 3.1.4 and 3.1.5 are inapplicable because the text content is too minimal (42 words) for a meaningful abbreviation or reading-level assessment.</t>
  </si>
  <si>
    <t xml:space="preserve">[2.4.6] The sole heading &lt;h1&gt; contains only the single character 'A', which is too short and non-descriptive to convey the topic or purpose of the section. Replace the heading with a meaningful, descriptive label that clearly communicates the content of the section, e.g., &lt;h1&gt;Dictionary Terms Starting with A&lt;/h1&gt;.</t>
  </si>
  <si>
    <t xml:space="preserve">The page fails WCAG 2.4.6 (Headings and Labels) because its only heading, &lt;h1&gt;A&lt;/h1&gt;, consists of a single ambiguous character that provides no meaningful description of the content it introduces. The heading structure is otherwise valid (no skipped levels, no missing H1). WCAG 2.2.2 (Pause, Stop, Hide) is inapplicable — no animations, autoplay media, or moving content were detected. WCAG 1.3.1 (Info and Relationships) is satisfied: the definition list (&lt;dl&gt;, &lt;dt&gt;, &lt;dd&gt;) correctly encodes the semantic relationship between terms and their definitions using standard HTML. WCAG 3.1.4 (Abbreviations) and 3.1.5 (Reading Level) are inapplicable because the page contains only 42 words — far too little text for a meaningful readability or abbreviation analysis, and no unexpanded abbreviations were detected.</t>
  </si>
  <si>
    <t xml:space="preserve">[2.4.6] The sole heading &lt;h1&gt; contains only the single character 'A', which is too short and non-descriptive to convey the purpose or topic of the section it introduces. Replace the heading text with a meaningful, descriptive label that clearly communicates the content of the section — for example, &lt;h1&gt;Dictionary: Words Beginning with A&lt;/h1&gt;.</t>
  </si>
  <si>
    <t xml:space="preserve">The page fails on two of the five evaluated criteria. For WCAG 1.3.1 (Info and Relationships), the &lt;label for="fname"&gt; is incorrectly associated with a &lt;p&gt; element rather than a form input, meaning the programmatic relationship between the label and a form field is broken — assistive technologies will not be able to convey this relationship to users. For WCAG 2.4.6 (Headings and Labels), the page contains no headings whatsoever, providing no structural landmarks for navigation or comprehension. The remaining three criteria — WCAG 2.2.2 (Pause, Stop, Hide), WCAG 3.1.4 (Abbreviations), and WCAG 3.1.5 (Reading Level) — are inapplicable to this page due to the absence of animations/media, abbreviations, and sufficient text content respectively.</t>
  </si>
  <si>
    <t xml:space="preserve">[1.3.1] A &lt;label&gt; element is associated (via 'for="fname"') with a &lt;p&gt; element instead of a form control. Labels must be programmatically linked to interactive form inputs (&lt;input&gt;, &lt;select&gt;, &lt;textarea&gt;, etc.), not to non-interactive elements. Replace the &lt;p id="fname"&gt; with an appropriate form control, e.g. &lt;input type="text" id="fname" name="fname"&gt;, so the label is correctly and meaningfully associated with an interactive element. || [2.4.6] The page has no headings at all (missing H1 and any heading hierarchy). Without headings, users cannot understand the structure or purpose of the page content. Add a descriptive &lt;h1&gt; heading that conveys the page's main topic or purpose, and use additional heading levels (h2, h3, etc.) as needed to reflect the content hierarchy.</t>
  </si>
  <si>
    <t xml:space="preserve">The page fails on two of the five evaluated criteria. For WCAG 1.3.1 (Info and Relationships), the &lt;label&gt; element is incorrectly associated with a &lt;p&gt; element rather than a form control, breaking the programmatic relationship that assistive technologies rely on to convey form structure. For WCAG 2.4.6 (Headings and Labels), the page lacks any heading elements, providing no structural orientation for users. The remaining three criteria — WCAG 2.2.2 (Pause, Stop, Hide), WCAG 3.1.4 (Abbreviations), and WCAG 3.1.5 (Reading Level) — are inapplicable: there are no animations or timed content, and the text content is too minimal (only 2 words) for a meaningful readability or abbreviation assessment.</t>
  </si>
  <si>
    <t xml:space="preserve">[1.3.1] A &lt;label&gt; element is associated (via 'for="fname"') with a &lt;p&gt; element instead of a form control. Labels must be programmatically linked to actual form inputs (e.g., &lt;input&gt;, &lt;select&gt;, &lt;textarea&gt;) to convey the relationship between the label and its control to assistive technologies. Replace the &lt;p id="fname"&gt; with an appropriate form control, e.g., &lt;input type="text" id="fname" name="fname"&gt;. This ensures the label-to-control relationship is semantically valid and exposed correctly to screen readers. || [2.4.6] The page has no headings at all (H1–H6). While the page contains a label, there are no structural headings to help users understand the page's organization or purpose. Add at least one descriptive heading (e.g., &lt;h1&gt;) that clearly identifies the page's purpose or section. Headings must be descriptive and accurately reflect the content they introduce.</t>
  </si>
  <si>
    <t xml:space="preserve">The page fails on two of the five evaluated criteria. For WCAG 1.3.1 (Info and Relationships), the &lt;label for="fname"&gt; is incorrectly associated with a &lt;p&gt; element rather than a form control — this is a structural misuse that breaks the programmatic relationship assistive technologies rely on. For WCAG 2.4.6 (Headings and Labels), the page has no headings whatsoever (missing H1), and the only label present is non-functional due to the invalid association. The remaining three criteria — WCAG 2.2.2 (Pause, Stop, Hide), WCAG 3.1.4 (Abbreviations), and WCAG 3.1.5 (Reading Level) — are inapplicable: there are no animations or timed content, and the text content is too minimal (2 words) for meaningful readability or abbreviation analysis.</t>
  </si>
  <si>
    <t xml:space="preserve">[1.3.1] A &lt;label&gt; element is associated (via 'for="fname"') with a &lt;p&gt; element instead of a form control. Labels must be programmatically linked to actual form inputs (e.g., &lt;input&gt;, &lt;select&gt;, &lt;textarea&gt;). A &lt;p&gt; element cannot receive a label association, so the relationship between the label text and the field is not conveyed to assistive technologies. Replace the &lt;p id="fname"&gt; with an appropriate form control such as &lt;input type="text" id="fname" name="fname"&gt; so that the &lt;label&gt; is correctly and meaningfully associated with an interactive form element. || [2.4.6] The page contains no headings at all (H1–H6). Without any headings, users cannot understand the page structure or navigate by heading landmarks. Additionally, the label is misapplied to a non-interactive element, making it a non-functional label that fails to describe any real field. Add a meaningful H1 heading to the page to convey its purpose and overall structure. Ensure all visible labels describe their associated form controls accurately and are linked to real interactive elements.</t>
  </si>
  <si>
    <t xml:space="preserve">The page fails two of the five evaluated criteria. Under WCAG 1.3.1 (Info and Relationships), the page lacks any semantic document structure — there is no &lt;head&gt;, no &lt;body&gt;, no landmark regions, and no structural elements — making it impossible for assistive technologies to convey the relationships between content programmatically. Under WCAG 2.4.6 (Headings and Labels), the page has zero headings (no H1 or any other level), and the only label present ('Menu') is misleading as a descriptor for a text input field. The remaining three criteria — WCAG 2.2.2 (Pause, Stop, Hide), WCAG 3.1.4 (Abbreviations), and WCAG 3.1.5 (Reading Level) — are inapplicable: there are no animations or timed media, and the text content ('Menu', one word) is too minimal for meaningful readability or abbreviation analysis.</t>
  </si>
  <si>
    <t xml:space="preserve">[1.3.1] The page has no semantic structure. Content is placed directly inside &lt;html&gt; without a &lt;head&gt; or &lt;body&gt; element, and there are no landmark regions, lists, tables, or other structural elements to convey relationships programmatically. Add a proper document structure with &lt;head&gt; and &lt;body&gt; elements. Wrap related content in appropriate semantic HTML (e.g., &lt;main&gt;, &lt;form&gt;, &lt;fieldset&gt;/&lt;legend&gt;) so that information and relationships are conveyed through markup, not just visual presentation. || [2.4.6] The page contains no headings whatsoever (missing H1 and all other heading levels). Without headings, users cannot understand the page's organization or navigate by heading. Additionally, the sole label ('Menu') is misleading — it labels a text input but uses the word 'Menu', which does not describe the purpose of the field. Add a descriptive &lt;h1&gt; heading that identifies the page's purpose. Ensure all headings are descriptive and reflect the content they introduce. Rename the label to accurately describe what the input field expects (e.g., 'First Name' instead of 'Menu').</t>
  </si>
  <si>
    <t xml:space="preserve">The page fails on WCAG 1.3.1 (Info and Relationships) and WCAG 2.4.6 (Headings and Labels). The HTML is structurally invalid — content is placed directly inside &lt;html&gt; without a &lt;body&gt; element — which undermines all programmatic relationships. There are no headings (H1–H6) anywhere on the page, violating the requirement for descriptive headings. Additionally, the label 'Menu' is misleading for a text input whose name suggests it collects a first name. WCAG 2.2.2 (Pause, Stop, Hide) is inapplicable as there are no animations or timed media. WCAG 3.1.4 (Abbreviations) and 3.1.5 (Reading Level) are inapplicable due to insufficient text content (only one word present).</t>
  </si>
  <si>
    <t xml:space="preserve">[1.3.1] The page has no semantic structure. There are no landmarks (e.g., &lt;main&gt;, &lt;header&gt;, &lt;nav&gt;), no headings, and the &lt;label&gt; and &lt;input&gt; elements are placed directly inside &lt;html&gt; outside of a &lt;body&gt;, which is invalid HTML and breaks the programmatic relationship between content and structure. Wrap all content in a proper &lt;body&gt; element. Add appropriate landmark regions (e.g., &lt;main&gt;). Ensure the label text 'Menu' accurately describes the purpose of the input field, as 'Menu' is misleading for a text input. || [2.4.6] The page contains no headings whatsoever (H1–H6). A page with interactive content (a labeled input) must provide descriptive headings to help users understand the page's purpose and navigate its sections. Add at least one descriptive heading (e.g., &lt;h1&gt;) that conveys the purpose of the page or the form section containing the input. || [2.4.6] The label text 'Menu' is not descriptive of the associated input field's purpose. Labels must clearly describe the expected input to be meaningful to users. Change the label text to accurately reflect what the user should enter (e.g., 'First Name' to match the field name 'fname'), ensuring the label is descriptive and unambiguous.</t>
  </si>
  <si>
    <t xml:space="preserve">The page fails on two of the five evaluated criteria. For WCAG 1.3.1 (Info and Relationships), the page lacks any semantic structure — no &lt;body&gt;, no landmarks, and no proper document outline — meaning relationships between content cannot be programmatically determined. For WCAG 2.4.6 (Headings and Labels), there are no headings at all (missing H1), and the label 'Menu' is misleading and non-descriptive for a text input apparently intended to collect a first name. The remaining three criteria — WCAG 2.2.2 (Pause, Stop, Hide), WCAG 3.1.4 (Abbreviations), and WCAG 3.1.5 (Reading Level) — are inapplicable: there are no animations or timed content, and the page text is too minimal (one word) for meaningful readability or abbreviation analysis.</t>
  </si>
  <si>
    <t xml:space="preserve">[1.3.1] The page has no semantic structure. There are no landmarks (e.g., &lt;main&gt;, &lt;header&gt;, &lt;nav&gt;), no headings, and the &lt;label&gt; and &lt;input&gt; elements are placed directly inside &lt;html&gt; outside of a &lt;body&gt;, which is invalid HTML and breaks the programmatic relationship between content and structure. Wrap all content in a proper &lt;body&gt; element. Add semantic landmarks such as &lt;main&gt;. Ensure the label text 'Menu' accurately describes the purpose of the input field — 'Menu' is misleading for a text input named 'fname' (first name). Use a descriptive label like 'First Name' instead. || [2.4.6] The page contains no headings whatsoever (missing H1 and any heading hierarchy). Additionally, the label text 'Menu' is not descriptive of the associated input field's purpose (which appears to collect a first name based on the field name 'fname'), violating the requirement that labels be descriptive. Add at least one meaningful &lt;h1&gt; heading to give the page a clear title and structure. Rename the label from 'Menu' to something descriptive and accurate, such as 'First Name', so users understand what information is expected.</t>
  </si>
  <si>
    <t xml:space="preserve">The page fails on two of the five evaluated criteria. For WCAG 1.3.1 (Info and Relationships), the sole heading is an empty `&lt;p&gt;` element with an ARIA heading role — it carries no text content, so no structural information is conveyed to assistive technologies. For WCAG 2.4.6 (Headings and Labels), the heading is non-descriptive because it is empty, violating the requirement that headings describe their topic or purpose. The remaining three criteria — WCAG 2.2.2 (Pause, Stop, Hide), 3.1.4 (Abbreviations), and 3.1.5 (Reading Level) — are inapplicable: there are no animations or timed media, and there is no text content to assess for readability or abbreviations.</t>
  </si>
  <si>
    <t xml:space="preserve">[1.3.1] The page uses a `&lt;p&gt;` element with `role="heading" aria-level="1"` to simulate a heading, but the element is empty — it contains no text content. An empty heading conveys no information or structure to assistive technologies. Provide meaningful text content inside the heading element. Additionally, prefer native semantic HTML heading elements (e.g., &lt;h1&gt;) over ARIA role overrides on non-heading elements, as native elements have broader and more reliable support. || [2.4.6] The page's only heading is empty, making it completely non-descriptive. WCAG 2.4.6 requires that headings, when present, describe the topic or purpose of the content they introduce. An empty heading fails this requirement entirely. Add a concise, descriptive text label inside the heading that accurately reflects the topic or purpose of the page content it introduces (e.g., &lt;h1&gt;Page Title&lt;/h1&gt;).</t>
  </si>
  <si>
    <t xml:space="preserve">The page fails on two of the five evaluated criteria. For WCAG 1.3.1 (Info and Relationships), the sole heading is an empty `&lt;p&gt;` element with an ARIA heading role — it carries no text content, so no structural information is conveyed to assistive technologies. For WCAG 2.4.6 (Headings and Labels), the heading is entirely non-descriptive because it is empty, violating the requirement that headings describe topic or purpose. The remaining three criteria — WCAG 2.2.2 (Pause, Stop, Hide), WCAG 3.1.4 (Abbreviations), and WCAG 3.1.5 (Reading Level) — are inapplicable: there are no animations or timed media, and there is no text content to assess for readability or abbreviations.</t>
  </si>
  <si>
    <t xml:space="preserve">[1.3.1] The page uses a `&lt;p&gt;` element with `role="heading" aria-level="1"` to simulate a heading, but the element is completely empty — it contains no text content. An empty heading conveys no information or structure to assistive technologies. Provide meaningful text content inside the heading element. Additionally, prefer native semantic HTML heading elements (e.g., &lt;h1&gt;) over ARIA role overrides on non-heading elements, as native elements have broader and more reliable support. || [2.4.6] The page's only heading is empty, making it completely non-descriptive. WCAG 2.4.6 requires that headings describe the topic or purpose of the content they introduce. An empty heading fails this requirement entirely. Add a meaningful, descriptive text label inside the heading that accurately reflects the topic or purpose of the page content it introduces.</t>
  </si>
  <si>
    <t xml:space="preserve">The page fails on two of the five evaluated criteria. For WCAG 1.3.1 (Info and Relationships), the only heading is a &lt;p&gt; element with an ARIA role override that the heading-structure tool did not recognise as a proper structural heading, and the element is empty — meaning no meaningful structure is conveyed programmatically. For WCAG 2.4.6 (Headings and Labels), the empty heading text fails to describe the page's content or purpose. The remaining three criteria — WCAG 2.2.2 (Pause, Stop, Hide), 3.1.4 (Abbreviations), and 3.1.5 (Reading Level) — are inapplicable because the page contains no animations/auto-playing media and no substantive text content to evaluate.</t>
  </si>
  <si>
    <t xml:space="preserve">[1.3.1] The page uses a &lt;p&gt; element with role='heading' aria-level='1' to simulate a heading, but the element is empty — it conveys no actual content. Additionally, native semantic heading elements (e.g., &lt;h1&gt;–&lt;h6&gt;) are absent entirely; the tool did not recognise the ARIA-role heading as a structural heading, resulting in 'no headings' being reported. Replace the &lt;p&gt; element with a native &lt;h1&gt; element and provide meaningful text content, e.g. &lt;h1&gt;Page Title&lt;/h1&gt;. Native semantic elements are always preferred over ARIA role overrides, and headings must never be empty. || [2.4.6] The sole heading on the page is empty (no text content), so it provides no descriptive label that helps users understand the page's topic or structure. Provide a concise, descriptive text label inside the heading element so assistive technologies and sighted users can understand the page's purpose, e.g. &lt;h1&gt;Welcome to Our Service&lt;/h1&gt;.</t>
  </si>
  <si>
    <t xml:space="preserve">The page fails on two of the five evaluated criteria. For WCAG 1.3.1 (Info and Relationships), the page lacks any semantic structure — no &lt;head&gt;, &lt;body&gt;, landmarks, or headings — and the search input's label references a display:none element via aria-labelledby, which is not reliably exposed to the accessibility tree. For WCAG 2.4.6 (Headings and Labels), there are zero headings on the page and the input's label is visually and programmatically hidden. The remaining three criteria — WCAG 2.2.2 (Pause, Stop, Hide), WCAG 3.1.4 (Abbreviations), and WCAG 3.1.5 (Reading Level) — are inapplicable: there are no animations or timed content, and the page text is too minimal (2 words) for readability or abbreviation analysis to be meaningful.</t>
  </si>
  <si>
    <t xml:space="preserve">[1.3.1] The page has no structural elements (no headings, no landmarks, no &lt;head&gt;, no &lt;body&gt;), and the search input's label is derived from a hidden element via aria-labelledby, which references a display:none span. Hidden elements are not exposed to the accessibility tree, making the label unreliable or absent for assistive technologies. Use a visible &lt;label&gt; element associated with the input via the 'for' attribute, or use aria-label directly on the input. If aria-labelledby must be used, ensure the referenced elements are not hidden with display:none (use CSS clip/visually-hidden techniques instead). Also add proper page structure: &lt;head&gt;, &lt;body&gt;, landmark regions (e.g., &lt;main&gt;, &lt;nav&gt;). || [2.4.6] The page contains no headings whatsoever (no H1–H6 elements). There is also no descriptive label visible to users for the search input — the label span is hidden with display:none. Add at least one descriptive heading (starting with &lt;h1&gt;) to give the page meaningful structure. Ensure the search input has a visible, descriptive label so users understand its purpose.</t>
  </si>
  <si>
    <t xml:space="preserve">The page fails on WCAG 1.3.1 (Info and Relationships) and WCAG 2.4.6 (Headings and Labels). Structurally, the HTML is malformed — content is placed directly inside &lt;html&gt; without &lt;head&gt; or &lt;body&gt; elements, and there are no landmark regions or headings to convey page structure. The input's label is computed via aria-labelledby referencing a display:none span (which is removed from the accessibility tree) and a button, producing a reversed and misleading label of 'Go Search'. The button itself uses the non-descriptive label 'Go'. WCAG 2.2.2 (Pause, Stop, Hide) is inapplicable as there are no animations or timed media. WCAG 3.1.4 (Abbreviations) and 3.1.5 (Reading Level) are inapplicable due to insufficient text content. The most critical fixes are: correcting the semantic structure, providing a reliable and correctly ordered accessible label for the input, adding a meaningful page heading, and improving the button label.</t>
  </si>
  <si>
    <t xml:space="preserve">[1.3.1] The page has no structural elements (no &lt;head&gt;, no &lt;body&gt;, no landmarks, no headings). Content is placed directly inside &lt;html&gt;, which conveys no semantic structure or relationships to assistive technologies. Wrap content in proper &lt;head&gt; and &lt;body&gt; elements. Add at least one landmark region (e.g., &lt;main&gt;, &lt;nav&gt;). Ensure the page structure conveys its information and relationships programmatically. || [1.3.1] The label for the text input is provided via aria-labelledby="submit search", which concatenates the button text 'Go' and the hidden span text 'Search', producing the computed label 'Go Search'. This reverses the logical reading order and misrepresents the input's purpose. Additionally, the referenced label span is hidden with display:none, which removes it from the accessibility tree in most browsers, making the label reference unreliable. Use a visible &lt;label&gt; element associated with the input via the 'for' attribute, or use a visually-hidden (not display:none) span as the label source. Ensure aria-labelledby references are in the correct order and that referenced elements are accessible in the accessibility tree (use CSS clip/position techniques instead of display:none for visually-hidden labels). || [2.4.6] The page contains no headings whatsoever (no &lt;h1&gt;–&lt;h6&gt; elements). While this is a minimal snippet, the absence of any heading structure means there are no descriptive headings to help users understand the page's content or purpose. Add a descriptive &lt;h1&gt; heading that identifies the page's purpose (e.g., 'Site Search'). Ensure all headings and labels are descriptive and accurately describe the topic or purpose of the content they introduce. || [2.4.6] The button label 'Go' is not descriptive. It does not convey the purpose of the action to users, especially those relying on assistive technologies who may encounter the button out of context. Use a more descriptive label such as 'Search' or add an aria-label attribute (e.g., aria-label="Search") ...</t>
  </si>
  <si>
    <t xml:space="preserve">The page fails on two of the five evaluated criteria. For WCAG 1.3.1 (Info and Relationships), the text input's aria-labelledby attribute references a span that is hidden via display:none — such elements are excluded from the accessibility tree, meaning the 'Search' label text is not exposed to assistive technologies. The only resolved label becomes 'Go' (from the button), which is semantically incorrect and misleading for a text input. For WCAG 2.4.6 (Headings and Labels), the page contains no headings whatsoever (no H1 or any other level), and the input's effective label ('Go') is not descriptive of its purpose. The remaining three criteria — WCAG 2.2.2 (Pause, Stop, Hide), WCAG 3.1.4 (Abbreviations), and WCAG 3.1.5 (Reading Level) — are inapplicable: there are no animations or timed content, and the page text is too minimal (2 words) for meaningful readability or abbreviation analysis.</t>
  </si>
  <si>
    <t xml:space="preserve">[1.3.1] The text input's label is derived via aria-labelledby from a hidden element (display:none) and a button, producing a misleading or incorrect accessible name. Elements hidden with display:none are removed from the accessibility tree and cannot be referenced by aria-labelledby. The computed label would be only 'Go' (from the button), which is the button's label — not a meaningful label for the input field. Provide a visible or programmatically available label for the input. Either: (1) use a &lt;label&gt; element associated via 'for'/'id', (2) use aria-label directly on the input (e.g., aria-label="Search"), or (3) if aria-labelledby is used, ensure all referenced elements are not hidden with display:none (use CSS techniques like visually-hidden/sr-only instead, which keep elements in the accessibility tree). || [2.4.6] The page has no headings at all (missing H1 and any heading hierarchy), and the sole input field lacks a meaningful, descriptive label. The computed accessible name of the input resolves only to 'Go' (the button text), which does not describe the purpose of the field. Add a descriptive H1 heading to the page to convey its topic or purpose. Ensure the search input has a clear, descriptive label (e.g., 'Search') that is accessible to assistive technologies. Fix the aria-labelledby reference so it does not point to a display:none element.</t>
  </si>
  <si>
    <t xml:space="preserve">The page fails primarily on WCAG 3.1.4 (Abbreviations, Level AAA). The content is dense with unexpanded technical abbreviations — REST, JSON, CRUD, HTTP, ORM, ETL, ANSI, CLI, CI — none of which are wrapped in &lt;abbr title="..."&gt; elements, expanded inline on first use, or supported by a glossary. The remaining criteria are either passing or inapplicable: WCAG 1.3.1 is satisfied because the single heading (H1) is correctly marked up with a proper heading element and the hierarchy is valid; WCAG 2.2.2 is inapplicable as there are no animations, auto-playing media, or moving content; WCAG 2.4.6 is satisfied because the sole heading ('API design notes') is descriptive and accurately reflects the page content; and WCAG 3.1.5 (Reading Level, AAA) passes because the Flesch-Kincaid grade level of ~7.4 is below the secondary-education threshold, meaning no supplemental simplified content is required.</t>
  </si>
  <si>
    <t xml:space="preserve">[3.1.4] Multiple abbreviations and acronyms are used throughout the page without any expansion mechanism (no &lt;abbr&gt; element, no first-use expansion in parentheses, and no glossary link). Wrap each abbreviation in an &lt;abbr&gt; element with a 'title' attribute providing the full expansion on first use, e.g. &lt;abbr title="Representational State Transfer"&gt;REST&lt;/abbr&gt;. Alternatively, spell out the full term in parentheses on first use, or provide a linked glossary page.</t>
  </si>
  <si>
    <t xml:space="preserve">The page passes WCAG 1.3.1 (Info and Relationships) — the single H1 heading is semantically correct, the hierarchy is valid with no skipped levels, and all content relationships are conveyed through proper HTML structure. WCAG 2.2.2 (Pause, Stop, Hide) is inapplicable because there are no animations, auto-playing media, or moving content of any kind. WCAG 2.4.6 (Headings and Labels) passes — the lone heading ('API design notes') is descriptive, accurately reflects the page content, and there are no form labels to evaluate. WCAG 3.1.5 (Reading Level) passes — the Flesch-Kincaid Grade Level of ~7.4 and Gunning Fog of ~10 are within secondary-education range, and no supplemental content is required. However, the page fails WCAG 3.1.4 (Abbreviations, Level AAA): at least six abbreviations (REST, JSON, CRUD, HTTP, ORM, ETL, ANSI, CLI, CI) appear with no &lt;abbr title&gt; markup, no parenthetical expansion on first use, and no glossary link, leaving readers without a way to determine the meaning of these terms.</t>
  </si>
  <si>
    <t xml:space="preserve">[3.1.4] Multiple abbreviations and acronyms are used throughout the page without any expansion mechanism (no &lt;abbr&gt; element, no first-use expansion in parentheses, and no glossary link). Wrap each abbreviation in an &lt;abbr&gt; element with a 'title' attribute providing the full expansion (e.g., &lt;abbr title="JavaScript Object Notation"&gt;JSON&lt;/abbr&gt;), or spell out the full term on first use followed by the abbreviation in parentheses, or provide a linked glossary on the page.</t>
  </si>
  <si>
    <t xml:space="preserve">The page fails WCAG 3.1.4 (Abbreviations, Level AAA) due to the heavy use of technical acronyms — REST, JSON, CRUD, HTTP, ORM, ETL, ANSI, CLI, CI — none of which are expanded via an &lt;abbr title&gt; element, parenthetical first-use definition, or glossary link. All other evaluated criteria pass: the heading structure is valid and descriptive (a single, well-worded H1 satisfies WCAG 1.3.1 and 2.4.6), there are no animations, autoplay media, or moving content (WCAG 2.2.2 is inapplicable), and the body text scores at roughly a 7th–10th grade reading level which does not exceed secondary-education level, so WCAG 3.1.5 passes without requiring supplemental content.</t>
  </si>
  <si>
    <t xml:space="preserve">[3.1.4] Multiple abbreviations and acronyms are used throughout the page without any expansion mechanism (no &lt;abbr&gt; element, no first-use expansion in parentheses, and no glossary link). Wrap each abbreviation in an &lt;abbr&gt; element with a 'title' attribute providing the full expansion (e.g., &lt;abbr title="Representational State Transfer"&gt;REST&lt;/abbr&gt;), OR spell out the full term on first use followed by the abbreviation in parentheses, OR provide a linked glossary on the page.</t>
  </si>
  <si>
    <t xml:space="preserve">The page fails WCAG 3.1.4 (Abbreviations, Level AAA) due to three defective &lt;abbr&gt; usages: 'PCR' carries an empty title, 'SOP' has no title attribute whatsoever, and 'DNA' has a title that merely repeats the abbreviation rather than expanding it — none of these provide a usable mechanism for identifying the meaning of the abbreviation. The remaining target criteria are either passed or inapplicable: WCAG 1.3.1 is satisfied because the single heading is correctly marked up with &lt;h1&gt; and the paragraph text uses semantic HTML; WCAG 2.2.2 is inapplicable as there are no animations, auto-playing media, or moving content; WCAG 2.4.6 is satisfied because the sole heading ('Lab procedures') is descriptive and accurately reflects the page content; and WCAG 3.1.5 is inapplicable given the extremely short body text (28 words) that does not constitute a sustained passage requiring a reading-level assessment.</t>
  </si>
  <si>
    <t xml:space="preserve">[3.1.4] The &lt;abbr&gt; element for 'PCR' has an empty title attribute, providing no expansion of the abbreviation. Provide a meaningful expansion in the title attribute, e.g., &lt;abbr title="Polymerase Chain Reaction"&gt;PCR&lt;/abbr&gt;. || [3.1.4] The &lt;abbr&gt; element for 'SOP' has no title attribute at all, so the abbreviation is never explained. Add a descriptive title attribute, e.g., &lt;abbr title="Standard Operating Procedure"&gt;SOP&lt;/abbr&gt;. || [3.1.4] The &lt;abbr&gt; element for 'DNA' has a title attribute whose value ('DNA') is identical to the abbreviation itself, providing no actual expansion. Replace the redundant title with the full form, e.g., &lt;abbr title="Deoxyribonucleic Acid"&gt;DNA&lt;/abbr&gt;.</t>
  </si>
  <si>
    <t xml:space="preserve">analyze_heading_structure, detect_animations_and_motion, analyze_readability, analyze_readability_and_abbreviations</t>
  </si>
  <si>
    <t xml:space="preserve">The page fails primarily on WCAG 3.1.4 (Abbreviations, Level AAA). All three &lt;abbr&gt; elements in the body paragraph are defective: 'PCR' carries an empty title attribute (no expansion), 'DNA' has a title that merely echoes the abbreviation rather than expanding it, and 'SOP' has no title attribute whatsoever. None of these abbreviations can be resolved by assistive technology or by hovering. WCAG 1.3.1 is satisfied — the single heading is properly marked up and the paragraph structure is semantically correct. WCAG 2.2.2 is inapplicable (no animations, autoplay media, or moving content). WCAG 2.4.6 is satisfied — the lone H1 is descriptive and the heading hierarchy is valid with no skipped levels. WCAG 3.1.5 (Reading Level) cannot be meaningfully assessed on 28 words, but the highly technical vocabulary (thermocycler, PCR, SOP) suggests the content would likely require supplemental lower-reading-level material for a general audience. The critical remediation needed is to supply correct, full expansions in the title attributes of all three &lt;abbr&gt; elements.</t>
  </si>
  <si>
    <t xml:space="preserve">[3.1.4] PCR is marked as an abbreviation but its title attribute is empty, providing no expansion. Set the title attribute to the full expansion, e.g., title="Polymerase Chain Reaction". || [3.1.4] DNA is marked as an abbreviation but its title attribute merely repeats the abbreviation itself ("DNA") rather than providing a meaningful expansion. Set the title attribute to the full expansion, e.g., title="Deoxyribonucleic Acid". || [3.1.4] SOP is marked as an abbreviation but has no title attribute at all, so no expansion is available to users. Add a title attribute with the full expansion, e.g., title="Standard Operating Procedure". || [2.4.6] The single heading &lt;h1&gt;Lab procedures&lt;/h1&gt; is descriptive and the hierarchy is valid; no issues found. No action required for headings.</t>
  </si>
  <si>
    <t xml:space="preserve">The page fails on WCAG 3.1.4 (Abbreviations, Level AAA) and WCAG 3.1.5 (Reading Level, Level AAA). All three &lt;abbr&gt; elements are defective: 'PCR' carries an empty title, 'DNA' has a title that merely echoes the abbreviation rather than expanding it, and 'SOP' has no title attribute whatsoever — none of the three abbreviations are properly expanded for users. Additionally, the dense use of unexpanded scientific terminology without any supplemental plain-language content constitutes a failure of WCAG 3.1.5. The remaining criteria are either passed or inapplicable: heading structure (WCAG 1.3.1 / 2.4.6) is valid with a single, well-formed H1; there are no animations or timed content (WCAG 2.2.2 is inapplicable); and semantic structure is otherwise sound.</t>
  </si>
  <si>
    <t xml:space="preserve">[3.1.4] Abbreviation 'PCR' has an empty title attribute, providing no expansion. Provide the full expansion in the title attribute, e.g., &lt;abbr title="Polymerase Chain Reaction"&gt;PCR&lt;/abbr&gt;. || [3.1.4] Abbreviation 'DNA' has a title attribute that merely repeats the abbreviation itself ('DNA'), not a meaningful expansion. Replace the title value with the full expansion, e.g., &lt;abbr title="Deoxyribonucleic Acid"&gt;DNA&lt;/abbr&gt;. || [3.1.4] Abbreviation 'SOP' has no title attribute at all, so no expansion is available to users. Add a title attribute with the full expansion, e.g., &lt;abbr title="Standard Operating Procedure"&gt;SOP&lt;/abbr&gt;. || [3.1.5] The page contains multiple unexpanded scientific/technical abbreviations (PCR, DNA, SOP) and domain-specific vocabulary ('thermocycler') without any supplemental content (glossary, simpler summary, or illustrations) to aid comprehension for readers who may require lower secondary education level reading. Provide a glossary, plain-language summary, or supplemental explanatory content for technical terms and abbreviations to support readers who need lower secondary education level comprehension.</t>
  </si>
  <si>
    <t xml:space="preserve">The page passes all five target criteria. For WCAG 1.3.1 (Info and Relationships), the heading structure is valid: a single, properly placed H1 introduces the content with no skipped levels, no generic headings, and correct semantic markup throughout. For WCAG 2.4.6 (Headings and Labels), the H1 is descriptive and accurately reflects the page content; there are no labels present, so no label issues arise. For WCAG 2.2.2 (Pause, Stop, Hide), the tool found zero animations, autoplay media, animated GIFs, or JavaScript animation libraries — the criterion is inapplicable and therefore not a failure. For WCAG 3.1.4 (Abbreviations), no abbreviations were detected in the content, so no expansion or glossary mechanism is required. For WCAG 3.1.5 (Reading Level), the content scores at approximately a 4th–6th grade reading level across all readability formulas (Flesch-Kincaid Grade ~4.3, Gunning Fog ~4.4, SMOG ~6.4), well below the secondary-education threshold, meaning no supplemental content is needed. The page is a simple, well-structured static document with no accessibility violations against the evaluated criteria.</t>
  </si>
  <si>
    <t xml:space="preserve">The page passes all five target criteria. For WCAG 1.3.1 (Info and Relationships), the heading structure is valid: a single, properly placed H1 introduces the content with no skipped levels, no generic headings, and correct semantic markup throughout. For WCAG 2.4.6 (Headings and Labels), the sole heading ('Welcome to the garden') is descriptive and accurately reflects the page content; there are no form labels to evaluate. For WCAG 2.2.2 (Pause, Stop, Hide), no animations, auto-playing media, marquees, or timed content of any kind are present, making the criterion inapplicable — which counts as a pass. For WCAG 3.1.4 (Abbreviations), no abbreviations were detected in the page content, so no expansion or &lt;abbr&gt; markup is required. For WCAG 3.1.5 (Reading Level), the body text scores at approximately a 4th–6th grade reading level across all readability formulas (Flesch-Kincaid Grade ~4.3, Gunning Fog ~4.4, SMOG ~6.4), well below the secondary-education threshold, meaning the content is accessible without supplemental aids.</t>
  </si>
  <si>
    <t xml:space="preserve">The page passes all five target criteria. For WCAG 1.3.1 (Info and Relationships), the single heading is a properly marked-up &lt;h1&gt; with a valid, unbroken hierarchy and no skipped levels, generic text, or missing structural semantics. For WCAG 2.4.6 (Headings and Labels), the sole heading 'Welcome to the garden' is descriptive and accurately reflects the page content; there are no labels to evaluate. For WCAG 2.2.2 (Pause, Stop, Hide), no animations, auto-playing media, marquees, or timed content of any kind were detected, making the criterion inapplicable — which counts as a pass. For WCAG 3.1.4 (Abbreviations), no abbreviations were found in the content, so the criterion is satisfied. For WCAG 3.1.5 (Reading Level), the text scores at approximately a 4th–6th grade reading level across multiple readability formulas (Flesch-Kincaid Grade ~4.3, Gunning Fog ~4.4, SMOG ~6.4), well below the lower-secondary-education threshold, so no supplemental content is required.</t>
  </si>
  <si>
    <t xml:space="preserve">The page passes WCAG 1.3.1 (valid heading hierarchy, no misrepresented structure), 2.2.2 (no moving or auto-updating content), and 2.4.6 (the single &lt;h1&gt; is descriptive and accurate). WCAG 2.2.2 and 3.1.5 are inapplicable due to the absence of animations and the insufficient text length for a meaningful reading-level assessment. However, the page fails WCAG 3.1.4 (AAA) because three well-known acronyms — 'radar', 'scuba', and 'laser' — appear without any expansion via &lt;abbr title&gt;, inline definition, or glossary link. Although these terms are widely understood, WCAG 3.1.4 requires a mechanism for abbreviation expansion regardless of familiarity. The severity is minor given the AAA level and the common nature of the terms, but the fix is straightforward.</t>
  </si>
  <si>
    <t xml:space="preserve">[3.1.4] Acronyms used as words (lexicalized abbreviations) are not marked up or expanded anywhere on the page. Wrap each abbreviation in an &lt;abbr&gt; element with a title attribute giving the full expansion, e.g. &lt;abbr title="Self-Contained Underwater Breathing Apparatus"&gt;scuba&lt;/abbr&gt;, or provide the expansion inline on first use, e.g. 'radar (Radio Detection And Ranging)'.</t>
  </si>
  <si>
    <t xml:space="preserve">The page passes WCAG 1.3.1 (the single H1 is well-structured and no relationships are misrepresented), WCAG 2.2.2 (no animations or timed content exist), and WCAG 2.4.6 (the heading is descriptive and no form labels are present). However, it fails two AAA criteria: WCAG 3.1.4 because the common acronyms 'radar', 'scuba', and 'Laser' appear as plain words with no &lt;abbr&gt; markup or inline expansion; and WCAG 3.1.5 because the technical vocabulary assumes domain expertise without any supplemental plain-language content. Both failures are minor in severity given the AAA level and the brevity of the page, but they should be addressed to fully conform.</t>
  </si>
  <si>
    <t xml:space="preserve">[3.1.4] Abbreviations and acronyms used as plain words are not marked up or expanded anywhere on the page. Wrap each abbreviation/acronym in an &lt;abbr&gt; element with a 'title' attribute providing the full expansion on its first occurrence, e.g. &lt;abbr title="Radio Detection And Ranging"&gt;radar&lt;/abbr&gt;, &lt;abbr title="Self-Contained Underwater Breathing Apparatus"&gt;scuba&lt;/abbr&gt;, and &lt;abbr title="Light Amplification by Stimulated Emission of Radiation"&gt;Laser&lt;/abbr&gt;. || [3.1.5] The page content uses specialised technical vocabulary without providing supplemental content (e.g. a glossary, illustrations, or a plain-language summary) to support readers who may need a lower reading level. Provide a plain-language summary, glossary definitions, or illustrative diagrams alongside technical terminology to meet the AAA requirement of content readable at lower-secondary education level or with supplemental aids.</t>
  </si>
  <si>
    <t xml:space="preserve">The page passes all five evaluated criteria. For WCAG 1.3.1 (Info and Relationships), the single heading is a properly marked-up &lt;h1&gt; that accurately reflects the page topic, and the body text is in a semantic &lt;p&gt; element — structure is correctly conveyed through markup. For WCAG 2.4.6 (Headings and Labels), the heading 'Marine research' is descriptive and non-generic, with a valid single-level hierarchy and no skipped levels. For WCAG 2.2.2 (Pause, Stop, Hide), no animations, autoplay media, marquee elements, or moving content of any kind are present, making the criterion inapplicable. For WCAG 3.1.4 (Abbreviations), the tool flagged the criterion as inapplicable due to minimal text volume; a manual review of the prose finds no unexplained abbreviations — 'radar' and 'scuba' are widely understood acronyms that have entered common usage and do not require expansion. For WCAG 3.1.5 (Reading Level), the criterion is inapplicable given the short, straightforward prose; the vocabulary and sentence structure are accessible to a general audience without supplemental content being needed.</t>
  </si>
  <si>
    <t xml:space="preserve">The page passes all five evaluated criteria. WCAG 1.3.1 (Info and Relationships): the single heading is a proper &lt;h1&gt; with a valid, non-skipped hierarchy and no generic text, correctly conveying document structure semantically. WCAG 2.2.2 (Pause, Stop, Hide): no animations, autoplay media, marquees, or timed content of any kind are present, making the criterion inapplicable. WCAG 2.4.6 (Headings and Labels): the one heading ('Web standards overview') is descriptive and accurately reflects the page content; no form labels are present. WCAG 3.1.4 (Abbreviations): all four abbreviations (W3C, WCAG, AG WG, HTTP) are wrapped in &lt;abbr&gt; elements with fully expanded title attributes, satisfying the requirement to provide the expansion of each abbreviation. WCAG 3.1.5 (Reading Level): the 28-word paragraph uses plain, common vocabulary and simple sentence structure well within an upper-secondary reading level; no supplemental content is required.</t>
  </si>
  <si>
    <t xml:space="preserve">The page was evaluated against WCAG 1.3.1 (Info and Relationships), 2.2.2 (Pause, Stop, Hide), 2.4.6 (Headings and Labels), 3.1.4 (Abbreviations), and 3.1.5 (Reading Level). All criteria are either satisfied or inapplicable. For WCAG 1.3.1, the page uses a single, properly structured &lt;h1&gt; heading with a valid hierarchy and no skipped levels, and the paragraph content is conveyed through standard semantic HTML — no information is communicated through presentation alone. For WCAG 2.2.2, no animations, auto-playing media, marquees, or timed content of any kind were detected, making the criterion inapplicable. For WCAG 2.4.6, the sole heading ('Web standards overview') is descriptive and accurately labels the page content; no form labels are present to evaluate. For WCAG 3.1.4, all four abbreviations (W3C, WCAG, AG WG, HTTP) are marked up with &lt;abbr&gt; elements and each carries a meaningful title attribute that expands the abbreviation — fully satisfying the criterion. For WCAG 3.1.5 (AAA), the text is too brief (28 words) for a meaningful readability score, but the prose is straightforward and well within typical reading-level expectations; no supplemental content is required. No violations were found across any of the five criteria.</t>
  </si>
  <si>
    <t xml:space="preserve">The page passes all five evaluated criteria. WCAG 1.3.1 (Info and Relationships): the single heading is a proper &lt;h1&gt;, the paragraph is a semantic &lt;p&gt;, and all abbreviations use the native &lt;abbr&gt; element with title attributes — structure is conveyed through correct HTML semantics. WCAG 2.2.2 (Pause, Stop, Hide): no animations, autoplay media, or moving content of any kind are present, so the criterion is inapplicable and no violation exists. WCAG 2.4.6 (Headings and Labels): the one heading ('Web standards overview') is descriptive, accurately reflects the page content, the hierarchy is valid (single H1, no skipped levels, no generic text), and there are no form labels to evaluate. WCAG 3.1.4 (Abbreviations): every abbreviation — W3C, WCAG, AG WG, and HTTP — is wrapped in an &lt;abbr&gt; element with a full expansion provided via the title attribute, fully satisfying the requirement. WCAG 3.1.5 (Reading Level): the readability tool flagged the text as too short for a meaningful score, but the prose itself is straightforward technical content with no complex sentence structures; no supplemental simplified version is required for text of this brevity and clarity.</t>
  </si>
  <si>
    <t xml:space="preserve">The page passes WCAG 1.3.1 (heading structure is valid with a single, well-formed H1 and semantically correct paragraph markup), WCAG 2.2.2 (no animations, autoplay media, or moving content are present), and WCAG 2.4.6 (the sole heading 'Course registration' is descriptive and accurate). However, the page fails WCAG 3.1.4 (Abbreviations, Level AAA): while 'LMS', 'FAQ', and 'PR' are expanded inline on first use, none are wrapped in &lt;abbr title="..."&gt; elements to provide a programmatic mechanism for assistive technologies, and the plural form 'PRs' is used without any expansion or markup at all. The page also raises a concern under WCAG 3.1.5 (Reading Level, Level AAA): multiple readability formulas score the content at college level, and no supplemental content (glossary, summary, or simplified alternative) is offered to support readers who may struggle with the technical jargon.</t>
  </si>
  <si>
    <t xml:space="preserve">[3.1.4] The abbreviation 'PRs' (plural of 'PR') is used without an &lt;abbr&gt; element or inline expansion. While 'PR' is expanded once as 'Pull Request (PR)', the subsequent use of 'PRs' is not marked up and may not be recognisable to all readers. Wrap every occurrence of an abbreviation (including plurals) in an &lt;abbr&gt; element with a 'title' attribute, e.g. &lt;abbr title="Pull Requests"&gt;PRs&lt;/abbr&gt;. Alternatively, expand the plural form inline on first use: 'Pull Requests (PRs)'. || [3.1.4] The abbreviations 'FAQ' and 'LMS' are expanded inline on first use but are not wrapped in &lt;abbr title="..."&gt; elements. Subsequent uses ('The LMS will route…', 'The FAQ section…') rely solely on the reader remembering the earlier expansion, with no programmatic mechanism available to assistive technologies. Wrap each abbreviation in an &lt;abbr&gt; element with a descriptive 'title' attribute on every occurrence, e.g. &lt;abbr title="Learning Management System"&gt;LMS&lt;/abbr&gt; and &lt;abbr title="Frequently Asked Questions"&gt;FAQ&lt;/abbr&gt;. This provides a programmatic mechanism that assistive technologies can expose to users on demand. || [3.1.5] Several readability metrics place the content above a lower-secondary reading level. The Coleman-Liau index scores 13.1 (college level) and the Dale-Chall score is 12.0, both indicating content that may be difficult for users without advanced education. No supplemental content (glossary, summary, illustrations, or simplified version) is provided. Provide supplemental content to support comprehension: add a glossary of technical terms (LMS, FAQ, PR), offer a plain-language summary, or link to a simplified version of the page. This is a AAA criterion but is especially important given the density of jargon.</t>
  </si>
  <si>
    <t xml:space="preserve">The page passes WCAG 1.3.1 (heading structure is valid with a single, well-formed H1 and semantically correct paragraph markup), WCAG 2.2.2 (no animations, autoplay media, or moving content are present), and WCAG 2.4.6 (the sole heading 'Course registration' is descriptive and accurate). For WCAG 3.1.5 Reading Level, the Flesch-Kincaid grade level of ~8.2 and other metrics suggest the content is at or near a secondary-school reading level, which is acceptable. However, the page fails WCAG 3.1.4 (Abbreviations, Level AAA): while 'LMS', 'FAQ', and 'PR' are expanded on first use via parenthetical notation, none are wrapped in &lt;abbr&gt; elements, and the plural form 'PRs' appears later without any expansion or markup at all. Using &lt;abbr title="..."&gt; at every occurrence is the most robust and programmatically deterministic way to satisfy this criterion.</t>
  </si>
  <si>
    <t xml:space="preserve">[3.1.4] The abbreviation 'PRs' (plural of 'PR') is used without an &lt;abbr&gt; element or inline expansion. While 'PR' is expanded on first use as 'Pull Request (PR)', the subsequent plural form 'PRs' is not marked up or re-expanded, leaving it ambiguous for assistive technology users. Wrap 'PRs' in an &lt;abbr title="Pull Requests"&gt;PRs&lt;/abbr&gt; element, or rephrase to avoid the unexpanded plural (e.g., 'Pull Requests are reviewed within three business days.'). || [3.1.4] The abbreviations 'LMS', 'FAQ', and 'PR' are expanded inline via parenthetical notation but are not marked up with &lt;abbr title="..."&gt; elements. While inline expansion is a valid WCAG 3.1.4 mechanism, using &lt;abbr&gt; additionally ensures assistive technologies can programmatically expose the full form at every occurrence. Supplement inline expansions with &lt;abbr&gt; elements, e.g., &lt;abbr title="Learning Management System"&gt;LMS&lt;/abbr&gt;, so screen readers and other AT can expose the expansion at every use, not just the first.</t>
  </si>
  <si>
    <t xml:space="preserve">The page passes WCAG 1.3.1 (valid, semantic heading structure with a single descriptive H1 and plain prose), WCAG 2.2.2 (no animations or moving content present), WCAG 2.4.6 (the H1 is descriptive; no form labels exist to evaluate), and WCAG 3.1.5 (Flesch-Kincaid Grade ~8.2, within secondary-school range). It fails WCAG 3.1.4 (Abbreviations, Level AAA): while LMS, FAQ, and PR are expanded inline on first use, none are wrapped in &lt;abbr title="..."&gt; elements, and the plural form 'PRs' appears later in the text with no expansion or markup at all. Using &lt;abbr&gt; elements is the most reliable technique for satisfying 3.1.4 because it makes the expansion programmatically available on every occurrence, not just the first.</t>
  </si>
  <si>
    <t xml:space="preserve">[3.1.4] Abbreviations are expanded inline on first use but are not wrapped in &lt;abbr&gt; elements, and the plural form 'PRs' is used without any expansion or markup. Wrap every abbreviation (including plural forms) in an &lt;abbr&gt; element with a descriptive title attribute, e.g., &lt;abbr title="Learning Management System"&gt;LMS&lt;/abbr&gt;, &lt;abbr title="Frequently Asked Questions"&gt;FAQ&lt;/abbr&gt;, &lt;abbr title="Pull Request"&gt;PR&lt;/abbr&gt;, and &lt;abbr title="Pull Requests"&gt;PRs&lt;/abbr&gt;. This provides a robust, programmatically determinable mechanism that benefits all users, including screen reader users.</t>
  </si>
  <si>
    <t xml:space="preserve">The page passes WCAG 1.3.1 (Info and Relationships) — the single H1 heading is correctly marked up, the hierarchy is valid, and the two body paragraphs use semantic &lt;p&gt; elements with no structural relationships misrepresented. It also passes WCAG 2.2.2 (Pause, Stop, Hide) as there are no animations, autoplay media, or moving content whatsoever. WCAG 2.4.6 (Headings and Labels) is satisfied: the H1 is descriptive, accurate, and not generic. However, the page fails WCAG 3.1.5 (Reading Level, AAA): every readability metric places the content at a post-doctoral level (Flesch-Kincaid Grade ~37, Gunning Fog ~41), and no supplemental content — glossary, summary, simplified version, or illustrations — is present to assist readers who cannot process text at that level. Additionally, WCAG 3.1.4 (Abbreviations, AAA) is marginally at risk: the specialist term 'epoche' is used without an &lt;abbr&gt; definition or glossary reference, though the automated tool did not flag it as a formal abbreviation. Both failures are AAA-level criteria, making their severity minor in a conformance context, but they represent real barriers for general audiences engaging with this highly technical philosophical content.</t>
  </si>
  <si>
    <t xml:space="preserve">[3.1.5] Content requires a reading level far above lower secondary education, and no supplemental content is provided to aid comprehension. Provide supplemental content such as a plain-language summary, a glossary of specialist terms (e.g., 'epoche', 'noetic', 'intentionality', 'intersubjective'), or illustrative diagrams with captions. Alternatively, restructure the prose into shorter sentences and paragraphs to reduce the reading grade level to lower-secondary level where possible. || [3.1.4] The term 'epoche' is used as a specialist philosophical abbreviation/term without any inline definition, expansion, or link to a glossary. Wrap 'epoche' in an &lt;abbr&gt; element with a title attribute providing its full meaning, e.g., &lt;abbr title="epoché: the philosophical suspension of judgment about the external world"&gt;epoche&lt;/abbr&gt;, or provide a glossary link on the page.</t>
  </si>
  <si>
    <t xml:space="preserve">The page fails primarily on WCAG 3.1.5 (Reading Level, AAA): all readability metrics place the content at an extreme post-graduate level (Flesch-Kincaid Grade ~37, Gunning Fog ~41, average sentence length 65 words), and no supplemental content — glossary, summary, illustrations, or simplified alternative — is provided to assist readers who cannot process text at that level. A moderate concern also exists under WCAG 2.4.6 (Headings and Labels, AA): while the H1 is valid and descriptive, the two thematically distinct paragraphs lack sub-headings, meaning labels do not adequately describe the structure of the content. WCAG 1.3.1 (Info and Relationships) is satisfied — the single heading is correctly marked up with a semantic H1 and the hierarchy is valid. WCAG 2.2.2 (Pause, Stop, Hide) is inapplicable — no animations, autoplay media, or moving content are present. WCAG 3.1.4 (Abbreviations) passes — no abbreviations were detected in the body text.</t>
  </si>
  <si>
    <t xml:space="preserve">[3.1.5] Content requires a reading level far above lower secondary education, and no supplemental content is provided to aid comprehension. Provide supplemental content such as a plain-language summary, a glossary of specialist terms (e.g., 'epoche', 'noetic', 'intentionality', 'intersubjective'), or illustrative aids. Alternatively, restructure sentences to reduce average length and complexity so the text does not exceed lower-secondary reading level, or clearly link to a simplified version. || [2.4.6] The single H1 heading is descriptive and the hierarchy is valid; however, the two substantial body paragraphs have no sub-headings to label their distinct topics (Husserl's method vs. Merleau-Ponty's reception), reducing navigability for screen-reader users. Add descriptive H2 headings for each major section (e.g., 'Husserl's Methodological Suspension' and 'Post-Husserlian Reception') so that labels meaningfully describe the content of each section, as required by WCAG 2.4.6.</t>
  </si>
  <si>
    <t xml:space="preserve">The page fails primarily on WCAG 3.1.5 (Reading Level, AAA). Every readability metric places the content at a post-doctoral level — Flesch-Kincaid Grade 37, Gunning Fog 41, SMOG 32, Dale-Chall 14.9 — driven by two sentences averaging 65 words each and dense specialist vocabulary (epoche, noetic, intersubjective, phenomenological, intentionality). No supplemental content of any kind (glossary, summary, illustrations, audio) is present to assist readers who cannot access the primary text. The remaining criteria are either passing or inapplicable: WCAG 1.3.1 is satisfied by a valid, single-level heading hierarchy with no skipped levels and no structural misuse of HTML; WCAG 2.2.2 is inapplicable because the page contains no animations, autoplay media, or moving content; WCAG 2.4.6 is satisfied because the sole heading is descriptive and accurately reflects the page content; and WCAG 3.1.4 passes because no abbreviations were detected in the body text.</t>
  </si>
  <si>
    <t xml:space="preserve">[3.1.5] Reading level far exceeds lower secondary education; no supplemental content is provided to aid comprehension. Provide at least one form of supplemental content to support comprehension: a plain-language summary, a glossary of specialist terms (epoche, noetic, intentionality, intersubjectivity, etc.), illustrative diagrams with captions, or an audio/video explanation. Alternatively, break the two extremely long sentences into shorter, simpler ones.</t>
  </si>
  <si>
    <t xml:space="preserve">The page fails WCAG 3.1.5 (Reading Level, AAA) due to extremely complex prose: the entire body content is a single 105-word sentence packed with legal jargon, yielding a Flesch-Kincaid Grade Level of ~47 and a Gunning Fog index of ~51 — both astronomically above the lower-secondary-education threshold. No supplemental content (plain-language summary, glossary, illustrations, or audio) is present to compensate. The remaining criteria are either met or inapplicable: WCAG 1.3.1 passes because the single H1 heading is correctly marked up with a proper &lt;h1&gt; element and the hierarchy is valid; WCAG 2.4.6 passes for the same reason — the heading is descriptive and accurately labels the page content; WCAG 2.2.2 is inapplicable as there are no animations, auto-playing media, or moving content of any kind; and WCAG 3.1.4 passes because no abbreviations were detected in the content.</t>
  </si>
  <si>
    <t xml:space="preserve">[3.1.5] Content requires a reading level far above lower secondary education, and no supplemental content is provided to aid comprehension. Break the single 105-word sentence into multiple shorter sentences. Replace legal jargon ('hereinafter referred to as', 'without prejudice to', 'enumerated herein') with plain language. Provide a plain-language summary section or a link to a simplified version of the terms. Target a Flesch-Kincaid Grade Level of 8 or below.</t>
  </si>
  <si>
    <t xml:space="preserve">The page passes WCAG 1.3.1 (the single H1 heading is correctly marked up, hierarchy is valid, and the paragraph uses semantic HTML), WCAG 2.2.2 (no animations, autoplay media, or moving content of any kind are present), and WCAG 2.4.6 (the heading 'Terms of service' is descriptive and accurate). WCAG 3.1.4 also passes because no abbreviations were detected in the content. However, the page fails WCAG 3.1.5 (Reading Level, AAA): the entire body text is a single 105-word sentence packed with dense legal phrasing, producing readability scores that are astronomically above the lower-secondary-education threshold (e.g., Flesch-Kincaid Grade ~47, Gunning Fog ~51). Critically, no supplemental content — glossary, plain-language summary, simplified alternative, or illustrative media — is provided to compensate for this complexity. To remediate, the authors should rewrite the content in plain language and/or supply a clearly linked plain-language summary alongside the legal text.</t>
  </si>
  <si>
    <t xml:space="preserve">[3.1.5] Content requires a reading level far above lower secondary education, and no supplemental content is provided to aid comprehension. Break the single run-on sentence into multiple shorter sentences. Replace legal jargon ('hereinafter referred to as', 'without prejudice to', 'enumerated herein') with plain language. Where legal terms must be retained, add a glossary, a plain-language summary section, or a link to a simplified version of the terms.</t>
  </si>
  <si>
    <t xml:space="preserve">The page passes WCAG 1.3.1 (Info and Relationships) — the single heading is correctly marked up as an &lt;h1&gt; with a valid hierarchy and no skipped levels. It passes WCAG 2.2.2 (Pause, Stop, Hide) — no animations, autoplay media, or moving content are present. It passes WCAG 2.4.6 (Headings and Labels) — the one heading is descriptive and accurately reflects the page content. It passes WCAG 3.1.4 (Abbreviations) — no abbreviations were detected in the content. However, it fails WCAG 3.1.5 (Reading Level) severely: every readability formula places the text far above the lower-secondary-education threshold (Flesch-Kincaid Grade 47, Gunning Fog 50.8, SMOG 30.5, Dale-Chall 14.9), driven by a single 105-word sentence packed with dense legal terminology. The page provides zero supplemental content — no plain-language summary, no glossary, no audio alternative — that could compensate for the extreme complexity, making the criterion a clear failure.</t>
  </si>
  <si>
    <t xml:space="preserve">[3.1.5] The page's single paragraph requires an extremely advanced reading level with no supplemental content provided to aid comprehension. Break the single 105-word run-on sentence into multiple short sentences. Replace legalese phrases ('hereinafter referred to as', 'without prejudice to any other remedies', 'enumerated herein') with plain language. Provide at least one form of supplemental content — a plain-language summary, a glossary of legal terms, or an illustrated/audio version — so users who cannot read at an advanced level can still understand the terms.</t>
  </si>
  <si>
    <t xml:space="preserve">The page passes all five evaluated criteria. For WCAG 1.3.1 (Info and Relationships), the heading structure is valid with a single, properly placed H1 ('Contact'), and all form inputs are correctly associated with their labels via matching 'for'/'id' pairs — semantic relationships are fully conveyed in markup. For WCAG 2.4.6 (Headings and Labels), the H1 is descriptive and non-generic, and every form label ('Name', 'Email', 'Message') clearly describes its corresponding control. For WCAG 2.2.2 (Pause, Stop, Hide), no animations, auto-playing media, marquees, or moving content of any kind are present, making the criterion inapplicable. For WCAG 3.1.4 (Abbreviations), no abbreviations are used anywhere in the page content, making the criterion inapplicable. For WCAG 3.1.5 (Reading Level), the page contains only 6 words of visible text — far too little to assess reading level meaningfully — and none of the content requires advanced comprehension, making the criterion effectively inapplicable. No violations were found.</t>
  </si>
  <si>
    <t xml:space="preserve">The page passes all five evaluated criteria. For WCAG 1.3.1 (Info and Relationships), the heading structure is valid with a single, properly placed H1 ('Contact'), and all form inputs are correctly associated with their labels via matching 'for'/'id' pairs — semantic relationships are fully conveyed in markup. For WCAG 2.4.6 (Headings and Labels), the H1 is descriptive and non-generic, and every form label ('Name', 'Email', 'Message') accurately describes its corresponding control. For WCAG 2.2.2 (Pause, Stop, Hide), no animations, auto-playing media, marquees, or moving content of any kind are present, making the criterion inapplicable. For WCAG 3.1.4 (Abbreviations), no abbreviations are used anywhere in the page content, making the criterion inapplicable. For WCAG 3.1.5 (Reading Level), the page contains only 6 words of meaningful text — far too little to assess reading level — and the language used ('Contact', 'Name', 'Email', 'Message', 'Send') is simple, common vocabulary well within any reading-level threshold, making the criterion effectively inapplicable. No violations were found.</t>
  </si>
  <si>
    <t xml:space="preserve">The page passes all five evaluated criteria. For WCAG 1.3.1 (Info and Relationships), the form is well-structured: every input and textarea has a correctly associated &lt;label&gt; via matching 'for'/'id' pairs, the heading hierarchy is valid with a single, properly placed &lt;h1&gt;, and semantic HTML elements are used throughout. For WCAG 2.4.6 (Headings and Labels), the sole heading ('Contact') is descriptive and meaningful, and all three form labels ('Name', 'Email', 'Message') accurately describe their respective controls. For WCAG 2.2.2 (Pause, Stop, Hide), no animations, auto-playing media, marquees, or moving content of any kind are present, making the criterion inapplicable. For WCAG 3.1.4 (Abbreviations), no abbreviations appear in the page content, so the criterion is inapplicable. For WCAG 3.1.5 (Reading Level), the page contains only six words of visible text — far too little to assess reading level — making this criterion inapplicable as well. No violations were detected across any of the five criteria.</t>
  </si>
  <si>
    <t xml:space="preserve">The Faculty Directory page passes all five evaluated WCAG criteria. For WCAG 1.3.1 (Info and Relationships), the page uses a proper &lt;h1&gt; heading and a semantically correct &lt;ul&gt;/&lt;li&gt; list structure to convey the directory content — no tables, forms, or other complex structures are misused. For WCAG 2.4.6 (Headings and Labels), the single heading 'Faculty directory' is descriptive, accurate, and the hierarchy is valid with no skipped levels, generic text, or empty headings. For WCAG 2.2.2 (Pause, Stop, Hide), no animations, auto-playing media, marquees, or moving content of any kind are present, making the criterion inapplicable. For WCAG 3.1.4 (Abbreviations), while 'Dr.' appears repeatedly, it is a universally understood honorific title rather than a technical abbreviation requiring expansion; the tool also returned inapplicable due to minimal text. For WCAG 3.1.5 (Reading Level), the content is a simple proper-noun list with no complex prose, and the tool correctly flagged it as inapplicable given the minimal word count (27 words). Overall, this is a clean, minimal, semantically well-structured page with no accessibility violations against the targeted criteria.</t>
  </si>
  <si>
    <t xml:space="preserve">The page passes all five evaluated criteria. For WCAG 1.3.1 (Info and Relationships), the heading structure is valid — a single, properly placed H1 ('Faculty directory') introduces the content, and the faculty list is correctly marked up as a &lt;ul&gt; with &lt;li&gt; items, conveying list semantics programmatically. For WCAG 2.4.6 (Headings and Labels), the sole heading is descriptive and accurately reflects the page content; no labels are present because there are no form controls. For WCAG 2.2.2 (Pause, Stop, Hide), no animations, auto-playing media, marquees, or moving content of any kind were detected, making the criterion inapplicable. For WCAG 3.1.4 (Abbreviations), no unexplained abbreviations appear in the content — 'Dr.' is a universally understood honorific and does not require a formal &lt;abbr&gt; expansion; the tool also returned inapplicable due to minimal text. For WCAG 3.1.5 (Reading Level), the content is a simple directory list of names and titles requiring no advanced reading ability, and the tool returned inapplicable due to insufficient text volume for a meaningful readability score. Overall, this is a clean, semantically correct, minimal HTML page with no accessibility violations against the targeted criteria.</t>
  </si>
  <si>
    <t xml:space="preserve">The Faculty Directory page passes all five evaluated WCAG criteria. For WCAG 1.3.1 (Info and Relationships), the page uses a proper &lt;h1&gt; heading and a semantically correct &lt;ul&gt;/&lt;li&gt; list structure to convey the directory content — no tables, forms, or other complex structures are misused. For WCAG 2.4.6 (Headings and Labels), the single heading 'Faculty directory' is descriptive, accurately reflects the page content, the hierarchy is valid (no skipped levels, no generic text), and no labels are present to evaluate. For WCAG 2.2.2 (Pause, Stop, Hide), no animations, auto-playing media, marquees, or moving content of any kind were detected, making the criterion inapplicable. For WCAG 3.1.4 (Abbreviations), while 'Dr.' appears repeatedly, it is a widely understood honorific title rather than a technical abbreviation requiring expansion; the tool returned inapplicable due to minimal text content. For WCAG 3.1.5 (Reading Level), the page contains only 27 words of simple, plain-language content (faculty names and titles), well below any threshold that would require supplemental content — the tool also returned inapplicable. Overall, this is a clean, minimal, semantically well-structured page with no accessibility violations against the targeted criteria.</t>
  </si>
  <si>
    <t xml:space="preserve">The page passes WCAG 1.3.1 (Info and Relationships) — semantic structure is sound with proper use of &lt;section&gt;, &lt;h1&gt;/&lt;h2&gt;, and aria-label. It passes WCAG 2.2.2 (Pause, Stop, Hide) as there is no moving or auto-updating content. It passes WCAG 3.1.4 (Abbreviations) as no abbreviations are present. However, it fails WCAG 2.4.6 (Headings and Labels) because the heading 'Detail' is too vague to describe its section's content, and it fails WCAG 3.1.5 (Reading Level) because the technical 'Detail' paragraph scores at a university graduate reading level (FK Grade ~16.6) with no recognized supplemental content mechanisms — no glossary, no labeled definitions, no illustrations, and no audio/video — to assist readers who cannot access that level of text. The severity is rated moderate: the structural and readability failures impede comprehension for a broad audience but do not block access entirely.</t>
  </si>
  <si>
    <t xml:space="preserve">[2.4.6] The heading 'Detail' is vague and does not describe the content of its section. Replace 'Detail' with a descriptive heading that conveys the section's topic, e.g., 'How mitochondrial DNA is inherited' or 'Scientific explanation'. || [3.1.5] The 'Detail' section requires a reading level well above lower secondary education (Flesch-Kincaid Grade ~16.6, Gunning Fog ~18.9, SMOG ~15.5, Dale-Chall ~12.2) and no machine-recognizable supplemental content aids are provided. Provide a clearly marked supplemental aid for the technical section: add an inline glossary or &lt;abbr&gt; definitions for specialist terms (matrilineally, ubiquitin, non-Mendelian, etc.), link to a glossary page, or add illustrative diagrams with captions. The existing plain-language summary is a good start but should be explicitly linked to the technical section and expanded.</t>
  </si>
  <si>
    <t xml:space="preserve">The page passes WCAG 1.3.1 (Info and Relationships) — the heading hierarchy is semantically correct with proper H1/H2 nesting and labelled sections. It passes WCAG 2.2.2 (Pause, Stop, Hide) as there is no moving, blinking, or auto-updating content. It passes WCAG 3.1.4 (Abbreviations) as no unexpanded abbreviations are present. It has a minor failure against WCAG 2.4.6 (Headings and Labels) because the heading 'Detail' is too vague to be descriptive. Most significantly, it fails WCAG 3.1.5 (Reading Level — AAA) because the technical 'Detail' paragraph scores at a post-graduate reading level and the page lacks any formally recognised supplemental content mechanism (glossary, diagram, or linked simplified version) to support readers who cannot access that level of text.</t>
  </si>
  <si>
    <t xml:space="preserve">[2.4.6] The heading 'Detail' is vague and single-word, providing little descriptive value to users scanning the page. Replace 'Detail' with a more descriptive heading that conveys the section's content, e.g., 'Technical explanation' or 'How mitochondrial inheritance works'. || [3.1.5] The 'Detail' section requires reading ability well above lower secondary education level (Flesch-Kincaid Grade ~16.6, Gunning Fog ~18.9, Dale-Chall ~12.2). No recognised supplemental content mechanism (linked glossary, illustrations with captions, audio/video summary) is provided alongside the technical paragraph. Provide at least one recognised supplemental content mechanism: (1) link to or embed a glossary defining 'matrilineally', 'zygote', 'ubiquitin', 'non-Mendelian', etc.; (2) add an illustrative diagram with a descriptive caption; or (3) formally associate the existing plain-language summary with the technical section using an explicit 'Read a simpler version' link or equivalent ARIA relationship so assistive tools and WCAG evaluators can recognise it as supplemental content.</t>
  </si>
  <si>
    <t xml:space="preserve">The page passes WCAG 1.3.1 (Info and Relationships) — the heading hierarchy is structurally sound with a proper H1 and two H2 sub-sections, and semantic HTML elements are used correctly. WCAG 2.2.2 (Pause, Stop, Hide) is inapplicable as there is no moving, blinking, or auto-updating content. WCAG 3.1.4 (Abbreviations) passes because no abbreviations are present in the text. However, the page fails WCAG 2.4.6 (Headings and Labels) at a minor severity due to the vague 'Detail' heading, and fails WCAG 3.1.5 (Reading Level) at a moderate severity because the technical 'Detail' paragraph scores at a graduate/post-secondary reading level (FK ~16.6) with no supplemental aids — glossary, illustrations, or simplified alternatives — provided to bridge the gap for lower-literacy users. The plain-language summary is a positive inclusion but is insufficient on its own to satisfy 3.1.5 without also addressing the dense technical vocabulary in the Detail section.</t>
  </si>
  <si>
    <t xml:space="preserve">[2.4.6] The heading 'Detail' is vague and single-word, providing little descriptive value to users scanning the page. Replace 'Detail' with a more descriptive heading that conveys the section's specific content, e.g., 'Technical explanation' or 'How mitochondrial inheritance works'. || [3.1.5] The 'Detail' section requires reading ability well above secondary education level (Flesch-Kincaid Grade ~16.6, Gunning Fog ~18.9, Dale-Chall ~12.2). No supplemental content is provided to make the material accessible to lower-literacy readers. Provide supplemental content such as a linked glossary for technical terms (matrilineally, ubiquitin, zygote, ovum, non-Mendelian), an illustration with a caption, or an audio/video explanation. The existing 'Plain language summary' section is a good start but is not surfaced as a formal supplement and does not cover the technical vocabulary in the Detail section.</t>
  </si>
  <si>
    <t xml:space="preserve">The page passes all five target WCAG criteria. For WCAG 1.3.1 (Info and Relationships), the heading structure is valid with a single, properly placed H1, and the ordered list (&lt;ol&gt;) correctly conveys the sequential nature of the steps — semantic structure is intact with no skipped levels or misused elements. For WCAG 2.2.2 (Pause, Stop, Hide), no animations, autoplay media, marquees, or moving content of any kind were detected, making the criterion inapplicable (no violation). For WCAG 2.4.6 (Headings and Labels), the sole heading ('How to wash your hands') is descriptive, accurate, and clearly labels the page content; no generic or misleading headings were found. For WCAG 3.1.4 (Abbreviations), no abbreviations were detected anywhere in the content, so no unexpanded or unexplained abbreviations exist. For WCAG 3.1.5 (Reading Level), the content scores exceptionally well across all readability formulas — Flesch-Kincaid Grade Level of ~0.7, Gunning Fog of ~2.4, and a Flesch Reading Ease of ~101 — placing it well below the lower-secondary education threshold required by the criterion, with plain, short sentences and common vocabulary throughout.</t>
  </si>
  <si>
    <t xml:space="preserve">The page passes all five target WCAG criteria. For WCAG 1.3.1 (Info and Relationships), the heading structure is valid with a single, properly placed H1, and the six-step procedure is correctly marked up as an ordered list (&lt;ol&gt;), accurately conveying sequence through semantics. For WCAG 2.2.2 (Pause, Stop, Hide), no animations, autoplay media, marquees, or moving content of any kind are present, making the criterion inapplicable — which counts as a pass. For WCAG 2.4.6 (Headings and Labels), the sole heading ('How to wash your hands') is descriptive, accurate, and free of generic or ambiguous text; there are no form labels to evaluate. For WCAG 3.1.4 (Abbreviations), no abbreviations were detected anywhere in the content, so the criterion is satisfied. For WCAG 3.1.5 (Reading Level), the content scores exceptionally well across all readability formulas (Flesch-Kincaid Grade Level ≈ 0.7, Gunning Fog ≈ 2.4, Flesch Reading Ease ≈ 101), placing it well below the lower-secondary-education threshold required by the criterion. The page is a model of plain-language, semantically correct content.</t>
  </si>
  <si>
    <t xml:space="preserve">The page passes all five target WCAG criteria. For WCAG 1.3.1 (Info and Relationships), the heading structure is valid with a single, properly placed H1, and the step-by-step instructions are correctly marked up as an ordered list (&lt;ol&gt;), conveying sequence semantically. For WCAG 2.2.2 (Pause, Stop, Hide), no animations, autoplay media, marquees, or moving content of any kind were detected — the criterion is inapplicable and therefore not a failure. For WCAG 2.4.6 (Headings and Labels), the sole heading ('How to wash your hands') is descriptive, accurate, and free of generic or ambiguous text; no form labels are present to evaluate. For WCAG 3.1.4 (Abbreviations), no abbreviations were found anywhere in the content, so the criterion is satisfied. For WCAG 3.1.5 (Reading Level), the content scores exceptionally well across all readability formulas (Flesch-Kincaid Grade Level ≈ 0.7, Gunning Fog ≈ 2.4, Flesch Reading Ease ≈ 101), placing it well below the lower-secondary-education threshold — the text is simple, clear, and appropriate for a very broad audience.</t>
  </si>
  <si>
    <t xml:space="preserve">run_nvda_full_audit, analyze_heading_structure, detect_keyboard_violations, check_keyboard_navigation</t>
  </si>
  <si>
    <t xml:space="preserve">The page fails on three of the five evaluated WCAG 2.1 criteria. The sole interactive element — an &lt;input type='image'&gt; — is missing an alt attribute, which is the primary mechanism for providing a text alternative (WCAG 1.1.1) and an accessible name (WCAG 4.1.2) for image-type inputs. Without an accessible name, screen readers such as NVDA cannot announce what the control is or does, and the programmatic relationship between the element and its purpose is entirely absent (WCAG 1.3.1). WCAG 2.1.1 (Keyboard) passes because the element is natively focusable, and WCAG 2.4.1 (Bypass Blocks) is not applicable since the page contains no repeated navigation blocks. The fix is straightforward: add alt="Search" (or a similarly descriptive value) to the input element.</t>
  </si>
  <si>
    <t xml:space="preserve">[1.1.1] The &lt;input type='image'&gt; element is missing an 'alt' attribute, leaving the image-based button without a text alternative. Add a descriptive alt attribute to the element, e.g., alt="Search". This provides a text alternative for the image used as a button. || [4.1.2] The &lt;input type='image'&gt; has no accessible name. NVDA did not announce any name or role for this control, making it completely opaque to assistive technology users. Add alt="Search" (or equivalent) to supply an accessible name. Alternatively, use aria-label="Search" or aria-labelledby pointing to a visible label. The 'name' attribute alone is not exposed as an accessible name by browsers. || [1.3.1] Without an accessible name or proper labelling, the programmatic relationship between the image button and its purpose cannot be determined by assistive technologies. Add alt="Search" to convey the button's purpose semantically, ensuring the information and relationship are available programmatically.</t>
  </si>
  <si>
    <t xml:space="preserve">run_nvda_full_audit, detect_keyboard_violations, analyze_heading_structure, validate_form_errors_and_labels</t>
  </si>
  <si>
    <t xml:space="preserve">The page fails on three of the five evaluated WCAG 2.1 Level A criteria. Most critically, the sole interactive element — an &lt;input type='image'&gt; used as a search button — has no 'alt' attribute and no other accessible name mechanism (no aria-label, no aria-labelledby). This simultaneously violates WCAG 1.1.1 (the image content has no text alternative) and WCAG 4.1.2 (the control has no programmatically determinable name, confirmed by NVDA announcing neither name nor role). Additionally, the page lacks any heading structure, violating WCAG 1.3.1 by failing to expose information relationships programmatically. WCAG 2.1.1 (Keyboard) passes because the image input is natively keyboard-focusable, and WCAG 2.4.1 (Bypass Blocks) is inapplicable given the absence of repeated navigation blocks.</t>
  </si>
  <si>
    <t xml:space="preserve">[1.1.1] The &lt;input type='image'&gt; element is missing an 'alt' attribute, leaving its image content without a text alternative. Add a descriptive 'alt' attribute to the element, e.g., alt="Search". This communicates the button's purpose to screen reader users and other assistive technologies. || [4.1.2] The &lt;input type='image'&gt; element has no accessible name. NVDA did not announce any name or role for this control, making it completely opaque to assistive technology users. Provide an accessible name via the 'alt' attribute (e.g., alt="Search"), an 'aria-label' (e.g., aria-label="Search"), or an 'aria-labelledby' referencing visible label text. The 'alt' attribute is the preferred and most semantically correct method for image inputs. || [1.3.1] The page has no heading structure whatsoever (no H1–H6 elements), meaning structural relationships and information hierarchy are not programmatically determinable. Add at least one meaningful heading (e.g., &lt;h1&gt;) to convey the page's primary topic and establish a logical document structure that assistive technologies can navigate.</t>
  </si>
  <si>
    <t xml:space="preserve">The page fails on multiple critical WCAG 2.1 Level A criteria. Most significantly, the sole interactive element — an &lt;input type='image'&gt; used as a search button — has no 'alt' attribute and no other accessible name mechanism (no aria-label, no aria-labelledby). This violates both WCAG 1.1.1 (Non-text Content), because the image has no text alternative, and WCAG 4.1.2 (Name, Role, Value), because assistive technologies such as NVDA cannot announce a name or role for the control. Additionally, the page lacks any heading structure, which is a WCAG 1.3.1 (Info and Relationships) concern. Keyboard access (WCAG 2.1.1) passes since the input is natively focusable, and WCAG 2.4.1 (Bypass Blocks) is inapplicable given the absence of repeated navigation blocks. The primary and most impactful fix is to add alt="Search" (or equivalent descriptive text) to the &lt;input type='image'&gt; element.</t>
  </si>
  <si>
    <t xml:space="preserve">[1.1.1] The &lt;input type='image'&gt; element is missing an 'alt' attribute, leaving its image content without a text alternative for non-sighted users. Add a descriptive 'alt' attribute to the element, e.g., alt="Search". This provides a meaningful text alternative for the image-based button. || [4.1.2] The &lt;input type='image'&gt; element has no accessible name. NVDA did not announce any name or role for this control, making it completely opaque to assistive technology users. Provide an accessible name via the 'alt' attribute (e.g., alt="Search"), or alternatively via aria-label or aria-labelledby. The 'name' attribute alone does not supply an accessible name. || [1.3.1] The page has no heading structure whatsoever (no H1–H6 elements). While this is a minimal page, the absence of any structural markup means relationships and hierarchy cannot be programmatically determined. Add at least one meaningful heading (e.g., &lt;h1&gt;) to convey the page's primary topic and establish a programmatic document structure.</t>
  </si>
  <si>
    <t xml:space="preserve">run_nvda_full_audit, detect_keyboard_violations, analyze_heading_structure</t>
  </si>
  <si>
    <t xml:space="preserve">This minimal page contains only a decorative PDF icon image (alt="") and adjacent visible text 'PDF document'. All five target criteria are either satisfied or inapplicable: (1) WCAG 1.1.1 is met because the image is correctly marked as decorative with an empty alt attribute while the meaningful label is conveyed by the surrounding text; (2) WCAG 1.3.1 is inapplicable as there are no structural or relational semantics to convey beyond the single text node; (3) WCAG 2.1.1 is inapplicable since there are no interactive elements; (4) WCAG 2.4.1 is inapplicable as there are no repeated navigation blocks requiring a bypass mechanism; and (5) WCAG 4.1.2 is inapplicable because no UI components with name, role, or value requirements are present. No violations were detected.</t>
  </si>
  <si>
    <t xml:space="preserve">run_nvda_full_audit, analyze_heading_structure, check_keyboard_navigation, detect_keyboard_violations</t>
  </si>
  <si>
    <t xml:space="preserve">This minimal page contains only a decorative image (correctly marked with alt="") and a short text label 'PDF document'. All five target criteria are either satisfied or inapplicable: the image is properly marked as decorative (WCAG 1.1.1 pass); the simple flat content has no structural relationships to misrepresent (WCAG 1.3.1 pass); there are no interactive elements requiring keyboard access (WCAG 2.1.1 inapplicable); there are no repeated navigation blocks requiring a bypass mechanism (WCAG 2.4.1 inapplicable); and there are no UI components needing name, role, or value exposure (WCAG 4.1.2 inapplicable). The page passes all applicable criteria with no issues detected.</t>
  </si>
  <si>
    <t xml:space="preserve">run_nvda_full_audit, analyze_heading_structure, detect_keyboard_violations</t>
  </si>
  <si>
    <t xml:space="preserve">This minimal page passes all five evaluated WCAG 2.1 criteria. For WCAG 1.1.1 (Non-text Content), the single image is a decorative PDF icon correctly marked with an empty alt attribute (alt=""), which is the proper technique for decorative images — the meaningful text 'PDF document' is provided as adjacent visible text. For WCAG 1.3.1 (Info and Relationships), the page has no structural relationships to convey beyond the image/text pair, which is handled correctly. For WCAG 2.1.1 (Keyboard), there are no interactive elements on the page, so no keyboard access issues exist. For WCAG 2.4.1 (Bypass Blocks), the page contains no repeated navigation blocks, making the criterion inapplicable. For WCAG 4.1.2 (Name, Role, Value), the page is purely static with no interactive widgets requiring ARIA name, role, or value — the image's empty alt correctly signals it as decorative to assistive technologies. No violations were detected across any of the five criteria.</t>
  </si>
  <si>
    <t xml:space="preserve">run_nvda_full_audit, detect_keyboard_violations, analyze_heading_structure, check_keyboard_navigation</t>
  </si>
  <si>
    <t xml:space="preserve">The page fails on three of the five evaluated WCAG 2.1 criteria. The single interactive element — an &lt;input type='image'&gt; — uses aria-labelledby="non-existing", which references a DOM element that does not exist. This broken reference means the control has no computable accessible name, directly violating WCAG 1.1.1 (no text alternative for the image button), WCAG 4.1.2 (no accessible name or role announced by NVDA), and WCAG 1.3.1 (the button's purpose cannot be programmatically determined). WCAG 2.1.1 (Keyboard) passes because the element is natively focusable via Tab. WCAG 2.4.1 (Bypass Blocks) is not applicable as the page contains no repeated navigation blocks. The fix is straightforward: add alt="Search" (or a contextually appropriate label) to the input element, or correct the aria-labelledby reference to point to a real, visible element in the DOM.</t>
  </si>
  <si>
    <t xml:space="preserve">[1.1.1] The &lt;input type='image'&gt; element has no valid accessible name. The aria-labelledby attribute references a non-existent element ID ('non-existing'), and no alt attribute is provided, leaving the image button without any text alternative. Add a valid alt attribute (e.g., alt="Search") to the &lt;input type='image'&gt; element, or fix the aria-labelledby reference to point to an existing element ID that contains a meaningful label. || [4.1.2] The &lt;input type='image'&gt; element has no computable accessible name because aria-labelledby references a non-existent DOM element ('non-existing'). NVDA did not announce any name or role for this control, making it completely opaque to assistive technology users. Ensure the aria-labelledby value matches an existing element ID in the document, or replace it with aria-label="Search" or a proper alt attribute so assistive technologies can compute and announce the control's accessible name and role. || [1.3.1] Because the image button has no accessible name, its purpose and role as a submit button cannot be programmatically determined. The semantic relationship between the visual icon and its function is lost. Provide a meaningful alt attribute (e.g., alt="Search") so the button's purpose is programmatically determinable and conveyed to all users.</t>
  </si>
  <si>
    <t xml:space="preserve">The page fails on three of the five evaluated WCAG 2.1 criteria. Most critically, the sole interactive element — an &lt;input type='image'&gt; — carries an aria-labelledby attribute pointing to a non-existent element ID ('non-existing'). This broken reference means the browser's accessibility tree computes no accessible name for the control, violating both WCAG 1.1.1 (no text alternative for the image-based button) and WCAG 4.1.2 (the control's name and role are not properly exposed to assistive technologies such as NVDA). Additionally, the page provides no bypass mechanism (no skip link, no landmark regions, no headings), which is a WCAG 2.4.1 concern. WCAG 1.3.1 and 2.1.1 are not independently violated beyond what is already captured above — the element is keyboard-focusable and the image input's implicit button role is structurally sound — but the missing accessible name makes the control effectively unusable for screen reader users regardless.</t>
  </si>
  <si>
    <t xml:space="preserve">[1.1.1] The &lt;input type='image'&gt; element has an aria-labelledby attribute that references a non-existent element ID ('non-existing'), resulting in no accessible text alternative being computed. Provide a valid accessible name using one of: (1) an alt attribute (e.g., alt="Search"), (2) a valid aria-labelledby referencing an existing element ID, or (3) an aria-label attribute (e.g., aria-label="Search"). || [4.1.2] The image input control has no computable accessible name because aria-labelledby references a non-existent DOM element ('non-existing'). NVDA announced neither a name nor a role for this control, making it completely opaque to assistive technology users. Fix the broken aria-labelledby reference by pointing it to an existing element ID, or replace it with a direct alt attribute or aria-label so that the control's name and role (button) are properly exposed to the accessibility tree. || [2.4.1] No bypass mechanism (skip link, landmark regions, or headings) is present on the page. While this single-element page has minimal repeated content, best practice is to wrap the main content in a &lt;main&gt; landmark so assistive technology users can navigate directly to it. If the page is part of a larger site with repeated navigation, a skip link is required.</t>
  </si>
  <si>
    <t xml:space="preserve">The page fails on two critical WCAG 2.1 Level A criteria. The sole interactive element — an `&lt;input type="image"&gt;` — uses `aria-labelledby="non-existing"`, which references an ID that does not exist anywhere in the document. This means the accessible name computation yields an empty string, violating WCAG 1.1.1 (no text alternative for the image-based button) and WCAG 4.1.2 (the control has no programmatically determinable name, and NVDA confirmed it announced neither a name nor a role). WCAG 2.1.1 (Keyboard) passes because the element is natively keyboard-focusable. WCAG 2.4.1 (Bypass Blocks) is inapplicable as there are no repeated navigation blocks. WCAG 1.3.1 (Info and Relationships) has no structural violations beyond the missing heading, which is a minor concern for a single-element page. The fix is straightforward: add a meaningful `alt` attribute (e.g., `alt="Search"`) or replace the broken `aria-labelledby` with a valid `aria-label`.</t>
  </si>
  <si>
    <t xml:space="preserve">[1.1.1] The image input has an aria-labelledby attribute that references a non-existent element ID, resulting in no accessible text alternative being computed. Provide a valid text alternative using one of: (1) an `alt` attribute (e.g., `alt="Search"`), (2) a valid `aria-labelledby` referencing an existing element ID, or (3) an `aria-label` attribute (e.g., `aria-label="Search"`). || [4.1.2] The image input has no computable accessible name because `aria-labelledby` references a non-existent ID ('non-existing'). NVDA announced neither a name nor a role for this control, making it unusable for assistive technology users. Fix the accessible name by using `alt="Search"` or `aria-label="Search"`. Ensure the element's role (button) is also correctly exposed by using a proper labelling technique so assistive technologies can announce both the name and role.</t>
  </si>
  <si>
    <t xml:space="preserve">The page contains a single decorative image marked with role='none', which explicitly removes it from the accessibility tree. Under WCAG 1.1.1, decorative images do not require a text alternative when they are correctly identified as presentational — role='none' (or role='presentation') is a recognized sufficient technique for this purpose, equivalent to alt=''. The NVDA audit tool flagged a missing alt attribute, but this is a false positive: the ACT rule for WCAG 1.1.1 (Passed Example 7) explicitly validates this pattern as compliant. WCAG 1.3.1 (Info and Relationships) is inapplicable as there is no structured content. WCAG 2.1.1 (Keyboard) is inapplicable as there are no interactive elements. WCAG 2.4.1 (Bypass Blocks) is inapplicable as there are no repeated navigation blocks. WCAG 4.1.2 (Name, Role, Value) is inapplicable as there are no interactive UI components. The page passes all applicable criteria.</t>
  </si>
  <si>
    <t xml:space="preserve">The page contains a single image marked with role='none', which correctly identifies it as a decorative/presentational image that should be ignored by assistive technologies. Under WCAG 1.1.1, decorative images do not require a text alternative, and using role='none' (equivalent to role='presentation') is a valid and conformant technique for suppressing the image from the accessibility tree. The NVDA tool flagged a missing alt attribute, but this is a tool heuristic false positive that does not account for role='none' as an accepted decorative pattern. WCAG 1.3.1 is inapplicable as there is no meaningful content structure to convey. WCAG 2.1.1, 2.4.1, and 4.1.2 are all inapplicable because the page has no interactive elements, no repeated navigation blocks, and no UI components requiring name/role/value exposure. The page passes all applicable criteria.</t>
  </si>
  <si>
    <t xml:space="preserve">The page contains a single decorative image marked with role="none", which is a valid WCAG/ARIA technique (equivalent to alt="") for removing an image from the accessibility tree. The NVDA audit's alt_missing flag is a false positive — the role="none" attribute correctly suppresses any assistive technology announcement, as confirmed by the null NVDA announcement in the tool output. No interactive elements are present, so WCAG 2.1.1 and 4.1.2 are inapplicable. No repeated navigation blocks exist, so WCAG 2.4.1 is inapplicable. The page fully complies with all five evaluated WCAG 2.1 success criteria.</t>
  </si>
  <si>
    <t xml:space="preserve">The page passes all five applicable WCAG 2.1 criteria. The sole non-text content element — an &lt;object&gt; embedding a W3C logo PNG — is correctly labelled using aria-labelledby referencing a visible &lt;span id='label'&gt;W3C logo&lt;/span&gt;, satisfying WCAG 1.1.1 (Non-text Content) via the valid ARIA10 technique. The label-to-content relationship is programmatically determinable, satisfying WCAG 1.3.1 (Info and Relationships). The page contains no interactive elements, making WCAG 2.1.1 (Keyboard) and WCAG 2.4.1 (Bypass Blocks) inapplicable. The &lt;object&gt; element has a valid accessible name through aria-labelledby, and no custom UI components are present, so WCAG 4.1.2 (Name, Role, Value) is satisfied. The NVDA tool's alt_object flag is a heuristic false positive, as aria-labelledby is a fully conformant labelling mechanism for &lt;object&gt; elements.</t>
  </si>
  <si>
    <t xml:space="preserve">The page presents a single &lt;object&gt; element embedding a W3C logo image. It correctly provides an accessible name via aria-labelledby referencing a visible &lt;span id='label'&gt;W3C logo&lt;/span&gt;, satisfying WCAG 1.1.1 Non-text Content using the ARIA10 technique. The NVDA tool raised a heuristic flag for the absence of an alt attribute on the &lt;object&gt; element, but alt is not a valid attribute for &lt;object&gt;; aria-labelledby is the appropriate and spec-compliant mechanism here, making this a false positive. WCAG 1.3.1 is met because the page has no structural relationships beyond the single labelled object. WCAG 2.1.1, 2.4.1, and 4.1.2 are all inapplicable — there are no interactive elements, no repeated navigation blocks, and no custom widgets. The page passes all five evaluated criteria.</t>
  </si>
  <si>
    <t xml:space="preserve">The page fails primarily on WCAG 1.1.1 (Non-text Content): the &lt;object&gt; element embedding a W3C logo PNG uses aria-labelledby to reference a visible text label, which is a recognized technique (ARIA10), but NVDA was unable to confirm the announcement (nvda_announcement: null), and the element lacks any fallback inner text or title attribute — creating a real-world risk that some assistive technologies will not expose the label. Additionally, the page lacks any landmark regions or heading structure, raising concerns under WCAG 1.3.1 (Info and Relationships) and WCAG 2.4.1 (Bypass Blocks). WCAG 2.1.1 (Keyboard) and 4.1.2 (Name, Role, Value) are inapplicable as there are no interactive elements. The most critical fix is to add robust fallback text inside the &lt;object&gt; element and supplement with a title attribute, alongside wrapping content in a &lt;main&gt; landmark.</t>
  </si>
  <si>
    <t xml:space="preserve">[1.1.1] The &lt;object&gt; element embedding a PNG image uses aria-labelledby to reference a visible text label, which is a valid WCAG technique (ARIA10). However, the NVDA audit's static rule engine flagged it under 'alt_object' because it lacks a traditional fallback text alternative (e.g., a title attribute or inner text content). While aria-labelledby is a recognized mechanism, the &lt;object&gt; element has no inner fallback content and no title attribute, creating a risk that assistive technologies which do not fully support aria-labelledby on &lt;object&gt; elements will fail to announce the label. Supplement aria-labelledby with a title attribute (title="W3C logo") and/or include fallback inner text content inside the &lt;object&gt; element (e.g., &lt;object ...&gt;W3C logo&lt;/object&gt;) to ensure broad assistive technology support. This satisfies WCAG Technique H53 alongside ARIA10. || [1.3.1] The page has no heading structure whatsoever (no &lt;h1&gt;–&lt;h6&gt; elements). While this minimal page may not strictly require headings, the absence of any structural semantics — combined with no landmarks (no &lt;main&gt;, &lt;nav&gt;, &lt;header&gt;, &lt;footer&gt;) — means relationships and structure are not conveyed programmatically. Wrap the page content in a &lt;main&gt; landmark element to convey the primary content region. If the page grows to include multiple sections, add appropriate heading levels (starting with &lt;h1&gt;) to communicate structure programmatically. || [2.4.1] No skip navigation mechanism is present (no skip link, no landmark regions). While the page is currently minimal, the absence of a &lt;main&gt; landmark means there is no programmatic way to bypass any repeated blocks should the page be part of a larger site. Add a &lt;main&gt; landmark to wrap the primary content. If this page is part of a site with repeated navigation, add a skip link as the first focusable element (e.g., &lt;a href="#main-content" class="skip-link"&gt;Skip to main content&lt;/a&gt;).</t>
  </si>
  <si>
    <t xml:space="preserve">This page contains only a bare SVG circle element with no text, no interactive controls, no navigation, no forms, no images with alt attributes, and no ARIA widgets. All five target criteria — WCAG 1.1.1 (Non-text Content), 1.3.1 (Info and Relationships), 2.1.1 (Keyboard), 2.4.1 (Bypass Blocks), and 4.1.2 (Name, Role, Value) — are inapplicable. The SVG element carries no semantic role, conveys no information requiring a text alternative, and provides no interactive functionality. There is nothing on this page that any of the five criteria are designed to govern, so no pass or fail verdict can be rendered.</t>
  </si>
  <si>
    <t xml:space="preserve">This page contains only a decorative inline SVG circle with no text, no interactive elements, no navigation blocks, no form controls, and no ARIA widgets. All five target criteria are inapplicable: (1.1.1) The SVG has no role, label, or alt text, but it carries no meaningful information and functions purely as decoration — no text alternative is required; (1.3.1) There are no structural relationships, tables, lists, or form fields to convey; (2.1.1) There are zero focusable or interactive elements, so keyboard operability is not at issue; (2.4.1) There are no repeated navigation blocks that would require a bypass mechanism; (4.1.2) There are no interactive UI components whose name, role, or value need to be programmatically determinable. The page passes trivially because none of the five criteria have anything to evaluate.</t>
  </si>
  <si>
    <t xml:space="preserve">The page fails WCAG 1.1.1 Non-text Content. It contains a single inline SVG circle with no accessible name (no &lt;title&gt;, aria-label, or aria-labelledby) and no aria-hidden="true" to mark it as decorative. This means screen readers may encounter the SVG element and announce it without any meaningful description. All other evaluated criteria — 1.3.1, 2.1.1, 2.4.1, and 4.1.2 — are inapplicable because the page contains no structured content, no interactive elements, and no repeated navigation blocks.</t>
  </si>
  <si>
    <t xml:space="preserve">[1.1.1] The inline SVG element has no accessible name and is not marked as decorative. Assistive technologies may attempt to announce it with no meaningful label, providing no useful information to users. If the SVG is purely decorative, add aria-hidden="true" to suppress it from the accessibility tree (e.g., &lt;svg aria-hidden="true" ...&gt;). If it conveys meaning, add role="img" and an accessible name via aria-label or an embedded &lt;title&gt; element (e.g., &lt;title&gt;Yellow circle&lt;/title&gt;).</t>
  </si>
  <si>
    <t xml:space="preserve">The page fails on two criteria. First, under WCAG 4.1.2 (Name, Role, Value), the `&lt;ol role='tablist'&gt;` widget is malformed: the ARIA specification requires that a tablist contain descendants with role='tab', but the sole child retains role='listitem', which is not a valid owned role for a tablist. This means assistive technologies will encounter a tablist with no tabs — an invalid and confusing widget state. Second, under WCAG 1.3.1 (Info and Relationships), the programmatic structure is broken: the parent-child role relationship is semantically incoherent (tablist → listitem), so the information and relationships conveyed visually cannot be determined programmatically. WCAG 1.1.1, 2.1.1, and 2.4.1 are not applicable to this page, as it contains no images, no interactive/focusable elements, and no repeated navigation blocks requiring bypass.</t>
  </si>
  <si>
    <t xml:space="preserve">[4.1.2] The `&lt;ol&gt;` element has been assigned role='tablist', but its child `&lt;li&gt;` retains role='listitem' instead of the required role='tab'. A tablist widget MUST contain tab-role descendants. Change the child element's role to 'tab' (i.e., role="tab") so the required owned-element relationship for the tablist widget is satisfied. Per the ARIA spec, a tablist must own at least one element with role='tab'. || [1.3.1] The native list semantics of `&lt;ol&gt;` are overridden with role='tablist', while the `&lt;li&gt;` child retains its native role='listitem'. This creates a broken and misleading structure: the element is announced as a tablist but contains no tabs, destroying the programmatic relationship between the container and its items. Either (a) use a proper tablist pattern with role='tablist' on the container and role='tab' on each child, or (b) remove the ARIA overrides and use the native `&lt;ol&gt;`/`&lt;li&gt;` list structure. Do not mix incompatible roles between parent and child.</t>
  </si>
  <si>
    <t xml:space="preserve">The page fails on three of the five evaluated WCAG criteria. The core problem is a single, critically malformed ARIA widget: an &lt;ol&gt; element is assigned role='tablist', but its only child &lt;li&gt; retains role='listitem' instead of the required role='tab'. This single error cascades into multiple violations: (1) WCAG 1.3.1 — the semantic relationship between the container and its items is broken because the native list structure is overridden with an incompatible ARIA role; (2) WCAG 4.1.2 — the tablist widget lacks its required owned 'tab' children, making the role, name, and value of the widget indeterminate for assistive technologies; and (3) WCAG 2.1.1 — without valid tab children, the mandatory keyboard interaction model for a tablist cannot function. WCAG 1.1.1 and 2.4.1 are inapplicable as the page contains no images and no repeated navigation blocks.</t>
  </si>
  <si>
    <t xml:space="preserve">[1.3.1] Conflicting ARIA roles break the semantic structure: an &lt;ol&gt; is given role='tablist', but its child &lt;li&gt; retains role='listitem'. A tablist requires children with role='tab', not 'listitem'. This creates a mismatch between the native list semantics and the overridden ARIA role, destroying the meaningful relationship between the container and its items. If a tablist widget is intended, replace &lt;ol&gt;/&lt;li&gt; with semantically neutral elements (e.g., &lt;div&gt;/&lt;button&gt;) and assign role='tablist' to the container and role='tab' to each child. If a plain ordered list is intended, remove the ARIA role overrides entirely. || [4.1.2] The ARIA tablist widget is missing its required owned element with role='tab'. The WAI-ARIA specification mandates that a tablist must contain at least one tab child. Using role='listitem' inside a tablist violates the required parent-child role relationship, making the widget's name, role, and structure unparseable by assistive technologies. Ensure every direct child of an element with role='tablist' has role='tab'. For example: &lt;div role='tablist'&gt;&lt;button role='tab'&gt;Item 1&lt;/button&gt;&lt;/div&gt;. This satisfies the required ownership relationship defined by WAI-ARIA. || [2.1.1] The tablist ARIA widget is missing required descendant elements with role='tab'. Without proper tab children, the keyboard interaction pattern for a tablist (Arrow keys to move between tabs) cannot be implemented, leaving the widget inaccessible via keyboard. Add child elements with role='tab' inside the tablist and implement the required keyboard interactions (Left/Right Arrow keys to navigate between tabs, Enter/Space to activate) as specified by the ARIA Authoring Practices Guide.</t>
  </si>
  <si>
    <t xml:space="preserve">The page fails on WCAG 1.3.1 (Info and Relationships) and WCAG 4.1.2 (Name, Role, Value). The core problem is a conflicting ARIA role assignment: the &lt;ol&gt; is given role='tablist', which overrides its native list semantics, but its child &lt;li&gt; keeps role='listitem' — a role that is not a valid owned child of tablist. The ARIA specification requires that a tablist contain elements with role='tab'. This mismatch means the programmatic structure conveyed to assistive technologies is invalid and misleading. WCAG 1.1.1 is not applicable (no images), WCAG 2.1.1 is not applicable (no interactive/focusable elements), and WCAG 2.4.1 is not applicable (no repeated navigation blocks). The severity is rated 'serious' because the broken ARIA ownership directly prevents screen reader users from understanding or interacting with the intended widget.</t>
  </si>
  <si>
    <t xml:space="preserve">[1.3.1] The &lt;ol&gt; element has been assigned role='tablist', but its child &lt;li&gt; retains role='listitem' instead of the required role='tab'. This breaks the required ARIA ownership relationship: a tablist must contain tab elements, not listitem elements. Either (a) remove the role='tablist' from &lt;ol&gt; and keep the native list semantics, or (b) if a tab widget is intended, change the child &lt;li&gt; to role='tab' and ensure the tablist/tab/tabpanel pattern is fully implemented with proper keyboard interaction (arrow keys, aria-selected, associated tabpanels). || [4.1.2] The ARIA tablist widget is missing its required owned element role 'tab'. Per the ARIA specification, an element with role='tablist' must contain children with role='tab'. Using role='listitem' inside a tablist is invalid and will cause assistive technologies to misrepresent or ignore the widget's structure. Replace role='listitem' on the &lt;li&gt; with role='tab', add aria-selected='true/false' to each tab, and pair each tab with a corresponding &lt;div role='tabpanel'&gt;. Ensure keyboard navigation follows the ARIA Authoring Practices Guide (APG) tab pattern (arrow keys to move between tabs, Tab to move into the panel).</t>
  </si>
  <si>
    <t xml:space="preserve">None of the five target WCAG criteria apply to this page. The page contains only a layout table (role='presentation') with plain text cells and no interactive elements, images, or non-text content. WCAG 1.1.1 (Non-text Content) is inapplicable because there are no images, icons, or other non-text elements. WCAG 1.3.1 (Info and Relationships) is inapplicable because the table carries role='presentation', explicitly removing its semantic table structure from the accessibility tree — the headers/id attributes on the cells are therefore inert and no data relationships are being conveyed programmatically. WCAG 2.1.1 (Keyboard) is inapplicable because there are zero interactive elements on the page. WCAG 2.4.1 (Bypass Blocks) is inapplicable because there are no repeated navigation blocks that would need to be bypassed. WCAG 4.1.2 (Name, Role, Value) is inapplicable because the page is entirely static with no widgets, controls, or interactive components requiring name/role/value exposure. The page passes all five criteria by virtue of non-applicability.</t>
  </si>
  <si>
    <t xml:space="preserve">None of the five target WCAG 2.1 criteria apply to this page. The page contains only a static layout table (role='presentation') with plain text cells and no images, interactive elements, form controls, or repeated navigation blocks. WCAG 1.1.1 (Non-text Content) is inapplicable because there are no images, icons, or other non-text content. WCAG 1.3.1 (Info and Relationships) is inapplicable because the table carries role='presentation', explicitly removing any data-table semantics from the accessibility tree, and there are no other structural relationships to convey. WCAG 2.1.1 (Keyboard) is inapplicable because the page has zero interactive or focusable elements. WCAG 2.4.1 (Bypass Blocks) is inapplicable because there are no repeated navigation blocks that would need to be bypassed. WCAG 4.1.2 (Name, Role, Value) is inapplicable because there are no interactive UI components requiring programmatic name, role, or value. The page is purely static text content and passes all five criteria by inapplicability.</t>
  </si>
  <si>
    <t xml:space="preserve">run_nvda_full_audit, detect_keyboard_violations, analyze_heading_structure, check_keyboard_focusables</t>
  </si>
  <si>
    <t xml:space="preserve">None of the five target WCAG criteria apply to this page. The page contains a single layout table (role='presentation') with plain text cells and no interactive elements, images, or non-text content. WCAG 1.1.1 (Non-text Content) is inapplicable because there are no images, icons, or other non-text content. WCAG 1.3.1 (Info and Relationships) is inapplicable because the table carries role='presentation', explicitly removing its semantic table structure from the accessibility tree — the headers/id attributes on the cells are therefore inert and no data relationships are being conveyed programmatically. WCAG 2.1.1 (Keyboard) is inapplicable because there are zero interactive or focusable elements. WCAG 2.4.1 (Bypass Blocks) is inapplicable because there are no repeated navigation blocks that would need to be bypassed. WCAG 4.1.2 (Name, Role, Value) is inapplicable because there are no interactive UI components whose name, role, or value need to be exposed. The page is purely static, presentational content with no accessibility violations under the evaluated criteria.</t>
  </si>
  <si>
    <t xml:space="preserve">None of the five target WCAG criteria apply to this page. The page contains only a static layout table (role='presentation') with plain text content — no images or non-text content (1.1.1 N/A), no data relationships or semantic structure beyond plain text (1.3.1 N/A since the table is explicitly marked as presentational, stripping its data-table semantics), no interactive or focusable elements (2.1.1 N/A), no repeated navigation blocks requiring a bypass mechanism (2.4.1 N/A), and no interactive UI components with name/role/value requirements (4.1.2 N/A). The use of role='presentation' on the &lt;table&gt; is intentional and correct here — it suppresses the native table semantics, which is appropriate for a purely layout/presentational table. All tools confirmed inapplicable or passing status across every criterion.</t>
  </si>
  <si>
    <t xml:space="preserve">This page contains a single static layout table (role='presentation') with no images, no interactive elements, no navigation blocks, and no custom widgets. All five target criteria are inapplicable: WCAG 1.1.1 does not apply because there is no non-text content (no images, icons, or media); WCAG 1.3.1 does not apply because the table carries role='presentation', explicitly stripping it of any data-table semantics, and the remaining content is plain static text; WCAG 2.1.1 does not apply because there are no keyboard-operable or interactive elements on the page; WCAG 2.4.1 does not apply because there are no repeated navigation blocks that would require a bypass mechanism; and WCAG 4.1.2 does not apply because there are no form controls, custom widgets, or other interactive UI components whose name, role, or value need to be programmatically exposed. The NVDA audit, keyboard violation detector, and heading/structure analyzer all confirmed the absence of any applicable content, returning N/A or PASS verdicts across the board.</t>
  </si>
  <si>
    <t xml:space="preserve">None of the five target WCAG 2.1 criteria apply to this page. The page contains only a static layout table (role='presentation') with plain text cells — no images or non-text content (1.1.1 N/A), no interactive or programmatic relationships beyond plain text (1.3.1 N/A), no interactive or focusable elements (2.1.1 N/A), no repeated navigation blocks requiring a bypass mechanism (2.4.1 N/A), and no interactive widgets, form controls, or custom ARIA components (4.1.2 N/A). The use of role='presentation' on the &lt;table&gt; correctly strips its native table semantics, which is appropriate since the table is used purely for layout. All tools confirmed inapplicability across every criterion.</t>
  </si>
  <si>
    <t xml:space="preserve">The page fails on multiple Level A criteria. Under WCAG 1.3.1 (Info and Relationships), the list structure is semantically broken: a native &lt;li&gt; element is placed inside a &lt;div role="list"&gt; (an invalid HTML ownership), and the second list item uses &lt;span role="link"&gt; — which is not a listitem role — creating a structurally incoherent list that assistive technologies cannot accurately convey. Under WCAG 2.1.1 (Keyboard), the &lt;span role="link"&gt; element has no tabindex and no keyboard handlers, making it completely inaccessible to keyboard-only users. Under WCAG 4.1.2 (Name, Role, Value), the link role is declared on a non-focusable, non-operable element, meaning the role's interactive contract is not fulfilled. WCAG 1.1.1 and 2.4.1 are not applicable to this page as there are no images and no repeated navigation blocks.</t>
  </si>
  <si>
    <t xml:space="preserve">[1.3.1] A &lt;li&gt; element is used outside of a valid list container. The parent is a &lt;div role="list"&gt;, but &lt;li&gt; is a native HTML element that requires a &lt;ul&gt; or &lt;ol&gt; parent. This creates an invalid ownership relationship that misrepresents structure to assistive technologies. Either replace &lt;li&gt; with &lt;div role="listitem"&gt; to match the ARIA list container, or replace the parent &lt;div role="list"&gt; with a native &lt;ul&gt; or &lt;ol&gt; element and keep the &lt;li&gt; children. || [1.3.1] The list contains two items but they use inconsistent and semantically mismatched markup: one is a native &lt;li&gt; (listitem) and the other is a &lt;span role="link"&gt; — which is not a listitem role at all. The list structure is therefore not accurately conveyed to assistive technologies. Ensure all children of a list container carry the role="listitem" (or are native &lt;li&gt; elements inside &lt;ul&gt;/&lt;ol&gt;). If Item 2 is a link, wrap it: &lt;div role="listitem"&gt;&lt;span role="link" tabindex="0"&gt;Item 2&lt;/span&gt;&lt;/div&gt;. || [2.1.1] &lt;span role="link"&gt; is not keyboard-focusable. A non-native element given an interactive ARIA role must also have tabindex="0" and keyboard event handlers to be operable via keyboard. Add tabindex="0" to the &lt;span role="link"&gt; and attach keydown/keyup handlers for Enter and Space so keyboard users can activate it. Alternatively, replace it with a native &lt;a href="..."&gt; element. || [4.1.2] &lt;span role="link"&gt; lacks keyboard operability, which means its role as an interactive control is not fully honoured. While the accessible name is present ("Item 2"), the element cannot be reached or activated by keyboard, making its role declaration misleading and non-functional for assistive technology users. Add tabindex="0" and keyboard event handlers, or replace with a native &lt;a&gt; element so that the declared role, name, and interactive value are all properly exposed and operable.</t>
  </si>
  <si>
    <t xml:space="preserve">The page fails on multiple WCAG 2.1 Level A criteria. For WCAG 1.3.1 (Info and Relationships), the markup contains invalid structural relationships: a native &lt;li&gt; element is placed inside a &lt;div role="list"&gt; (which violates the required native parent–child pairing), and a &lt;span role="link"&gt; is used directly as a list child without role="listitem", breaking the ARIA ownership model. For WCAG 2.1.1 (Keyboard), the &lt;span role="link"&gt; has no tabindex and no keyboard event handler, making it completely inaccessible to keyboard-only users. For WCAG 4.1.2 (Name, Role, Value), while the element has an accessible name via its text content, the link role is improperly implemented — it is not keyboard-operable, which is a core behavioral requirement of the link role. WCAG 1.1.1 (Non-text Content) and WCAG 2.4.1 (Bypass Blocks) are not applicable to this page as it contains no images and no repeated navigation blocks.</t>
  </si>
  <si>
    <t xml:space="preserve">[1.3.1] A &lt;li&gt; element is used outside of a valid list container. The parent is a &lt;div role="list"&gt;, but &lt;li&gt; is a native HTML element that requires a native &lt;ul&gt; or &lt;ol&gt; parent. This creates an invalid ownership relationship that misrepresents structure to assistive technologies. Replace the &lt;div role="list"&gt; with a native &lt;ul&gt; or &lt;ol&gt; element, and ensure all children are &lt;li&gt; elements. Alternatively, replace &lt;li&gt; with &lt;div role="listitem"&gt; to match the ARIA role="list" parent. || [1.3.1] A &lt;span role="link"&gt; is used as a list item inside a role="list" container, but it lacks the required role="listitem". The ARIA spec requires that children of a list role be listitem elements. This breaks the required parent–child ownership relationship. Wrap the &lt;span role="link"&gt; in a &lt;div role="listitem"&gt; or &lt;li&gt; element, or restructure using native &lt;ul&gt;/&lt;ol&gt; with &lt;li&gt; children. || [2.1.1] &lt;span role="link"&gt; is not keyboard-focusable. A non-native element assigned role="link" must have tabindex="0" to be reachable via keyboard, and must have a keyboard event handler (e.g., Enter key) to be operable. Add tabindex="0" to the &lt;span role="link"&gt; and attach a keydown/keyup event listener that triggers the link action on Enter (and optionally Space). Better yet, use a native &lt;a href="..."&gt; element. || [4.1.2] The &lt;span role="link"&gt; element lacks an href attribute and keyboard operability, making it an incomplete implementation of the link role. While it has an accessible name (its text content), it cannot be activated via keyboard, violating the "Value" (state/property) requirement for interactive widgets. Use a native &lt;a href="..."&gt; element instead, which natively provides the correct role, name, and keyboard operability. If a &lt;span&gt; must be used, add tabindex="0", a keyboard event handler, and ensure it behaves like a link.</t>
  </si>
  <si>
    <t xml:space="preserve">The page fails on three of the five evaluated WCAG 2.1 criteria. For WCAG 1.3.1 (Info and Relationships), the markup contains two structural violations: a native &lt;li&gt; element placed inside a &lt;div role="list"&gt; (invalid HTML ownership) and a &lt;span role="link"&gt; used as a direct child of the list without the required role="listitem" wrapper, both of which corrupt the semantic structure exposed to assistive technologies. For WCAG 2.1.1 (Keyboard), the &lt;span role="link"&gt; has no tabindex="0" and no keyboard event handler, making it completely unreachable and inoperable for keyboard-only users. For WCAG 4.1.2 (Name, Role, Value), while the accessible name 'Item 2' is technically present, the element's role is improperly structured within the list and it has no programmatic value (no href/action), preventing assistive technologies from fully conveying its purpose. WCAG 1.1.1 (Non-text Content) and WCAG 2.4.1 (Bypass Blocks) are not applicable to this page as it contains no images and no repeated navigation blocks.</t>
  </si>
  <si>
    <t xml:space="preserve">[1.3.1] A &lt;li&gt; element is used outside of a valid list container. The parent is a &lt;div role="list"&gt;, but &lt;li&gt; is a native HTML element that requires a native &lt;ul&gt; or &lt;ol&gt; parent. This creates an invalid ownership relationship that misrepresents the structure to assistive technologies. Replace the &lt;div role="list"&gt; with a native &lt;ul&gt; or &lt;ol&gt; element, and ensure all children are &lt;li&gt; elements. Alternatively, replace &lt;li&gt; with &lt;div role="listitem"&gt; or &lt;span role="listitem"&gt; to match the ARIA role of the parent. || [1.3.1] The list contains a &lt;span role="link"&gt; as a direct child of &lt;div role="list"&gt;, but it does not carry role="listitem". ARIA list ownership rules require all children of a role="list" to have role="listitem". A role="link" child violates the required parent–child relationship, breaking the semantic structure. Wrap the &lt;span role="link"&gt; in a &lt;li&gt; or &lt;span role="listitem"&gt;, so the list's ownership structure is valid: &lt;div role="list"&gt;&lt;span role="listitem"&gt;&lt;span role="link"&gt;Item 2&lt;/span&gt;&lt;/span&gt;&lt;/div&gt;. || [2.1.1] &lt;span role="link"&gt; is not keyboard-focusable. A non-native element given an interactive ARIA role must also be made focusable via tabindex="0" and must respond to keyboard activation (Enter key), otherwise keyboard-only users cannot reach or activate it. Add tabindex="0" to the &lt;span role="link"&gt; and attach a keydown event listener that triggers the link action on Enter (and optionally Space), e.g.: &lt;span role="link" tabindex="0" onkeydown="..."&gt;Item 2&lt;/span&gt;. Better yet, use a native &lt;a href="..."&gt; element. || [4.1.2] &lt;span role="link"&gt; lacks an href or any programmatic action, meaning its "value" (destination/action) cannot be determined by assistive technologies. Additionally, the invalid list ownership structure means the roles of the list items are not correctly exposed to the accessibility tree. Use a native &lt;a href="url"&gt;Item 2&lt;/a&gt; element, which natively provides name, role, and value. If a custom element must be used, ensure tabindex="...</t>
  </si>
  <si>
    <t xml:space="preserve">The page passes all five evaluated WCAG 2.1 criteria. (1) WCAG 1.1.1 Non-text Content: No images or non-text elements are present, so the criterion is inapplicable — no violations possible. (2) WCAG 1.3.1 Info and Relationships: The data table is correctly structured with &lt;thead&gt;/&lt;tbody&gt;, column headers use &lt;th&gt; elements with explicit id attributes ('header1', 'header2'), and the spanning data cell uses the 'headers' attribute to reference both — correctly conveying the programmatic relationship between the merged cell and its two column headers. (3) WCAG 2.1.1 Keyboard: No interactive elements exist on the page; the tool confirmed zero mouse-only interactives or ARIA widget issues. (4) WCAG 2.4.1 Bypass Blocks: The page contains no repeated navigation blocks, so no skip mechanism is required — the criterion is inapplicable. (5) WCAG 4.1.2 Name, Role, Value: The page is purely static with no interactive UI components, so no name/role/value assignments are needed. The table markup itself is semantically valid and correctly exposes relationships to assistive technologies such as screen readers.</t>
  </si>
  <si>
    <t xml:space="preserve">The page passes all applicable WCAG 2.1 criteria. It contains a single data table with two column headers ('Projects' and 'Exams') marked up using &lt;th&gt; elements with unique id attributes, and a spanning data cell (&lt;td colspan='2' headers='header1 header2'&gt;) that explicitly associates itself with both headers. This correctly satisfies WCAG 1.3.1 (Info and Relationships) by making the table structure programmatically determinable. WCAG 1.1.1 is inapplicable (no non-text content), WCAG 2.1.1 is inapplicable (no interactive elements), WCAG 2.4.1 is inapplicable (no repeated navigation blocks), and WCAG 4.1.2 is inapplicable (no interactive UI components). No violations were detected.</t>
  </si>
  <si>
    <t xml:space="preserve">The page passes all applicable WCAG 2.1 criteria under evaluation. It contains a simple data table that correctly uses semantic HTML: &lt;thead&gt; and &lt;tbody&gt; sections, &lt;th&gt; elements with unique id attributes ('header1', 'header2'), and a spanning &lt;td&gt; that explicitly references both headers via the 'headers' attribute — satisfying WCAG 1.3.1 (Info and Relationships). There are no images, so WCAG 1.1.1 is inapplicable. There are no interactive elements, so WCAG 2.1.1 (Keyboard) and WCAG 4.1.2 (Name, Role, Value) are effectively inapplicable with no violations. There are no repeated navigation blocks, so WCAG 2.4.1 (Bypass Blocks) is also inapplicable. No issues were identified across any of the five target criteria.</t>
  </si>
  <si>
    <t xml:space="preserve">The page passes all five evaluated WCAG 2.1 criteria. WCAG 1.1.1 (Non-text Content) is inapplicable — there are no images or non-text elements present. WCAG 1.3.1 (Info and Relationships) is satisfied: the page uses a valid ARIA pattern where a `&lt;div role='list'&gt;` host element contains Shadow DOM children with `role='listitem'`, correctly conveying the list structure and parent-child relationship to assistive technologies. WCAG 2.1.1 (Keyboard) is inapplicable — the page contains no interactive elements, so no keyboard operability is required. WCAG 2.4.1 (Bypass Blocks) is inapplicable — there are no repeated navigation blocks that would require a skip mechanism. WCAG 4.1.2 (Name, Role, Value) is satisfied — the ARIA roles (`list` and `listitem`) are valid, well-formed, and correctly nested within the Shadow DOM; no interactive widgets are present that would require additional name or state attributes. No violations were detected across any of the five criteria.</t>
  </si>
  <si>
    <t xml:space="preserve">The page passes all five evaluated WCAG 2.1 criteria. WCAG 1.1.1 (Non-text Content) is inapplicable — there are no images, icons, or other non-text content requiring alternative text. WCAG 1.3.1 (Info and Relationships) is satisfied: the page uses a valid ARIA pattern where a `&lt;div role='list'&gt;` acts as the Shadow DOM host, and its shadow root contains `&lt;div role='listitem'&gt;` children — correctly conveying the list structure and parent–child relationship programmatically. WCAG 2.1.1 (Keyboard) is inapplicable — the page contains no interactive elements, so no keyboard operability is required. WCAG 2.4.1 (Bypass Blocks) is inapplicable — there are no repeated navigation blocks that would require a skip mechanism. WCAG 4.1.2 (Name, Role, Value) is satisfied — the ARIA roles (`list` and `listitem`) are valid, well-matched, and correctly nested within the Shadow DOM, ensuring assistive technologies can parse the widget's role and structure. No violations were detected across any criterion.</t>
  </si>
  <si>
    <t xml:space="preserve">The page passes all five evaluated WCAG 2.1 criteria. For WCAG 1.1.1 (Non-text Content), no images or non-text content are present, so the criterion is inapplicable. For WCAG 1.3.1 (Info and Relationships), the page correctly uses ARIA roles to convey structure: the host `&lt;div&gt;` carries `role="list"`, and its Shadow DOM children carry `role="listitem"` — this is a valid and well-formed ARIA list pattern that programmatically exposes the parent–child relationship to assistive technologies. For WCAG 2.1.1 (Keyboard), there are no interactive elements on the page, so no keyboard operability is required and no violations were found. For WCAG 2.4.1 (Bypass Blocks), the page contains no repeated navigation blocks, making a skip mechanism unnecessary and the criterion inapplicable. For WCAG 4.1.2 (Name, Role, Value), the ARIA roles used (`list` and `listitem`) are valid, well-supported roles from the ARIA specification; the list items contain meaningful text content ('List item 1', 'List item 2'), and no interactive widgets are present that would require additional name, role, or value attributes. The use of Shadow DOM does not introduce any accessibility violations in this context.</t>
  </si>
  <si>
    <t xml:space="preserve">All five target WCAG criteria are inapplicable to this page. The body contains a single &lt;iframe&gt; element that is both hidden (via the HTML 'hidden' attribute) and excluded from the tab order (via tabindex="-1"). Because the iframe is hidden, its srcdoc content — a link to '/' — is not rendered, not exposed to assistive technologies, and not reachable by keyboard. The page presents no visible content, no non-text elements, no structural relationships, no interactive components, and no repeated navigation blocks. WCAG 1.1.1, 1.3.1, 2.1.1, 2.4.1, and 4.1.2 therefore have nothing to evaluate, and the correct verdict is 'inapplicable'.</t>
  </si>
  <si>
    <t xml:space="preserve">All five target WCAG criteria are inapplicable to this page. The body contains a single &lt;iframe&gt; element marked as 'hidden' with 'tabindex="-1"', which removes it entirely from both the visual rendering and the accessibility tree. Its srcdoc content (a link) is never exposed to users or assistive technologies. As a result: there is no non-text content (1.1.1 N/A), no meaningful structure or relationships to convey (1.3.1 N/A), no keyboard-operable interactive elements (2.1.1 N/A), no repeated blocks of content requiring a bypass mechanism (2.4.1 N/A), and no UI components whose name, role, or value need to be programmatically determined (4.1.2 N/A). The page is effectively empty from an accessibility evaluation standpoint.</t>
  </si>
  <si>
    <t xml:space="preserve">All five target WCAG criteria are inapplicable to this page. The page body contains only a single &lt;iframe&gt; element that is both hidden (via the HTML 'hidden' attribute) and explicitly removed from the tab order (via tabindex='-1'). Because the iframe is hidden, it is entirely absent from the accessibility tree and not rendered to any user or assistive technology. The srcdoc link inside the iframe is therefore never exposed. There is no visible non-text content (1.1.1), no perceivable structure or relationships (1.3.1), no keyboard-operable interactive elements (2.1.1), no repeated navigation blocks requiring a bypass mechanism (2.4.1), and no UI components requiring name, role, or value exposure (4.1.2). The page is effectively empty from an accessibility perspective, making all five criteria inapplicable.</t>
  </si>
  <si>
    <t xml:space="preserve">run_nvda_full_audit, check_keyboard_navigation, analyze_heading_structure, detect_keyboard_violations</t>
  </si>
  <si>
    <t xml:space="preserve">All five target WCAG criteria are inapplicable to this page. The page contains a single &lt;iframe&gt; element marked with both tabindex='-1' (removing it from tab order) and the 'inert' attribute (suppressing all interaction and assistive technology exposure for the iframe and its subtree, including the anchor link within srcdoc). As a result: WCAG 1.1.1 is inapplicable because there is no non-text content exposed to users; WCAG 1.3.1 is inapplicable because there are no meaningful structures, relationships, or content to convey; WCAG 2.1.1 is inapplicable because there are zero keyboard-reachable or user-operable interactive elements; WCAG 2.4.1 is inapplicable because there are no repeated blocks of content to bypass; and WCAG 4.1.2 is inapplicable because there are no user interface components with name, role, or value requirements exposed to the accessibility tree. The page is effectively empty from both a user and assistive technology perspective.</t>
  </si>
  <si>
    <t xml:space="preserve">run_nvda_full_audit, detect_keyboard_violations, check_keyboard_navigation, analyze_heading_structure</t>
  </si>
  <si>
    <t xml:space="preserve">All five target WCAG criteria are inapplicable to this page. The page body contains only a single &lt;iframe&gt; element that is doubly excluded from interaction: its tabindex="-1" removes it from the tab order, and the inert attribute suppresses all interactivity and assistive-technology exposure for both the iframe itself and its srcdoc content (a lone anchor link). There are no images (1.1.1), no semantic structures or relationships (1.3.1), no keyboard-operable interactive elements (2.1.1), no repeated navigation blocks requiring a bypass mechanism (2.4.1), and no custom UI components requiring name/role/value markup (4.1.2). Tool results unanimously confirm inapplicability across all criteria.</t>
  </si>
  <si>
    <t xml:space="preserve">All five target WCAG criteria are inapplicable to this page. The page body contains only a single &lt;iframe tabindex='-1' inert&gt; element. The tabindex='-1' attribute removes the iframe from the sequential tab order, and the inert attribute makes the iframe and all its contents (including the embedded anchor link) completely non-interactive and hidden from assistive technologies. As a result: there is no non-text content (1.1.1 N/A), no programmatic structure or relationships to convey (1.3.1 N/A), no keyboard-operable functionality (2.1.1 N/A), no repeated blocks of content requiring a bypass mechanism (2.4.1 N/A), and no interactive UI components requiring a name, role, or value (4.1.2 N/A). The page is effectively empty from both a user and assistive technology perspective.</t>
  </si>
  <si>
    <t xml:space="preserve">The page fails WCAG 4.1.2 (Name, Role, Value) because the sole &lt;iframe&gt; element lacks a title attribute. Screen readers rely on the title attribute to announce the purpose of an iframe to users; without it, the frame is presented with no accessible name, leaving assistive technology users unable to understand what the frame contains before entering it. All other evaluated criteria (1.1.1, 1.3.1, 2.1.1, and 2.4.1) are either not applicable to this minimal page or are satisfied by the native semantics of the elements used.</t>
  </si>
  <si>
    <t xml:space="preserve">[4.1.2] The &lt;iframe&gt; element is missing a title attribute, so assistive technologies cannot identify its purpose or content. Add a descriptive title attribute to the iframe, e.g., &lt;iframe title="Site navigation" srcdoc="..."&gt;&lt;/iframe&gt;, so screen readers can announce the frame's purpose when users navigate to or into it.</t>
  </si>
  <si>
    <t xml:space="preserve">The page fails primarily on WCAG 4.1.2 (Name, Role, Value) because the &lt;iframe&gt; element has no title attribute, leaving it without an accessible name for screen reader users. All other applicable criteria pass or are not applicable: there is no non-text content (1.1.1 N/A), the minimal page content does not require structural relationships beyond what native HTML provides (1.3.1 passes), keyboard access works correctly via native elements (2.1.1 passes), and there are no repeated blocks requiring a bypass mechanism (2.4.1 N/A). Adding a title attribute to the &lt;iframe&gt; would resolve the single identified violation.</t>
  </si>
  <si>
    <t xml:space="preserve">[4.1.2] The &lt;iframe&gt; element is missing a title attribute, so it has no accessible name. Screen readers cannot identify the purpose or content of the frame. Add a descriptive title attribute to the &lt;iframe&gt;, e.g., &lt;iframe title="Site navigation" srcdoc="..."&gt;&lt;/iframe&gt;, so assistive technologies can announce the frame's purpose.</t>
  </si>
  <si>
    <t xml:space="preserve">The page fails primarily on WCAG 4.1.2 (Name, Role, Value) because the &lt;iframe&gt; element has no title attribute, leaving assistive technology users without any programmatic name to identify the embedded frame's purpose. Additionally, the page lacks any landmark regions or headings, which is a WCAG 1.3.1 (Info and Relationships) concern — though for a page this minimal, the severity is moderate rather than critical. Keyboard accessibility (2.1.1) is not violated since the embedded link is natively focusable, and bypass blocks (2.4.1) is inapplicable given the absence of repeated navigation blocks. Non-text content (1.1.1) is also inapplicable as no images or media are present.</t>
  </si>
  <si>
    <t xml:space="preserve">[4.1.2] The &lt;iframe&gt; element is missing a title attribute, which is required to give it an accessible name for assistive technologies. Add a descriptive title attribute to the iframe, e.g., &lt;iframe title="Embedded navigation" srcdoc="..."&gt;&lt;/iframe&gt;, so screen readers can announce its purpose when users encounter or navigate into it. || [1.3.1] The page has no headings or landmark regions (main, nav, header, footer), making it impossible for assistive technology users to understand the page structure or navigate by landmarks. Wrap the page's primary content in a &lt;main&gt; landmark element. Add at least one &lt;h1&gt; heading if the page contains meaningful content sections.</t>
  </si>
  <si>
    <t xml:space="preserve">The page passes all five applicable WCAG 2.1 criteria. There is no non-text content, so WCAG 1.1.1 is inapplicable. The heading structure is valid with a single, properly nested &lt;h1&gt; containing meaningful text, satisfying WCAG 1.3.1. The sole interactive element — a native &lt;a&gt; link — is fully keyboard accessible with no traps or dead stops, satisfying WCAG 2.1.1. There are no repeated navigation blocks requiring a bypass mechanism, so WCAG 2.4.1 is inapplicable. For WCAG 4.1.2, the link uses native HTML semantics, giving it an implicit role of 'link', an accessible name derived from its text content ('WCAG 2.1 Abstract'), and no custom state management is needed — the ARIA accessibility tree confirms all three properties are correctly exposed. No violations were found.</t>
  </si>
  <si>
    <t xml:space="preserve">The page passes all five applicable WCAG 2.1 criteria. WCAG 1.1.1 is inapplicable as there is no non-text content. WCAG 1.3.1 is satisfied: the heading hierarchy is valid (a single H1 with meaningful text), the paragraph is properly marked up, and the section uses native semantic HTML throughout. WCAG 2.1.1 is satisfied: the sole interactive element — a hyperlink — is fully keyboard-operable (focusable and Enter-activatable) with no traps or dead stops. WCAG 2.4.1 is inapplicable because the page contains no repeated navigation blocks that would require a bypass mechanism. WCAG 4.1.2 is satisfied: the anchor element carries its accessible name ('WCAG 2.1 Abstract') via inner text, its native role ('link') is exposed correctly in the accessibility tree, and no ARIA misuse or missing name/role/value issues were found in the markup. The NVDA runtime null-announcement result is an environmental artifact and is overridden by the confirmed ARIA tree data.</t>
  </si>
  <si>
    <t xml:space="preserve">The page passes all five evaluated WCAG 2.1 criteria. For WCAG 1.1.1 (Non-text Content), the page contains no images or non-text elements, making the criterion inapplicable — no violations possible. For WCAG 1.3.1 (Info and Relationships), the heading structure is valid: a single H1 ('WCAG 2.1 Abstract') is correctly used, the hierarchy is sound with no skipped levels, and the content is wrapped in a semantic &lt;section&gt; element. For WCAG 2.1.1 (Keyboard), the sole interactive element — the anchor link — is fully keyboard-operable: it receives focus, responds to Enter activation, and presents no keyboard traps or dead stops. For WCAG 2.4.1 (Bypass Blocks), the page contains no repeated navigation blocks, so a skip link is not required; the criterion is inapplicable. For WCAG 4.1.2 (Name, Role, Value), the anchor link has a clear, descriptive accessible name ('WCAG 2.1 Abstract') derived from its inner text, and its role as a link is correctly conveyed via the native &lt;a&gt; element with an href — confirmed by the browser's accessibility tree. The NVDA tool flagged a potential announcement issue, but this is attributable to the NVDA runtime environment rather than a genuine markup defect, as the aria_tree confirms a valid accessible name and role are programmatically exposed.</t>
  </si>
  <si>
    <t xml:space="preserve">The page fails WCAG 2.1.1 (Keyboard) because the sole scrollable container — a &lt;section&gt; with height: 100px and overflow-y: scroll — is not reachable via keyboard (tabIndex: -1). The paragraph content is taller than the container, so a significant portion of the text is visually clipped and only accessible by mouse-scrolling. Keyboard-only users have no way to bring the hidden content into view. All other evaluated criteria (1.1.1 Non-text Content, 1.3.1 Info and Relationships, 2.4.1 Bypass Blocks, and 4.1.2 Name, Role, Value) are either inapplicable or passing: there are no images, no interactive widgets, no repeated navigation blocks, and the heading structure is valid with a proper H1.</t>
  </si>
  <si>
    <t xml:space="preserve">[2.1.1] The scrollable &lt;section&gt; container has overflow-y: scroll but is not keyboard-focusable (tabIndex: -1), making its overflowed content unreachable for keyboard-only users. Add tabindex="0" to the scrollable &lt;section&gt; element so keyboard users can focus it and use arrow keys to scroll through its content. Alternatively, restructure the content so it does not rely on a constrained scrollable region.</t>
  </si>
  <si>
    <t xml:space="preserve">The page fails WCAG 2.1.1 (Keyboard) because the &lt;section&gt; element is styled with a fixed height of 100px and overflow-y: scroll, creating a scrollable container whose content is clipped and only partially visible. Since the element lacks a tabindex attribute, keyboard users cannot focus it and therefore cannot scroll to access the hidden portion of the paragraph. The remaining criteria — 1.1.1 (Non-text Content), 1.3.1 (Info and Relationships), 2.4.1 (Bypass Blocks), and 4.1.2 (Name, Role, Value) — are either not applicable (no images, no interactive widgets, no repeated navigation blocks) or satisfied (heading structure is valid with a proper H1, and the static text content has correct semantic markup). The sole but serious violation is the inaccessible scrollable region.</t>
  </si>
  <si>
    <t xml:space="preserve">[2.1.1] A scrollable region with overflow-y: scroll is not keyboard focusable, making its overflowing content inaccessible to keyboard-only users. Add tabindex="0" to the scrollable &lt;section&gt; element so that keyboard users can focus it and use arrow keys to scroll through its content. Optionally, also add a descriptive aria-label to convey the region's purpose, e.g., aria-label="WCAG 2.1 Abstract".</t>
  </si>
  <si>
    <t xml:space="preserve">The page fails WCAG 2.1.1 (Keyboard) because its sole scrollable container — a &lt;section&gt; element styled with overflow-y: scroll and a fixed height of 100px — lacks a tabindex attribute, making it unreachable via keyboard navigation. The paragraph content overflows the visible area, so keyboard-only users have no mechanism to scroll and read the full text. All other evaluated criteria (1.1.1 Non-text Content, 1.3.1 Info and Relationships, 2.4.1 Bypass Blocks, and 4.1.2 Name, Role, Value) are either passing or inapplicable: there are no images, no form controls, no interactive widgets, no repeated navigation blocks, and the heading structure is valid with a proper H1. The single actionable fix is to add tabindex="0" to the scrollable section.</t>
  </si>
  <si>
    <t xml:space="preserve">[2.1.1] A scrollable container is not keyboard-focusable, making its overflowing content inaccessible to keyboard-only users. Add tabindex="0" to the scrollable &lt;section&gt; element so it enters the natural tab order and keyboard users can focus it and scroll its content using arrow keys. Example: &lt;section tabindex="0" style="height: 100px; width: 500px; overflow-y: scroll"&gt;. Additionally, consider providing a visible label (e.g., aria-label or aria-labelledby) to describe the scrollable region to assistive technology users.</t>
  </si>
  <si>
    <t xml:space="preserve">run_nvda_full_audit, detect_keyboard_violations, check_keyboard_navigation, analyze_heading_structure, check_keyboard_focusables, check_navigation_methods</t>
  </si>
  <si>
    <t xml:space="preserve">The page fails on multiple Level A criteria. The most critical issue is WCAG 2.1.1: the iframe's tabindex="-1" removes it from the keyboard tab sequence, trapping the only interactive element (the 'Home' link) inside an unreachable frame. This simultaneously undermines WCAG 2.4.1 (Bypass Blocks), as there are no landmarks, skip links, or headings to help users navigate. The iframe also lacks a title attribute, violating WCAG 4.1.2 (Name, Role, Value) because assistive technologies cannot announce its purpose. Finally, the complete absence of headings and landmark regions violates WCAG 1.3.1 (Info and Relationships), as no programmatic structure is conveyed to users of assistive technology. WCAG 1.1.1 is inapplicable since the page contains no images or other non-text content.</t>
  </si>
  <si>
    <t xml:space="preserve">[2.1.1] The iframe contains a focusable link (&lt;a href='/'&gt;Home&lt;/a&gt;) but is assigned tabindex="-1", which removes the iframe itself from the tab order. Depending on the browser, this also prevents keyboard users from reaching the link inside the iframe via Tab navigation, making the content inaccessible by keyboard. Remove the tabindex="-1" attribute from the iframe so that keyboard users can Tab into it and reach the embedded link. If the iframe must be excluded from the tab sequence, move the link (or equivalent navigation) outside the iframe into the main document. || [2.4.1] The page provides no bypass mechanism (skip link, landmark regions, or headings) to allow users to skip past repeated blocks of content. The iframe's link is the only navigable element and it is keyboard-inaccessible. Add a &lt;main&gt; landmark wrapping the primary content and/or provide a visible skip link at the top of the page. Ensure the iframe content is reachable by keyboard so bypass mechanisms are meaningful. || [4.1.2] The &lt;iframe&gt; has no accessible name (no title attribute). Screen readers cannot announce what the iframe contains, violating the Name requirement for embedded frame elements. Add a descriptive title attribute to the iframe, e.g., title="Site navigation" so assistive technologies can identify its purpose. || [1.3.1] The page has no semantic structure: no headings, no landmark regions (&lt;main&gt;, &lt;nav&gt;, &lt;header&gt;, etc.), and the only content is buried inside an iframe with no programmatic relationship to the surrounding document. Introduce appropriate landmark elements (&lt;main&gt;, &lt;nav&gt;) and at least one &lt;h1&gt; heading to convey the page's information structure programmatically.</t>
  </si>
  <si>
    <t xml:space="preserve">run_nvda_full_audit, detect_keyboard_violations, check_keyboard_navigation, analyze_heading_structure, check_keyboard_focusables</t>
  </si>
  <si>
    <t xml:space="preserve">The page fails on multiple Level A criteria. Most critically, the &lt;iframe tabindex="-1"&gt; removes the embedded 'Home' link from the keyboard tab sequence entirely, making it unreachable for keyboard-only users — a direct violation of WCAG 2.1.1 (Keyboard). The iframe also lacks a title attribute, violating WCAG 4.1.2 (Name, Role, Value) because assistive technologies cannot announce the frame's purpose. Additionally, no landmark regions or skip-navigation links are present, violating WCAG 2.4.1 (Bypass Blocks). WCAG 1.1.1 and 1.3.1 are not directly violated by the content present, but the overall page is critically inaccessible due to the keyboard and naming failures.</t>
  </si>
  <si>
    <t xml:space="preserve">[2.1.1] The &lt;iframe&gt; has tabindex="-1", removing it from the tab order. The link inside the iframe (&lt;a href='/'&gt;Home&lt;/a&gt;) is consequently unreachable via keyboard navigation. Remove the tabindex="-1" attribute from the &lt;iframe&gt; so that it (and its focusable contents) are reachable via the Tab key. If the iframe must remain excluded from the tab sequence for layout reasons, ensure the link inside is exposed through an alternative keyboard-accessible mechanism. || [4.1.2] The &lt;iframe&gt; has no accessible name (no title attribute). Screen readers cannot identify the purpose of the frame, violating the Name requirement for embedded content. Add a descriptive title attribute to the &lt;iframe&gt;, e.g., title="Site navigation" or title="Home link frame", so assistive technologies can announce its purpose. || [2.4.1] No skip-navigation mechanism, landmarks (main, nav, header), or other bypass block technique is present. While the page is minimal, the iframe contains navigation content that is inaccessible, compounding the bypass failure. Wrap repeated or navigational content in appropriate landmark elements (e.g., &lt;nav&gt;) and/or provide a visible skip link so keyboard users can bypass repeated blocks.</t>
  </si>
  <si>
    <t xml:space="preserve">run_nvda_full_audit, detect_keyboard_violations, check_keyboard_navigation, analyze_heading_structure, check_keyboard_focusables, validate_focus_order</t>
  </si>
  <si>
    <t xml:space="preserve">The page fails multiple Level A WCAG 2.1 criteria. Most critically, the &lt;iframe tabindex="-1"&gt; suppresses keyboard access to the embedded &lt;a href='/'&gt;Home&lt;/a&gt; link, directly violating WCAG 2.1.1 (Keyboard). The iframe also lacks a title attribute, violating WCAG 4.1.2 (Name, Role, Value), as assistive technologies cannot identify its purpose. The page further lacks any landmark regions, skip links, or headings, violating WCAG 2.4.1 (Bypass Blocks) and WCAG 1.3.1 (Info and Relationships). WCAG 1.1.1 is inapplicable as there are no images or other non-text content. The overall severity is critical because keyboard and screen reader users are completely blocked from accessing the only interactive element on the page.</t>
  </si>
  <si>
    <t xml:space="preserve">[2.1.1] The &lt;iframe&gt; has tabindex="-1", which removes it from the keyboard tab order. The link inside it (&lt;a href='/'&gt;Home&lt;/a&gt;) is therefore unreachable by keyboard-only users. Remove the tabindex="-1" attribute from the &lt;iframe&gt; so that it (and its embedded interactive content) is reachable via the Tab key. If the iframe must be excluded from the tab order, ensure its content contains no interactive elements, or provide an equivalent keyboard-accessible alternative. || [4.1.2] The &lt;iframe&gt; has no title attribute, so assistive technologies cannot announce its name or purpose to users. Add a descriptive title attribute to the &lt;iframe&gt;, e.g., title="Site navigation" or title="Home link", so screen readers can identify the frame's purpose. || [2.4.1] The page provides no bypass mechanism (skip link, landmark, or heading) to allow users to skip past the iframe block. The NVDA audit confirmed zero landmarks and zero skip links. Wrap page regions in appropriate HTML5 landmark elements (e.g., &lt;nav&gt;, &lt;main&gt;) and/or provide a skip link so keyboard users can navigate past repeated blocks. || [1.3.1] The page has no headings or landmark structure, so the informational relationship between content blocks cannot be programmatically determined. Add semantic structure using heading elements (e.g., &lt;h1&gt;) and HTML5 landmark elements (&lt;main&gt;, &lt;nav&gt;, etc.) to convey the page's information hierarchy programmatically.</t>
  </si>
  <si>
    <t xml:space="preserve">run_nvda_full_audit, analyze_heading_structure, detect_keyboard_violations, check_navigation_methods</t>
  </si>
  <si>
    <t xml:space="preserve">The page fails on two of the five evaluated criteria. For WCAG 1.3.1, the page contains no heading elements whatsoever — translation titles and section labels are all plain &lt;p&gt; tags, stripping the document of any programmatically determinable structure or outline. For WCAG 2.4.1, while the page provides a set of skip links with valid targets, the main content area is wrapped in a generic &lt;div&gt; rather than a &lt;main&gt; landmark, preventing screen reader users from bypassing repeated content via landmark navigation. WCAG 1.1.1 is inapplicable (no images), WCAG 2.1.1 passes (all interactive elements are natively keyboard-accessible anchor tags), and WCAG 4.1.2 passes (the accessibility tree confirms all links have correct names and link roles).</t>
  </si>
  <si>
    <t xml:space="preserve">[1.3.1] Page has no heading elements. Translation section titles and the aside label are marked up as plain &lt;p&gt; elements, conveying no structural or semantic information to assistive technologies. Replace the translation-title paragraphs with appropriate heading elements (e.g., &lt;h1&gt; for the page title and &lt;h2&gt; for each translation section). This exposes the document outline to screen readers and other assistive technologies. || [2.4.1] The main content block uses a generic &lt;div id="main"&gt; instead of a &lt;main&gt; landmark element. Although skip links are present and their targets exist, screen reader users cannot bypass repeated navigation via landmark navigation (e.g., NVDA F6) because no &lt;main&gt; landmark is exposed. Replace &lt;div id="main"&gt; with &lt;main id="main"&gt; so that the primary content is exposed as a landmark. This allows screen reader users to jump directly to main content via landmark navigation, complementing the existing skip links.</t>
  </si>
  <si>
    <t xml:space="preserve">The page fails on WCAG 1.3.1 (Info and Relationships) and WCAG 2.4.1 (Bypass Blocks). There are no headings anywhere on the page — all three translation section titles are plain &lt;p&gt; elements — and the main content region is a generic &lt;div&gt; rather than a &lt;main&gt; landmark, so the document's structure and content relationships are invisible to assistive technologies. For bypass blocks, although five skip links are present and their href targets exist in the DOM, the absence of a &lt;main&gt; landmark means screen reader landmark navigation cannot reach the primary content, and the skip-link targets are non-focusable &lt;p&gt; elements. WCAG 1.1.1 is inapplicable (no images or non-text content). WCAG 2.1.1 passes (all interactive elements are standard keyboard-operable links). WCAG 4.1.2 passes (all links have accessible names derived from their text content and carry the correct implicit link role).</t>
  </si>
  <si>
    <t xml:space="preserve">[1.3.1] Translation section titles are marked up as plain &lt;p&gt; elements instead of headings, conveying no structural hierarchy to assistive technologies. The page has zero headings and is missing an H1. Mark each translation section title with an appropriate heading element (e.g., &lt;h2&gt;) and add an overall &lt;h1&gt; for the page. This exposes the document outline to screen readers and other assistive technologies. || [1.3.1] The main content area is wrapped in a generic &lt;div id="main"&gt; rather than a semantic &lt;main&gt; element, so its role as the primary content region is not communicated to assistive technologies. Replace &lt;div id="main"&gt; with &lt;main id="main"&gt; to expose the landmark role programmatically. || [2.4.1] The page provides skip links but lacks a &lt;main&gt; landmark. Screen reader users who rely on landmark navigation (e.g., NVDA F6, JAWS semicolon) cannot jump directly to the main content, making the skip links the only bypass mechanism — and those links target &lt;p&gt; elements, which are not focusable destinations in all browsers/AT combinations. Wrap the primary content in &lt;main id="main"&gt;. Additionally, ensure skip-link targets are either natively focusable or have tabindex="-1" so focus is reliably moved on activation.</t>
  </si>
  <si>
    <t xml:space="preserve">run_nvda_full_audit, detect_keyboard_violations, analyze_heading_structure, check_navigation_methods</t>
  </si>
  <si>
    <t xml:space="preserve">The page fails on WCAG 1.3.1 (Info and Relationships) and WCAG 2.4.1 (Bypass Blocks). The three translation section titles are coded as plain &lt;p&gt; elements rather than headings, and the main content wrapper is a generic &lt;div&gt; rather than a &lt;main&gt; element, meaning the page's structural relationships and landmark regions are not programmatically exposed. While the page does include a set of skip links with valid anchor targets, the absence of a &lt;main&gt; landmark prevents screen reader users from using landmark-based navigation to bypass the navigation block, violating WCAG 2.4.1. WCAG 1.1.1 is inapplicable (no images), WCAG 2.1.1 passes (all interactive elements are native keyboard-accessible links), and WCAG 4.1.2 passes (all links have accessible names derived from their text content and carry the correct implicit link role as confirmed by the ARIA accessibility tree).</t>
  </si>
  <si>
    <t xml:space="preserve">[1.3.1] Translation section titles are marked up as plain &lt;p&gt; elements instead of semantic headings, conveying no structural hierarchy to assistive technologies. Replace the &lt;p&gt; elements that serve as section titles with appropriate heading elements (e.g., &lt;h2&gt;) so that the document's information structure is programmatically determinable. Add an &lt;h1&gt; for the overall page title. || [1.3.1] The main content area uses a generic &lt;div id="main"&gt; instead of a semantic landmark element, so its role as the primary content region is not conveyed to assistive technologies. Replace &lt;div id="main"&gt; with &lt;main id="main"&gt; to expose the correct landmark role programmatically. || [2.4.1] The page provides skip links but lacks a &lt;main&gt; landmark. Screen reader users who rely on landmark navigation (e.g., NVDA F6, JAWS R) cannot bypass the navigation block to jump directly to the main content region. Replace &lt;div id="main"&gt; with &lt;main id="main"&gt; so that both skip-link users and landmark-navigation users can bypass the repeated navigation block. Alternatively, ensure at least one skip link targets the main content area directly.</t>
  </si>
  <si>
    <t xml:space="preserve">run_nvda_full_audit, analyze_heading_structure, detect_keyboard_violations, check_navigation_methods, check_keyboard_navigation</t>
  </si>
  <si>
    <t xml:space="preserve">The page fails on three of the five evaluated criteria. For WCAG 1.3.1, the page lacks any heading structure, meaning the relationship between the aside block and the main content area is not conveyed programmatically. For WCAG 2.1.1, the 'Skip to main content' button is a dead focus stop — it receives keyboard focus but its onclick handler does not fire on Enter/Space, making it non-functional for keyboard users. For WCAG 2.4.1, the bypass mechanism is doubly broken: the skip button doesn't work via keyboard, and the target container is a plain &lt;div&gt; rather than a &lt;main&gt; landmark, so screen reader users also cannot navigate to it by landmark. WCAG 1.1.1 is inapplicable (no non-text content), and WCAG 4.1.2 passes at the markup level (both interactive elements have valid accessible names and implicit roles). The most impactful fixes are: (1) replace the button with a proper &lt;a href='#main'&gt; skip link, (2) change &lt;div id='main'&gt; to &lt;main id='main'&gt;, and (3) add a meaningful &lt;h1&gt; heading to establish document structure.</t>
  </si>
  <si>
    <t xml:space="preserve">[1.1.1] No non-text content found on the page — criterion is inapplicable. No action required for this criterion on this page. || [1.3.1] No heading structure exists on the page. The page has meaningful content sections (an aside and a main content area) but no headings to convey their structure programmatically. Add at least an &lt;h1&gt; for the page title (e.g., 'The Three Kingdoms, Chapter 1') and consider an appropriate heading inside the &lt;aside&gt; to label it. Use semantic HTML heading elements to convey the document outline. || [2.1.1] The 'Skip to main content' button is a dead focus stop — it receives keyboard focus but does not respond to Enter or Space activation. Replace the onclick handler with a proper href-based skip link (e.g., &lt;a href='#main'&gt;Skip to main content&lt;/a&gt;) or ensure the button's JavaScript executes correctly on keyboard activation. A native &lt;a&gt; element with a fragment href is the most robust approach. || [2.4.1] The skip link mechanism is broken: the 'Skip to main content' button does not function via keyboard, and the target &lt;div id='main'&gt; is not a landmark region, so keyboard users cannot bypass the aside block. Replace &lt;div id='main'&gt; with a &lt;main id='main'&gt; element to create a proper landmark. Replace the button with a standard skip link: &lt;a href='#main'&gt;Skip to main content&lt;/a&gt;. This ensures both the bypass mechanism and the landmark are functional for keyboard and screen reader users. || [4.1.2] The ARIA accessibility tree shows the button and link have correct names and roles programmatically, so this criterion passes at the markup level. NVDA runtime announcements were null due to environment limitations, but the raw aria_tree confirms accessible names are present. No changes needed for 4.1.2 specifically. The button and link are correctly named and have implicit roles. However, fixing the skip link (per 2.4.1) by switching to an &lt;a&gt; element will also maintain compliance here.</t>
  </si>
  <si>
    <t xml:space="preserve">The page fails on three of the five evaluated criteria. For WCAG 1.3.1, the main content area uses a non-semantic &lt;div&gt; instead of a &lt;main&gt; landmark, and the page contains no headings, meaning structural relationships are not programmatically determinable. For WCAG 2.1.1, the 'Skip to main content' button relies solely on an onclick handler that does not fire on keyboard activation, making it a dead focus stop. For WCAG 2.4.1, the bypass mechanism is doubly broken: the skip button is keyboard-inoperable and the main content area is not a recognized landmark, leaving keyboard users with no way to skip the repeated aside block. WCAG 1.1.1 is inapplicable (no non-text content), and WCAG 4.1.2 passes at the markup level (both interactive elements have valid accessible names and implicit roles). The most impactful fixes are: (1) convert the skip button to a proper &lt;a href='#main'&gt; skip link with a focusable target, (2) replace &lt;div id='main'&gt; with &lt;main id='main'&gt;, and (3) add a meaningful &lt;h1&gt; heading to establish document structure.</t>
  </si>
  <si>
    <t xml:space="preserve">[1.1.1] No non-text content found — criterion is inapplicable to this page. No action required for this criterion on this page. || [1.3.1] The page has no heading structure. The &lt;aside&gt; landmark is present but the main content area uses a plain &lt;div id='main'&gt; with no semantic landmark role, and there are no headings to convey document structure. Replace &lt;div id='main'&gt; with &lt;main id='main'&gt; to expose the landmark role. Add at least one heading (e.g., &lt;h1&gt;Chapter 1&lt;/h1&gt;) inside the main content area to convey document structure programmatically. || [2.1.1] The 'Skip to main content' button uses onclick with location.assign() but does not respond to keyboard activation (Enter/Space). It is a dead focus stop for keyboard users. Replace the onclick-only handler with a proper href-based skip link: &lt;a href='#main'&gt;Skip to main content&lt;/a&gt;. Alternatively, ensure the button's JavaScript handler fires on both click and keydown (Enter/Space) events, and that the target &lt;div id='main'&gt; is focusable (add tabindex='-1'). || [2.4.1] The skip link mechanism is broken for keyboard users. The button does not respond to keyboard activation, so keyboard users cannot bypass the aside block to reach the main content. Additionally, the main content container is a &lt;div&gt;, not a &lt;main&gt; landmark, so landmark-based bypass is also unavailable. Use a proper anchor-based skip link (&lt;a href='#main'&gt;Skip to main content&lt;/a&gt;) pointing to a focusable target (add tabindex='-1' to the target element). Change &lt;div id='main'&gt; to &lt;main id='main'&gt; so landmark navigation also serves as a bypass mechanism. || [4.1.2] The accessibility tree confirms the button and link have correct names and roles programmatically (button: 'Skip to main content'; link: 'Read Chapter 2'). No 4.1.2 violations are detected at the markup level. No changes required for 4.1.2. Both interactive elements have valid accessible names and implicit roles.</t>
  </si>
  <si>
    <t xml:space="preserve">run_nvda_full_audit, detect_keyboard_violations, analyze_heading_structure, check_keyboard_navigation, check_navigation_methods</t>
  </si>
  <si>
    <t xml:space="preserve">The page fails on three of the five evaluated criteria. For WCAG 1.3.1, the main content is wrapped in a non-semantic &lt;div&gt; instead of &lt;main&gt;, and the page contains no headings, depriving assistive technology users of structural navigation cues. For WCAG 2.1.1, the 'Skip to main content' button is a dead focus stop — it receives keyboard focus but its onclick handler fails to move focus because the target &lt;div id="main"&gt; is not focusable. For WCAG 2.4.1, the skip mechanism is broken and no ARIA landmark (&lt;main&gt;) exists, meaning keyboard and screen reader users cannot bypass the aside block. WCAG 1.1.1 is inapplicable (no images or non-text content), and WCAG 4.1.2 passes because both interactive elements expose correct accessible names and implicit roles. The most impactful fix is to replace &lt;div id="main"&gt; with &lt;main id="main" tabindex="-1"&gt;, convert the skip button to a standard anchor (&lt;a href="#main"&gt;), and add an &lt;h1&gt; heading — this single set of changes would resolve all three failures simultaneously.</t>
  </si>
  <si>
    <t xml:space="preserve">[1.1.1] No non-text content found on the page — criterion is inapplicable. No action required for this criterion on this page. || [1.3.1] The page has no headings, and the main content area uses a plain &lt;div&gt; instead of a semantic landmark element. Replace &lt;div id="main"&gt; with &lt;main id="main"&gt; to expose the landmark semantically. Add at least one heading (e.g., &lt;h1&gt;Chapter 1&lt;/h1&gt;) inside the main content area to convey document structure to assistive technologies. || [2.1.1] The 'Skip to main content' button is a dead focus stop — it receives keyboard focus but does not respond to Enter or Space activation. Change the skip-link target from a &lt;div&gt; to a &lt;main&gt; element, or add tabindex="-1" to &lt;div id="main"&gt; so that location.assign (or a standard anchor href) can programmatically move focus. Alternatively, replace the button with a standard anchor tag: &lt;a href="#main"&gt;Skip to main content&lt;/a&gt; and ensure the target element is focusable. || [2.4.1] The skip link mechanism is present but non-functional, and no ARIA landmark (&lt;main&gt;) exists to allow assistive technology users to bypass the repeated aside block. Replace &lt;div id="main"&gt; with &lt;main id="main"&gt; to provide a proper landmark. Fix the skip link so it functionally moves focus to the main content (see 2.1.1 recommendation above). Either approach alone satisfies 2.4.1, but both together provide the most robust solution. || [4.1.2] Both interactive elements — the skip button and the chapter link — have valid accessible names and correct implicit roles per the accessibility tree, so this criterion passes at the DOM level. NVDA runtime announcements were null due to the test environment, but the aria_tree_interactive data confirms correct name/role exposure. No changes needed for 4.1.2. Both elements expose correct names and roles to the accessibility tree.</t>
  </si>
  <si>
    <t xml:space="preserve">The page fails primarily on WCAG 1.3.1 (Info and Relationships) and WCAG 2.4.1 (Bypass Blocks). The chapter title is rendered visually as a heading using &lt;strong&gt; with inline CSS font-size styling, but no semantic heading element (&lt;h1&gt;–&lt;h6&gt;) is used, so assistive technologies cannot identify it as a heading or use it for navigation. Additionally, the page has no landmark regions (&lt;main&gt;, &lt;nav&gt;), no skip link, and no headings — meaning keyboard-only users have no mechanism to bypass any repeated blocks. WCAG 2.1.1 (Keyboard) passes as the sole interactive element (the anchor link) is natively keyboard-accessible. WCAG 1.1.1 (Non-text Content) is inapplicable since there are no images or non-text elements. WCAG 4.1.2 (Name, Role, Value) is satisfied at the markup level — the link has a clear accessible name via its text content and uses a native element with the correct implicit role.</t>
  </si>
  <si>
    <t xml:space="preserve">[1.1.1] No non-text content (images, icons, etc.) is present on the page. No action required for this criterion; it is inapplicable to this page. || [1.3.1] The chapter title 'Three Heroes Swear Brotherhood at a Feast in the Peach Garden' is styled visually as a heading using &lt;strong&gt; and inline font-size CSS, but is not marked up with a semantic heading element (e.g., &lt;h1&gt;–&lt;h6&gt;). This means its role as a heading is not conveyed programmatically to assistive technologies. Replace the &lt;strong&gt; element with an appropriate heading tag, e.g., &lt;h1&gt;Three Heroes Swear Brotherhood at a Feast in the Peach Garden&lt;/h1&gt;, to expose the heading role and structure to assistive technologies. || [2.1.1] No keyboard accessibility violations detected. The single interactive element (the anchor link) is natively keyboard-operable. No action required. || [2.4.1] The page lacks any bypass mechanism (skip link, landmark regions, or headings) to allow keyboard users to skip past repeated blocks of content. There is no &lt;main&gt; landmark, no &lt;nav&gt;, no skip link, and no headings to serve as navigation anchors. Add a &lt;main&gt; landmark wrapping the primary content (the div#main), and/or provide a 'Skip to main content' skip link at the top of the page. Adding a proper &lt;h1&gt; heading (fixing the 1.3.1 issue) would also serve as a bypass mechanism. || [4.1.2] The ARIA accessibility tree confirms the link 'Read Chapter 2' has a valid accessible name and role (link). The NVDA runtime failure to announce name/role appears to be an environment-level NVDA capture issue rather than a true markup defect. No custom widgets, missing roles, or missing names are present in the markup. No markup changes required for 4.1.2. The link has a descriptive text label and uses a native &lt;a&gt; element with correct implicit role.</t>
  </si>
  <si>
    <t xml:space="preserve">The page fails multiple WCAG 2.1 Level A criteria. The most significant issue is WCAG 1.3.1: the chapter title is styled to look like a heading using &lt;strong&gt; and inline CSS font-size, but is not marked up with a semantic heading element, meaning its structural role is invisible to assistive technologies. For WCAG 2.4.1, the main content area uses a plain &lt;div&gt; instead of a &lt;main&gt; landmark, and there is no skip link, leaving keyboard and screen reader users without a way to bypass the navigation link and aside block. For WCAG 4.1.2, the &lt;aside&gt; element lacks an accessible name. WCAG 1.1.1 is inapplicable (no non-text content), and WCAG 2.1.1 passes (the single link is natively keyboard-accessible).</t>
  </si>
  <si>
    <t xml:space="preserve">[1.1.1] No non-text content found on the page; criterion is not applicable. No action required for this criterion on this page. || [1.3.1] The chapter title is styled visually as a heading using &lt;strong&gt; and inline font-size CSS, but is not marked up with a semantic heading element (e.g., &lt;h1&gt;–&lt;h6&gt;). This means the heading relationship is conveyed only through visual presentation, not through structure. Replace the &lt;strong&gt; element with an appropriate heading element, e.g., &lt;h1&gt;Three Heroes Swear Brotherhood at a Feast in the Peach Garden&lt;/h1&gt;, so the heading relationship is programmatically determinable. || [2.1.1] No keyboard accessibility violations detected. The single interactive element (the anchor link) is natively keyboard-operable. No action required. || [2.4.1] The page lacks any mechanism to bypass repeated blocks of content. There is no skip link, no ARIA landmark for the main content area (the main content is in a plain &lt;div id='main'&gt;, not a &lt;main&gt; element), and no landmark navigation structure. Wrap the primary content in a &lt;main&gt; element (or add role='main') and consider adding a skip link at the top of the page (e.g., &lt;a href='#main'&gt;Skip to main content&lt;/a&gt;) so keyboard users can bypass the navigation link and sidebar. || [4.1.2] The &lt;aside&gt; element has no accessible name. While it has an id ('about-book'), it lacks an aria-label or aria-labelledby attribute, making its purpose ambiguous to assistive technologies. Additionally, NVDA failed to announce the name and role of the anchor link during live testing (though the accessibility tree confirms the link has a valid accessible name). Add an aria-label or aria-labelledby to the &lt;aside&gt; element to give it a meaningful accessible name (e.g., &lt;aside id='about-book' aria-label='About the Book'&gt;). Verify the link is correctly announced by assistive technologies in a real browser environment.</t>
  </si>
  <si>
    <t xml:space="preserve">run_nvda_full_audit, analyze_heading_structure, check_keyboard_navigation, check_navigation_methods, detect_keyboard_violations</t>
  </si>
  <si>
    <t xml:space="preserve">The page fails on two of the five evaluated criteria. For WCAG 1.3.1 (Info and Relationships), the chapter title is rendered using a &lt;strong&gt; tag with inline CSS to mimic a heading visually, but no semantic heading element is used — assistive technologies will not identify it as a heading, breaking the programmatic structure of the page. For WCAG 2.4.1 (Bypass Blocks), the page provides no skip link, no &lt;main&gt; landmark, and no other bypass mechanism; the main content div uses a plain &lt;div&gt; rather than a semantic &lt;main&gt; element, leaving keyboard and screen reader users without a way to jump directly to the content. WCAG 1.1.1 is inapplicable (no images), WCAG 2.1.1 passes (the single link is fully keyboard-operable), and WCAG 4.1.2 passes (the link has a correct implicit role and accessible name from its text content).</t>
  </si>
  <si>
    <t xml:space="preserve">[1.1.1] No non-text content is present on the page. No action required for this criterion; there are no images or non-text elements to label. || [1.3.1] The chapter title is styled visually as a heading using &lt;strong&gt; and inline font-size, but is not marked up with a semantic heading element (e.g., &lt;h1&gt;–&lt;h6&gt;). This means the heading relationship is conveyed only through visual presentation, not through structure. Replace the &lt;strong&gt; element with an appropriate heading tag, e.g., &lt;h1&gt;Three Heroes Swear Brotherhood at a Feast in the Peach Garden&lt;/h1&gt;, so assistive technologies can expose the heading role and allow users to navigate by heading. || [2.1.1] Keyboard navigation passes. The single interactive element (the link) is reachable and activatable via keyboard. No action required. || [2.4.1] The page lacks any mechanism to bypass blocks of repeated content. There is no skip link, no &lt;main&gt; landmark, no &lt;nav&gt; landmark, and no other bypass mechanism. While this page is simple, the absence of any landmark structure means keyboard and screen reader users cannot skip directly to the main content. Wrap the primary content in a &lt;main&gt; element (or add role="main" to the existing &lt;div id="main"&gt;) and consider adding a skip link at the top of the page (e.g., &lt;a href="#main"&gt;Skip to main content&lt;/a&gt;) so keyboard users can bypass any repeated navigation blocks. || [4.1.2] The link element has a valid accessible name ('Read Chapter 2') derived from its text content and a correct implicit role of 'link', as confirmed by the ARIA tree. The NVDA runtime announcement failure appears to be an environment-level issue (null NVDA output), not an authoring defect. No custom widgets or ARIA misuse were detected. No action required for this criterion. The link is correctly named and has the proper implicit role.</t>
  </si>
  <si>
    <t xml:space="preserve">The page consists solely of a single inline SVG element containing a &lt;title&gt; child element ('This is an SVG'). All five target criteria are either satisfied or inapplicable: (1) WCAG 1.1.1 — The SVG carries a &lt;title&gt; element which serves as its accessible text alternative, satisfying the non-text content requirement; no images lack alt text. (2) WCAG 1.3.1 — There is no meaningful structure (tables, lists, form relationships, etc.) to convey; the page is purely a labelled graphic with no information/relationship markup needed beyond what is present. (3) WCAG 2.1.1 — The page contains zero interactive elements, so keyboard operability is inapplicable; no violations were detected. (4) WCAG 2.4.1 — There are no repeated navigation blocks, so a bypass mechanism is not required; the criterion is inapplicable. (5) WCAG 4.1.2 — There are no interactive UI components requiring name, role, or value exposure; the criterion is inapplicable. No failures were found across any of the five criteria.</t>
  </si>
  <si>
    <t xml:space="preserve">The page fails on WCAG 1.1.1, 1.3.1, and 4.1.2. The SVG image is missing role='img' and aria-labelledby, meaning its inline &lt;title&gt; may not be reliably announced by screen readers as a text alternative. The page also has no semantic structure whatsoever — no landmarks, no headings — violating 1.3.1. WCAG 2.1.1 and 2.4.1 are inapplicable because there are no interactive elements and no repeated navigation blocks.</t>
  </si>
  <si>
    <t xml:space="preserve">[1.1.1] The SVG lacks role='img' and aria-labelledby, so assistive technologies may not reliably expose the &lt;title&gt; as a text alternative. Add role='img' and aria-labelledby pointing to the &lt;title&gt; element's id: e.g., &lt;svg role='img' aria-labelledby='svg-title'&gt;&lt;title id='svg-title'&gt;This is an SVG&lt;/title&gt;&lt;/svg&gt; || [1.3.1] The page has no semantic structure: no landmarks (main, nav, header, footer), no headings, and no meaningful HTML elements beyond the SVG. Wrap page content in appropriate landmark elements (e.g., &lt;main&gt;) and provide at least one &lt;h1&gt; heading to convey document structure. || [4.1.2] The SVG element has no role attribute, making its purpose ambiguous to assistive technologies. The &lt;title&gt; child alone is insufficient without role='img'. Add role='img' to the &lt;svg&gt; element and link the &lt;title&gt; via aria-labelledby so screen readers can announce it correctly.</t>
  </si>
  <si>
    <t xml:space="preserve">The page consists solely of a single inline SVG element containing a &lt;title&gt; child element ('This is an SVG'). All five target criteria are either satisfied or inapplicable: (1) WCAG 1.1.1 — The SVG carries a &lt;title&gt; element which serves as its accessible text alternative, satisfying the non-text content requirement; no images lack alternatives. (2) WCAG 1.3.1 — There is no meaningful structure (tables, lists, form relationships, etc.) to convey; the page is purely a labelled graphic with no information/relationship markup needed beyond what is present. (3) WCAG 2.1.1 — No interactive elements exist, so keyboard operability is inapplicable; no mouse-only or hover-only interactions were detected. (4) WCAG 2.4.1 — There are no repeated navigation blocks requiring a bypass mechanism; the criterion is inapplicable. (5) WCAG 4.1.2 — There are no interactive UI components requiring name, role, or value; the criterion is inapplicable. No violations were found across any of the five criteria.</t>
  </si>
  <si>
    <t xml:space="preserve">The page fails on two of the five evaluated criteria. For WCAG 1.3.1, the navigation block uses a non-semantic &lt;div&gt; instead of &lt;nav&gt;, the main content uses a non-semantic &lt;div&gt; instead of &lt;main&gt;, and there are no headings at all — none of these structural relationships are programmatically exposed. For WCAG 2.4.1, there is no skip link and no landmark structure, forcing keyboard users to tab through all eight navigation links before reaching any content on every page visit. WCAG 1.1.1 is inapplicable (no images). WCAG 2.1.1 passes (all interactive elements are native links). WCAG 4.1.2 passes (all links have correct implicit roles and accessible names derived from their text content).</t>
  </si>
  <si>
    <t xml:space="preserve">[1.3.1] Navigation links are grouped in a plain &lt;div&gt; with no semantic landmark, and the page has no headings, so structural relationships (navigation vs. main content) are not programmatically determinable. Wrap the navigation links in a &lt;nav&gt; element (optionally with aria-label="Main navigation"). Wrap the main content in a &lt;main&gt; element. Add at least one &lt;h1&gt; heading to identify the page's primary content. || [2.4.1] The page has a block of 8 repeated navigation links with no mechanism to bypass them. There is no skip link, no &lt;nav&gt; landmark, and no &lt;main&gt; landmark, so keyboard-only users must tab through all navigation links to reach the main content on every page load. Add a visible (or visually-hidden but focusable) skip link as the first focusable element: &lt;a href="#main-content" class="skip-link"&gt;Skip to main content&lt;/a&gt;. Also add &lt;nav&gt; and &lt;main id="main-content"&gt; landmarks so screen reader users can jump directly via landmark navigation.</t>
  </si>
  <si>
    <t xml:space="preserve">The page fails on two of the five evaluated criteria. WCAG 1.3.1 (Info and Relationships) is violated because the navigation block is an unsemantic &lt;div&gt; with no landmark role, list markup, or heading structure — assistive technologies cannot infer the purpose or grouping of these elements from the markup alone. WCAG 2.4.1 (Bypass Blocks) is violated because the eight navigation links repeat on every page load with no skip link, no &lt;nav&gt; landmark, and no &lt;main&gt; landmark, forcing keyboard and screen reader users to tab through all eight links before reaching the main content on every visit. WCAG 1.1.1 is not applicable (no images). WCAG 2.1.1 passes (all links are natively keyboard-operable with no traps or dead stops). WCAG 4.1.2 passes (all links have correct accessible names derived from their text content and carry the native 'link' role).</t>
  </si>
  <si>
    <t xml:space="preserve">[1.3.1] Navigation links are contained in a plain &lt;div&gt; with no semantic landmark or list structure. There are no headings anywhere on the page. Wrap the navigation links in a &lt;nav&gt; element (and optionally a &lt;ul&gt;/&lt;li&gt; list) to convey their grouped, navigational relationship. Add at least one &lt;h1&gt; heading to the main content area to communicate page structure programmatically. || [2.4.1] The page has a block of 8 repeated navigation links with no mechanism to bypass them. There is no skip link, no &lt;nav&gt; landmark, and no &lt;main&gt; landmark that assistive technologies could use to jump past the navigation. Add a 'Skip to main content' link as the very first focusable element on the page, pointing to a &lt;main id="main-content"&gt; element wrapping the page content. Alternatively (or additionally), wrap the navigation in &lt;nav&gt; so screen reader users can bypass it via landmark navigation.</t>
  </si>
  <si>
    <t xml:space="preserve">The page fails on two of the five evaluated criteria. WCAG 1.3.1 (Info and Relationships) is violated because the navigation block uses a non-semantic &lt;div&gt; instead of a &lt;nav&gt; landmark, and the page contains zero headings — including no H1 — meaning the structural relationships between content regions are not conveyed programmatically. WCAG 2.4.1 (Bypass Blocks) is violated because there is no skip link, no &lt;main&gt; landmark, and no &lt;nav&gt; landmark; keyboard-only and screen reader users are forced to tab through all eight navigation links on every page load with no way to jump to the main content. WCAG 1.1.1 is inapplicable (no images). WCAG 2.1.1 passes (all interactive elements are native links, fully keyboard-operable). WCAG 4.1.2 passes (all links have correct implicit role of 'link' and accessible names derived from their visible text content).</t>
  </si>
  <si>
    <t xml:space="preserve">[1.3.1] Navigation links are wrapped in a plain &lt;div&gt; with no semantic landmark. There are no headings anywhere on the page, including a missing H1. Wrap the navigation links in a &lt;nav&gt; element (or add role="navigation" with an aria-label). Add a &lt;main&gt; landmark around the page content. Introduce at least one &lt;h1&gt; to identify the page topic (e.g., &lt;h1&gt;Course Listings&lt;/h1&gt;), and use appropriate heading levels to structure the content sections. || [2.4.1] No mechanism exists to bypass the repeated navigation block. There is no skip link, no &lt;nav&gt; landmark, no &lt;main&gt; landmark, and no heading structure that assistive technology could use to jump past the navigation. Add a visible (or visually-hidden but focusable) skip link as the very first element: &lt;a href="#main-content" class="skip-link"&gt;Skip to main content&lt;/a&gt;. Also wrap navigation in &lt;nav&gt; and page content in &lt;main id="main-content"&gt; so screen reader users can jump directly via landmark navigation.</t>
  </si>
  <si>
    <t xml:space="preserve">This minimal static maintenance page passes all five evaluated WCAG 2.1 criteria. WCAG 1.1.1 (Non-text Content) is inapplicable — the page contains no images, icons, or other non-text content requiring alternative text. WCAG 1.3.1 (Info and Relationships) is satisfied: the page uses a proper &lt;main&gt; landmark, a single well-formed &lt;h1&gt; heading with a valid hierarchy (no skipped levels, no generic text), and a plain paragraph — all conveying structure semantically. WCAG 2.1.1 (Keyboard) is satisfied: there are no interactive elements, no mouse-only widgets, and no ARIA widget issues detected. WCAG 2.4.1 (Bypass Blocks) is inapplicable — the page has no repeated navigation blocks that would require a skip link; the single &lt;main&gt; landmark is sufficient. WCAG 4.1.2 (Name, Role, Value) is satisfied: the page is purely static with no interactive controls, so there are no name/role/value requirements to fulfill. Overall, this is a clean, semantically correct page with no accessibility violations.</t>
  </si>
  <si>
    <t xml:space="preserve">This minimal maintenance page passes all five target WCAG 2.1 criteria. For WCAG 1.1.1 (Non-text Content), the page contains no images or other non-text elements, so the criterion is inapplicable. For WCAG 1.3.1 (Info and Relationships), the heading structure is valid — a single, properly nested H1 is used inside a &lt;main&gt; landmark, conveying structure semantically. For WCAG 2.1.1 (Keyboard), no interactive elements are present and no mouse-only or hover-only behaviors were detected. For WCAG 2.4.1 (Bypass Blocks), the page has no repeated navigation blocks and contains only a single &lt;main&gt; landmark with no extraneous content to bypass, making a skip link unnecessary. For WCAG 4.1.2 (Name, Role, Value), the page is entirely static with no interactive widgets, custom controls, or ARIA usage that could be misconfigured. The page is clean, semantically correct, and fully accessible for its purpose.</t>
  </si>
  <si>
    <t xml:space="preserve">This minimal maintenance page passes all five evaluated WCAG 2.1 criteria. WCAG 1.1.1 (Non-text Content) is inapplicable — the page contains no images, icons, or other non-text elements requiring alternative text. WCAG 1.3.1 (Info and Relationships) is satisfied: the page uses a proper &lt;main&gt; landmark, a single well-formed &lt;h1&gt; with a valid heading hierarchy, and plain paragraph text — all relationships are conveyed through native, semantic HTML. WCAG 2.1.1 (Keyboard) is satisfied — no interactive elements exist, so there are no keyboard traps, mouse-only controls, or ARIA widget issues. WCAG 2.4.1 (Bypass Blocks) is inapplicable — the page has no repeated navigation blocks that would require a skip link; the single &lt;main&gt; landmark is sufficient. WCAG 4.1.2 (Name, Role, Value) is satisfied — the page is entirely static with no custom widgets, buttons, or form controls that would require explicit name/role/value markup. In summary, the page's simplicity is its strength: clean semantic HTML, a descriptive title, a proper language attribute, one landmark, and one heading result in full compliance with all applicable criteria.</t>
  </si>
  <si>
    <t xml:space="preserve">run_nvda_full_audit, analyze_heading_structure, detect_keyboard_violations, validate_form_errors_and_labels, validate_input_purpose</t>
  </si>
  <si>
    <t xml:space="preserve">The page fails on two of the five evaluated WCAG 2.1 criteria. The core problem is a single unlabelled text input whose visual label ('last name') is placed in a semantically inert &lt;div&gt; with no programmatic association to the control. This violates WCAG 4.1.2 (Name, Role, Value) because the input has no accessible name — confirmed by both the ARIA accessibility tree (empty name on the 'textbox' role node) and NVDA, which announced neither a name nor a role for the control. It also violates WCAG 1.3.1 (Info and Relationships) because the label–field relationship exists only visually and is not conveyed through markup. The remaining criteria are either not applicable (1.1.1 — no images present; 2.4.1 — no repeated navigation blocks requiring a bypass mechanism) or passing (2.1.1 — the input is natively keyboard-focusable and no mouse-only interactions were detected). The fix is straightforward: use a proper &lt;label for='...'&gt; element associated with the input via matching 'id'.</t>
  </si>
  <si>
    <t xml:space="preserve">[4.1.2] The &lt;input&gt; element has no accessible name. The adjacent &lt;div&gt;last name&lt;/div&gt; is not programmatically associated with the input, so assistive technologies cannot announce what the field is for. Associate the label with the input using a &lt;label&gt; element (either wrapping the input or using a 'for' attribute matching the input's 'id'). For example: &lt;label for="lastname"&gt;last name&lt;/label&gt; &lt;input id="lastname" /&gt; || [1.3.1] The visual label 'last name' is rendered in a plain &lt;div&gt; with no semantic relationship to the &lt;input&gt; it describes. The relationship between the label text and the form field is conveyed only visually, not programmatically. Replace the &lt;div&gt; with a &lt;label&gt; element and associate it with the input via the 'for'/'id' pairing, or wrap the input inside the &lt;label&gt;. This exposes the label–field relationship in the accessibility tree.</t>
  </si>
  <si>
    <t xml:space="preserve">run_nvda_full_audit, analyze_heading_structure, detect_keyboard_violations, validate_form_errors_and_labels, check_keyboard_navigation</t>
  </si>
  <si>
    <t xml:space="preserve">The page fails primarily on WCAG 1.3.1 (Info and Relationships) and WCAG 4.1.2 (Name, Role, Value). The visible label text 'last name' is rendered inside a non-semantic &lt;div&gt; with no programmatic link to the adjacent &lt;input&gt; element. As a result, screen readers (confirmed via NVDA audit) cannot announce a name for the text field, leaving users who rely on assistive technology with no way to understand the field's purpose. The fix is straightforward: replace the &lt;div&gt; with a &lt;label&gt; element properly associated to the input via matching 'for'/'id' attributes. WCAG 1.1.1 and 2.4.1 are inapplicable (no images or repeated navigation blocks), and WCAG 2.1.1 passes since the input is keyboard-accessible without traps.</t>
  </si>
  <si>
    <t xml:space="preserve">[1.3.1] The visible label 'last name' is placed in a plain &lt;div&gt; with no programmatic association to the &lt;input&gt; it describes. Assistive technologies cannot determine the relationship between the label text and the form field. Use a &lt;label&gt; element with a matching 'for' attribute tied to the input's 'id' (e.g., &lt;label for="lastname"&gt;last name&lt;/label&gt; &lt;input id="lastname" /&gt;), or wrap the input inside a &lt;label&gt; element. Alternatively, use aria-labelledby or aria-label on the &lt;input&gt;. || [4.1.2] The &lt;input&gt; element has no accessible name. NVDA did not announce any name for the control, and the ARIA accessibility tree confirms the textbox role has an empty name string. Provide an accessible name via a properly associated &lt;label&gt;, aria-label, or aria-labelledby attribute. Example: &lt;input aria-label="Last name" /&gt; or use a &lt;label for="id"&gt; pattern. || [1.1.1] No non-text content is present on the page. This criterion is not applicable. No action required for this criterion. || [2.1.1] The &lt;input&gt; is keyboard-focusable and reachable via Tab. No keyboard traps or mouse-only interactions were detected. This criterion passes. No action required for this criterion. || [2.4.1] The page contains no repeated navigation blocks, so a skip link is not required. This criterion is not applicable. No action required for this criterion.</t>
  </si>
  <si>
    <t xml:space="preserve">run_nvda_full_audit, detect_keyboard_violations, analyze_heading_structure, validate_form_errors_and_labels, check_keyboard_navigation</t>
  </si>
  <si>
    <t xml:space="preserve">The page fails on two critical WCAG 2.1 Level A criteria. The most significant issue is that the &lt;input&gt; field has no accessible name (violating both 1.3.1 and 4.1.2): the visible label text 'last name' is placed in an unassociated &lt;div&gt;, so assistive technologies such as screen readers cannot programmatically link it to the input control. NVDA confirmed it announced neither a name nor a role for the input. WCAG 1.1.1 is inapplicable (no images), WCAG 2.1.1 passes (the input is keyboard-focusable with no traps), and WCAG 2.4.1 is inapplicable (no repeated navigation blocks). The fix is straightforward: replace the &lt;div&gt; with a &lt;label for="lastName"&gt; and add id="lastName" to the &lt;input&gt;.</t>
  </si>
  <si>
    <t xml:space="preserve">[1.3.1] The visible label 'last name' is a plain &lt;div&gt; with no programmatic association to the &lt;input&gt; field. The relationship between the label text and the input is not conveyed to assistive technologies. Use a &lt;label&gt; element with a matching 'for' attribute tied to the input's 'id' (e.g., &lt;label for="lastName"&gt;last name&lt;/label&gt; &lt;input id="lastName" /&gt;), or wrap the input inside a &lt;label&gt; element. Alternatively, use aria-labelledby or aria-label on the input. || [4.1.2] The &lt;input&gt; element has no accessible name. NVDA did not announce any name for the control, and the ARIA accessibility tree confirms the textbox role has an empty name string. Provide an accessible name via a properly associated &lt;label for="..."&gt;, aria-label, or aria-labelledby attribute on the &lt;input&gt; element.</t>
  </si>
  <si>
    <t xml:space="preserve">The page fails four of the five evaluated WCAG 2.1 criteria. The sole interactive element — a &lt;button&gt;Save&lt;/button&gt; — is pushed off-screen with large negative absolute positioning (-9999px). This causes it to be a dead focus stop for keyboard users (WCAG 2.1.1), prevents NVDA from announcing its name and role (WCAG 4.1.2), and contributes to a complete absence of semantic structure (WCAG 1.3.1). The page also lacks any bypass mechanism such as skip links or landmark regions (WCAG 2.4.1). Only WCAG 1.1.1 (Non-text Content) is inapplicable, as the page contains no images or other non-text content. Immediate remediation should focus on either properly hiding the button (display:none / visibility:hidden) if it is not meant to be used, or making it genuinely accessible if it is functional content.</t>
  </si>
  <si>
    <t xml:space="preserve">[2.1.1] The button is positioned off-screen at (-9999px, -9999px) using absolute positioning, making it visually inaccessible. It remains in the tab order and receives keyboard focus, but it cannot be seen or meaningfully interacted with by sighted keyboard users — it is a dead focus stop that does not respond to activation. If the button is intentionally hidden, use 'display: none' or 'visibility: hidden' to remove it from both the visual layout AND the tab order. If it is a skip-link or similar bypass mechanism, it should become visible on focus (e.g., using a CSS :focus rule that resets position to a visible location). || [2.4.1] The page has no bypass mechanism (skip link, landmark regions, or headings) to allow users to skip repeated blocks of content. No &lt;main&gt;, &lt;nav&gt;, &lt;header&gt;, or skip-link was detected. Add a visible (or focus-visible) skip link as the first focusable element (e.g., &lt;a href='#main-content'&gt;Skip to main content&lt;/a&gt;) and wrap the primary content in a &lt;main id='main-content'&gt; landmark. Alternatively, use ARIA landmark roles to structure the page. || [1.3.1] The page has no heading structure whatsoever. There is no &lt;h1&gt; or any other heading, and no landmark regions to convey the page's information structure programmatically. Add a meaningful &lt;h1&gt; heading that describes the page's purpose, and use appropriate heading levels (&lt;h2&gt;, &lt;h3&gt;, etc.) to reflect the content hierarchy. Wrap content in semantic HTML5 landmark elements (&lt;main&gt;, &lt;header&gt;, &lt;nav&gt;, etc.). || [4.1.2] Although the button has a valid accessible name ('Save') in the accessibility tree, NVDA did not announce either the name or the role ('button') for this control. This is likely because the element is rendered off-screen at -9999px, causing assistive technologies to skip or fail to announce it. Do not use large negative absolute positioning to hide interactive elements. If the button must be hidden from sighted users but available to AT, use a proper visually-hidden technique that...</t>
  </si>
  <si>
    <t xml:space="preserve">The page fails multiple Level A WCAG 2.1 criteria. The single interactive element — a &lt;button&gt; — is pushed far off-screen via absolute positioning (left/top: -9999px). This causes it to remain in the keyboard tab order as a dead focus stop (WCAG 2.1.1 failure), prevents NVDA from announcing its name and role (WCAG 4.1.2 failure), and means it is functionally unusable for keyboard and assistive technology users. Additionally, the page entirely lacks heading structure and landmark regions, violating WCAG 1.3.1 (Info and Relationships) and WCAG 2.4.1 (Bypass Blocks). The only criterion that is not violated is WCAG 1.1.1 (Non-text Content), which is inapplicable because the page contains no images or other non-text content.</t>
  </si>
  <si>
    <t xml:space="preserve">[2.1.1] The button is positioned off-screen at (-9999px, -9999px) using absolute positioning. It remains in the tab order and receives keyboard focus, but because it is visually off-screen it cannot be meaningfully activated by a keyboard user — the tool confirmed it is a dead focus stop that does not respond to Enter/Space activation. If the button must be hidden from sighted users but remain accessible to screen readers, use a proper visually-hidden technique (e.g., clip-path or the sr-only pattern) that still allows the element to be activated. If the button should be fully hidden, use display:none or the hidden attribute to remove it from both the visual and keyboard flow entirely. If it must be interactive, keep it in the visible viewport. || [1.3.1] The page has no heading structure whatsoever (no &lt;h1&gt; through &lt;h6&gt; elements) and no landmark regions (no &lt;main&gt;, &lt;nav&gt;, &lt;header&gt;, or &lt;footer&gt;). This means relationships and structure cannot be programmatically determined. Add at least one &lt;h1&gt; to identify the page's primary topic and wrap the main content in a &lt;main&gt; landmark element so that structure and relationships are programmatically exposed. || [4.1.2] NVDA did not announce the accessible name or the role ('button') for the off-screen button. Although the accessibility tree shows the button has a computed name ('Save') and role ('button'), the off-screen positioning caused NVDA to produce no announcement when the element received focus, meaning assistive technology users receive no usable information about the control. Ensure the button is either fully hidden (display:none / hidden attribute) or placed in a location where assistive technologies can reliably announce its name and role. The off-screen CSS trick at extreme negative coordinates interferes with NVDA's ability to announce the element. || [2.4.1] The page has no skip navigation mechanism and no landmark regions, making it impossible for keyboard users to bypass any repeated blocks of content. Ad...</t>
  </si>
  <si>
    <t xml:space="preserve">The page fails multiple WCAG 2.1 Level A criteria. The single &lt;button&gt; element is pushed off-screen via absolute positioning (left/top: -9999px), which keeps it in the keyboard tab order while making it visually invisible and non-operable — a direct violation of WCAG 2.1.1 (Keyboard). NVDA failed to announce the button's name or role, violating WCAG 4.1.2 (Name, Role, Value). The page also lacks any semantic structure (no headings, no landmarks), violating WCAG 1.3.1 (Info and Relationships) and leaving no bypass mechanism for WCAG 2.4.1 (Bypass Blocks). WCAG 1.1.1 is not applicable as there is no non-text content. The most critical fix is to either make the button fully visible and operable, or hide it properly using display:none or visibility:hidden so it is removed from both the visual and accessibility tree.</t>
  </si>
  <si>
    <t xml:space="preserve">[2.1.1] The button is positioned off-screen at (-9999px, -9999px) using absolute positioning, yet it remains in the tab order. It receives keyboard focus but is visually invisible and does not respond to activation (Enter/Space), creating a dead focus stop for keyboard users. If the button is intentionally hidden, remove it from the tab order using tabindex="-1" or use display:none / visibility:hidden instead of off-screen positioning. If it is a skip link or intentionally focusable, ensure it becomes visible on focus and is fully operable. || [2.4.1] The page has no skip navigation mechanism (no skip link, no landmark regions such as &lt;main&gt;, &lt;nav&gt;, &lt;header&gt;). While the page is trivially simple now, the absence of any bypass block structure is a structural gap. Wrap the primary content in a &lt;main&gt; landmark element. If repeated navigation blocks exist, add a visible (or visually-hidden-but-focusable) skip link as the first focusable element. || [1.3.1] The page has no semantic structure: no headings, no landmarks (main, header, nav, footer), and no meaningful information relationships conveyed through markup. Add appropriate landmark elements (e.g., &lt;main&gt;) and at minimum an &lt;h1&gt; to convey the page's primary topic. Ensure all structural relationships are expressed through semantic HTML. || [4.1.2] NVDA did not announce the accessible name or role of the button, likely because the button is rendered off-screen and is not reachable in a meaningful way by the assistive technology. The button's name and role are not being properly surfaced to screen readers. Ensure interactive controls are either fully accessible (visible, operable, and announced by screen readers) or properly hidden from all users (including AT) using display:none or visibility:hidden. Do not rely on off-screen positioning to hide elements that should be inaccessible.</t>
  </si>
  <si>
    <t xml:space="preserve">This minimal page contains only a single &lt;iframe&gt; element with role='none', which explicitly removes it from the accessibility tree, making it presentational and non-interactive. All five target WCAG criteria are inapplicable: (1) WCAG 1.1.1 — there are no images, icons, or other non-text content requiring alternative text; (2) WCAG 1.3.1 — there is no meaningful structure, relationships, or content conveyed visually that needs programmatic expression; (3) WCAG 2.1.1 — the iframe carries role='none', stripping it of its native interactive role, and no other interactive elements exist, so keyboard operability is not required; (4) WCAG 2.4.1 — there are no repeated navigation blocks or content regions that would necessitate a bypass mechanism; (5) WCAG 4.1.2 — the iframe's role='none' intentionally removes it from the accessibility tree, meaning it is not an interactive UI component requiring a name, role, or value. The NVDA audit, keyboard violation detector, and keyboard navigation checker all confirmed no applicable interactive elements or content. No violations were found, and no remediation is needed for this page as evaluated.</t>
  </si>
  <si>
    <t xml:space="preserve">None of the five target WCAG 2.1 criteria (1.1.1, 1.3.1, 2.1.1, 2.4.1, 4.1.2) apply to this page. The page contains only a single &lt;iframe&gt; element that carries role='none', which explicitly removes it from the accessibility tree, meaning assistive technologies will not expose it as an interactive or named element — making 4.1.2 inapplicable. There are no images, non-text content, or decorative media, so 1.1.1 does not apply. There are no headings, tables, lists, or semantic structures to evaluate for 1.3.1. The iframe with role='none' is not a meaningful interactive control and the page has no other interactive elements, so 2.1.1 is inapplicable. Finally, there are no repeated navigation blocks, landmarks, or skip-link targets, so 2.4.1 is also inapplicable. All tools confirmed either 'N/A', 'PASS', or 'INAPPLICABLE' verdicts with zero issues detected.</t>
  </si>
  <si>
    <t xml:space="preserve">This minimal page contains only a single &lt;iframe&gt; element with role='none', which explicitly removes it from the accessibility tree, making it presentational. There are no images (WCAG 1.1.1 N/A), no semantic structures or relationships beyond the page itself (WCAG 1.3.1 N/A), no interactive or keyboard-operable elements (WCAG 2.1.1 N/A), no repeated navigation blocks requiring a bypass mechanism (WCAG 2.4.1 N/A), and no interactive UI components with name/role/value requirements (WCAG 4.1.2 N/A — the iframe is explicitly neutralized via role='none'). All five target criteria are inapplicable to this page's content, and no violations were detected by any tool.</t>
  </si>
  <si>
    <t xml:space="preserve">run_nvda_full_audit, analyze_heading_structure, detect_keyboard_violations, check_keyboard_navigation, validate_form_errors_and_labels</t>
  </si>
  <si>
    <t xml:space="preserve">The page contains a single `&lt;input type='image'&gt;` element with a properly set `alt='Download'` attribute, satisfying WCAG 1.1.1 (Non-text Content). The ARIA accessibility tree confirms the element is exposed as a button role with the accessible name 'Download', satisfying WCAG 4.1.2 (Name, Role, Value). The element is natively keyboard-focusable as a standard HTML input, satisfying WCAG 2.1.1 (Keyboard). WCAG 2.4.1 (Bypass Blocks) is inapplicable because the page has no repeated navigation blocks. WCAG 1.3.1 (Info and Relationships) is effectively inapplicable as there are no structural relationships, tables, lists, or form groupings to convey — the absence of headings on such a minimal single-element page is not a meaningful violation. The NVDA tool's 4.1.2 FAIL and the keyboard tool's dead-focus-stop FAIL are both false positives: the ARIA tree confirms a valid accessible name and role ('button'/'Download'), and `&lt;input type='image'&gt;` is a native submit button that does not require JavaScript state changes to be considered operable. Overall, the page passes all applicable WCAG 2.1 Level A criteria under evaluation.</t>
  </si>
  <si>
    <t xml:space="preserve">This minimal page contains a single `&lt;input type='image' value='download' alt='Download' /&gt;` element. Against all five target criteria: (1) WCAG 1.1.1 — the image input carries a meaningful `alt='Download'` attribute, satisfying the non-text content requirement; (2) WCAG 1.3.1 — no structural relationships, tables, lists, or form groupings are present that could be improperly conveyed; (3) WCAG 2.1.1 — the image input is a native HTML control that is natively keyboard-focusable and operable; no mouse-only or hover-only interactions were detected; (4) WCAG 2.4.1 — the page contains no repeated navigation blocks, so bypass mechanisms are not required and the criterion is inapplicable; (5) WCAG 4.1.2 — the ARIA accessibility tree correctly exposes the element with role='button' and accessible name 'Download', derived from the `alt` attribute. The NVDA tool flagged a live screen-reader announcement gap, but the underlying accessibility tree data confirms the name and role are properly programmatically determined. No genuine violations were found across any of the five criteria.</t>
  </si>
  <si>
    <t xml:space="preserve">This minimal page contains a single `&lt;input type="image" alt="Download" /&gt;` element. Against all five target criteria, the page passes or the criteria are inapplicable. (1) WCAG 1.1.1 Non-text Content: The image input carries a meaningful `alt="Download"` attribute, satisfying the text-alternative requirement — NVDA audit confirms PASS. (2) WCAG 1.3.1 Info and Relationships: There are no complex structures (tables, lists, form groups, headings) whose relationships need to be programmatically conveyed; the single input is a native HTML element whose semantics are inherent. The absence of headings is a best-practice concern but not a 1.3.1 violation for this trivial page. (3) WCAG 2.1.1 Keyboard: `&lt;input type="image"&gt;` is a natively focusable and keyboard-operable element; no mouse-only interactions or ARIA widget issues were detected — both keyboard tools report PASS. (4) WCAG 2.4.1 Bypass Blocks: The page contains no repeated blocks of navigation content, so bypass mechanisms are not required — the NVDA audit explicitly returns N/A. (5) WCAG 4.1.2 Name, Role, Value: The element is a native `&lt;input type="image"&gt;`, which browsers expose with the implicit ARIA role of `button` and an accessible name derived from `alt="Download"` — the accessibility tree confirms `role=button, name=Download`. The NVDA tool's FAIL is an environment artifact (NVDA was not running during the test, so no live announcement was captured), not a true markup failure; the underlying aria-tree result correctly shows the element has an accessible name and role. Overall, the page complies with all five evaluated WCAG 2.1 success criteria.</t>
  </si>
  <si>
    <t xml:space="preserve">The page fails WCAG 4.1.2 (Name, Role, Value) because it contains two &lt;iframe&gt; elements that are assigned the exact same title attribute value ('List of Contributors') and point to the same source URL. Screen readers announce iframe titles when users navigate between frames; identical titles make it impossible for assistive technology users to distinguish one frame from the other, violating the requirement that user interface components expose a unique, descriptive name. The remaining applicable criteria — WCAG 2.1.1 (Keyboard) and WCAG 2.4.1 (Bypass Blocks) — pass, and WCAG 1.1.1 and 1.3.1 are not meaningfully applicable given the page's minimal content.</t>
  </si>
  <si>
    <t xml:space="preserve">[4.1.2] Two &lt;iframe&gt; elements share an identical accessible name ('List of Contributors'), making them indistinguishable to assistive technology users. Give each &lt;iframe&gt; a unique and descriptive title attribute that clearly distinguishes its content from other frames on the page. For example, use title="List of Contributors – Section 1" and title="List of Contributors – Section 2", or differentiate them by their actual distinct purpose.</t>
  </si>
  <si>
    <t xml:space="preserve">run_nvda_full_audit, detect_keyboard_violations, analyze_heading_structure, check_keyboard_navigation, check_keyboard_focusables</t>
  </si>
  <si>
    <t xml:space="preserve">The page fails primarily on WCAG 4.1.2 (Name, Role, Value) because both &lt;iframe&gt; elements carry the identical accessible name 'List of Contributors', making them indistinguishable to screen reader users who navigate by frame. This also undermines WCAG 2.4.1 (Bypass Blocks), as non-unique frame names prevent meaningful frame-based navigation. Additionally, the page lacks any heading or landmark structure, violating WCAG 1.3.1 (Info and Relationships). WCAG 1.1.1 (Non-text Content) and WCAG 2.1.1 (Keyboard) are inapplicable to this page's outer shell, as there are no images or interactive elements in the host document itself.</t>
  </si>
  <si>
    <t xml:space="preserve">[4.1.2] Two &lt;iframe&gt; elements share an identical accessible name ('List of Contributors'), making them indistinguishable to assistive technology users navigating by frame. Give each &lt;iframe&gt; a unique, descriptive title that accurately reflects its distinct content or purpose. For example, use title="List of Contributors – Section 1" and title="List of Contributors – Section 2", or consolidate into a single iframe if the content is truly identical. || [2.4.1] Because both iframes share the same name, screen reader users navigating by frame list cannot distinguish between them, undermining the ability to bypass or navigate to the correct block of content. Assign unique, descriptive titles to each iframe so that users can identify and navigate to the correct frame. Additionally, consider adding skip links or landmark regions (&lt;main&gt;, &lt;nav&gt;) to support bypass of repeated blocks. || [1.3.1] The page has no headings, landmarks (main, nav, header, footer), or structural elements beyond the two iframes, providing no programmatic structure for assistive technology users. Wrap page content in appropriate landmark elements (e.g., &lt;main&gt;) and add at least one &lt;h1&gt; heading to convey the page's information structure programmatically.</t>
  </si>
  <si>
    <t xml:space="preserve">The page fails three of the five evaluated WCAG 2.1 Level A criteria. Most critically, under WCAG 4.1.2 (Name, Role, Value), both iframes carry the identical title attribute ('List of Contributors') pointing to the same source URL, making them completely indistinguishable for screen reader users who rely on unique, descriptive names to understand and navigate embedded frames. Under WCAG 2.4.1 (Bypass Blocks), the page provides no skip link, no ARIA landmark regions, and no other mechanism to bypass repeated content blocks, leaving keyboard-only users without a way to efficiently navigate. Under WCAG 1.3.1 (Info and Relationships), the page lacks any heading structure, so the programmatic relationships and hierarchy of content cannot be conveyed to assistive technologies. WCAG 1.1.1 (Non-text Content) and WCAG 2.1.1 (Keyboard) are inapplicable to this page as it contains no images and no custom interactive widgets beyond the natively keyboard-accessible iframes.</t>
  </si>
  <si>
    <t xml:space="preserve">[4.1.2] Two iframes share the identical accessible name ('List of Contributors') but embed the same source URL, making them indistinguishable to assistive technology users. Give each iframe a unique, descriptive title that accurately reflects its distinct content or purpose. If both iframes truly embed identical content, consider whether both are necessary. If they must coexist, differentiate their titles (e.g., 'List of Contributors – Section 1' and 'List of Contributors – Section 2'). || [2.4.1] The page contains no skip-navigation link, no landmark regions (main, nav, header, footer), and no other bypass mechanism. Users relying on keyboard navigation cannot skip repeated blocks. Add a &lt;main&gt; landmark wrapping the primary content and, if repeated navigation blocks exist, provide a visible 'Skip to main content' skip link as the first focusable element on the page. || [1.3.1] The page has no heading structure whatsoever (no H1–H6). Content relationships and page structure cannot be programmatically determined by assistive technologies. Add a meaningful H1 heading that describes the page's primary topic, and use subsequent heading levels (H2, H3, etc.) to reflect the logical structure of the content within the iframes.</t>
  </si>
  <si>
    <t xml:space="preserve">The page fails two of the five evaluated WCAG 2.1 criteria. Most critically, the &lt;meta http-equiv="refresh" content="+5; https://w3.org"&gt; tag imposes a 5-second automatic redirect with no user control, directly violating WCAG 2.2.1 Timing Adjustable (Level A) — a critical barrier for users who need more time to read or interact. Additionally, the page lacks every standard location signal (no &lt;title&gt;, no &lt;h1&gt;, no breadcrumb, no aria-current), failing WCAG 2.4.8 Location (Level AAA). The remaining three criteria — 3.1.4 Abbreviations, 3.3.1 Error Identification, and 3.3.2 Labels or Instructions — are inapplicable because the page contains no abbreviations, no forms, and no interactive controls.</t>
  </si>
  <si>
    <t xml:space="preserve">[2.2.1] A meta refresh with a 5-second delay redirects the user to another URL with no mechanism to stop, adjust, or extend the time limit. Remove the meta refresh redirect entirely. If a timed redirect is truly necessary, provide a visible, keyboard-accessible control that allows users to turn off, adjust, or extend the time limit before it expires (e.g., a 'Cancel redirect' button or a preference to extend the countdown). || [2.4.8] No location indicators are present on the page. There is no meaningful page title, no H1 heading, no breadcrumb, no aria-current attribute, and no active navigation item to inform users of their current location within the site. Add a descriptive &lt;title&gt; element, an &lt;h1&gt; heading, and/or a breadcrumb trail (with aria-current="page" on the current item) so users always know where they are within the site structure.</t>
  </si>
  <si>
    <t xml:space="preserve">check_timing_and_timeouts, check_location_indicators, analyze_readability, validate_form_errors_and_labels</t>
  </si>
  <si>
    <t xml:space="preserve">The page fails two of the five evaluated WCAG 2.1 criteria. Most critically, it violates WCAG 2.2.1 (Timing Adjustable, Level A) by using a meta refresh that redirects the user after only 5 seconds with no way to stop, adjust, or extend that time limit — this is a critical barrier for users with cognitive, motor, or visual disabilities who may not be able to react in time. It also fails WCAG 2.4.8 (Location, Level AAA) because the page provides no signals whatsoever — no title, no H1, no breadcrumb, no aria-current — to orient users within the site. The remaining three criteria (3.1.4 Abbreviations, 3.3.1 Error Identification, and 3.3.2 Labels or Instructions) are inapplicable due to the absence of substantial text content and form elements.</t>
  </si>
  <si>
    <t xml:space="preserve">[2.2.1] A meta refresh with a 5-second delay is present with no mechanism to stop, adjust, or extend the time limit. Remove the meta refresh entirely, or provide a clearly visible control that allows users to turn off, adjust, or extend the time limit before it expires. If the redirect is essential, consider using server-side redirects instead, or ensure the delay is at least 20 hours per WCAG exception. || [2.4.8] No location indicators are present on the page. There is no page title, no H1 heading, no breadcrumb, no aria-current attribute, and no active navigation item to inform users of their current location within the site. Add a descriptive &lt;title&gt; element, an &lt;h1&gt; heading, and/or a breadcrumb trail or navigation landmark with aria-current="page" to clearly communicate the user's current location within the site. || [3.1.4] Inapplicable — the page contains only 5 words of text content with no detectable abbreviations. No action required for this criterion on this page. || [3.3.1] Inapplicable — no form elements are present on the page. No action required for this criterion on this page. || [3.3.2] Inapplicable — no form elements are present on the page. No action required for this criterion on this page.</t>
  </si>
  <si>
    <t xml:space="preserve">The page fails two of the five evaluated WCAG 2.1 criteria. Most critically, it violates WCAG 2.2.1 (Timing Adjustable, Level A) by using a meta refresh that automatically redirects users to a different URL after only 5 seconds, with no controls to pause, stop, or extend that time limit — this is especially harmful for users who rely on assistive technologies or need more time to read. It also fails WCAG 2.4.8 (Location, Level AAA) because the page has no page title, no heading, no breadcrumb, and no other signal to orient users within a site. The remaining three criteria — WCAG 3.1.4 (Abbreviations), 3.3.1 (Error Identification), and 3.3.2 (Labels or Instructions) — are inapplicable: the text is too minimal for abbreviation analysis, and there are no forms on the page.</t>
  </si>
  <si>
    <t xml:space="preserve">[2.2.1] A meta refresh with a 5-second delay redirects the user to another URL with no mechanism to turn off, adjust, or extend the time limit. Remove the meta refresh redirect entirely. If a timed redirect is truly necessary, provide a visible control that allows users to turn off, adjust, or extend the time limit before it expires. Alternatively, use a server-side redirect (HTTP 301/302) which is instantaneous and does not impose a time limit on the user. || [2.4.8] The page provides no location information to help users understand where they are within a set of pages. No breadcrumb, aria-current, active nav link, meaningful page title, or H1 heading was found. Add a descriptive &lt;title&gt; element (e.g., &lt;title&gt;Redirect Notice – Site Name&lt;/title&gt;), an &lt;h1&gt; heading, and/or breadcrumb navigation with aria-current="page" on the active link so users always know their location within the site.</t>
  </si>
  <si>
    <t xml:space="preserve">Four of the five target criteria are inapplicable to this minimal page: WCAG 2.2.1 (Timing Adjustable) passes because the &lt;meta http-equiv="refresh"&gt; tag carries no 'content' attribute and therefore triggers no actual refresh; WCAG 3.1.4 (Abbreviations) and WCAG 3.3.1/3.3.2 (Error Identification / Labels or Instructions) are inapplicable because the page contains no abbreviations and no forms. However, the page fails WCAG 2.4.8 (Location – Level AAA): it has no &lt;title&gt;, no &lt;h1&gt;, no breadcrumb, and no aria-current marker, leaving users with no way to determine their location within a larger site or set of pages. Because 2.4.8 is a Level AAA criterion the severity is rated minor, but the fix is straightforward and strongly recommended.</t>
  </si>
  <si>
    <t xml:space="preserve">[2.4.8] No location indicators are present on the page. Add at least one location signal so users know where they are within the site. At minimum, provide a meaningful &lt;title&gt; element (e.g., &lt;title&gt;Home – My Site&lt;/title&gt;) and an &lt;h1&gt;. For multi-page sites, also consider breadcrumb navigation with aria-current="page" on the active link.</t>
  </si>
  <si>
    <t xml:space="preserve">Four of the five target criteria are inapplicable to this minimal page: WCAG 2.2.1 (Timing Adjustable) passes because the &lt;meta http-equiv="refresh"&gt; tag carries no 'content' attribute and therefore triggers no actual refresh; WCAG 3.1.4 (Abbreviations) and WCAG 3.3.1/3.3.2 (Error Identification / Labels or Instructions) are inapplicable because the page contains no abbreviations and no forms. However, the page fails WCAG 2.4.8 (Location – Level AAA): it has no &lt;title&gt;, no &lt;h1&gt;, no breadcrumb, and no aria-current attribute, leaving users with no way to determine their current location within a site or set of pages.</t>
  </si>
  <si>
    <t xml:space="preserve">Four of the five target criteria are inapplicable to this minimal page: WCAG 2.2.1 (Timing Adjustable) passes because the &lt;meta http-equiv="refresh"&gt; tag carries no 'content' attribute and therefore triggers no actual refresh; WCAG 3.1.4 (Abbreviations) and WCAG 3.3.1/3.3.2 (Error Identification / Labels or Instructions) are inapplicable because the page contains no abbreviations and no form elements. However, the page fails WCAG 2.4.8 (Location – Level AAA): it has no &lt;title&gt;, no &lt;h1&gt;, no breadcrumb, and no aria-current attribute, leaving users with no way to determine their current location within a site or set of pages.</t>
  </si>
  <si>
    <t xml:space="preserve">[2.4.8] No location indicators are present on the page. Add at least one location signal so users know where they are within the site. At minimum, provide a meaningful &lt;title&gt; element (e.g., &lt;title&gt;Home – My Site&lt;/title&gt;) and an &lt;h1&gt;. For multi-page sites, also consider breadcrumb navigation or aria-current="page" on the active nav link.</t>
  </si>
  <si>
    <t xml:space="preserve">The page fails on two of the five evaluated criteria. The single most impactful problem is the zero-second meta-refresh redirect (WCAG 2.2.1 — Level A, critical severity): it gives users absolutely no opportunity to adjust, pause, or cancel the navigation, violating the core requirement that time limits be user-controllable. Compounding this, the page is a near-empty shell with no title, body, headings, breadcrumbs, or navigation landmarks, making it impossible for users to determine their location within a site (WCAG 2.4.8 — Level AAA). The remaining three criteria (3.1.4 Abbreviations, 3.3.1 Error Identification, 3.3.2 Labels or Instructions) are inapplicable because the page contains no text content, no forms, and no interactive elements.</t>
  </si>
  <si>
    <t xml:space="preserve">[2.2.1] Instant meta-refresh redirect with no user control to turn off, adjust, or extend the time limit. Remove the meta-refresh redirect entirely. If a redirect is necessary, use a server-side HTTP 301/302 redirect instead. If a timed redirect must remain, set the delay to at least 20 hours OR provide clearly visible controls that allow the user to turn off, adjust, or extend the time limit before it expires. || [2.4.8] The page provides no location indicators whatsoever — no &lt;title&gt;, no &lt;body&gt;, no breadcrumbs, no navigation landmarks, no aria-current, and no headings — leaving users with no way to determine where they are within a site or set of pages. Add a meaningful &lt;title&gt; element, a visible &lt;h1&gt;, and breadcrumb or navigation landmarks so users always know their current location. If this page is a redirect stub, consider eliminating it in favour of a server-side redirect so users never land on a content-free page.</t>
  </si>
  <si>
    <t xml:space="preserve">The page fails primarily on WCAG 2.2.1 (Timing Adjustable) due to a zero-second meta-refresh redirect (&lt;meta http-equiv="refresh" content="0; URL='https://github.com'"&gt;). This gives users absolutely no time to read, interact with, or control the page before being forcibly navigated away — a critical Level A violation. The same redirect also causes a secondary failure against WCAG 2.4.8 (Location, Level AAA): the page has no title, no body content, no breadcrumb, and no navigation landmarks, so users have no way to determine where they are in the site. The remaining three criteria (3.1.4 Abbreviations, 3.3.1 Error Identification, 3.3.2 Labels or Instructions) are inapplicable because the page contains no text content and no form elements. The recommended fix is to replace the client-side meta-refresh with a proper server-side HTTP redirect (301/302), and to ensure any transitional page that must exist includes a meaningful title and location context.</t>
  </si>
  <si>
    <t xml:space="preserve">[2.2.1] Instant meta-refresh redirect with no mechanism to turn off, adjust, or extend the time limit. Remove the meta-refresh redirect entirely and replace it with a server-side HTTP 301/302 redirect. If a client-side redirect is unavoidable, set a delay long enough (≥ 20 hours) to be effectively unlimited, or provide visible controls that allow the user to turn off, adjust, or extend the time limit before it expires. || [2.4.8] The page provides no location indicators whatsoever (no breadcrumb, no highlighted navigation item, no aria-current, no meaningful page title, no H1). The tool also crashed due to the immediate navigation triggered by the meta-refresh, confirming the page is effectively invisible to users and assistive technologies. Add a descriptive &lt;title&gt; element, a visible page heading (H1), and at minimum one navigation mechanism with an aria-current='page' marker so users always know where they are within the site. || [3.1.4] Inapplicable — the page contains zero words of text content, so no abbreviations can be present. No action required for this criterion on this page. || [3.3.1] Inapplicable — the page contains no forms or interactive inputs, so no error identification is needed. Tool execution was aborted by the instant redirect. No action required for this criterion on this page. || [3.3.2] Inapplicable — the page contains no form fields or user inputs requiring labels or instructions. No action required for this criterion on this page.</t>
  </si>
  <si>
    <t xml:space="preserve">The page fails on two of the five evaluated criteria. The most critical violation is WCAG 2.2.1 (Timing Adjustable): the page uses a meta-refresh with a 0-second delay to instantly redirect users to GitHub, providing absolutely no mechanism to pause, stop, or adjust the time limit. This is a Level A failure and completely removes user control. The page also fails WCAG 2.4.8 (Location, Level AAA): it has no &lt;title&gt;, no body content, no headings, no breadcrumbs, and no navigation landmarks, leaving users with no way to understand where they are. The remaining three criteria — WCAG 3.1.4 (Abbreviations), 3.3.1 (Error Identification), and 3.3.2 (Labels or Instructions) — are inapplicable because the page contains no text content and no form elements.</t>
  </si>
  <si>
    <t xml:space="preserve">[2.2.1] Instant meta-refresh redirect with a 0-second delay gives users no opportunity to adjust, extend, or disable the time limit. Remove the meta-refresh redirect entirely. If a redirect is necessary, use a server-side HTTP 301/302 redirect instead. If a timed redirect must remain, set a delay of at least 20 hours (per WCAG guidance) or provide visible controls that allow users to turn off, adjust, or extend the time limit before it expires. || [2.4.8] The page provides no location indicators whatsoever — no &lt;title&gt;, no &lt;h1&gt;, no breadcrumb, no navigation landmark, and no aria-current attribute — so users cannot determine where they are within the site. Add a descriptive &lt;title&gt; element, a visible &lt;h1&gt;, and breadcrumb navigation or an aria-current="page" indicator on the active navigation link so users always know their current location within the site structure.</t>
  </si>
  <si>
    <t xml:space="preserve">The page fails two of the five evaluated WCAG criteria. Most critically, it uses a &lt;meta http-equiv="refresh" content="30"&gt; tag that automatically reloads the page every 30 seconds with no user control to stop, adjust, or extend this time limit — a clear violation of WCAG 2.2.1 (Timing Adjustable, Level A). Additionally, the page lacks any location indicators (no page title, no H1, no breadcrumb, no aria-current), failing WCAG 2.4.8 (Location, Level AAA). The remaining three criteria — WCAG 3.1.4 (Abbreviations), 3.3.1 (Error Identification), and 3.3.2 (Labels or Instructions) — are inapplicable because the page contains no abbreviations, no forms, and no interactive inputs.</t>
  </si>
  <si>
    <t xml:space="preserve">[2.2.1] A meta refresh with a 30-second timeout is present with no mechanism to turn off, adjust, or extend the time limit. Remove the meta refresh entirely, or provide a user-accessible control to turn off, pause, or extend the time limit before it expires. If the refresh is essential, ensure users are warned and given at least 20 hours to extend it. || [2.4.8] No location indicators are present on the page. There is no meaningful page title, no H1 heading, no breadcrumb, no aria-current attribute, and no active navigation link to inform users of their current location within the site. Add a descriptive &lt;title&gt; element, an &lt;h1&gt; heading, and/or a breadcrumb trail or navigation landmark with aria-current="page" to clearly communicate the user's location within the site.</t>
  </si>
  <si>
    <t xml:space="preserve">The page fails two of the five evaluated criteria. Most critically, it violates WCAG 2.2.1 (Timing Adjustable, Level A) by using a bare &lt;meta http-equiv="refresh" content="30"&gt; with no controls to pause, stop, or extend the automatic page refresh — this is a critical barrier for users who need more time to read or interact with content. It also fails WCAG 2.4.8 (Location, Level AAA) because the page has no title, no heading, no breadcrumb, and no aria-current signal to orient users within the site. The remaining three criteria — WCAG 3.1.4 (Abbreviations), 3.3.1 (Error Identification), and 3.3.2 (Labels or Instructions) — are inapplicable because the page contains no abbreviations, no forms, and no interactive controls.</t>
  </si>
  <si>
    <t xml:space="preserve">[2.2.1] A meta refresh with a 30-second timeout is present with no mechanism to turn off, adjust, or extend the time limit. Remove the meta refresh entirely, or provide a user-accessible control to turn off, adjust, or extend the time limit before it expires. If the refresh is essential, consider using a server-side redirect instead and ensure users are warned and given at least 20 hours to respond, or offer a mechanism to disable it. || [2.4.8] No location indicators are present on the page. There is no meaningful page title, no H1 heading, no breadcrumb, no aria-current attribute, and no active navigation item to help users understand where they are within the site. Add a descriptive &lt;title&gt; element, an &lt;h1&gt; heading, and/or a breadcrumb trail (with aria-current="page" on the current item) so users always know their location within the site structure.</t>
  </si>
  <si>
    <t xml:space="preserve">The page fails two of the five evaluated WCAG 2.1 criteria. Most critically, it violates WCAG 2.2.1 (Timing Adjustable, Level A) by using a 30-second meta refresh with no controls to stop, adjust, or extend the time limit — this is a critical barrier for users who need more time to read or interact with content. It also fails WCAG 2.4.8 (Location, Level AAA) because the page lacks every standard location signal: no page title, no H1, no breadcrumb, no aria-current, and no active navigation indicator. The remaining three criteria — WCAG 3.1.4 (Abbreviations), 3.3.1 (Error Identification), and 3.3.2 (Labels or Instructions) — are inapplicable because the page contains no abbreviations, no forms, and no interactive inputs.</t>
  </si>
  <si>
    <t xml:space="preserve">[2.2.1] A meta refresh with a 30-second timeout is present with no mechanism to turn off, adjust, or extend the time limit. Remove the meta refresh entirely, or provide a user-accessible control to turn off, pause, or extend the time limit before it expires. If the refresh is essential, the timeout must be at least 20 hours, or the user must be warned and given at least 20 seconds to extend it. || [2.4.8] No location indicators are present on the page. There is no meaningful page title, no H1 heading, no breadcrumb, no aria-current attribute, and no active navigation link to inform users of their current location within the site. Add a descriptive &lt;title&gt; element, an &lt;h1&gt; heading, and/or a breadcrumb trail or navigation landmark with aria-current="page" to clearly communicate the user's current location within the site.</t>
  </si>
  <si>
    <t xml:space="preserve">The page fails two of the five evaluated WCAG 2.1 criteria. Most critically, it uses a meta-refresh tag to redirect users after 20 hours with no user controls to pause, stop, or extend the timer, violating WCAG 2.2.1 (Level A). It also fails WCAG 2.4.8 (Level AAA) because it lacks every standard location signal — no page title, no H1, no breadcrumb, and no aria-current marker — leaving users with no context about where they are within a website. The remaining three criteria (3.1.4 Abbreviations, 3.3.1 Error Identification, and 3.3.2 Labels or Instructions) are inapplicable because the page contains no abbreviations, no forms, and no interactive inputs.</t>
  </si>
  <si>
    <t xml:space="preserve">[2.2.1] A meta-refresh timer is set to redirect the page after 72,000 seconds (20 hours) with no mechanism for the user to turn off, adjust, or extend the time limit. Remove the meta-refresh redirect entirely and replace it with a server-side or scripted redirect that either (a) has no time limit, (b) provides a visible control to turn off or extend the countdown, or (c) warns the user at least 20 seconds before the redirect and offers a way to extend it. If the redirect is truly necessary, use a server-side HTTP 301/302 redirect instead. || [2.4.8] The page provides no location information to help users understand where they are within a set of pages. There is no meaningful &lt;title&gt;, no &lt;h1&gt;, no breadcrumb trail, no aria-current attribute, and no active navigation indicator. Add a descriptive &lt;title&gt; element (e.g., &lt;title&gt;Redirect Notice – Site Name&lt;/title&gt;), an &lt;h1&gt; heading, and, if this page is part of a larger site, a breadcrumb navigation component or aria-current="page" on the active navigation link to clearly communicate the user's current location.</t>
  </si>
  <si>
    <t xml:space="preserve">The page fails two of the five evaluated WCAG 2.1 success criteria. Most critically, it uses a meta-refresh tag to force a redirect after 20 hours (72,000 seconds) without providing any user control to pause, stop, or extend that timer — a clear violation of WCAG 2.2.1 (Level A). Additionally, the page lacks every standard location signal (no page title, no H1, no breadcrumb, no aria-current), failing WCAG 2.4.8 (Level AAA). The remaining three criteria — 3.1.4 Abbreviations, 3.3.1 Error Identification, and 3.3.2 Labels or Instructions — are inapplicable because the page contains no abbreviations, no forms, and no interactive inputs.</t>
  </si>
  <si>
    <t xml:space="preserve">[2.2.1] A meta-refresh timer is set to redirect the page after 72,000 seconds (20 hours) with no mechanism for the user to turn off, adjust, or extend the time limit. Remove the meta-refresh redirect and replace it with a server-side or JavaScript-based redirect that either (a) has no time limit, (b) allows the user to turn off the time limit, (c) allows the user to adjust the limit to at least 10× the default, or (d) warns the user at least 20 seconds before expiry and allows them to extend it. Alternatively, if the redirect is essential, ensure a user-controllable mechanism (e.g., a 'Stay on page' button with a countdown) is provided. || [2.4.8] The page provides no location information to help users understand where they are within a set of web pages. There is no meaningful page title, no H1 heading, no breadcrumb trail, no aria-current attribute, and no active navigation indicator. Add a descriptive &lt;title&gt; element (e.g., &lt;title&gt;Redirect Notice – Site Name&lt;/title&gt;), an &lt;h1&gt; heading, and if this page belongs to a multi-page site, include a breadcrumb navigation with aria-current="page" on the current item, or highlight the active link in a site navigation menu.</t>
  </si>
  <si>
    <t xml:space="preserve">The page fails two of the five evaluated WCAG 2.1 criteria. First, it violates 2.2.1 (Timing Adjustable, Level A) because a meta refresh tag forces a redirect after 72,000 seconds (20 hours) with no user control to pause, stop, or extend that time limit. Second, it fails 2.4.8 (Location, Level AAA) because the page provides no location signals whatsoever — no page title, no H1, no breadcrumb, no aria-current, and no active navigation indicator. The remaining three criteria — 3.1.4 (Abbreviations), 3.3.1 (Error Identification), and 3.3.2 (Labels or Instructions) — are inapplicable because the page contains no abbreviations requiring expansion, no forms, and no interactive controls.</t>
  </si>
  <si>
    <t xml:space="preserve">[2.2.1] A meta refresh with a timed redirect is present and no mechanism is provided to turn off, adjust, or extend the time limit. Remove the meta refresh redirect entirely and replace it with a server-side redirect, or provide an accessible on-page control that allows users to turn off, adjust, or extend the 20-hour time limit before it expires. If the redirect is essential, ensure users are warned well in advance and given the ability to extend the session. || [2.4.8] No location indicators are present on the page. There is no meaningful page title, no H1 heading, no breadcrumb, no aria-current attribute, and no active navigation item to help users understand where they are within the site. Add a descriptive &lt;title&gt; element in the &lt;head&gt;, include an &lt;h1&gt; heading that identifies the page, and consider adding breadcrumb navigation or an aria-current='page' attribute on the active navigation link so users always know their location within the site.</t>
  </si>
  <si>
    <t xml:space="preserve">The page fails two of the five evaluated criteria. For WCAG 2.2.1 (Timing Adjustable), a meta refresh is set to redirect after 72001 seconds with no user control to stop or adjust it; while WCAG provides an exception for time limits exceeding 20 hours (72000 s), this value is only 1 second above that threshold and no adjustment mechanism is present, making it a borderline but flagged violation. For WCAG 2.4.8 (Location), the page provides no signals whatsoever — no page title, no heading, no breadcrumb, and no aria-current — leaving users unable to determine their location within the site. The remaining three criteria (3.1.4 Abbreviations, 3.3.1 Error Identification, and 3.3.2 Labels or Instructions) are inapplicable because the page contains no text content, no abbreviations, and no forms.</t>
  </si>
  <si>
    <t xml:space="preserve">[2.2.1] A meta refresh with a timeout of 72001 seconds is present, but no mechanism is provided to stop, adjust, or extend the time limit. Remove the meta refresh entirely, or provide a user-accessible control to turn off, adjust, or extend the time limit before it expires. If the timeout exceeds 20 hours (72000 seconds), WCAG allows an exception — however, 72001 seconds is only 1 second above that threshold, which is a borderline case that warrants careful review. Ideally, replace meta refresh with a server-side or JavaScript-based redirect that does not impose a time limit on the user. || [2.4.8] No location indicators are present on the page. Users cannot determine where they are within the site or application. Add at least one location signal: a descriptive &lt;title&gt; element, a breadcrumb trail, an aria-current="page" attribute on the active navigation link, or a visible &lt;h1&gt; heading that identifies the current page.</t>
  </si>
  <si>
    <t xml:space="preserve">The page fails on two of the five evaluated criteria. For WCAG 2.2.1 (Timing Adjustable), a meta refresh redirect is set to trigger after 72,001 seconds with no user controls to stop, adjust, or extend it — while the timeout is technically just above the 20-hour exemption threshold (~72,000 s), the tool flagged it as a potential issue due to the absence of any pause/stop control. For WCAG 2.4.8 (Location), the page provides absolutely no signals — no page title, no H1, no breadcrumb, no aria-current, and no active nav class — leaving users with no way to determine where they are within the site. The remaining three criteria (3.1.4 Abbreviations, 3.3.1 Error Identification, and 3.3.2 Labels or Instructions) are inapplicable because the page contains no text content, no abbreviations, and no forms.</t>
  </si>
  <si>
    <t xml:space="preserve">[2.2.1] A meta refresh tag is present with a timeout of 72001 seconds and no mechanism for the user to turn off, adjust, or extend the time limit. Remove the meta refresh tag entirely, or provide a user-accessible control to disable, adjust, or extend the time limit before it expires. If the redirect is necessary, consider using server-side redirects instead, or ensure the timeout is long enough (&gt;20 hours) and document the exception. Note: WCAG 2.2.1 exempts time limits longer than 20 hours (~72000 seconds); at 72001 seconds this is just barely over the threshold, but the lack of any user control and the presence of an unexpected redirect remains a usability concern. || [2.4.8] No location indicators are present on the page. There is no page title, no H1 heading, no breadcrumb, no aria-current attribute, and no active navigation element to inform users of their current location within the site. Add a meaningful &lt;title&gt; element to the &lt;head&gt;, include an &lt;h1&gt; heading in the page body, and/or implement a breadcrumb trail or aria-current="page" on the active navigation link to clearly communicate the user's current location within the site.</t>
  </si>
  <si>
    <t xml:space="preserve">The page fails two of the five evaluated WCAG 2.1 criteria. First, WCAG 2.2.1 (Timing Adjustable, Level A) is violated because a meta refresh tag auto-redirects the page after ~20 hours (72001 seconds) with no mechanism for the user to stop, adjust, or extend that time limit. Second, WCAG 2.4.8 (Location, Level AAA) is violated because the page is completely bare — no page title, no heading, no breadcrumb, and no navigation cues — leaving users with no way to determine where they are within the site. The remaining three criteria — WCAG 3.1.4 (Abbreviations), WCAG 3.3.1 (Error Identification), and WCAG 3.3.2 (Labels or Instructions) — are inapplicable because the page contains no text content, no forms, and no interactive elements.</t>
  </si>
  <si>
    <t xml:space="preserve">[2.2.1] A meta refresh tag is present with a delay of 72001 seconds and no user controls to stop, adjust, or extend the timed redirect. Remove the meta refresh redirect entirely and replace it with a server-side redirect (HTTP 301/302), or provide clearly visible controls that allow users to turn off, adjust, or extend the time limit before it expires. If the redirect is essential, ensure the delay is long enough (20+ hours is borderline acceptable) and that users are informed and given control. || [2.4.8] The page provides no location indicators whatsoever — no meaningful page title, no H1 heading, no breadcrumb, no aria-current attribute, and no active navigation marker — so users cannot determine where they are within the site. Add a descriptive &lt;title&gt; element (e.g., &lt;title&gt;Page Name – Site Name&lt;/title&gt;), an H1 heading in the body, and, where applicable, a breadcrumb trail or aria-current="page" on the active navigation link to clearly communicate the user's current location within the site.</t>
  </si>
  <si>
    <t xml:space="preserve">All five target criteria are either satisfied or inapplicable for this page. WCAG 2.2.1 (Timing Adjustable) passes cleanly: no meta-refresh, no setTimeout/setInterval calls, and no time-limited UI elements are present. WCAG 2.4.8 (Location) passes: the meaningful page title ('Photosynthesis lab procedure') and the H1 heading ('Lab procedure') together give users sufficient context about where they are within the site. WCAG 3.1.4 (Abbreviations) is inapplicable: the page body contains only 26 words written entirely in plain language with no abbreviations or acronyms detected. WCAG 3.3.1 (Error Identification) is inapplicable: there are no form elements on the page, so no error-identification mechanism is required. WCAG 3.3.2 (Labels or Instructions) is likewise inapplicable for the same reason — no forms, inputs, or interactive controls exist. Because no violations were found and the inapplicable criteria genuinely do not apply to this content, the overall verdict is 'passed'.</t>
  </si>
  <si>
    <t xml:space="preserve">All five target criteria are either satisfied or inapplicable for this page. WCAG 2.2.1 (Timing Adjustable) passes cleanly: no meta-refresh, no setTimeout/setInterval calls, and no time-limited UI elements are present. WCAG 2.4.8 (Location) passes: the meaningful page title ('Photosynthesis lab procedure') and the H1 heading ('Lab procedure') together give users sufficient context about where they are within the site. WCAG 3.1.4 (Abbreviations) is inapplicable: the page contains only 26 words of prose, none of which are abbreviations or acronyms requiring expansion. WCAG 3.3.1 (Error Identification) is inapplicable: there are no form elements on the page, so no error-identification mechanism is needed. WCAG 3.3.2 (Labels or Instructions) is likewise inapplicable for the same reason — no form inputs exist. Overall, the page is a simple, static informational document that raises no accessibility concerns against the evaluated criteria.</t>
  </si>
  <si>
    <t xml:space="preserve">The page passes all applicable WCAG criteria in scope. For WCAG 2.2.1 (Timing Adjustable), no meta-refresh directives, JavaScript timeouts, or time-limit controls were found. For WCAG 2.4.8 (Location), the page provides three clear location signals: a labelled breadcrumb navigation (&lt;nav aria-label="Breadcrumb"&gt; with 'Home &gt; Support' trail), a meaningful &lt;title&gt; ('Hardware troubleshooting'), and a matching &lt;h1&gt; heading. WCAG 3.1.4 (Abbreviations) is inapplicable because the page contains only 12 words of body text and no abbreviations are present. WCAG 3.3.1 (Error Identification) and 3.3.2 (Labels or Instructions) are both inapplicable because the page contains no form elements whatsoever. No violations were identified.</t>
  </si>
  <si>
    <t xml:space="preserve">The page was evaluated against all five target criteria. WCAG 2.2.1 (Timing Adjustable) passes cleanly — no meta-refresh, setTimeout/setInterval calls, or time-limit UI controls were detected. WCAG 2.4.8 (Location) passes — the page provides a breadcrumb nav (aria-label='Breadcrumb') with 'Home &gt; Support', a meaningful &lt;title&gt; ('Hardware troubleshooting'), and a matching &lt;h1&gt;, which together give users sufficient location context. WCAG 3.1.4 (Abbreviations) is inapplicable — the page contains only 12 words of visible text and no detectable abbreviations requiring expansion. WCAG 3.3.1 (Error Identification) is inapplicable — there are no form elements on the page, so no error identification mechanism is needed. WCAG 3.3.2 (Labels or Instructions) is likewise inapplicable for the same reason. Because no criterion is violated and the inapplicable criteria genuinely do not apply to this content, the overall verdict is 'passed'.</t>
  </si>
  <si>
    <t xml:space="preserve">The page passes all five evaluated WCAG 2.1 criteria. WCAG 2.2.1 (Timing Adjustable) is satisfied — no meta-refresh, setTimeout, or time-limit UI controls were detected. WCAG 2.4.8 (Location) passes — the page provides a breadcrumb nav ('Home &gt; Support'), a meaningful page title ('Hardware troubleshooting'), and a matching H1, giving users clear location signals. WCAG 3.1.4 (Abbreviations) is inapplicable — the page contains only 12 words of text with no detectable abbreviations. WCAG 3.3.1 (Error Identification) is inapplicable — no form elements are present, so there are no error states to identify. WCAG 3.3.2 (Labels or Instructions) is likewise inapplicable for the same reason. Because the inapplicable criteria introduce no violations and the applicable criteria are met, the overall verdict is 'passed'.</t>
  </si>
  <si>
    <t xml:space="preserve">None of the five target WCAG criteria apply to this page. WCAG 2.2.1 (Timing Adjustable) is inapplicable because there are no meta-refresh directives, setTimeout/setInterval calls, or time-limited UI elements. WCAG 2.4.8 (Location) technically passes — the page title ('Welcome') and the H1 heading ('Welcome to the community center') together provide sufficient location context — though the page is so minimal that the criterion is barely exercised. WCAG 3.1.4 (Abbreviations) is inapplicable because the page contains only 13 words and no detectable abbreviations. WCAG 3.3.1 (Error Identification) and 3.3.2 (Labels or Instructions) are both inapplicable because the page contains no form elements whatsoever. The page is a simple, static informational page with a heading and a single paragraph, so there are no violations to report.</t>
  </si>
  <si>
    <t xml:space="preserve">This is a minimal static HTML page containing only a heading and a single paragraph — no forms, no time-limited content, no abbreviations, and no interactive elements. All five target criteria were evaluated: WCAG 2.2.1 (Timing Adjustable) passes because no meta-refresh, setTimeout, or time-limit controls are present; WCAG 2.4.8 (Location) passes because both a meaningful page &lt;title&gt; ('Welcome') and an &lt;h1&gt; heading ('Welcome to the community center') provide sufficient location context; WCAG 3.1.4 (Abbreviations), 3.3.1 (Error Identification), and 3.3.2 (Labels or Instructions) are all inapplicable because the page contains no abbreviations, no forms, and no user inputs. The page raises no accessibility violations against any of the five evaluated criteria.</t>
  </si>
  <si>
    <t xml:space="preserve">This is a minimal static HTML page containing only a heading and a single paragraph. All five target criteria are inapplicable or fully satisfied: (1) WCAG 2.2.1 Timing Adjustable — no meta-refresh, setTimeout, or time-limited UI elements are present; (2) WCAG 2.4.8 Location — the meaningful page title ('Welcome') and H1 heading ('Welcome to the community center') together provide sufficient location context, and the criterion passes; (3) WCAG 3.1.4 Abbreviations — the page contains only 13 words with no detectable abbreviations, making the criterion inapplicable; (4) WCAG 3.3.1 Error Identification — no forms or interactive inputs exist, so the criterion is inapplicable; (5) WCAG 3.3.2 Labels or Instructions — likewise inapplicable due to the complete absence of form controls. No violations were found, and the criteria that do technically apply (2.4.8) are satisfied.</t>
  </si>
  <si>
    <t xml:space="preserve">The page was evaluated against all five target criteria. WCAG 2.2.1 (Timing Adjustable) passes cleanly — no meta-refresh, setTimeout, or time-limit UI controls are present. WCAG 2.4.8 (Location) passes — a meaningful page title ('Unit converter') and a matching H1 heading together provide sufficient location context for a single-page utility. WCAG 3.1.4 (Abbreviations) is inapplicable — the page contains only 7 words of visible text and no abbreviations or acronyms requiring expansion. WCAG 3.3.1 (Error Identification) is inapplicable — there is no &lt;form&gt; element and no client-side error-reporting mechanism to evaluate. WCAG 3.3.2 (Labels or Instructions) is inapplicable for the same reason: while two labelled inputs exist, they are not wrapped in a &lt;form&gt; and the tool found no form submission flow to assess; the labels themselves ('Centimeters' and 'Inches') are correctly associated via for/id pairs, so no violation exists even under a broader reading of the criterion. No failures were detected across any of the five criteria.</t>
  </si>
  <si>
    <t xml:space="preserve">The page was evaluated against all five target criteria. WCAG 2.2.1 (Timing Adjustable) passes cleanly — no meta-refresh, setTimeout, or time-limit UI controls were detected. WCAG 2.4.8 (Location) passes — a meaningful page title ('Unit converter') and a matching H1 heading together provide sufficient location context for a single-page tool. WCAG 3.1.4 (Abbreviations) is inapplicable — the page contains only 7 words of visible text with no abbreviations present; the labels 'Centimeters' and 'Inches' are written out in full. WCAG 3.3.1 (Error Identification) is inapplicable — there is no &lt;form&gt; element and no server-side or client-side error-handling markup present. WCAG 3.3.2 (Labels or Instructions) is inapplicable for the same reason (no &lt;form&gt;); however, it is worth noting as a best-practice observation that the two inputs do have properly associated &lt;label&gt; elements (via matching for/id pairs), so if a form wrapper were added, this criterion would also pass. No violations were found across any of the five criteria.</t>
  </si>
  <si>
    <t xml:space="preserve">The page was evaluated against all five target criteria. WCAG 2.2.1 (Timing Adjustable) passes cleanly — no meta-refresh, setTimeout, or time-limit UI controls are present. WCAG 2.4.8 (Location) passes — a meaningful page title ('Unit converter') and a matching H1 heading together provide sufficient location context for a single-page tool. WCAG 3.1.4 (Abbreviations) is inapplicable — the page contains only 7 words of visible text and no abbreviations or acronyms are used; both labels ('Centimeters', 'Inches') are written out in full. WCAG 3.3.1 (Error Identification) is inapplicable — there is no &lt;form&gt; element and no server- or client-side error-handling markup present in the HTML. WCAG 3.3.2 (Labels or Instructions) is inapplicable for the same reason; however, it is worth noting that both inputs do have properly associated &lt;label&gt; elements (via matching for/id pairs), which would satisfy this criterion if a form context were added. No violations were found across any of the five criteria.</t>
  </si>
  <si>
    <t xml:space="preserve">The page passes all applicable target criteria. WCAG 2.2.1 (Timing Adjustable) is satisfied because there are no meta-refresh directives, JavaScript timeouts, or time-limited UI elements. WCAG 2.4.8 (Location) is well-satisfied: a properly structured breadcrumb navigation with aria-current="page" on the active item, a meaningful page &lt;title&gt;, and a matching &lt;h1&gt; collectively give users a clear sense of their location within the site. WCAG 3.3.1 (Error Identification) and 3.3.2 (Labels or Instructions) are inapplicable because the page contains no form elements. WCAG 3.1.4 (Abbreviations) is technically inapplicable due to minimal text content, but a minor best-practice gap exists: the abbreviation 'Q1' appears in the heading and breadcrumb without an &lt;abbr&gt; element or first-use expansion, which is recommended for AAA conformance.</t>
  </si>
  <si>
    <t xml:space="preserve">[3.1.4] The abbreviation 'Q1' is used in the heading and breadcrumb without an &lt;abbr&gt; element or any inline expansion. Wrap 'Q1' in an &lt;abbr&gt; element with a title attribute, e.g. &lt;abbr title="Quarter 1"&gt;Q1&lt;/abbr&gt;, or spell it out on first use as 'Quarter 1 (Q1)'.</t>
  </si>
  <si>
    <t xml:space="preserve">The page passes all applicable target criteria. WCAG 2.2.1 (Timing Adjustable) is satisfied — no meta-refresh, setTimeout, or time-limit controls are present. WCAG 2.4.8 (Location) is fully satisfied by a well-structured breadcrumb navigation with 'aria-current=page' on the current item, a meaningful page title ('Quarterly report'), and a matching H1 heading. WCAG 3.3.1 (Error Identification) and 3.3.2 (Labels or Instructions) are inapplicable because the page contains no form elements. WCAG 3.1.4 (Abbreviations) is inapplicable per tool analysis due to minimal text content (15 words); while 'Q1' is an unexpanded abbreviation, the criterion is advisory-level (AAA) and the tool determined the content too sparse for a meaningful ruling. No violations were detected across any of the five evaluated criteria.</t>
  </si>
  <si>
    <t xml:space="preserve">The page passes all applicable target criteria. WCAG 2.2.1 (Timing Adjustable) is satisfied — no meta-refresh, JavaScript timeouts, or time-limited sessions are present. WCAG 2.4.8 (Location) is fully satisfied with a well-structured breadcrumb navigation, aria-current='page' on the active item, a meaningful page title, and a matching H1. WCAG 3.3.1 (Error Identification) and 3.3.2 (Labels or Instructions) are inapplicable because the page contains no form elements. WCAG 3.1.4 (Abbreviations) is technically inapplicable due to minimal text content, though the abbreviation 'Q1' appears without a programmatic expansion; this is a minor advisory finding for a AAA criterion and does not constitute a failure given the page's limited scope.</t>
  </si>
  <si>
    <t xml:space="preserve">[3.1.4] The abbreviation 'Q1' is used in the heading and breadcrumb without a programmatic expansion (e.g., &lt;abbr&gt; element or first-use definition). Wrap 'Q1' in an &lt;abbr title="Quarter 1"&gt;Q1&lt;/abbr&gt; element on its first occurrence, or spell it out in full at least once on the page. This is a AAA criterion and advisory in nature given the minimal content, but best practice recommends addressing it.</t>
  </si>
  <si>
    <t xml:space="preserve">The page passes all five evaluated WCAG 2.1 criteria. (1) WCAG 2.2.1 Timing Adjustable: No meta-refresh, setTimeout, or time-limit UI controls were detected — inapplicable and therefore not a failure. (2) WCAG 2.4.8 Location: The tool confirmed a PASS; the current page is clearly identified via aria-current="page" on the active nav link, a meaningful &lt;title&gt; ('Admissions'), and a matching &lt;h1&gt;. (3) WCAG 3.1.4 Abbreviations: The tool found no abbreviations in the minimal text content — inapplicable and not a failure. (4) WCAG 3.3.1 Error Identification: No form elements are present, so error identification requirements do not apply. (5) WCAG 3.3.2 Labels or Instructions: No form inputs exist, so label/instruction requirements do not apply. With no violations found and inapplicable criteria correctly excluded, the overall verdict is passed.</t>
  </si>
  <si>
    <t xml:space="preserve">The page passes all five evaluated WCAG 2.1 criteria. (1) WCAG 2.2.1 Timing Adjustable: No meta-refresh, setTimeout, or time-limit UI controls were detected — inapplicable and therefore not a failure. (2) WCAG 2.4.8 Location: The page clearly communicates the user's current location via aria-current="page" on the active nav link, a meaningful &lt;title&gt; ('Admissions'), and a matching &lt;h1&gt; — all strong location signals. (3) WCAG 3.1.4 Abbreviations: The page contains only 12 words of body text with no detectable abbreviations, making this criterion inapplicable. (4) WCAG 3.3.1 Error Identification: No form elements are present, so there are no error identification requirements to satisfy — inapplicable. (5) WCAG 3.3.2 Labels or Instructions: Similarly, the absence of any form inputs means no labelling obligations exist — inapplicable. Overall, the page is clean and well-structured with no violations against any of the five target criteria.</t>
  </si>
  <si>
    <t xml:space="preserve">The page was evaluated against all five target WCAG 2.1 criteria. WCAG 2.2.1 (Timing Adjustable) is inapplicable — no meta-refresh, setTimeout, or time-limit UI controls were detected. WCAG 2.4.8 (Location) passes — the page provides multiple strong location signals: aria-current="page" on the active navigation link, a meaningful &lt;title&gt; ('Admissions'), and a matching &lt;h1&gt; heading. WCAG 3.1.4 (Abbreviations) is inapplicable — the page contains only 12 words of text content with no detectable abbreviations. WCAG 3.3.1 (Error Identification) is inapplicable — no form elements are present on the page. WCAG 3.3.2 (Labels or Instructions) is likewise inapplicable for the same reason. With no violations found and three criteria being genuinely inapplicable, the page receives an overall verdict of 'passed'.</t>
  </si>
  <si>
    <t xml:space="preserve">The page fails solely on WCAG 3.1.4 (Abbreviations, Level AAA). The content is dense with unexpanded technical abbreviations — REST, JSON, CRUD, HTTP, ORM, ETL, ANSI, CLI, and CI — none of which are marked up with &lt;abbr title&gt;, expanded inline on first use, or supported by a glossary. The remaining four criteria are either inapplicable or passing: WCAG 2.2.1 (Timing Adjustable) is inapplicable because there are no time limits, meta-refresh directives, or timeout scripts; WCAG 2.4.8 (Location) passes because the meaningful page title ('API design notes') and matching H1 heading together provide sufficient location context; WCAG 3.3.1 (Error Identification) and 3.3.2 (Labels or Instructions) are both inapplicable because the page contains no forms or interactive controls.</t>
  </si>
  <si>
    <t xml:space="preserve">[3.1.4] Multiple abbreviations are used throughout the page without any expansion mechanism (no &lt;abbr&gt; element, no first-use expansion in parentheses, and no glossary link). Wrap each abbreviation in an &lt;abbr title="..."&gt; element (e.g., &lt;abbr title="Application Programming Interface"&gt;API&lt;/abbr&gt;), expand it on first use in parentheses, or provide a linked glossary on the page.</t>
  </si>
  <si>
    <t xml:space="preserve">The page fails WCAG 3.1.4 (Abbreviations, Level AAA) because it contains at least six technical abbreviations — REST, JSON, CRUD, HTTP, ORM, ETL, ANSI, CLI, and CI — none of which are expanded via an &lt;abbr title&gt; element, a parenthetical first-use definition, or a glossary link. The remaining four criteria are either inapplicable or passing: WCAG 2.2.1 (Timing Adjustable) is inapplicable as no meta-refresh, timeouts, or time-limited UI elements are present; WCAG 2.4.8 (Location) passes because the meaningful page title ('API design notes') and matching H1 heading together provide sufficient location context; WCAG 3.3.1 (Error Identification) and 3.3.2 (Labels or Instructions) are both inapplicable because the page contains no form elements whatsoever.</t>
  </si>
  <si>
    <t xml:space="preserve">[3.1.4] Multiple abbreviations are used throughout the page without any expansion mechanism (no &lt;abbr&gt; element, no first-use expansion in parentheses, and no glossary link). Wrap each abbreviation in an &lt;abbr&gt; element with a descriptive 'title' attribute (e.g., &lt;abbr title="Application Programming Interface"&gt;API&lt;/abbr&gt;), expand the abbreviation on first use in parentheses, or provide a linked glossary on the page.</t>
  </si>
  <si>
    <t xml:space="preserve">The page fails WCAG 3.1.4 (Abbreviations, Level AAA) because it contains at least six technical abbreviations — REST, JSON, CRUD, HTTP, ORM, ETL, ANSI, CLI, and CI — none of which are expanded via an &lt;abbr title&gt; element, a parenthetical first-use definition, or a glossary link. The remaining four criteria are either inapplicable or passing: WCAG 2.2.1 (Timing Adjustable) is inapplicable as there are no time limits, meta-refresh directives, or timeout controls; WCAG 2.4.8 (Location) passes because the meaningful page title ('API design notes') and matching H1 heading together provide sufficient location context; WCAG 3.3.1 (Error Identification) and 3.3.2 (Labels or Instructions) are both inapplicable because the page contains no forms or interactive inputs. The sole failure is minor in severity given that 3.1.4 is a Level AAA criterion, but it should still be addressed to fully support users who are unfamiliar with technical jargon.</t>
  </si>
  <si>
    <t xml:space="preserve">[3.1.4] Multiple abbreviations are used throughout the page without any expansion mechanism (no &lt;abbr&gt; element, no first-use expansion in parentheses, and no glossary link). Wrap each abbreviation in an &lt;abbr&gt; element with a descriptive 'title' attribute (e.g., &lt;abbr title="Application Programming Interface"&gt;API&lt;/abbr&gt;), or expand each abbreviation on first use in parentheses, or provide a linked glossary on the page.</t>
  </si>
  <si>
    <t xml:space="preserve">The page fails WCAG 3.1.4 (Abbreviations, Level AAA) due to three improperly handled &lt;abbr&gt; elements: 'PCR' has an empty title, 'DNA' has a title that merely repeats the abbreviation rather than expanding it, and 'SOP' has no title attribute at all. All three are domain-specific scientific/procedural abbreviations that require clear expansions for users unfamiliar with the terminology. The remaining four criteria are either inapplicable or passing: WCAG 2.2.1 is inapplicable (no time limits detected), WCAG 2.4.8 passes (meaningful page title and H1 heading provide location context), and WCAG 3.3.1 and 3.3.2 are inapplicable (no forms present on the page).</t>
  </si>
  <si>
    <t xml:space="preserve">[3.1.4] PCR abbreviation has an empty title attribute, providing no expansion or definition. Set the title attribute to the full expansion: &lt;abbr title="Polymerase Chain Reaction"&gt;PCR&lt;/abbr&gt; || [3.1.4] DNA abbreviation has a title attribute that merely repeats the abbreviation itself ('DNA'), which is not a meaningful expansion. Set the title attribute to the full expansion: &lt;abbr title="Deoxyribonucleic Acid"&gt;DNA&lt;/abbr&gt; || [3.1.4] SOP abbreviation has no title attribute at all, leaving it completely undefined for users. Add a title attribute with the full expansion: &lt;abbr title="Standard Operating Procedure"&gt;SOP&lt;/abbr&gt;</t>
  </si>
  <si>
    <t xml:space="preserve">The page fails WCAG 3.1.4 (Abbreviations, Level AAA) due to three defective &lt;abbr&gt; elements: 'PCR' has an empty title, 'DNA' has a title that merely repeats the abbreviation rather than expanding it, and 'SOP' has no title attribute at all. All three abbreviations are domain-specific scientific/procedural terms that users may not recognise, making proper expansions essential. The remaining criteria are either passed or inapplicable: WCAG 2.2.1 passes (no time limits detected), WCAG 2.4.8 passes (meaningful page title and H1 provide location context), and WCAG 3.3.1 and 3.3.2 are inapplicable (no forms present on the page).</t>
  </si>
  <si>
    <t xml:space="preserve">[3.1.4] PCR abbreviation has an empty title attribute, providing no expansion. Set the title attribute to the full expansion: &lt;abbr title="Polymerase Chain Reaction"&gt;PCR&lt;/abbr&gt; || [3.1.4] DNA abbreviation's title attribute repeats the abbreviation itself ('DNA') rather than providing a meaningful expansion. Set the title attribute to the full expansion: &lt;abbr title="Deoxyribonucleic Acid"&gt;DNA&lt;/abbr&gt; || [3.1.4] SOP abbreviation has no title attribute at all, providing no expansion for the abbreviation. Add a title attribute with the full expansion: &lt;abbr title="Standard Operating Procedure"&gt;SOP&lt;/abbr&gt;</t>
  </si>
  <si>
    <t xml:space="preserve">The page fails WCAG 3.1.4 (Abbreviations, Level AAA) due to three defective &lt;abbr&gt; elements: 'PCR' carries an empty title, 'DNA' carries a title that merely echoes the abbreviation rather than expanding it, and 'SOP' has no title attribute whatsoever. None of the three abbreviations therefore has a mechanism by which users can discover their meaning. The remaining four criteria are either inapplicable or passing: no time limits exist (2.2.1 passes), the page title and H1 together provide adequate location context (2.4.8 passes), and there are no forms on the page (3.3.1 and 3.3.2 are inapplicable).</t>
  </si>
  <si>
    <t xml:space="preserve">[3.1.4] PCR is marked up with an empty title attribute, providing no expansion of the abbreviation. Provide the full expansion in the title attribute, e.g., &lt;abbr title="Polymerase Chain Reaction"&gt;PCR&lt;/abbr&gt;. || [3.1.4] DNA is marked up with a title that merely repeats the abbreviation ('DNA') rather than expanding it. Replace the title with the full expansion, e.g., &lt;abbr title="Deoxyribonucleic Acid"&gt;DNA&lt;/abbr&gt;. || [3.1.4] SOP has no title attribute at all, so no expansion is available to users. Add a meaningful title attribute, e.g., &lt;abbr title="Standard Operating Procedure"&gt;SOP&lt;/abbr&gt;.</t>
  </si>
  <si>
    <t xml:space="preserve">All five target criteria are either satisfied or inapplicable for this page. WCAG 2.2.1 (Timing Adjustable) is inapplicable — no meta-refresh, setTimeout, or time-limit UI elements are present. WCAG 2.4.8 (Location) passes — the meaningful page title ('Welcome to the garden') and matching H1 heading together provide sufficient location context for a single-page site. WCAG 3.1.4 (Abbreviations) passes — no abbreviations were detected anywhere in the content. WCAG 3.3.1 (Error Identification) and WCAG 3.3.2 (Labels or Instructions) are both inapplicable — the page contains no forms, inputs, or interactive controls of any kind. The page is a simple, static informational document and raises no accessibility concerns against the evaluated criteria.</t>
  </si>
  <si>
    <t xml:space="preserve">The page passes or is inapplicable for all five target WCAG criteria. WCAG 2.2.1 (Timing Adjustable) is satisfied: no meta-refresh, no setTimeout/setInterval calls, and no time-limited UI elements were detected. WCAG 2.4.8 (Location) passes: a meaningful page title ('Welcome to the garden') and a matching H1 heading together provide sufficient location context for a single-page document. WCAG 3.1.4 (Abbreviations) passes: the tool found zero abbreviations in the page content, so no expansion mechanism is required. WCAG 3.3.1 (Error Identification) and WCAG 3.3.2 (Labels or Instructions) are both inapplicable: the page contains no form elements whatsoever, so there are no inputs to label and no error states to identify. Overall, this simple informational page raises no accessibility concerns against the evaluated criteria.</t>
  </si>
  <si>
    <t xml:space="preserve">The page passes or is inapplicable for all five target WCAG criteria. (1) WCAG 2.2.1 Timing Adjustable: No meta-refresh, setTimeout/setInterval calls, or time-limit UI controls were detected — inapplicable/pass. (2) WCAG 2.4.8 Location: The meaningful page title ('Welcome to the garden') and matching H1 heading together provide sufficient location context for a single-page document — pass. (3) WCAG 3.1.4 Abbreviations: No abbreviations were found anywhere in the content — inapplicable/pass. (4) WCAG 3.3.1 Error Identification: No form elements are present, so error identification requirements do not apply — inapplicable. (5) WCAG 3.3.2 Labels or Instructions: No form inputs exist, so label/instruction requirements do not apply — inapplicable. The page is a simple, static informational document with no interactive elements, time limits, abbreviations, or forms, meaning none of the evaluated criteria are violated.</t>
  </si>
  <si>
    <t xml:space="preserve">None of the five target criteria apply to this page. WCAG 2.2.1 (Timing Adjustable) is inapplicable because no meta-refresh, setTimeout, or time-limited UI elements are present. WCAG 2.4.8 (Location) technically passes — the meaningful page title ('Marine research') and matching H1 heading together provide sufficient location context, though the page exists in isolation with no site navigation. WCAG 3.1.4 (Abbreviations) is inapplicable because, while terms like 'radar', 'scuba', and 'laser' appear in the text, the tool found the content too minimal (32 words) to meaningfully evaluate; additionally, these terms are widely understood as common words rather than unexpanded abbreviations requiring markup. WCAG 3.3.1 (Error Identification) and 3.3.2 (Labels or Instructions) are both inapplicable because the page contains no form elements whatsoever. The page is a simple, static informational document and raises no accessibility concerns under the evaluated criteria.</t>
  </si>
  <si>
    <t xml:space="preserve">None of the five target WCAG criteria apply to this page. WCAG 2.2.1 (Timing Adjustable) is inapplicable because no meta-refresh, setTimeout, or time-limit UI controls are present. WCAG 2.4.8 (Location) technically passes — the meaningful page title 'Marine research' and matching H1 together provide sufficient location context for a single-page site with no navigation. WCAG 3.1.4 (Abbreviations) is inapplicable because the page contains only 32 words and no marked-up or detectable abbreviations requiring expansion (terms like 'radar' and 'scuba' are widely accepted as common words, not abbreviations requiring &lt;abbr&gt; markup). WCAG 3.3.1 (Error Identification) and 3.3.2 (Labels or Instructions) are both inapplicable because the page contains no form elements whatsoever. The page is a simple, static informational document and raises no accessibility concerns under the evaluated criteria.</t>
  </si>
  <si>
    <t xml:space="preserve">None of the five target WCAG criteria apply to this page. WCAG 2.2.1 (Timing Adjustable) is inapplicable because the page contains no meta-refresh, JavaScript timeouts, or any time-limited content. WCAG 2.4.8 (Location) technically passes — the meaningful page title 'Marine research' and the matching H1 heading together provide sufficient location context, though the criterion is most meaningful in a multi-page site context. WCAG 3.1.4 (Abbreviations) is inapplicable because the page's 32-word body text is too minimal for a meaningful abbreviation audit, and no &lt;abbr&gt; elements or unexplained acronyms were detected. WCAG 3.3.1 (Error Identification) and 3.3.2 (Labels or Instructions) are both inapplicable because the page contains no form elements whatsoever. In summary, this is a simple, static informational page with a heading and a single paragraph; it raises no accessibility violations against any of the five evaluated criteria.</t>
  </si>
  <si>
    <t xml:space="preserve">The page passes all applicable target criteria. WCAG 2.2.1 (Timing Adjustable) is satisfied because no meta-refresh directives, JavaScript timeouts, or time-limit controls are present. WCAG 2.4.8 (Location) is satisfied because both the &lt;title&gt; element ('Web standards overview') and the &lt;h1&gt; heading ('Web standards overview') are meaningful and consistent, giving users clear location context. WCAG 3.1.4 (Abbreviations) is satisfied because all four abbreviations in the page — W3C, WCAG, AG WG, and HTTP — are each wrapped in an &lt;abbr&gt; element with a descriptive title attribute providing the full expansion. WCAG 3.3.1 (Error Identification) and 3.3.2 (Labels or Instructions) are inapplicable because the page contains no form elements or user inputs whatsoever. No violations were detected across any of the five evaluated criteria.</t>
  </si>
  <si>
    <t xml:space="preserve">The page passes all applicable WCAG criteria. For 2.2.1 Timing Adjustable, no meta-refresh, JavaScript timeouts, or time-limit controls were detected. For 2.4.8 Location, both the &lt;title&gt; ('Web standards overview') and the &lt;h1&gt; heading convey the user's current location within the site. For 3.1.4 Abbreviations, all four abbreviations (W3C, WCAG, AG WG, HTTP) are wrapped in &lt;abbr&gt; elements with descriptive title attributes that expand each acronym — a fully compliant technique. For 3.3.1 Error Identification and 3.3.2 Labels or Instructions, no form elements exist on the page, making those criteria inapplicable. No violations were found across any of the five evaluated criteria.</t>
  </si>
  <si>
    <t xml:space="preserve">The page passes all applicable WCAG 2.1 criteria under evaluation. For WCAG 2.2.1 (Timing Adjustable), no meta-refresh directives, JavaScript timeouts, or time-limit UI controls are present. For WCAG 2.4.8 (Location), both the &lt;title&gt; element ('Web standards overview') and the &lt;h1&gt; heading ('Web standards overview') are meaningful and consistent, giving users clear location context. For WCAG 3.1.4 (Abbreviations), all four abbreviations in the page — W3C, WCAG, AG WG, and HTTP — are wrapped in &lt;abbr&gt; elements with descriptive title attributes that expand each acronym, fully satisfying the criterion. WCAG 3.3.1 (Error Identification) and 3.3.2 (Labels or Instructions) are inapplicable because the page contains no form elements or user inputs whatsoever. No violations were detected across any of the five target criteria.</t>
  </si>
  <si>
    <t xml:space="preserve">The page passes WCAG 2.2.1 (no time limits detected), WCAG 2.4.8 (a meaningful page title and H1 heading provide location context), WCAG 3.3.1 and 3.3.2 (inapplicable — no forms present). It fails WCAG 3.1.4 (Abbreviations, Level AAA): three abbreviations — LMS, FAQ, and PR — are correctly expanded on first use via parenthetical notation, but the plural form 'PRs' appears in a subsequent sentence with no expansion and no &lt;abbr title&gt; markup, leaving users without a mechanism to determine its meaning. The fix is straightforward: either wrap 'PRs' in &lt;abbr title="Pull Requests"&gt;PRs&lt;/abbr&gt; or spell it out in full.</t>
  </si>
  <si>
    <t xml:space="preserve">[3.1.4] The abbreviation 'PRs' is used without expansion or an &lt;abbr&gt; element. While 'PR' is expanded on first use as 'Pull Request (PR)', the plural form 'PRs' appears in the very next sentence without any mechanism to identify its meaning. Wrap 'PRs' in an &lt;abbr&gt; element with a title attribute: &lt;abbr title="Pull Requests"&gt;PRs&lt;/abbr&gt;. Alternatively, rephrase the sentence to avoid the standalone abbreviation, e.g., 'Pull Requests are reviewed within three business days.'</t>
  </si>
  <si>
    <t xml:space="preserve">The page passes WCAG 2.2.1 (no time limits detected), WCAG 2.4.8 (a meaningful page title and H1 heading provide location context), WCAG 3.3.1 and 3.3.2 (inapplicable — no forms present). It fails WCAG 3.1.4 (Abbreviations, Level AAA): while LMS, FAQ, and PR are each expanded parenthetically on first use, their subsequent bare occurrences (LMS, FAQ, PRs) lack any WCAG-compliant mechanism such as &lt;abbr title="…"&gt; markup or a glossary link. Because this is a Level AAA criterion the severity is minor, but the fix is straightforward: apply &lt;abbr title="…"&gt; to every instance of each abbreviation throughout the page.</t>
  </si>
  <si>
    <t xml:space="preserve">[3.1.4] Abbreviations are expanded on first use in parentheses, but subsequent uses of LMS, FAQ, and the plural PRs appear without any WCAG-compliant mechanism (no &lt;abbr&gt; element, no re-expansion, no glossary link). Wrap every instance of each abbreviation in an &lt;abbr title="…"&gt; element (e.g., &lt;abbr title="Learning Management System"&gt;LMS&lt;/abbr&gt;) so that all occurrences — including subsequent uses and plural forms like PRs — have a programmatically determinable expansion. Alternatively, provide a consistent glossary link on the page.</t>
  </si>
  <si>
    <t xml:space="preserve">The page passes all five evaluated criteria. WCAG 2.2.1 (Timing Adjustable) is satisfied — no meta-refresh, setTimeout, or time-limit controls are present. WCAG 2.4.8 (Location) is satisfied — a meaningful page title ('Course registration') and a matching H1 heading together provide sufficient location context within the site. WCAG 3.1.4 (Abbreviations) is satisfied — every abbreviation used on the page (LMS, FAQ, PR/PRs) is introduced with its full expansion on first use via the parenthetical pattern (e.g., 'Learning Management System (LMS)'), which is a recognised WCAG 3.1.4 mechanism. WCAG 3.3.1 (Error Identification) and WCAG 3.3.2 (Labels or Instructions) are inapplicable because the page contains no form elements, inputs, or interactive controls that could produce errors or require labels.</t>
  </si>
  <si>
    <t xml:space="preserve">The page fails two of the five evaluated WCAG 2.1 criteria. For WCAG 2.2.1 (Timing Adjustable), no time limits, meta-refresh, or timeout controls were detected — this criterion is fully satisfied. For WCAG 3.1.4 (Abbreviations), the page contains only 24 words with no detectable abbreviations, making the criterion inapplicable. For WCAG 3.3.1 (Error Identification), the pre-existing error message ('Name and color cannot be empty…') is present in the DOM and linked to the Submit button via aria-describedby, which is a reasonable pattern; however, the use of &lt;input type='button'&gt; instead of &lt;input type='submit'&gt; prevented automated submission testing, leaving this criterion inconclusive but not definitively failed. For WCAG 2.4.8 (Location — AAA), the page only provides a meaningful title but lacks a breadcrumb, H1 heading, or aria-current marker, which is insufficient to orient users within a site. For WCAG 3.3.2 (Labels or Instructions — Level A), the form structure is largely good (labels are associated, fieldsets with legends group radio buttons, required fields are marked), but the non-standard submit button type raises a conformance concern. Addressing the missing H1/breadcrumb and switching to &lt;input type='submit'&gt; are the primary recommended fixes.</t>
  </si>
  <si>
    <t xml:space="preserve">[2.4.8] Insufficient location indicators: only a meaningful page title is present. No breadcrumb, aria-current, nav active class, or H1 heading was found. Add at least one additional location signal such as a breadcrumb navigation (e.g., &lt;nav aria-label='Breadcrumb'&gt;), an &lt;h1&gt; heading identifying the current page, or aria-current='page' on the active navigation link so users always know where they are within the site. || [3.3.2] The Submit button is an &lt;input type='button'&gt; rather than &lt;input type='submit'&gt;, so the form validator could not detect a proper submit mechanism. Additionally, the tool flagged a missing required indicator on one input element. Change &lt;input type='button'&gt; to &lt;input type='submit'&gt; so browsers and assistive technologies correctly identify the form submission control. Ensure every required field has its required status communicated both visually (e.g., 'Name (required)') and programmatically via the required attribute or aria-required='true', which the Name field already does correctly — verify the same is applied consistently to all required fields.</t>
  </si>
  <si>
    <t xml:space="preserve">The page passes WCAG 2.2.1 (no time limits detected), and WCAG 3.1.4 is inapplicable (no abbreviations in the minimal text). WCAG 3.3.1 could not be fully verified because the submit button uses type='button' instead of type='submit', preventing automated submission testing; however, the pre-existing error message ('Name and color cannot be empty') and the aria-describedby linkage to that message are positive signals for error identification. WCAG 3.3.2 has a moderate failure: the submit button type prevents native form validation from firing, undermining the instructions already present. WCAG 2.4.8 fails at the AAA level because only a page title is present — no H1, breadcrumb, or active-navigation indicator exists to orient the user within a broader site context. Fixing the button type and adding an H1 or breadcrumb would bring the page into full compliance with the evaluated criteria.</t>
  </si>
  <si>
    <t xml:space="preserve">[2.4.8] Insufficient location indicators: the page provides only a meaningful page title but lacks breadcrumbs, an H1 heading, aria-current='page' on a navigation link, or any other secondary location signal. Add an &lt;h1&gt; heading that identifies the page, and/or include a breadcrumb trail (e.g., Home &gt; Forms &gt; Shipping) with aria-label='Breadcrumb' on the containing &lt;nav&gt;. If this page is part of a site navigation, mark the active link with aria-current='page'. || [3.3.2] The Submit button is an &lt;input type='button'&gt; rather than &lt;input type='submit'&gt;, so the browser's native form submission and built-in required-field validation are not triggered. The tool could not locate a true submit button, leaving the required-field instructions (the error paragraph and 'required' labels) without a testable submission path. Change the button to &lt;input type='submit' value='Submit' /&gt; (or &lt;button type='submit'&gt;Submit&lt;/button&gt;) so that the browser can enforce the required attributes and users receive native or scripted error feedback tied to the labeled fields.</t>
  </si>
  <si>
    <t xml:space="preserve">The page fails two of the five evaluated criteria. For WCAG 2.4.8 (Location, AAA), only a meaningful page title is present; no breadcrumb, H1, or aria-current signal exists to orient users within a broader site structure. For WCAG 3.3.2 (Labels or Instructions, Level A), the form uses &lt;input type='button'&gt; instead of &lt;input type='submit'&gt;, preventing native form-submission association, and a required-field indicator is missing on at least one input. The remaining three criteria are either fully satisfied or inapplicable: WCAG 2.2.1 (Timing Adjustable) passes because no meta-refresh, setTimeout, or time-limit controls were detected; WCAG 3.1.4 (Abbreviations) is inapplicable due to minimal text content with no abbreviations present; and WCAG 3.3.1 (Error Identification) cannot be fully tested because the non-submit button prevents automated form submission simulation, though the pre-existing error message paragraph is a positive signal for surfacing errors to users.</t>
  </si>
  <si>
    <t xml:space="preserve">[2.4.8] Insufficient location indicators: only a meaningful page title is present. No breadcrumb, aria-current, nav active class, or H1 heading was found. Add at least one additional location signal such as a breadcrumb navigation (e.g., &lt;nav aria-label='Breadcrumb'&gt;), an &lt;h1&gt; heading identifying the page, or aria-current='page' on the active navigation link so users always know where they are within the site. || [3.3.2] The Submit button is an &lt;input type='button'&gt; rather than &lt;input type='submit'&gt;, which the form validator could not associate with the form's submission flow. Additionally, the tool flagged a missing required-field indicator on one input element. Change &lt;input type='button'&gt; to &lt;input type='submit'&gt; so browsers and assistive technologies can natively associate it with form submission. Ensure every required field has a visible, programmatically determinable indicator (e.g., 'required' text or an asterisk explained in a legend) so users know what must be completed before submitting.</t>
  </si>
  <si>
    <t xml:space="preserve">The page fails on two of the five evaluated criteria. Most critically, it violates WCAG 3.3.1 (Error Identification, Level A): the static error message 'Please fill the field correctly.' is ambiguous (two fields exist, neither is identified), non-descriptive (no explanation of what 'correctly' means), and has no programmatic association to any input or ARIA live region to surface it to assistive technologies. It also fails WCAG 2.4.8 (Location, Level AAA) because only a page title is present — no breadcrumb, H1, or active navigation indicator exists to orient the user within the site. WCAG 2.2.1 (Timing Adjustable) is inapplicable as no time limits were detected. WCAG 3.1.4 (Abbreviations) is inapplicable due to minimal text content. WCAG 3.3.2 (Labels or Instructions) passes, as both inputs have properly associated &lt;label&gt; elements.</t>
  </si>
  <si>
    <t xml:space="preserve">[3.3.1] The error message does not identify which field is in error, does not describe the nature of the error, and is not programmatically associated with any input field. Identify the specific field(s) in error by name (e.g., 'Age must be a positive number'). Add role="alert" or aria-live="assertive" so screen readers announce the error. Associate the message with its input using aria-describedby or aria-errormessage on the &lt;input&gt; element. || [2.4.8] The page provides only a page title as a location indicator. No breadcrumb, aria-current, navigation active state, or H1 heading is present to help users understand where they are within the site. Add at least one additional location mechanism such as a breadcrumb trail (&lt;nav aria-label="Breadcrumb"&gt;), an &lt;h1&gt; heading describing the current page, or aria-current="page" on the active navigation link.</t>
  </si>
  <si>
    <t xml:space="preserve">The page fails two of the five evaluated criteria. For WCAG 3.3.1 (Error Identification, Level A — a critical baseline requirement), the always-visible error message 'Please fill the field correctly.' is fatally flawed: it does not name the field in error, does not describe what is wrong, and carries no programmatic association to any input, leaving users — especially those using assistive technology — unable to understand or correct the problem. For WCAG 2.4.8 (Location, Level AAA), the page relies solely on its title for location context, with no breadcrumb, active nav indicator, H1, or aria-current signal present. The remaining three criteria are either inapplicable (2.2.1 — no time limits; 3.1.4 — no abbreviations in meaningful text) or passing (3.3.2 — both inputs have properly associated labels).</t>
  </si>
  <si>
    <t xml:space="preserve">[3.3.1] The error message does not identify which field is in error, does not describe the nature of the error, and is not programmatically associated with any input field. When an input error is detected, clearly identify the field in error by name (e.g., 'Age: Please enter a valid number between 0 and 150.'), describe the nature of the error in text, and associate the message programmatically using aria-describedby on the relevant input or role="alert" on the error container. Only display the error after a submission attempt. || [2.4.8] The page provides no location indicator beyond a page title. There is no breadcrumb, no aria-current, no active navigation link, and no H1 heading to help users understand where they are within the site. Add at least one additional location mechanism such as a breadcrumb trail (e.g., Home &gt; Forms &gt; Registration), an H1 heading that reflects the page's purpose, or an aria-current='page' attribute on the active navigation link to clearly communicate the user's current location within the site.</t>
  </si>
  <si>
    <t xml:space="preserve">The page fails on two of the five evaluated criteria. Most critically, it violates WCAG 3.3.1 (Level A): the static error message 'Please fill the field correctly.' is ambiguous (two fields exist), non-descriptive (no explanation of what 'correctly' means), and not programmatically linked to any input, making it inaccessible to assistive technology users. It also fails WCAG 2.4.8 (Level AAA): only a page title is present as a location signal, with no breadcrumb, H1, or active navigation indicator. WCAG 2.2.1 (Timing Adjustable) is inapplicable — no time limits were detected. WCAG 3.1.4 (Abbreviations) is inapplicable — text content is too minimal for meaningful analysis. WCAG 3.3.2 (Labels or Instructions) passes — both inputs have properly associated &lt;label&gt; elements.</t>
  </si>
  <si>
    <t xml:space="preserve">[3.3.1] The error message does not identify which field is in error, does not describe the nature of the error, and is not programmatically associated with any input field. Identify the specific field(s) in error by name (e.g., 'Age is required and must be a positive number'). Programmatically associate the error with the relevant input using aria-describedby, and use role='alert' or aria-live='assertive' so screen readers announce it on submission. || [2.4.8] The page provides no location indicators beyond a page title. There is no breadcrumb, no H1 heading, no aria-current, and no active navigation link to help users understand where they are within the site. Add at least one additional location signal such as a breadcrumb trail, an H1 heading describing the page, or an aria-current='page' attribute on the active navigation link to satisfy WCAG 2.4.8 (AAA).</t>
  </si>
  <si>
    <t xml:space="preserve">The page fails two of the five evaluated WCAG criteria. Most critically, it fails WCAG 3.3.1 (Error Identification, Level A): the error message '&lt;span id="error"&gt;Invalid value for age.&lt;/span&gt;' is statically present in the DOM at all times, has no ARIA live region or role='alert', and is not programmatically associated with the age input — meaning assistive technology users will not be reliably informed when an error occurs or which field is in error. The page also fails WCAG 2.4.8 (Location, Level AAA) because only a page title is present with no breadcrumb, H1, or aria-current signal to orient users within the site. WCAG 2.2.1 (Timing Adjustable) passes as no time limits are present. WCAG 3.1.4 (Abbreviations) and WCAG 3.3.2 (Labels or Instructions) are either inapplicable or passing — the label for the age field is correctly associated.</t>
  </si>
  <si>
    <t xml:space="preserve">[3.3.1] The error message is always rendered in the DOM with no conditional visibility, no ARIA live region, no role='alert', and no programmatic association to the erroneous input field. Users are not informed of an input error in an accessible or context-sensitive manner. Hide the error message by default (e.g., via CSS or conditional rendering). On invalid submission, reveal it dynamically using role='alert' or aria-live='assertive'. Associate it with the input using aria-describedby='error' on the &lt;input&gt; element, and change the button to type='submit' so native and scripted validation can fire correctly. || [2.4.8] The page provides no sufficient location indicator beyond a page title. There is no breadcrumb navigation, no aria-current='page' on any nav link, no H1 heading, and no active nav class to orient the user within the site. Add at least one additional location mechanism: (1) a breadcrumb trail (e.g., &lt;nav aria-label='Breadcrumb'&gt;&lt;ol&gt;…&lt;/ol&gt;&lt;/nav&gt;), (2) an aria-current='page' attribute on the active navigation link, or (3) a visible H1 heading that reflects the page's position in the site hierarchy.</t>
  </si>
  <si>
    <t xml:space="preserve">The page fails two of the five evaluated criteria. Most critically for Level A compliance, WCAG 3.3.1 (Error Identification) is violated: the error message '&lt;span id="error"&gt;Invalid value for age.&lt;/span&gt;' is statically present in the DOM at all times, is not programmatically linked to the age input field, and lacks any ARIA live-region mechanism, meaning users of assistive technologies cannot reliably detect or associate the error with the offending field. At the AAA level, WCAG 2.4.8 (Location) also fails because only a page title is present — no breadcrumb, H1, or active navigation indicator exists to help users understand where they are within the site. The remaining criteria are either satisfied (WCAG 3.3.2 — the label is correctly associated; WCAG 2.2.1 — no time limits present) or inapplicable (WCAG 3.1.4 — no meaningful abbreviations in the minimal text content).</t>
  </si>
  <si>
    <t xml:space="preserve">[3.3.1] The error message is always rendered in the DOM with no conditional visibility, no programmatic association to the input, and no ARIA live region or role to announce it to assistive technologies. Hide the error span by default (e.g., via CSS or the hidden attribute). On invalid submission, reveal it and add aria-describedby="error" to the input, or use role="alert" on the span so screen readers announce the error automatically. Ensure the error message clearly identifies which field is in error. || [2.4.8] The page provides only a meaningful page title as a location signal. There is no breadcrumb trail, no aria-current="page" on a navigation link, no active nav item, and no H1 heading to orient the user within the site. Add at least one additional location indicator such as a breadcrumb navigation (e.g., &lt;nav aria-label="Breadcrumb"&gt;&lt;ol&gt;…&lt;/ol&gt;&lt;/nav&gt;), an H1 heading that reflects the page's position in the site, or aria-current="page" on the active link in a site navigation menu.</t>
  </si>
  <si>
    <t xml:space="preserve">The page fails on two of the five evaluated criteria. Most critically, WCAG 3.3.1 (Error Identification, Level A) is violated because the error message '&lt;span id="error"&gt;Invalid value for age.&lt;/span&gt;' is statically present in the DOM at all times with no programmatic link to the age input (missing aria-describedby), no conditional rendering, and no ARIA live-region role — meaning assistive technologies cannot identify it as an error or associate it with the offending field. WCAG 2.4.8 (Location, Level AAA) also fails because the page relies solely on its title for location context, lacking breadcrumbs, an H1, or aria-current signals. The remaining criteria are either passed or inapplicable: no time limits exist (2.2.1 inapplicable), no abbreviations appear in meaningful content (3.1.4 inapplicable), and the age input is correctly labelled (3.3.2 passes).</t>
  </si>
  <si>
    <t xml:space="preserve">[3.3.1] The error message is always rendered in the DOM with no programmatic association to the input field, no conditional visibility, and no live-region announcement. Users and assistive technologies cannot determine that an error has occurred or which field it belongs to. Add aria-describedby="error" to the age input so the error is programmatically associated. Hide the error span by default (e.g., display:none or aria-hidden="true") and reveal it only after a failed submission. Add role="alert" or aria-live="assertive" to the span so screen readers announce the error automatically when it appears. || [2.4.8] The page provides only a meaningful page title as a location signal. There is no breadcrumb navigation, no aria-current attribute, no H1 heading, and no active nav indicator to help users understand where they are within a site or set of pages. Add at least one additional location indicator such as a breadcrumb trail (e.g., Home &gt; Forms &gt; Age Form), an H1 heading that reflects the page's position, or aria-current="page" on the active navigation link.</t>
  </si>
  <si>
    <t xml:space="preserve">Four of the five target criteria are inapplicable to this page: WCAG 2.2.1 (no time limits or meta-refresh detected), WCAG 3.1.4 (text is too minimal for abbreviation analysis), WCAG 3.3.1, and WCAG 3.3.2 (no form elements present). However, the page fails WCAG 2.4.8 (Location, Level AAA): while the page title 'Inapplicable Example 1' is meaningful, no other location signals — such as a breadcrumb trail, aria-current='page' on a navigation link, an active nav class, or an H1 heading — are present. WCAG 2.4.8 requires that users can determine where they are within a set of pages, and a single page title alone is insufficient. The severity is rated minor because this is a Level AAA criterion and the page is extremely simple, but the gap should be addressed if this page is part of a larger site.</t>
  </si>
  <si>
    <t xml:space="preserve">[2.4.8] Insufficient location indicators present on the page. Only a meaningful page title was detected; no breadcrumb, aria-current, nav active class, or H1 heading was found. Add at least one additional location signal such as a breadcrumb navigation, an aria-current='page' attribute on the active nav link, or a visible H1 heading that clearly identifies the current page within the site structure.</t>
  </si>
  <si>
    <t xml:space="preserve">Four of the five target criteria are inapplicable to this page: WCAG 2.2.1 (no time limits or meta-refresh found), WCAG 3.1.4 (text is too minimal for abbreviation analysis), WCAG 3.3.1, and WCAG 3.3.2 (no form elements present). However, the page fails WCAG 2.4.8 (Location, Level AAA): while the page title is meaningful, no other location signals — such as a breadcrumb, an H1 heading, or aria-current on a navigation item — are present to orient users within a broader site context. The severity is rated minor because this is a Level AAA criterion and the page is extremely simple, but the gap should be addressed if this page is part of a multi-page site.</t>
  </si>
  <si>
    <t xml:space="preserve">[2.4.8] Insufficient location indicators to convey where the user is within the site or set of pages. Add at least one additional location signal such as a breadcrumb navigation, an H1 heading that reflects the current page, or aria-current='page' on the active navigation link to help users understand their location within the site.</t>
  </si>
  <si>
    <t xml:space="preserve">Four of the five target criteria are inapplicable to this page: WCAG 2.2.1 (no time limits or meta-refresh detected), WCAG 3.1.4 (no abbreviations in the minimal 7-word text body), WCAG 3.3.1 and 3.3.2 (no form elements present). However, the page fails WCAG 2.4.8 (Location, Level AAA) because it provides only a meaningful page title as a location signal, which is insufficient on its own. To comply, the page should supplement the title with at least one additional mechanism — such as a breadcrumb, an aria-current attribute on a navigation item, or a descriptive H1 — to clearly communicate the user's location within the broader site context.</t>
  </si>
  <si>
    <t xml:space="preserve">[2.4.8] Insufficient location indicators to convey the user's current position within the site or set of pages. Add at least one additional location signal such as a breadcrumb trail, an aria-current='page' attribute on the active navigation link, or a visible H1 heading that reinforces the user's current location within the site.</t>
  </si>
  <si>
    <t xml:space="preserve">The page passes four of the five evaluated criteria. WCAG 2.2.1 (Timing Adjustable) is satisfied — no meta-refresh, setTimeout, or time-limit controls are present. WCAG 3.1.4 (Abbreviations) is inapplicable because the page contains only 13 words and no abbreviations. WCAG 3.3.1 (Error Identification) is inapplicable because the form has no submit button and therefore no testable error-identification flow. WCAG 3.3.2 (Labels or Instructions) passes — the text input is correctly associated with a &lt;label&gt; element via a matching 'for'/'id' pair, and a helpful instruction ('To see all products, leave the field empty.') is provided. However, the page fails WCAG 2.4.8 (Location, Level AAA): only a meaningful page title is present, which alone is insufficient to convey the user's location within a site. At least one additional mechanism — such as a breadcrumb, an H1 heading, or an aria-current='page' marker on a navigation link — is required.</t>
  </si>
  <si>
    <t xml:space="preserve">[2.4.8] Insufficient location indicators: only a meaningful page title is present. No breadcrumb, aria-current, active nav link, or H1 heading was found. Add at least one additional location signal such as a breadcrumb navigation (&lt;nav aria-label='Breadcrumb'&gt;), an &lt;h1&gt; heading describing the current page, or an aria-current='page' attribute on the active navigation link so users can orient themselves within the site.</t>
  </si>
  <si>
    <t xml:space="preserve">The page passes four of the five evaluated criteria. WCAG 2.2.1 (Timing Adjustable) is satisfied — no meta-refresh, setTimeout, or time-limit controls are present. WCAG 3.1.4 (Abbreviations) is inapplicable because the page contains only 13 words and no abbreviations. WCAG 3.3.1 (Error Identification) is inapplicable because the form uses a button of type 'button' (not 'submit'), so no form submission error flow can be triggered. WCAG 3.3.2 (Labels or Instructions) passes cleanly — the text input is properly associated with a &lt;label&gt; element via matching 'for'/'id' attributes, and a helpful instruction paragraph ('To see all products, leave the field empty.') is provided. However, the page fails WCAG 2.4.8 (Location, Level AAA): only a meaningful page title exists as a location signal; there is no breadcrumb, H1 heading, aria-current marker, or active navigation link to orient users within the broader site context. Adding an H1 and/or a breadcrumb would resolve this minor AAA-level failure.</t>
  </si>
  <si>
    <t xml:space="preserve">[2.4.8] Insufficient location indicators: only a meaningful page title is present. No breadcrumb, aria-current, nav active class, or H1 heading was found. Add at least one additional location signal such as a breadcrumb navigation (&lt;nav aria-label='Breadcrumb'&gt;), an &lt;h1&gt; heading identifying the current page, or an aria-current='page' attribute on the active navigation link so users always know where they are within the site.</t>
  </si>
  <si>
    <t xml:space="preserve">The page was evaluated against all five target WCAG 2.1 criteria. WCAG 2.2.1 (Timing Adjustable) is fully satisfied — no meta-refresh, setTimeout, or time-limit controls were detected. WCAG 2.4.8 (Location, AAA) technically flagged only a page title as a location signal with no breadcrumb, aria-current, or H1, but this is a single-page minimal form with no site navigation context, making the criterion effectively inapplicable in practice. WCAG 3.1.4 (Abbreviations, AAA) is inapplicable — the 13-word text content contains no abbreviations. WCAG 3.3.1 (Error Identification, A) is inapplicable — the form uses a filter button (not a submit button), so no error-triggering submission flow exists to evaluate. WCAG 3.3.2 (Labels or Instructions, A) passes cleanly — the text input is properly associated with a &lt;label for='filter'&gt; element, and supplemental instructions ('To see all products, leave the field empty.') are provided in a visible paragraph. No violations were found against any of the applicable criteria.</t>
  </si>
  <si>
    <t xml:space="preserve">None of the five target WCAG criteria apply to this page. WCAG 2.2.1 (Timing Adjustable) is inapplicable because the page contains no meta-refresh, JavaScript timeouts, or time-limited interactions. WCAG 2.4.8 (Location) technically passes — the meaningful page title ('Reading list') and H1 heading ('Suggested reading') together provide sufficient location context, though no multi-page navigation exists to make the criterion truly meaningful. WCAG 3.1.4 (Abbreviations) is inapplicable because the page's 12-word body text contains no abbreviations or acronyms. WCAG 3.3.1 (Error Identification) and 3.3.2 (Labels or Instructions) are both inapplicable because the page contains no form elements, inputs, or interactive controls of any kind. The page is a simple, static reading list with no accessibility violations against the evaluated criteria.</t>
  </si>
  <si>
    <t xml:space="preserve">None of the five target WCAG criteria apply to this page. WCAG 2.2.1 (Timing Adjustable) is inapplicable because the page contains no meta-refresh, JavaScript timeouts, or any time-limited content. WCAG 2.4.8 (Location) technically passes — the meaningful page title ('Reading list') and H1 heading ('Suggested reading') together provide sufficient location context, though the criterion is most relevant in multi-page sites with navigation; since there are no links or navigation structures here, it is effectively a trivial pass. WCAG 3.1.4 (Abbreviations) is inapplicable because the page's 12-word body text contains no abbreviations or acronyms whatsoever. WCAG 3.3.1 (Error Identification) and 3.3.2 (Labels or Instructions) are both inapplicable because the page contains no form elements, inputs, or interactive controls of any kind. The page is a simple, static reading list with a heading and three list items — it presents no accessibility concerns relative to the evaluated criteria.</t>
  </si>
  <si>
    <t xml:space="preserve">None of the five target WCAG criteria apply to this page. WCAG 2.2.1 (Timing Adjustable) is inapplicable because the page contains no meta-refresh, JavaScript timeouts, or any time-limited content. WCAG 2.4.8 (Location) technically passes — the meaningful page title ('Reading list') and the H1 heading ('Suggested reading') together provide sufficient location context, though the criterion is most relevant in multi-page sites with navigation; since there are no links or navigation structures here, it is effectively a non-issue. WCAG 3.1.4 (Abbreviations) is inapplicable because the page's 12-word body text contains no abbreviations or acronyms whatsoever. WCAG 3.3.1 (Error Identification) and 3.3.2 (Labels or Instructions) are both inapplicable because the page contains no form elements, inputs, or interactive controls of any kind. The page is a simple, static reading list with no interactive features, time-sensitive content, abbreviations, or navigation complexity — making all five criteria non-applicable.</t>
  </si>
  <si>
    <t xml:space="preserve">Four of the five target criteria are either passing or inapplicable for this minimal page: WCAG 2.2.1 (Timing Adjustable) passes because no time limits, meta-refresh, or timeout mechanisms are present; WCAG 2.4.8 (Location) passes because a meaningful page title and an H1 heading together provide sufficient location context; WCAG 3.1.4 (Abbreviations) is inapplicable due to insufficient text content; and WCAG 3.3.1 (Error Identification) is inapplicable because there is no form submission mechanism. However, the page fails WCAG 3.3.2 (Labels or Instructions) at a serious severity level: the sole interactive element — &lt;input type="text" id="pass1" /&gt; — has no associated label, aria-label, aria-labelledby, title, or placeholder, leaving users (especially those relying on assistive technology) with no indication of what information the field expects.</t>
  </si>
  <si>
    <t xml:space="preserve">[3.3.2] The text input field has no associated label or instruction of any kind. Associate a visible &lt;label&gt; element with the input using the 'for' attribute matching the input's 'id' (e.g., &lt;label for="pass1"&gt;Your name&lt;/label&gt;). If a visible label is not possible, provide at minimum an aria-label or title attribute that describes the field's purpose.</t>
  </si>
  <si>
    <t xml:space="preserve">The page fails WCAG 3.3.2 (Labels or Instructions) because the sole interactive element — &lt;input type="text" id="pass1" /&gt; — has no label or instructions of any kind: no &lt;label&gt; element, no aria-label, no aria-labelledby, no title, and no placeholder. Users (especially those relying on assistive technology) cannot determine what information the field expects. The remaining criteria are either passing or inapplicable: WCAG 2.2.1 (Timing Adjustable) passes with no time limits detected; WCAG 2.4.8 (Location) passes because a meaningful page title and H1 heading are present; WCAG 3.1.4 (Abbreviations) is inapplicable due to minimal text content; and WCAG 3.3.1 (Error Identification) is inapplicable because there is no &lt;form&gt; element and no error-handling mechanism present.</t>
  </si>
  <si>
    <t xml:space="preserve">[3.3.2] The text input field has no associated label, placeholder, aria-label, aria-labelledby, or title attribute to identify its purpose. Associate a visible &lt;label&gt; element using the 'for' attribute matching the input's 'id' (e.g., &lt;label for="pass1"&gt;Your Name&lt;/label&gt;), or provide an accessible name via aria-label or aria-labelledby. Also wrap the input in a &lt;form&gt; element and provide format hints or instructions where applicable.</t>
  </si>
  <si>
    <t xml:space="preserve">check_timing_and_timeouts, check_location_indicators, analyze_readability, validate_form_errors_and_labels, validate_input_purpose</t>
  </si>
  <si>
    <t xml:space="preserve">The page fails WCAG 3.3.2 (Labels or Instructions, Level A) because the sole interactive element — &lt;input type="text" id="pass1" /&gt; — has no label of any kind: no &lt;label&gt; element, no aria-label, no aria-labelledby, no placeholder, and no title. Users (especially those relying on assistive technologies) have no way to understand what information is expected in this field. The remaining four criteria are either passing or inapplicable: WCAG 2.2.1 passes because no time limits, meta-refresh, or timeouts are present; WCAG 2.4.8 passes because the page title and H1 heading together provide sufficient location context; WCAG 3.1.4 is inapplicable due to insufficient text content for a meaningful abbreviation check; and WCAG 3.3.1 is inapplicable because there is no &lt;form&gt; element and therefore no form submission or error-identification mechanism to evaluate.</t>
  </si>
  <si>
    <t xml:space="preserve">[3.3.2] The text input field has no associated label, placeholder, aria-label, aria-labelledby, or title attribute to identify its purpose to users. Associate a visible &lt;label&gt; element using the 'for' attribute matching the input's 'id' (e.g., &lt;label for="pass1"&gt;Your Name&lt;/label&gt;), or at minimum provide an aria-label or title attribute that describes the expected input.</t>
  </si>
  <si>
    <t xml:space="preserve">The page was evaluated against all five target WCAG criteria. WCAG 2.2.1 (Timing Adjustable) is satisfied — no meta-refresh, setTimeout, or time-limit UI controls were detected. WCAG 2.4.8 (Location) passes — a meaningful page title ('axe-core form-field-multiple-labels passed example') and an H1 heading ('Test page for WCAG 3.3.2') together provide sufficient location context. WCAG 3.1.4 (Abbreviations) is inapplicable — the page contains only 9 words of visible text, too little for a meaningful abbreviation audit, and no unexplained abbreviations are present. WCAG 3.3.1 (Error Identification) is inapplicable — there is no &lt;form&gt; element and no error-handling mechanism to evaluate. WCAG 3.3.2 (Labels or Instructions) is effectively satisfied — the sole interactive control, a &lt;textarea id='pass2'&gt;, carries a descriptive title attribute ('Label'), which serves as an accessible label per the HTML accessibility API mappings; no &lt;form&gt; wrapper is required for this criterion to apply, and the label is present and non-empty. No violations were found across any of the five criteria.</t>
  </si>
  <si>
    <t xml:space="preserve">The page was evaluated against all five target WCAG criteria. WCAG 2.2.1 (Timing Adjustable) is satisfied — no meta-refresh, setTimeout, or time-limit UI controls were detected. WCAG 2.4.8 (Location) passes — a meaningful page title ('axe-core form-field-multiple-labels passed example') and an H1 heading ('Test page for WCAG 3.3.2') together provide sufficient location context. WCAG 3.1.4 (Abbreviations) is inapplicable — the page contains only 9 words of visible text, which is too minimal for a meaningful abbreviation check, and no unexplained abbreviations are present. WCAG 3.3.1 (Error Identification) is inapplicable — there is no &lt;form&gt; element and therefore no form submission or error-identification scenario to evaluate. WCAG 3.3.2 (Labels or Instructions) is inapplicable at the form level (no &lt;form&gt; wrapper), but the sole interactive element — the &lt;textarea id='pass2'&gt; — does carry a 'title' attribute ('Label'), which serves as an accessible name and satisfies the labeling requirement for that control. No violations were found across any of the five criteria.</t>
  </si>
  <si>
    <t xml:space="preserve">The page was evaluated against all five target WCAG criteria. WCAG 2.2.1 (Timing Adjustable) is satisfied — no meta-refresh, setTimeout, or time-limit controls were detected. WCAG 2.4.8 (Location) passes — a meaningful page title ('axe-core form-field-multiple-labels passed example') and an H1 heading ('Test page for WCAG 3.3.2') together provide sufficient location context. WCAG 3.1.4 (Abbreviations) is inapplicable — the page contains only 9 words of visible text with no detectable abbreviations. WCAG 3.3.1 (Error Identification) is inapplicable — there is no &lt;form&gt; element and therefore no form submission or error-identification mechanism to evaluate. WCAG 3.3.2 (Labels or Instructions) is inapplicable in the strictest sense because the textarea is not wrapped in a &lt;form&gt;, but the field itself is properly labelled via its title attribute ('Label'), which is a valid accessible name mechanism — no labelling violation exists. Overall, the page raises no failures against any of the five evaluated criteria.</t>
  </si>
  <si>
    <t xml:space="preserve">The page fails primarily on WCAG 3.3.2 (Labels or Instructions), which is a serious Level A violation. All four interactive form controls — three text inputs and one select — lack proper programmatic labels; placeholder text is used as a substitute for real labels on the text inputs, and the select has no labelling mechanism at all. The submit button's label ('Go') is also too vague. WCAG 3.3.1 (Error Identification) cannot be confirmed as passing because the form has no client-side validation and no pre-rendered error states, meaning error identification behaviour depends entirely on unverifiable server-side rendering. WCAG 2.2.1 (Timing Adjustable) passes — no time limits, meta-refresh, or timeouts were detected. WCAG 2.4.8 (Location) passes — the meaningful page title ('Search and filter') and H1 heading ('Search') together provide sufficient location context. WCAG 3.1.4 (Abbreviations) is inapplicable — the page contains only 8 words of text with no abbreviations present.</t>
  </si>
  <si>
    <t xml:space="preserve">[3.3.2] All form inputs lack proper programmatic labels. Placeholder text is used as the sole labelling mechanism for three text inputs, and the &lt;select&gt; element has no label at all. Add a visible &lt;label&gt; element associated via a matching 'for'/'id' pair (or wrap each control in a &lt;label&gt;) for every input and the &lt;select&gt;. Placeholder text must not be the only label because it disappears on input, has low contrast by default, and is not reliably announced by all assistive technologies. For the date fields, also add a format hint (e.g., 'DD/MM/YYYY') either in the label or via aria-describedby. || [3.3.2] The &lt;select&gt; element has no label whatsoever — no &lt;label&gt;, no aria-label, no aria-labelledby, and no placeholder. Add a &lt;label for='category'&gt;Category&lt;/label&gt; and a matching id='category' on the &lt;select&gt; element so its purpose is programmatically determinable. || [3.3.2] The submit button label 'Go' is too generic to convey the action being performed, providing insufficient instruction to users. Use a descriptive button label such as 'Search' or 'Apply filters' so users understand what the button does before activating it. || [3.3.1] The form has no client-side validation and no pre-rendered error markup. If the server returns validation errors, there is no mechanism in the static HTML to programmatically identify which field is in error or describe the nature of the error. Implement error identification that: (1) uses aria-describedby or aria-errormessage to associate error messages with the specific field in error, (2) includes the field name in the error message text, and (3) describes the nature of the error (e.g., 'From date: Please enter a valid date in DD/MM/YYYY format').</t>
  </si>
  <si>
    <t xml:space="preserve">The page fails primarily on WCAG 3.3.2 (Labels or Instructions) and has a conditional concern for 3.3.1 (Error Identification). All four form controls — three text inputs and one select — are unlabeled; they rely solely on placeholder text or have no label at all, which is insufficient for accessibility. The date fields additionally lack any format instructions. There is also no error-handling infrastructure (no aria-live regions, no aria-invalid, no error containers), meaning that if the server rejects input, users — especially those using assistive technology — will have no programmatic way to identify what went wrong or which field caused the problem. The remaining criteria are in good standing: no time limits are present (WCAG 2.2.1 passes), location context is adequately conveyed via the page title and H1 (WCAG 2.4.8 passes), and no abbreviations were detected in the minimal text content (WCAG 3.1.4 is inapplicable).</t>
  </si>
  <si>
    <t xml:space="preserve">[3.3.2] All form inputs and the select element lack proper programmatic labels. Placeholder text is used as the only labelling mechanism for the three text inputs, and the select has no label at all. Add a visible &lt;label&gt; element associated via the 'for' attribute (matching the input's 'id') to each input and the select. For example: &lt;label for='search-query'&gt;Search&lt;/label&gt;&lt;input id='search-query' type='text'&gt;. Do not rely on placeholder alone — it disappears on input, has low contrast by default, and is not reliably announced by all screen readers. || [3.3.2] The date inputs ('From date', 'To date') provide no format hint or instructions for the expected date format (e.g., MM/DD/YYYY or YYYY-MM-DD). Use &lt;input type='date'&gt; for native date-picker support, or provide an explicit format hint via a visible hint text element linked with aria-describedby. For example: &lt;span id='date-hint'&gt;Format: YYYY-MM-DD&lt;/span&gt; and aria-describedby='date-hint' on the input. || [3.3.2] The &lt;select&gt; element has no label of any kind — no &lt;label&gt;, no aria-label, and no aria-labelledby. Add &lt;label for='category'&gt;Category&lt;/label&gt; and id='category' to the &lt;select&gt; element so its purpose is programmatically determinable. || [3.3.1] The form has no client-side validation and no pre-rendered error markup. If the server returns validation errors, there is no mechanism in the static HTML to identify which field is in error or describe the nature of the error. Implement error identification that (a) describes the error in text, (b) identifies the specific field in error (e.g., via aria-describedby pointing to an error message), and (c) uses aria-invalid='true' on the offending input. Consider adding client-side validation as a first line of feedback.</t>
  </si>
  <si>
    <t xml:space="preserve">The page fails on two of the five evaluated criteria. WCAG 3.3.2 (Labels or Instructions) is violated because all four form controls — three text inputs and one select — rely solely on placeholder text or have no label at all; placeholders are not an acceptable substitute for persistent, programmatic labels. WCAG 3.3.1 (Error Identification) is a concern because the form contains no client-side validation logic and no error-state markup, meaning users who submit invalid data will receive no accessible, field-specific error feedback from the page itself. The remaining three criteria are either passing or inapplicable: WCAG 2.2.1 (Timing Adjustable) is inapplicable — no meta-refresh or timeouts are present; WCAG 2.4.8 (Location) passes — the meaningful page title ('Search and filter') and H1 ('Search') together provide sufficient location context; and WCAG 3.1.4 (Abbreviations) is inapplicable — the page contains only eight words of text with no abbreviations detected.</t>
  </si>
  <si>
    <t xml:space="preserve">[3.3.2] All form inputs and the select element lack proper programmatic labels. Placeholder text is used as the only labelling mechanism for the three text inputs, and the select has no label at all. Add a visible &lt;label&gt; element associated via a matching 'for'/'id' pair (or wrap each control in its &lt;label&gt;) for every input and the select. Do not rely on placeholder alone — placeholders disappear on input, have low contrast by default, and are not reliably announced as labels by all assistive technologies. || [3.3.1] The form has no client-side validation and no pre-rendered error markup. If the server returns validation errors, there is no mechanism in the static HTML to identify which field is in error or describe the nature of the error. Implement error identification: when a field fails validation, programmatically associate an error message with the offending field (e.g., aria-describedby pointing to an error &lt;span&gt;, or an inline &lt;label&gt;-adjacent message). Each error message must name the field and describe the problem (e.g., 'From date: Please enter a valid date in DD/MM/YYYY format.').</t>
  </si>
  <si>
    <t xml:space="preserve">The page fails primarily on WCAG 3.3.2 (Labels or Instructions) and has a latent risk for 3.3.1 (Error Identification). Required fields are communicated only through a pink background colour with no textual or programmatic equivalent, making them inaccessible to screen-reader users and those who cannot perceive colour differences. Two fields (Date of birth and Phone) lack any format hints, leaving users without the instructions they need to complete the form correctly. There is also no client-side validation and no error-identification infrastructure for when the form is submitted with invalid or missing data, creating a 3.3.1 risk. The remaining criteria are clear: WCAG 2.2.1 (Timing Adjustable) is inapplicable — no time limits are present; WCAG 2.4.8 (Location) passes — the meaningful page title 'Account registration' and the H1 'Register' together provide sufficient location context; and WCAG 3.1.4 (Abbreviations) is inapplicable — the page contains too little prose to warrant abbreviation handling.</t>
  </si>
  <si>
    <t xml:space="preserve">[3.3.2] Required fields are not identified in a text-based or programmatic way — only a CSS background colour (#ffcccc via class 'req') is used to signal required status, which is invisible to screen readers and colour-blind users. Add the HTML 'required' attribute (and optionally aria-required="true") to mandatory fields. Include a visible, text-based legend such as '* Required field' and append an asterisk to the corresponding labels, e.g. &lt;label for="r-name"&gt;Name &lt;span aria-hidden="true"&gt;*&lt;/span&gt;&lt;/label&gt;. || [3.3.2] The 'Date of birth' field uses a plain text input with no format hint, leaving users without guidance on the expected date format (e.g. MM/DD/YYYY, DD-MM-YYYY, YYYY-MM-DD). Either switch to &lt;input type="date"&gt; for native browser date-picker support, or add a visible format hint linked via aria-describedby, e.g. &lt;span id="dob-hint"&gt;Format: DD/MM/YYYY&lt;/span&gt; and aria-describedby="dob-hint" on the input. || [3.3.2] The 'Phone' field provides no format hint or example, leaving users uncertain about the expected format (e.g. country code, dashes, spaces). Add a visible format example linked via aria-describedby, e.g. &lt;span id="phone-hint"&gt;Example: +1 555-000-0000&lt;/span&gt; and aria-describedby="phone-hint" on the input. || [3.3.1] The form has no client-side validation and no mechanism to identify or describe errors to the user after submission. If the server returns errors, there is no in-page error identification pattern (no aria-live region, no error summary, no aria-describedby links to error messages). Add the 'required' attribute to mandatory fields so the browser can surface native validation errors. For server-side errors, inject an error summary at the top of the form inside an aria-live="assertive" or role="alert" region, and link each error message to its field via aria-describedby.</t>
  </si>
  <si>
    <t xml:space="preserve">The page fails primarily on WCAG 3.3.2 (Labels or Instructions) and has a latent 3.3.1 (Error Identification) risk. All three form inputs have programmatically associated &lt;label&gt; elements, which is good, but two fields that appear mandatory are marked only with a background colour — a technique that is invisible to screen readers and fails colour-blind users. Both the date-of-birth and phone fields lack any format hints, leaving users without the instructions they need to complete the form correctly. The form also has no validation layer whatsoever, meaning errors after submission will not be identified or described to users in an accessible way. WCAG 2.2.1 (Timing Adjustable) is not applicable — no time limits were detected. WCAG 2.4.8 (Location) passes — the meaningful page title 'Account registration' and the H1 'Register' together provide sufficient location context. WCAG 3.1.4 (Abbreviations) is not applicable — the page contains too little prose text for the criterion to be meaningful.</t>
  </si>
  <si>
    <t xml:space="preserve">[3.3.2] Required fields are not identified in a text-based or programmatic way — only a visual background colour (#ffcccc via class 'req') distinguishes them, which is invisible to screen readers and colour-blind users. Add required or aria-required="true" to mandatory fields, include a visible text indicator (e.g., an asterisk with a legend such as '* Required'), and never rely solely on colour to convey meaning. || [3.3.2] The 'Date of birth' field accepts free-form text but provides no format hint (e.g., DD/MM/YYYY or MM-DD-YYYY), leaving users without guidance on the expected input format. Add a visible format hint adjacent to the field (e.g., &lt;span id="dob-hint"&gt;Format: DD/MM/YYYY&lt;/span&gt;) and link it with aria-describedby="dob-hint". Alternatively, use type="date" to leverage native browser date-picking. || [3.3.2] The 'Phone' field provides no format hint or example (e.g., +1-800-555-0100), leaving users uncertain about the expected format. Add a visible format example adjacent to the field (e.g., &lt;span id="phone-hint"&gt;Example: +1-800-555-0100&lt;/span&gt;) and link it with aria-describedby="phone-hint". || [3.3.1] The form has no client-side validation and no mechanism to identify or describe errors to the user after submission. If the server returns errors, there is no in-page error identification structure. Add HTML5 required and pattern attributes where appropriate, and/or implement client-side validation that: (a) identifies each field in error by name, (b) describes the nature of the error in text, and (c) uses aria-invalid="true" plus aria-describedby to associate the error message with the offending field.</t>
  </si>
  <si>
    <t xml:space="preserve">The page fails primarily on WCAG 3.3.2 (Labels or Instructions). While all three inputs have correctly associated &lt;label&gt; elements, two required fields (Name, Date of birth) communicate their mandatory status only through a CSS background colour (#ffcccc via class 'req'), which is a colour-only signal that violates the principle of not relying on colour alone and is invisible to assistive technologies. Additionally, the Date of birth and Phone fields lack any format hints, leaving users without the instructions they need to enter data correctly. WCAG 3.3.1 (Error Identification) is inapplicable because the form has no client-side validation and no required attributes, so no error state can be triggered in the static HTML. WCAG 2.2.1 (Timing Adjustable) is inapplicable — no time limits, meta-refresh, or timeouts were detected. WCAG 2.4.8 (Location) passes — the meaningful page title ('Account registration') and H1 ('Register') together provide sufficient location context. WCAG 3.1.4 (Abbreviations) is inapplicable — the page contains only nine words of visible text with no abbreviations present.</t>
  </si>
  <si>
    <t xml:space="preserve">[3.3.2] Required fields are not identified in a text-based or programmatic way — only a CSS background colour (.req) is used, which is a colour-only indicator invisible to screen readers and users who cannot perceive colour. Add required (or aria-required="true") to mandatory inputs. Supplement with a visible text indicator such as an asterisk (*) in the label, and include a form-level instruction like 'Fields marked with * are required'. Do not rely solely on colour to convey required status. || [3.3.2] The 'Date of birth' field uses type="text" with no format hint, leaving users without guidance on the expected input format (e.g., MM/DD/YYYY vs DD-MM-YYYY). Either switch to &lt;input type="date"&gt; for native date-picker support, or add a visible format hint (e.g., 'DD/MM/YYYY') via a &lt;span&gt; linked with aria-describedby, or use a placeholder as a supplementary (not sole) hint. || [3.3.2] The 'Phone' field provides no format hint or example, leaving users uncertain about the expected format (e.g., country code, dashes, spaces). Add a visible format example (e.g., '+1 555-000-0000') adjacent to the field and link it programmatically with aria-describedby.</t>
  </si>
  <si>
    <t xml:space="preserve">None of the five target WCAG criteria apply to this page. The page is a simple static news article with no time limits or session controls (WCAG 2.2.1 is inapplicable), no forms or interactive inputs (WCAG 3.3.1 and 3.3.2 are inapplicable), and no detectable abbreviations in its 47-word body text (WCAG 3.1.4 is inapplicable). For WCAG 2.4.8 Location, the tool returned a PASS — the meaningful page title ('City announces park renovation') and matching H1 heading together provide sufficient location context for a single-page article, so no violation exists. Overall, the page is clean, minimal, and raises no accessibility concerns relative to the evaluated criteria.</t>
  </si>
  <si>
    <t xml:space="preserve">None of the five target WCAG criteria apply to this page. The page is a simple static news article with no time limits or session controls (WCAG 2.2.1 is inapplicable), no forms or interactive inputs (WCAG 3.3.1 and 3.3.2 are inapplicable), and no detectable abbreviations in its 47-word body text (WCAG 3.1.4 is inapplicable). For WCAG 2.4.8 Location, the tool returned a PASS — the meaningful page title ('City announces park renovation') and matching H1 heading together provide sufficient location context for a single-page article, so no violation exists. Overall, the page is a clean, minimal article that raises no accessibility concerns against the evaluated criteria.</t>
  </si>
  <si>
    <t xml:space="preserve">None of the five target WCAG criteria apply to this page. The page is a simple static news article with no time limits or session controls (WCAG 2.2.1 is inapplicable), no forms or interactive inputs (WCAG 3.3.1 and 3.3.2 are inapplicable), and no detectable abbreviations in its 47-word body text (WCAG 3.1.4 is inapplicable). For WCAG 2.4.8 Location, the tool returned a PASS — the meaningful page title ('City announces park renovation') and matching H1 heading together provide sufficient location context for a single-page article. No violations were found, and the majority of criteria simply do not apply to this content type.</t>
  </si>
  <si>
    <t xml:space="preserve">The page passes WCAG 2.4.8 Location (the meaningful page title 'Log out' and matching H1 together provide sufficient location context). WCAG 3.1.4 Abbreviations is inapplicable because the 14-word body text contains no abbreviations. WCAG 3.3.1 Error Identification and 3.3.2 Labels or Instructions are effectively inapplicable: the form contains only hidden inputs and a clearly labelled submit button, so there are no user-facing fields that require labels, instructions, or error messages. However, the page fails WCAG 2.2.1 Timing Adjustable at a moderate severity: the phrase 'end your session' signals that a server-side session timeout is in play, yet the page provides no controls to turn off, adjust, or extend that limit. To remediate, either surface a session-extension mechanism (e.g., a 'Keep me logged in' prompt before expiry) or confirm that the session lifetime qualifies for one of the defined exceptions (essential, 20+ hours, or data-preservation).</t>
  </si>
  <si>
    <t xml:space="preserve">[2.2.1] The page contains text that implies a session time limit ('end your session'), but provides no mechanism for the user to turn off, adjust, or extend that time limit. If a session timeout is enforced server-side, provide a visible warning before expiry and offer controls to extend or disable the timeout (e.g., a 'Stay logged in' option or a configurable session duration). If no actual time limit exists, ensure the page copy does not imply one, or document the exception (e.g., the timeout is essential or longer than 20 hours).</t>
  </si>
  <si>
    <t xml:space="preserve">The page fails primarily on WCAG 2.2.1 (Timing Adjustable): the phrase 'end your session' implies an active session time limit, yet the page provides no controls to adjust or extend it. The remaining criteria fare well — WCAG 2.4.8 (Location) passes because both the &lt;title&gt; ('Log out') and the &lt;h1&gt; ('Log out') clearly communicate the user's current location. WCAG 3.1.4 (Abbreviations) is inapplicable because the page contains only 14 words and no abbreviations. WCAG 3.3.1 (Error Identification) is inapplicable because the logout form has no required fields or client-side validation that could produce errors. WCAG 3.3.2 (Labels or Instructions) passes because the only interactive element is a clearly labelled submit button ('Log out') with no user-input fields requiring additional labelling or format hints.</t>
  </si>
  <si>
    <t xml:space="preserve">[2.2.1] The page contains text suggesting a session time limit ('end your session'), but provides no controls to turn off, adjust, or extend that time limit. If a session timeout is enforced server-side, provide a mechanism for users to turn off, adjust, or extend the time limit before it expires (e.g., a warning dialog with an 'Extend Session' option). If no actual time limit exists, ensure the page copy does not imply one, or confirm the session is truly unlimited.</t>
  </si>
  <si>
    <t xml:space="preserve">The page is a minimal logout form with only hidden inputs and a submit button. Four of the five target criteria are either passing or inapplicable: WCAG 2.4.8 (Location) passes because both the page title and H1 heading clearly identify the current location as 'Log out'; WCAG 3.1.4 (Abbreviations) is inapplicable due to the extremely short text with no abbreviations present; WCAG 3.3.1 (Error Identification) is inapplicable because the form has no user-facing required fields or validation; and WCAG 3.3.2 (Labels or Instructions) passes because all inputs are hidden and the submit button is clearly labeled. However, WCAG 2.2.1 (Timing Adjustable) raises a moderate concern: the phrase 'end your session' implies a session-based time limit, yet no controls exist to warn, extend, or disable that limit. If a real server-side session timeout is in effect, this constitutes a failure of WCAG 2.2.1 Level A. The page author should either implement a session-extension mechanism or confirm that no enforced time limit applies.</t>
  </si>
  <si>
    <t xml:space="preserve">[2.2.1] The page contains text suggesting a session time limit ('end your session'), but provides no controls to turn off, adjust, or extend that time limit. If a session timeout is enforced server-side, provide a mechanism for users to turn off, adjust, or extend the time limit before it expires (e.g., a warning dialog with an 'Extend Session' option). If no actual time limit exists, this criterion is inapplicable, but the page copy should be reviewed to avoid implying one.</t>
  </si>
  <si>
    <t xml:space="preserve">None of the five target WCAG criteria apply to this page. The page contains only a single empty &lt;div&gt; with an inline line-height style and no meaningful content whatsoever. WCAG 1.4.12 (Text Spacing) is inapplicable because there is no text content to space. WCAG 2.2.2 (Pause, Stop, Hide) is inapplicable because there are no animations, auto-playing media, or moving content. WCAG 2.4.5 (Multiple Ways) is inapplicable because the page has no links to other pages and does not constitute a multi-page site requiring navigation mechanisms. WCAG 2.4.6 (Headings and Labels) is inapplicable because there are no headings or form labels present. WCAG 3.1.4 (Abbreviations) is inapplicable because there is no text content containing abbreviations. The page is essentially a skeleton with no substantive content, making all five criteria non-applicable.</t>
  </si>
  <si>
    <t xml:space="preserve">None of the five target criteria apply meaningfully to this page. The page contains only an empty &lt;div&gt; with a restrictive inline line-height style and no text content, no interactive elements, no navigation, no headings, no labels, no animations or timed media, and no abbreviations. Tool results confirm: (1) WCAG 1.4.12 Text Spacing is inapplicable because there is no text content to reflow or space; (2) WCAG 2.2.2 Pause, Stop, Hide is inapplicable because no animations, autoplay media, or moving content were detected; (3) WCAG 2.4.5 Multiple Ways is inapplicable because the page has no links to other pages and does not constitute a multi-page site context; (4) WCAG 2.4.6 Headings and Labels is inapplicable because the page contains no headings or form labels whatsoever; and (5) WCAG 3.1.4 Abbreviations is inapplicable because there is no meaningful text content in which abbreviations could appear. The inline line-height: 0.1em !important style on the empty div, while potentially problematic if text were present, has no actual impact here due to the absence of any content.</t>
  </si>
  <si>
    <t xml:space="preserve">None of the five target criteria apply meaningfully to this page. The page contains only an empty &lt;div&gt; with a line-height style and no text content, no interactive elements, no navigation, no animations, no headings, and no abbreviations. WCAG 1.4.12 (Text Spacing) is inapplicable because there is no text content to reflow or space. WCAG 2.2.2 (Pause, Stop, Hide) is inapplicable because there are zero animations, auto-playing media, or moving content of any kind. WCAG 2.4.5 (Multiple Ways) is inapplicable because the page has no links to other pages and does not constitute a multi-page site requiring navigation mechanisms. WCAG 2.4.6 (Headings and Labels) is inapplicable because there are no headings or form labels present — the page has no structured content whatsoever. WCAG 3.1.4 (Abbreviations) is inapplicable because there is no meaningful text content, let alone any abbreviations. The inline style 'line-height: 0.1em !important' on the empty div is technically present but has no effect on any content, so it does not constitute a real-world text-spacing violation.</t>
  </si>
  <si>
    <t xml:space="preserve">check_text_spacing_reflow, detect_animations_and_motion, check_navigation_methods, analyze_heading_structure, analyze_readability</t>
  </si>
  <si>
    <t xml:space="preserve">The page was evaluated against all five target criteria. WCAG 1.4.12 (Text Spacing) passes: the inline style uses `line-height: 2em !important`, which overrides the lower `1em` fallback, ensuring the line-height meets the required 1.5× body text spacing threshold, and no layout breaks or content clipping were detected when spacing overrides were applied. WCAG 2.2.2 (Pause, Stop, Hide) is inapplicable: no animations, autoplay media, marquees, or moving content of any kind are present. WCAG 2.4.5 (Multiple Ways) is inapplicable: the page contains no links to other pages and is a single standalone document, so the requirement for multiple navigation mechanisms does not apply. WCAG 2.4.6 (Headings and Labels) is inapplicable in a meaningful sense: the page has no headings or form labels, but the sole content is a single short paragraph with no structural complexity requiring headings — no violation is introduced. WCAG 3.1.4 (Abbreviations) is inapplicable: the page text contains no abbreviations or acronyms. Overall, no violations of the five target criteria were found.</t>
  </si>
  <si>
    <t xml:space="preserve">The page was evaluated against all five target WCAG criteria. WCAG 1.4.12 (Text Spacing) passed: the paragraph's inline style uses 'line-height: 2em !important', which overrides the lower '1em' value, meaning the browser correctly applies the higher line-height; the text spacing tool confirmed no layout breaks or content clipping occur when spacing overrides are applied. WCAG 2.2.2 (Pause, Stop, Hide) is inapplicable: no animations, autoplay media, marquees, or moving content of any kind were detected. WCAG 2.4.5 (Multiple Ways) is inapplicable: the page contains no links to other pages and is a single standalone page, so the requirement for multiple navigation mechanisms does not apply. WCAG 2.4.6 (Headings and Labels) is inapplicable in a meaningful sense: the page contains no headings or form labels, but the sole content is a single short paragraph with no structural complexity that would require them — no violations arise from their absence in this minimal context. WCAG 3.1.4 (Abbreviations) is inapplicable: the text contains no abbreviations whatsoever. Overall, the page passes all applicable criteria with no violations found.</t>
  </si>
  <si>
    <t xml:space="preserve">The page was evaluated against all five target WCAG criteria. WCAG 1.4.12 (Text Spacing) passed: the paragraph's inline `line-height: 2em !important` correctly overrides the secondary `line-height: 1em` declaration, ensuring the browser applies the higher spacing value; no layout breaks or content clipping were detected when WCAG text-spacing overrides were applied. WCAG 2.2.2 (Pause, Stop, Hide) is inapplicable: no animations, auto-playing media, marquees, or moving content of any kind are present. WCAG 2.4.5 (Multiple Ways) is inapplicable: the page contains no links to other pages and is effectively a single, standalone content page, so the requirement for multiple navigation mechanisms does not apply. WCAG 2.4.6 (Headings and Labels) is inapplicable in a meaningful sense: the page contains no headings or form labels, but the sole content is a single short paragraph that does not require sectioning; no misleading or non-descriptive headings/labels exist to violate the criterion. WCAG 3.1.4 (Abbreviations) is inapplicable: the page's 16-word text contains no abbreviations or acronyms whatsoever. Overall, none of the five criteria are violated by this page.</t>
  </si>
  <si>
    <t xml:space="preserve">This minimal page contains only a single sentence of static text with no navigation links, no interactive elements, no animations or timed content, no headings or labels, and no abbreviations. All five target criteria are effectively inapplicable: (1) WCAG 1.4.12 Text Spacing — the tool confirmed a pass with no overflow or content integrity issues when spacing overrides are applied, and the inline styles do not suppress spacing in a way that causes loss of content; (2) WCAG 2.2.2 Pause, Stop, Hide — no animations, autoplay media, or moving content of any kind are present; (3) WCAG 2.4.5 Multiple Ways — the page has no links to other pages and exists as a standalone document, so the criterion does not apply; (4) WCAG 2.4.6 Headings and Labels — there are no headings or form labels on the page, so there is nothing to evaluate for descriptiveness; (5) WCAG 3.1.4 Abbreviations — the 16-word body text contains no abbreviations or acronyms. Because none of the five criteria have applicable content to evaluate against, the overall verdict is inapplicable.</t>
  </si>
  <si>
    <t xml:space="preserve">This minimal HTML page contains only a single paragraph of plain text with basic inline styling (line-height and max-width). Evaluating against all five target criteria: (1) WCAG 1.4.12 Text Spacing — the tool confirmed a PASS; the inline line-height style does not cause content loss or layout breakage when WCAG text-spacing overrides are applied. (2) WCAG 2.2.2 Pause, Stop, Hide — INAPPLICABLE; no animations, auto-playing media, marquees, or moving content of any kind are present. (3) WCAG 2.4.5 Multiple Ways — INAPPLICABLE; the page contains no links to other pages and is not part of a multi-page set, so the criterion does not apply. (4) WCAG 2.4.6 Headings and Labels — INAPPLICABLE; the page has no headings and no form labels, so there are no headings or labels to evaluate for descriptiveness. (5) WCAG 3.1.4 Abbreviations — INAPPLICABLE; the 16-word body text contains no abbreviations or acronyms whatsoever. Because none of the five criteria are meaningfully triggered by this page's content, the overall verdict is inapplicable.</t>
  </si>
  <si>
    <t xml:space="preserve">This minimal HTML page contains only a single paragraph of plain text with inline CSS controlling line-height and a constrained span. Evaluating it against all five target criteria yields the following: (1) WCAG 1.4.12 Text Spacing — the tool confirmed a PASS; the inline line-height style does not cause content loss or layout breakage when WCAG text-spacing overrides are applied. (2) WCAG 2.2.2 Pause, Stop, Hide — INAPPLICABLE; no animations, autoplay media, marquee, or moving content of any kind is present. (3) WCAG 2.4.5 Multiple Ways — INAPPLICABLE; the page contains no links to other pages and is not part of a multi-page set, so the criterion does not apply. (4) WCAG 2.4.6 Headings and Labels — INAPPLICABLE; the page has no headings and no form labels, so there are no headings or labels to evaluate for descriptiveness. (5) WCAG 3.1.4 Abbreviations — INAPPLICABLE; the 16-word body text contains no abbreviations or acronyms whatsoever. Because none of the five criteria are meaningfully violated — and the majority are simply inapplicable to this content — the overall verdict is inapplicable.</t>
  </si>
  <si>
    <t xml:space="preserve">The page fails on two of the five evaluated criteria. Most critically, WCAG 1.4.12 (Text Spacing) is violated because the inline style `word-spacing: 2px !important` uses `!important`, which prevents users or assistive technologies from overriding word spacing to meet the required minimum of 0.16em — a direct failure of the success criterion. WCAG 2.4.6 (Headings and Labels) also fails because the page contains no heading elements whatsoever, offering no structural labelling of the content. The remaining three criteria are inapplicable: WCAG 2.2.2 (Pause, Stop, Hide) is not triggered as there are no animations or auto-playing media; WCAG 2.4.5 (Multiple Ways) does not apply because the page contains no links to other pages and is effectively a single standalone page; and WCAG 3.1.4 (Abbreviations) is inapplicable as the minimal 16-word text contains no abbreviations.</t>
  </si>
  <si>
    <t xml:space="preserve">[1.4.12] Word spacing is locked via `!important`, preventing users from overriding text spacing with their own stylesheets. Remove the `!important` declaration from the inline `word-spacing` property. WCAG 1.4.12 requires that when users apply the specified text-spacing overrides (word-spacing ≥ 0.16em), content and functionality must not be lost. Using `!important` on inline styles blocks user-agent or user stylesheet overrides, directly violating this criterion. || [2.4.6] The page has no headings at all. There is no H1 or any other heading element to label or describe the page content. Add a descriptive `&lt;h1&gt;` heading that summarises the page content. Headings must be descriptive and accurately reflect the content they introduce, enabling users to understand the page structure.</t>
  </si>
  <si>
    <t xml:space="preserve">The page fails on two of the five evaluated criteria. The most notable failure for WCAG 1.4.12 (Text Spacing) is the use of `word-spacing: 2px !important` as an inline style on the paragraph. The `!important` declaration blocks user-agent or assistive-technology overrides that WCAG 1.4.12 mandates must be honoured (word-spacing ≥ 0.16em). For WCAG 2.4.6 (Headings and Labels), the page has no heading elements whatsoever, which is a serious structural omission. The remaining criteria are inapplicable: WCAG 2.2.2 (Pause, Stop, Hide) does not apply because there are no animations or auto-playing media; WCAG 2.4.5 (Multiple Ways) does not apply because the page contains no links to other pages; and WCAG 3.1.4 (Abbreviations) is inapplicable because the minimal text contains no abbreviations.</t>
  </si>
  <si>
    <t xml:space="preserve">[1.4.12] The paragraph uses `word-spacing: 2px !important` in an inline style, which overrides any user-applied text-spacing adjustments. WCAG 1.4.12 requires that when users override word-spacing to at least 0.16em, content and functionality must not be lost. The `!important` declaration prevents this override from taking effect. Remove the `!important` flag from the inline `word-spacing` declaration (and ideally move the style to a stylesheet). This allows user-agent or user-defined text-spacing overrides to take precedence as required by WCAG 1.4.12. || [2.4.6] The page contains no headings at all (no H1–H6 elements). WCAG 2.4.6 requires that headings, when present, be descriptive — but a page with meaningful content and no headings fails to provide the structural labelling that aids navigation and comprehension. Add at least one descriptive heading (e.g., `&lt;h1&gt;`) that accurately labels the page content, enabling users — especially screen reader users — to understand and navigate the page structure.</t>
  </si>
  <si>
    <t xml:space="preserve">The page fails on two of the five evaluated criteria. Most critically, WCAG 1.4.12 (Text Spacing) is violated because the paragraph's inline style applies `word-spacing: 2px !important`, which prevents user agents and user stylesheets from overriding word-spacing to the required minimum of 0.16em — a direct failure of the criterion's non-interference requirement (confirmed by the tool despite its overall 'pass' on overflow, because the `!important` lock itself is the violation). WCAG 2.4.6 (Headings and Labels) also fails because the page has no heading elements whatsoever, providing no structural labelling for the content. The remaining three criteria are inapplicable: WCAG 2.2.2 (Pause, Stop, Hide) does not apply as there are no animations or auto-playing media; WCAG 2.4.5 (Multiple Ways) does not apply as this is a single standalone page with no links to other pages; and WCAG 3.1.4 (Abbreviations) is inapplicable because the minimal 16-word text contains no abbreviations.</t>
  </si>
  <si>
    <t xml:space="preserve">[1.4.12] The paragraph uses an inline style with `!important` to lock `word-spacing` to 2px, preventing users from overriding text-spacing properties. Remove the `!important` declaration from the inline `word-spacing` style. WCAG 1.4.12 requires that when users apply the specified text-spacing overrides (word-spacing ≥ 0.16em), content and functionality must not be lost. Using `!important` on inline styles blocks user-agent or user-stylesheet overrides, directly violating this criterion. || [2.4.6] The page contains no headings at all. There is no H1 or any other heading element to label or describe the page content. Add a descriptive `&lt;h1&gt;` heading that summarises the page content. Headings must be present and descriptive so users — especially screen reader users — can understand the structure and purpose of the page.</t>
  </si>
  <si>
    <t xml:space="preserve">The page was evaluated against all five target criteria. WCAG 1.4.12 (Text Spacing) passes: the inline word-spacing style uses !important but the tool confirmed that applying WCAG-required text-spacing overrides causes no content clipping, overflow, or layout breakage. WCAG 2.2.2 (Pause, Stop, Hide) is inapplicable: no animations, autoplay media, or moving content of any kind are present. WCAG 2.4.5 (Multiple Ways) is inapplicable: the page contains no links to other pages and is a standalone document, so the criterion does not apply. WCAG 2.4.6 (Headings and Labels) is inapplicable in a meaningful sense: the page contains only a single short paragraph with no headings or form labels, so there are no headings or labels to evaluate for descriptiveness. WCAG 3.1.4 (Abbreviations) is inapplicable: the page's 16-word body text contains no abbreviations or acronyms. Overall, the page raises no violations against any of the five evaluated criteria.</t>
  </si>
  <si>
    <t xml:space="preserve">The page was evaluated against all five target criteria. WCAG 1.4.12 (Text Spacing) passed: the inline word-spacing style uses !important but the tool confirmed that applying WCAG-required text-spacing overrides caused no content clipping, overflow, or layout breakage. WCAG 2.2.2 (Pause, Stop, Hide) is inapplicable: no animations, autoplay media, or moving content of any kind are present. WCAG 2.4.5 (Multiple Ways) is inapplicable: the page contains no links to other pages and is a single standalone document, so the criterion does not apply. WCAG 2.4.6 (Headings and Labels) is inapplicable in a meaningful sense: the page contains only a single short paragraph with no headings or form labels, so there are no headings or labels to evaluate for descriptiveness. WCAG 3.1.4 (Abbreviations) is inapplicable: the page's 16-word body text contains no abbreviations or acronyms. Overall, no violations were found against any of the five target criteria for this minimal static content page.</t>
  </si>
  <si>
    <t xml:space="preserve">The page was evaluated against all five target criteria. WCAG 1.4.12 (Text Spacing) passes: the tool confirmed that applying WCAG-required text-spacing overrides (letter-spacing, word-spacing, line-height, paragraph spacing) caused no layout breakage or content loss, even though the page uses an inline `word-spacing: 2px !important` style. WCAG 2.2.2 (Pause, Stop, Hide) is inapplicable: no animations, autoplay media, marquees, or moving content were detected. WCAG 2.4.5 (Multiple Ways) is inapplicable: the page contains no links to other pages and functions as a standalone content page, so the requirement for multiple navigation mechanisms does not apply. WCAG 2.4.6 (Headings and Labels) is inapplicable: the page contains no headings or form labels — it is a single static paragraph with no structural or interactive elements that would require labeling. WCAG 3.1.4 (Abbreviations) is inapplicable: no abbreviations, acronyms, or initialisms were detected in the minimal 16-word text content. With no applicable violations found across any of the five criteria, the overall verdict is passed.</t>
  </si>
  <si>
    <t xml:space="preserve">The page fails on two of the five evaluated criteria. For WCAG 1.4.12 (Text Spacing), the inline style `word-spacing: 0.1em !important` uses `!important` to forcibly override any user or browser text-spacing adjustments, directly violating the requirement that content and functionality must not be lost when users apply the specified text-spacing overrides. The tool confirmed spacing was applied but the `!important` flag is the structural violation. For WCAG 2.4.6 (Headings and Labels), the page has no heading elements whatsoever, providing no structural labels for the content. The remaining criteria are inapplicable: WCAG 2.2.2 (Pause, Stop, Hide) is not triggered because there are no animations, autoplay media, or moving content; WCAG 2.4.5 (Multiple Ways) does not apply because the page contains no links to other pages and is effectively a single standalone page; and WCAG 3.1.4 (Abbreviations) is inapplicable because the minimal 16-word text contains no detectable abbreviations.</t>
  </si>
  <si>
    <t xml:space="preserve">[1.4.12] Word spacing is locked with `!important`, preventing user style overrides required by WCAG 1.4.12. Remove the `!important` declaration from the inline `word-spacing` style so that user-agent or user-defined text-spacing overrides (≥ 0.16em word-spacing) can take effect without loss of content or functionality. || [2.4.6] The page contains no headings at all. There is no H1 or any other heading element to label the page content. Add at least one descriptive heading (e.g., &lt;h1&gt;) that accurately labels the page's content, enabling users to understand and navigate the page structure.</t>
  </si>
  <si>
    <t xml:space="preserve">The page fails two of the five evaluated WCAG 2.1 criteria. Most critically, the inline style 'word-spacing: 0.1em !important' on the paragraph directly violates WCAG 1.4.12 (Text Spacing, Level AA): the !important flag prevents users or assistive technologies from overriding word-spacing to the required minimum of 0.16em, which is the canonical failure pattern for this criterion. Additionally, the page has no headings whatsoever, violating WCAG 2.4.6 (Headings and Labels, Level AA), which requires that headings and labels — when present — be descriptive; by extension, a content page with no structural headings at all fails to meet the intent of this criterion. The remaining three criteria are inapplicable: WCAG 2.2.2 (Pause, Stop, Hide) is not triggered because there are no animations or auto-playing media; WCAG 2.4.5 (Multiple Ways) does not apply because this is a single standalone page with no links to other pages; and WCAG 3.1.4 (Abbreviations, Level AAA) is inapplicable because the minimal 16-word text contains no abbreviations.</t>
  </si>
  <si>
    <t xml:space="preserve">[1.4.12] Word spacing is locked to 0.1em via !important, preventing user overrides from reaching the WCAG-required minimum of 0.16em Remove the !important declaration from word-spacing (and any other text-spacing properties). Allow user stylesheets or assistive technology to override spacing to at least: line-height 1.5×, letter-spacing 0.12em, word-spacing 0.16em, and paragraph spacing 2×. || [2.4.6] The page contains no headings at all. Content is not organized with descriptive headings or labels, making it impossible for users to understand structure or navigate by heading. Add at least one descriptive &lt;h1&gt; heading that accurately describes the page's topic or purpose. Use additional heading levels (h2, h3, etc.) to label distinct sections of content.</t>
  </si>
  <si>
    <t xml:space="preserve">The page fails on two of the five evaluated WCAG criteria. Most critically, WCAG 1.4.12 (Text Spacing) is violated because the inline style `word-spacing: 0.1em !important` uses `!important` to hard-lock word spacing, which prevents users from applying their own text-spacing overrides — a direct failure of the success criterion's requirement that content not lose functionality when spacing properties are adjusted. WCAG 2.4.6 (Headings and Labels) also fails because the page contains no heading elements whatsoever, providing no structural or descriptive labels for the content. The remaining three criteria are inapplicable: WCAG 2.2.2 (Pause, Stop, Hide) is not triggered as there are no animations or auto-playing media; WCAG 2.4.5 (Multiple Ways) does not apply because the page contains no links to other pages and is effectively a single-page document; and WCAG 3.1.4 (Abbreviations) is inapplicable as the minimal text contains no abbreviations.</t>
  </si>
  <si>
    <t xml:space="preserve">[1.4.12] Word spacing is locked with `!important`, preventing user style overrides required by WCAG 1.4.12. Remove the `!important` declaration from the `word-spacing` inline style so that user-agent or user-defined text-spacing overrides (≥ 0.16em word-spacing) can take effect without loss of content or functionality. || [2.4.6] The page contains no headings at all. There is no H1 or any other heading element to describe the page content or provide structural labels. Add at least one descriptive heading (e.g., &lt;h1&gt;) that accurately labels the page content, enabling users to understand and navigate the page structure.</t>
  </si>
  <si>
    <t xml:space="preserve">This page is an extremely minimal stub containing only a single &lt;span&gt; with the text '1' and an external script loaded via onload. Against all five target criteria: (1) WCAG 1.4.12 Text Spacing — inapplicable, as there is no meaningful text content or CSS styling to evaluate for spacing reflow; (2) WCAG 2.2.2 Pause, Stop, Hide — inapplicable, as no CSS animations, autoplay media, animated GIFs, or detectable moving content exist in the static HTML (the external script 'startUpdates()' is not inspectable, but no in-page motion controls or media elements are present); (3) WCAG 2.4.5 Multiple Ways — inapplicable, as the page contains no links to other pages and is not part of a navigable set of pages within the HTML provided; (4) WCAG 2.4.6 Headings and Labels — inapplicable, as the page has no headings and no form labels whatsoever, meaning the criterion has nothing to evaluate; (5) WCAG 3.1.4 Abbreviations — inapplicable, as the page contains only the numeral '1' with no abbreviations or meaningful prose text. None of the five criteria are triggered by the content present in this HTML, making the overall verdict 'inapplicable'.</t>
  </si>
  <si>
    <t xml:space="preserve">This page is an extremely minimal stub containing only a single &lt;span&gt; with the text '1' and an external script triggered via the body's onload attribute. All five target criteria are effectively inapplicable: (1) WCAG 1.4.12 Text Spacing — there is no meaningful text content or styled layout that could break under spacing overrides; (2) WCAG 2.2.2 Pause, Stop, Hide — no CSS animations, autoplay media, marquee, or moving content is present in the HTML (the external script's behavior cannot be statically evaluated, but no in-page motion controls or animated elements are declared); (3) WCAG 2.4.5 Multiple Ways — the page has no links to other pages and is not part of a navigable set of pages as represented by this HTML, so the criterion does not apply; (4) WCAG 2.4.6 Headings and Labels — there are no headings or form labels present on the page, making the criterion inapplicable; (5) WCAG 3.1.4 Abbreviations — the page contains only the numeral '1' as visible text, with no abbreviations or acronyms to evaluate. While the heading structure tool flagged a missing H1 and the navigation tool noted only a page title as a location signal, these findings relate to criteria outside the five being evaluated here. No violations of the five target criteria can be identified from the available static HTML.</t>
  </si>
  <si>
    <t xml:space="preserve">This page is an extremely minimal stub containing only a single &lt;span&gt; with the text '1' and an external script triggered via the body's onload attribute. Against all five target criteria: (1) WCAG 1.4.12 Text Spacing — inapplicable, as there is no meaningful styled text content that could be affected by spacing overrides; (2) WCAG 2.2.2 Pause, Stop, Hide — inapplicable, as no CSS animations, autoplay media, marquees, or moving content were detected in the static HTML (the external script's runtime behavior cannot be evaluated statically, but no in-page controls or motion elements are present); (3) WCAG 2.4.5 Multiple Ways — inapplicable, as the page contains no links to other pages and is not part of a navigable set of pages within the HTML provided; (4) WCAG 2.4.6 Headings and Labels — inapplicable, as the page has no headings or form labels whatsoever, making the criterion non-applicable (there is nothing to evaluate); (5) WCAG 3.1.4 Abbreviations — inapplicable, as the page contains only the numeral '1' with no abbreviations or acronyms present. All five criteria are inapplicable to this page in its current form.</t>
  </si>
  <si>
    <t xml:space="preserve">The page fails against the evaluated WCAG 2.1 criteria set. WCAG 1.4.12 (Text Spacing) passes cleanly with no layout breakage. WCAG 2.2.2 (Pause, Stop, Hide) is structurally addressed by the 'Pause changes' button, but the auto-update logic resides in an unverifiable external script, making full compliance unconfirmable from the HTML alone. WCAG 2.4.5 (Multiple Ways) is inapplicable as the page is self-contained with no inter-page navigation. WCAG 2.4.6 (Headings and Labels) fails because the page has no headings at all, leaving users without structural orientation cues. WCAG 3.1.4 (Abbreviations) fails because 'W3C' and 'WAI' are used without &lt;abbr&gt; markup or any other expansion mechanism, despite their expanded forms being partially implied by surrounding text. The most actionable fixes are: adding an &lt;h1&gt; heading and marking up abbreviations with &lt;abbr title="..."&gt; elements.</t>
  </si>
  <si>
    <t xml:space="preserve">[2.2.2] Auto-updating content (random number) is present via JavaScript, but the pause control detection tool could not confirm the button's effectiveness because the script is externally loaded. However, the HTML does expose a 'Pause changes' button wired to toggleUpdates(), which is the intended mechanism. This criterion is borderline — the static HTML structure satisfies the requirement in principle, but the external script cannot be verified. Ensure the external script genuinely pauses/resumes the auto-updating content when the button is activated, and that the button remains keyboard-accessible and properly labelled at all times. || [2.4.5] WCAG 2.4.5 (Multiple Ways) is inapplicable — the page contains no links to other pages and appears to be a standalone example page. No violation recorded. No action required for this criterion on this page. || [2.4.6] The page contains no headings whatsoever (no H1–H6 elements). While the page is very simple, the absence of any heading means there are no headings to evaluate for descriptiveness. If headings are used elsewhere in the site, this page's lack of structure is a gap. Add at least one descriptive heading (e.g., &lt;h1&gt;) that accurately describes the page's purpose or content section, so users navigating by headings can orient themselves. || [3.1.4] The page uses two abbreviations — 'W3C' and 'WAI' — inline in a paragraph. Neither is wrapped in an &lt;abbr&gt; element with a title attribute providing the expanded form, nor is any other mechanism (glossary, first-use expansion) present in the HTML. Wrap abbreviations in &lt;abbr&gt; elements with descriptive title attributes, e.g., &lt;abbr title="World Wide Web Consortium"&gt;W3C&lt;/abbr&gt; and &lt;abbr title="Web Accessibility Initiative"&gt;WAI&lt;/abbr&gt;, or expand them fully on first use.</t>
  </si>
  <si>
    <t xml:space="preserve">The page fails primarily on WCAG 3.1.4 (Abbreviations, AAA): the abbreviation 'W3C' is used without any &lt;abbr&gt; element, title attribute, or inline expansion, and 'WAI' — while its long form appears nearby — is also not formally marked up. WCAG 2.2.2 (Pause, Stop, Hide) is structurally addressed by the 'Pause changes' button wired to toggleUpdates(), but full compliance depends on the external JavaScript behaving correctly, which cannot be confirmed from static HTML alone. WCAG 2.4.5 (Multiple Ways) is inapplicable since this is a standalone page. WCAG 2.4.6 (Headings and Labels) is borderline inapplicable — no headings exist to be non-descriptive, though adding a heading would improve structure. WCAG 1.4.12 (Text Spacing) passes cleanly with no layout breakage detected.</t>
  </si>
  <si>
    <t xml:space="preserve">[2.2.2] Auto-updating content (random number) is present via JavaScript, but the pause control cannot be fully verified from static HTML alone. The button labeled 'Pause changes' is present and appears to satisfy the requirement; however, the animation/motion tool returned INAPPLICABLE because it could not detect the JS-driven updates from the external script. The static HTML evidence is borderline — the button exists but the actual pause behavior depends on the external script. Ensure the external script genuinely pauses/resumes the auto-updating content when the button is activated. The button label and wiring look correct; verify the script implements a true pause (not just a visual stop) and that the control is keyboard-accessible. || [2.4.5] WCAG 2.4.5 (Multiple Ways) is inapplicable to this page because it is a single, self-contained page with no links to other pages within a site. No violation is recorded. No action required for this criterion on this page. || [2.4.6] The page contains no headings whatsoever (no H1–H6 elements). While the page is very simple, the button label 'Pause changes' is the only interactive element label present. The absence of any heading structure means there are no headings to evaluate for descriptiveness, but the criterion is technically inapplicable if no headings are used. However, the missing H1 is a structural concern. Add at least one descriptive heading (e.g., &lt;h1&gt;) to give the page meaningful structure. If headings are intentionally omitted on this minimal example page, no violation is recorded under 2.4.6 since there are no headings or labels to be non-descriptive. || [3.1.4] The abbreviations 'W3C' and 'WAI' appear in the page text without any expansion mechanism (no &lt;abbr&gt; element, no title attribute, no glossary link, and no first-use expansion in parentheses). Wrap abbreviations in &lt;abbr&gt; elements with a title attribute: e.g., &lt;abbr title="World Wide Web Consortium"&gt;W3C&lt;/abbr&gt; and &lt;abbr title="Web Accessibility Init...</t>
  </si>
  <si>
    <t xml:space="preserve">The page fails against the evaluated WCAG 2.1 criteria for several reasons. For WCAG 2.2.2 (Pause, Stop, Hide), the page uses JavaScript-driven auto-updating content (a random number updated via onload/startUpdates()), and while a 'Pause changes' button is present, the external script cannot be statically verified — this is a conditional pass that depends on correct script behavior. For WCAG 2.4.6 (Headings and Labels), the page has no headings whatsoever, which is a structural deficiency even for a short page. For WCAG 3.1.4 (Abbreviations, AAA), the abbreviations 'W3C' and 'WAI' appear without &lt;abbr&gt; markup or title attributes, despite 'WAI' being partially expanded inline. WCAG 1.4.12 (Text Spacing) passes cleanly with no layout issues. WCAG 2.4.5 (Multiple Ways) is inapplicable as this is a standalone single page with no site navigation.</t>
  </si>
  <si>
    <t xml:space="preserve">[2.2.2] Auto-updating content (random number) is driven by JavaScript started via onload, but the static HTML analysis tool could not confirm a functioning pause control. The button labeled 'Pause changes' exists in the markup and calls toggleUpdates(), which is a positive signal — however, the external script is not inline and cannot be verified. The tool returned INAPPLICABLE because it detected no CSS animations or autoplay media, missing the JS-driven DOM update pattern. Ensure the external script (script.js) genuinely pauses the auto-updating content when the button is activated. The pause control must be keyboard-accessible (which the &lt;input type='button'&gt; is natively) and must fully stop the updates until the user resumes them. Consider inlining or documenting the script behavior for auditability. || [2.4.5] WCAG 2.4.5 (Multiple Ways) is inapplicable to this page because it contains no links to other pages and appears to be a single standalone page with no site navigation context. No action required for this criterion on this page. If this page is part of a larger site, ensure the site provides multiple navigation mechanisms (e.g., navigation menu + search). || [2.4.6] The page has no headings at all. While the content is brief, the absence of any heading (including an H1) means there are no headings to evaluate for descriptiveness. The button label 'Pause changes' is descriptive and passes the labels portion of this criterion. Add a meaningful &lt;h1&gt; heading to the page to identify its purpose (e.g., &lt;h1&gt;Accessibility Updates Demo&lt;/h1&gt;). This also supports WCAG 2.4.6 by ensuring any headings used are descriptive. || [3.1.4] The page contains the abbreviations 'W3C' and 'WAI' in plain text without any &lt;abbr&gt; element, title attribute, or first-use expansion mechanism to clarify their meaning. Wrap abbreviations in &lt;abbr&gt; elements with a title attribute: e.g., &lt;abbr title="World Wide Web Consortium"&gt;W3C&lt;/abbr&gt; and &lt;abbr title="Web Accessibility Initiative"&gt;WAI...</t>
  </si>
  <si>
    <t xml:space="preserve">The page passes WCAG 1.4.12 (Text Spacing) with no layout breakage detected. WCAG 2.2.2 (Pause, Stop, Hide) is effectively satisfied: the page uses JavaScript to auto-update a random number, and a clearly labeled 'Hide changing content' button provides the required mechanism to stop the updates. WCAG 2.4.5 (Multiple Ways) is inapplicable as this is a standalone single page with no links to other pages. However, the page fails WCAG 2.4.6 (Headings and Labels) because it contains no headings whatsoever — not even an H1 — leaving users without structural orientation cues. It also fails WCAG 3.1.4 (Abbreviations, AAA) because 'W3C' and 'WAI' appear in the body text without &lt;abbr&gt; markup or inline definitions to convey their full meaning. The severity is rated minor overall, as the page is very simple and the 3.1.4 failure is a AAA criterion, but the missing heading is a meaningful structural gap.</t>
  </si>
  <si>
    <t xml:space="preserve">[2.4.6] The page has no headings at all. While the page is simple, the absence of any heading structure means there are no descriptive headings to aid navigation and comprehension. Add at least one descriptive heading (e.g., &lt;h1&gt;) that accurately describes the page's content or purpose, so users can orient themselves and navigate efficiently. || [3.1.4] The abbreviations 'W3C' (World Wide Web Consortium) and 'WAI' (Web Accessibility Initiative) appear in the page text without any expansion or &lt;abbr&gt; element providing their full form. Wrap abbreviations in &lt;abbr&gt; elements with a descriptive title attribute, e.g., &lt;abbr title="World Wide Web Consortium"&gt;W3C&lt;/abbr&gt; and &lt;abbr title="Web Accessibility Initiative"&gt;WAI&lt;/abbr&gt;.</t>
  </si>
  <si>
    <t xml:space="preserve">The page fails against the evaluated criteria set. WCAG 1.4.12 (Text Spacing) passes cleanly with no layout breakage detected. WCAG 2.2.2 (Pause, Stop, Hide) is structurally addressed — the page has a 'Hide changing content' button intended to stop auto-updating content — but because the controlling logic lives in an external script, automated tools returned 'inapplicable'; manual verification is needed to confirm the button fully stops updates. WCAG 2.4.5 (Multiple Ways) is genuinely inapplicable since this is a single-page document with no site navigation. WCAG 2.4.6 (Headings and Labels) fails because the page has zero headings, providing no structural orientation for users. WCAG 3.1.4 (Abbreviations, Level AAA) fails because 'W3C' and 'WAI' are used without &lt;abbr&gt; markup or inline expansions, even though the parenthetical '(WAI)' partially hints at the expansion for WAI only.</t>
  </si>
  <si>
    <t xml:space="preserve">[2.2.2] Auto-updating content (random number via setInterval/setTimeout) is present, but the tool could not confirm a pause/stop/hide mechanism because the controlling script is external and not inline. Verify that the external script (script.js) uses setInterval or setTimeout to update #target, and confirm the 'Hide changing content' button fully stops or hides the updating content. If it does, this criterion is satisfied. Inline the script or document the mechanism clearly so automated tools can confirm compliance. || [2.4.5] WCAG 2.4.5 is inapplicable — this is a single standalone page with no links to other pages, so the 'Multiple Ways' criterion does not apply. No action required for this criterion on this page. || [2.4.6] The page contains no headings whatsoever (no H1–H6 elements). While the page is very simple, the absence of any heading structure means there are no descriptive headings to orient users. Add at least one meaningful heading (e.g., &lt;h1&gt;) that describes the page's purpose or primary content, so screen reader users and sighted users can quickly understand the page structure. || [3.1.4] The page uses abbreviations 'W3C' and 'WAI' without providing their expansions via &lt;abbr&gt; elements, a glossary, or inline definitions. Wrap abbreviations in &lt;abbr&gt; elements with a title attribute: e.g., &lt;abbr title="World Wide Web Consortium"&gt;W3C&lt;/abbr&gt; and &lt;abbr title="Web Accessibility Initiative"&gt;WAI&lt;/abbr&gt;. Note: WCAG 3.1.4 is Level AAA, so this is an enhancement rather than a strict AA requirement.</t>
  </si>
  <si>
    <t xml:space="preserve">The page fails against the evaluated WCAG 2.1 criteria on two counts. For WCAG 2.4.6 (Headings and Labels), the page has no heading elements at all, which is a serious structural omission even for a simple page. For WCAG 3.1.4 (Abbreviations, AAA), the abbreviation 'W3C' is used without any &lt;abbr&gt; markup or inline expansion — while 'WAI' is partially expanded in parentheses, 'W3C' is not. WCAG 1.4.12 (Text Spacing) passes cleanly with no layout breakage. WCAG 2.2.2 (Pause, Stop, Hide) appears to be addressed by the 'Hide changing content' button, though full verification requires the external script; the tool returned inapplicable due to no detectable CSS animations, but the JS-driven update pattern is present. WCAG 2.4.5 (Multiple Ways) is inapplicable as this is a standalone page with no inter-page navigation.</t>
  </si>
  <si>
    <t xml:space="preserve">[2.2.2] Dynamically updating content (random number via setInterval/startUpdates) is detected via the onload handler, but the tool could not confirm the external script's behavior. However, a 'Hide changing content' button is present, which is a positive signal for pause/stop/hide compliance. Ensure the 'Hide changing content' button fully stops or hides the auto-updating content. Verify the external script uses setInterval/setTimeout and that the hide() function reliably suppresses updates. This pattern appears compliant but cannot be fully verified without the external script. || [2.4.5] WCAG 2.4.5 is inapplicable — this is a single standalone page with no links to other pages, so the Multiple Ways criterion does not apply. No action needed for this criterion on this page. || [2.4.6] The page contains no headings whatsoever (no H1–H6 elements). While the page is very simple, the absence of any heading structure means there are no descriptive headings to evaluate for clarity or accuracy. Add at least one descriptive heading (e.g., &lt;h1&gt;) that accurately describes the page's content or purpose, such as &lt;h1&gt;Random Number Generator&lt;/h1&gt;. || [3.1.4] The page contains abbreviations 'W3C' and 'WAI' in plain text with no &lt;abbr&gt; element, title attribute, or inline expansion provided at first use. Wrap abbreviations in &lt;abbr&gt; elements with a title attribute, e.g., &lt;abbr title="World Wide Web Consortium"&gt;W3C&lt;/abbr&gt; and &lt;abbr title="Web Accessibility Initiative"&gt;WAI&lt;/abbr&gt;. Note: 'WAI' is partially expanded inline as 'Web Accessibility Initiative', which partially satisfies this criterion, but 'W3C' has no expansion.</t>
  </si>
  <si>
    <t xml:space="preserve">The page was evaluated against WCAG 1.4.12 (Text Spacing), 2.2.2 (Pause, Stop, Hide), 2.4.5 (Multiple Ways), 2.4.6 (Headings and Labels), and 3.1.4 (Abbreviations). Text spacing (1.4.12) passed with no layout breakage. Animations and motion (2.2.2) are inapplicable — no moving, blinking, or auto-updating content exists. Multiple Ways (2.4.5) is inapplicable — the page contains no links to other pages and is effectively a standalone page. Abbreviations (3.1.4) are inapplicable — the only text content ('The W3C Web Accessibility Initiative (WAI)…') is hidden via display:none and thus not perceivable. However, the page fails WCAG 2.4.6 (Headings and Labels) because it contains zero headings, providing no structural labeling for the visible content. While the page is extremely minimal, the absence of any heading element is a moderate violation of the criterion requiring that headings, when used, be descriptive — and more broadly, that content be organized with meaningful labels.</t>
  </si>
  <si>
    <t xml:space="preserve">[2.4.6] The page has no headings at all, making it impossible to use headings to understand the structure or content of the page. Add at least one descriptive heading (e.g., &lt;h1&gt;) that accurately labels the page's main content or purpose, so users can orient themselves within the page.</t>
  </si>
  <si>
    <t xml:space="preserve">The page was evaluated against five WCAG 2.1 criteria. Three criteria are clearly inapplicable: WCAG 1.4.12 (Text Spacing) passes with no layout issues detected; WCAG 2.2.2 (Pause, Stop, Hide) is inapplicable because there are no animations, autoplay media, or moving content; WCAG 2.4.5 (Multiple Ways) is inapplicable because the page contains no links to other pages and does not constitute a multi-page site context; and WCAG 3.1.4 (Abbreviations) is inapplicable because the only visible content is an image — the paragraph containing abbreviations like 'W3C' and 'WAI' is hidden via 'display: none' and thus not exposed to users. However, the page fails WCAG 2.4.6 (Headings and Labels) because it contains no headings whatsoever. A page with meaningful content (even just an image with alt text) should include at least one descriptive heading to aid navigation and comprehension, particularly for screen reader users.</t>
  </si>
  <si>
    <t xml:space="preserve">[2.4.6] The page has no headings at all, including no H1, providing no structural labeling for content. Add a meaningful H1 heading to the page that describes its primary content or purpose. Use additional heading levels (H2, H3, etc.) as needed to organize content hierarchically.</t>
  </si>
  <si>
    <t xml:space="preserve">The page is a minimal example containing only a logo image and a hidden paragraph. Four of the five target criteria are inapplicable or passing: WCAG 1.4.12 (Text Spacing) passes because there is no visible text content that could break under spacing overrides; WCAG 2.2.2 (Pause, Stop, Hide) is inapplicable because there are no animations, autoplay media, or moving content; WCAG 2.4.5 (Multiple Ways) is inapplicable because the page contains no links to other pages and is not part of a navigable set; and WCAG 3.1.4 (Abbreviations) is inapplicable because the only visible text is the image alt attribute and the paragraph is hidden (display:none), leaving insufficient visible text to evaluate. However, the page fails WCAG 2.4.6 (Headings and Labels) at a moderate severity: it contains no heading elements whatsoever, meaning there is no descriptive heading to orient users or assistive technology users to the page's content or purpose.</t>
  </si>
  <si>
    <t xml:space="preserve">[2.4.6] The page has no headings at all, providing no structural labeling for content. Add at least one meaningful heading (e.g., &lt;h1&gt;) that describes the page's primary content or purpose, so users and assistive technologies can understand the page structure.</t>
  </si>
  <si>
    <t xml:space="preserve">The page fails three of the five evaluated WCAG criteria. Most critically, the auto-updating random number driven by startUpdates() on body load violates WCAG 2.2.2 because there is no mechanism for users to pause, stop, or hide the moving/blinking content. The page also lacks any heading structure, violating WCAG 2.4.6, which requires headings and labels to be descriptive. Additionally, the abbreviations 'W3C' and 'WAI' appear without proper &lt;abbr&gt; markup or consistent inline expansion, violating the AAA criterion WCAG 3.1.4. WCAG 1.4.12 Text Spacing passes with no layout issues detected, and WCAG 2.4.5 Multiple Ways is inapplicable since this is a standalone single-page document with no site navigation.</t>
  </si>
  <si>
    <t xml:space="preserve">[2.2.2] Auto-updating content (random number) has no pause, stop, or hide mechanism Provide a visible button or control that allows users to pause, stop, or hide the auto-updating content. Alternatively, limit updates to user-initiated actions only. || [2.4.6] Page contains no headings to describe its content or sections Add a descriptive &lt;h1&gt; heading to the page (e.g., 'WAI Accessibility Resources') and use appropriate heading levels to label any distinct sections of content. || [3.1.4] Abbreviations 'W3C' and 'WAI' are used without any expansion or &lt;abbr&gt; markup Wrap abbreviations in &lt;abbr&gt; elements with a title attribute providing the full expansion, e.g., &lt;abbr title="World Wide Web Consortium"&gt;W3C&lt;/abbr&gt; and &lt;abbr title="Web Accessibility Initiative"&gt;WAI&lt;/abbr&gt;.</t>
  </si>
  <si>
    <t xml:space="preserve">The page fails four of the five evaluated WCAG 2.1 criteria. Most critically, it violates WCAG 2.2.2 (Pause, Stop, Hide) because the onload script continuously updates a random number with no user control to pause or stop it — a direct barrier for users with attention or cognitive disabilities. WCAG 2.4.6 (Headings and Labels) is violated because the page has no headings whatsoever, making it impossible for screen reader users to navigate or understand the page structure. WCAG 3.1.4 (Abbreviations) is violated because 'W3C' and 'WAI' lack proper &lt;abbr&gt; markup or glossary links. WCAG 2.4.5 (Multiple Ways) is flagged as a concern since the page provides no navigation mechanisms to locate it within a site. Only WCAG 1.4.12 (Text Spacing) passes, as no fixed-size containers or overflow issues were detected.</t>
  </si>
  <si>
    <t xml:space="preserve">[2.2.2] Auto-updating content (random number) has no pause, stop, or hide mechanism Provide a visible button or control that allows users to pause, stop, or hide the auto-updating content. For example, add a 'Pause updates' button that calls clearInterval() on the running timer. || [2.4.5] No multiple navigation mechanisms are available to locate the page Provide at least two ways to locate the page within the site (e.g., a site navigation menu plus a search function, or a sitemap link plus breadcrumb trail). || [2.4.6] Page has no headings to describe its content or structure Add a descriptive &lt;h1&gt; heading that summarises the page's purpose (e.g., 'WAI Accessibility Standards'). Use additional heading levels (h2, h3…) as needed to label distinct sections. || [3.1.4] Abbreviations 'W3C' and 'WAI' are used without any expansion or definition mechanism Wrap abbreviations in &lt;abbr&gt; elements with a title attribute providing the full expansion, e.g. &lt;abbr title="World Wide Web Consortium"&gt;W3C&lt;/abbr&gt; and &lt;abbr title="Web Accessibility Initiative"&gt;WAI&lt;/abbr&gt;. Alternatively, link to a glossary page.</t>
  </si>
  <si>
    <t xml:space="preserve">The page fails three of the five evaluated criteria. Most critically, WCAG 2.2.2 is violated because the page uses an onload script to continuously auto-update a 'Random number' display with no pause, stop, or hide control provided to users — a direct barrier for users with attention or cognitive disabilities. WCAG 2.4.6 is violated because the page contains zero headings, providing no structural labeling of content. WCAG 3.1.4 (AAA) is violated because the abbreviations 'W3C' and 'WAI' lack proper &lt;abbr&gt; markup with title expansions. WCAG 1.4.12 Text Spacing passes with no layout issues, and WCAG 2.4.5 Multiple Ways is inapplicable as this is a single standalone page with no site navigation.</t>
  </si>
  <si>
    <t xml:space="preserve">[2.2.2] Auto-updating content (random number) has no pause, stop, or hide mechanism Provide a visible button or control that allows users to pause, stop, or hide the auto-updating content in the #target span. The control must be keyboard accessible. || [2.4.6] Page contains no headings to describe its content or sections Add at least one descriptive heading (e.g., &lt;h1&gt;) that labels the page's primary topic or purpose, helping users understand and navigate the content. || [3.1.4] Abbreviations 'W3C' and 'WAI' are used without any expansion or &lt;abbr&gt; markup Wrap abbreviations in &lt;abbr&gt; elements with a title attribute providing the full expansion, e.g., &lt;abbr title="World Wide Web Consortium"&gt;W3C&lt;/abbr&gt; and &lt;abbr title="Web Accessibility Initiative"&gt;WAI&lt;/abbr&gt;, at least on first use.</t>
  </si>
  <si>
    <t xml:space="preserve">The page fails WCAG 2.2.2 Pause, Stop, Hide (Level A) due to the presence of a &lt;blink&gt; element (id='fail1') that causes its text content to blink continuously without any mechanism for the user to pause, stop, or hide the effect. The &lt;blink&gt; tag is a deprecated HTML element that produces uncontrollable blinking, which can be disorienting or harmful—particularly for users with photosensitive epilepsy, vestibular disorders, or attention-related disabilities. The remaining evaluated criteria either pass or are inapplicable: text spacing (1.4.12) introduces no layout breaks, the heading structure (2.4.6) is valid with a single well-formed H1, multiple ways (2.4.5) is inapplicable because the page contains no links to other pages, and abbreviation handling (3.1.4) is inapplicable due to minimal text content with no abbreviations present.</t>
  </si>
  <si>
    <t xml:space="preserve">[2.2.2] The &lt;blink&gt; element causes text to blink indefinitely with no mechanism for the user to pause, stop, or hide the blinking content. Remove the &lt;blink&gt; element entirely. If animated emphasis is needed, use CSS animations with a prefers-reduced-motion media query and provide a visible pause/stop control so users can halt the animation on demand.</t>
  </si>
  <si>
    <t xml:space="preserve">The page fails WCAG 2.2.2 (Pause, Stop, Hide) due to the use of the deprecated &lt;blink&gt; element, which causes text to blink continuously without any mechanism for the user to pause, stop, or hide the motion. The &lt;blink&gt; element is unconditionally non-compliant under this criterion because blinking content that lasts more than five seconds must be controllable by the user. The remaining four criteria are either inapplicable or passing: WCAG 1.4.12 (Text Spacing) passes with no layout breakage detected; WCAG 2.4.5 (Multiple Ways) is inapplicable because this is a single-page document with no inter-page navigation; WCAG 2.4.6 (Headings and Labels) passes as the single &lt;h1&gt; heading is descriptive and the hierarchy is valid; and WCAG 3.1.4 (Abbreviations) is inapplicable given the minimal text content with no abbreviations present.</t>
  </si>
  <si>
    <t xml:space="preserve">[2.2.2] The &lt;blink&gt; element causes content to blink indefinitely with no mechanism to pause, stop, or hide it. Remove the &lt;blink&gt; element entirely. If blinking emphasis is needed, use a CSS animation with a duration of 5 seconds or less, or provide a visible pause/stop control that allows users to halt the blinking effect.</t>
  </si>
  <si>
    <t xml:space="preserve">The page fails WCAG 2.2.2 (Pause, Stop, Hide) due to the use of the deprecated &lt;blink&gt; element, which causes text to blink continuously without any user-controlled mechanism to pause, stop, or hide the effect. This is a direct and well-documented violation: content that blinks for more than five seconds must be controllable by the user. All other applicable criteria pass: text spacing (1.4.12) introduces no layout breakage, the single descriptive &lt;h1&gt; heading satisfies 2.4.6, and criteria 2.4.5 and 3.1.4 are inapplicable given the page's minimal, single-page content.</t>
  </si>
  <si>
    <t xml:space="preserve">[2.2.2] The &lt;blink&gt; element causes text to blink indefinitely with no mechanism to pause, stop, or hide it. Remove the &lt;blink&gt; element entirely. If blinking emphasis is needed, use a CSS animation with a duration of 5 seconds or less, or provide a clearly labeled control (e.g., a button) that allows users to pause, stop, or hide the blinking content.</t>
  </si>
  <si>
    <t xml:space="preserve">The page passes four of the five evaluated criteria. WCAG 1.4.12 (Text Spacing) passes with no layout breakage under forced spacing overrides. WCAG 2.2.2 (Pause, Stop, Hide) is inapplicable because there are no animations, auto-playing media, or moving content. WCAG 2.4.6 (Headings and Labels) passes: a single, well-formed H1 heading ('Department of biology') accurately describes the page content with no skipped levels or generic text. WCAG 3.1.4 (Abbreviations) is inapplicable given the minimal text content (17 words) containing no abbreviations or acronyms. However, the page fails WCAG 2.4.5 (Multiple Ways) because only one navigation mechanism — the primary nav menu — is present. A second mechanism such as site search, a sitemap, or a breadcrumb must be added to comply.</t>
  </si>
  <si>
    <t xml:space="preserve">[2.4.5] Only one navigation mechanism is present on the page. WCAG 2.4.5 requires at least two distinct ways to locate a page within a set of web pages (e.g., navigation menu plus search, sitemap, breadcrumb, or table of contents). Add at least one additional navigation mechanism such as a site search field, a link to a sitemap, a breadcrumb trail, or a table of contents so users have multiple ways to find content.</t>
  </si>
  <si>
    <t xml:space="preserve">The page passes three of the five evaluated criteria. WCAG 1.4.12 (Text Spacing) passes with no layout breakage under forced spacing overrides. WCAG 2.2.2 (Pause, Stop, Hide) is inapplicable because no animations, autoplay media, or moving content are present. WCAG 2.4.6 (Headings and Labels) passes: a single, well-formed H1 heading ('Department of biology') accurately describes the page content with no skipped levels or generic text. WCAG 3.1.4 (Abbreviations) is inapplicable due to minimal text content containing no abbreviations. However, the page fails WCAG 2.4.5 (Multiple Ways) because only one navigation mechanism — a primary nav menu — is provided. At least one additional mechanism (e.g., site search, sitemap, or breadcrumb) is required to give users multiple ways to locate pages within the site.</t>
  </si>
  <si>
    <t xml:space="preserve">[2.4.5] Only one navigation mechanism is present on the page. WCAG 2.4.5 requires at least two distinct ways to locate a page within a set of web pages. Add at least one additional navigation mechanism such as a site search feature, a sitemap link, or a breadcrumb trail so users have multiple ways to find content.</t>
  </si>
  <si>
    <t xml:space="preserve">The page fails on WCAG 2.4.5 (Multiple Ways) because it provides only a single navigation mechanism — a primary nav menu — with no supplementary means such as site search, a sitemap, or breadcrumbs. All other evaluated criteria pass or are inapplicable: WCAG 1.4.12 (Text Spacing) passes with no layout breakage under forced spacing overrides; WCAG 2.2.2 (Pause, Stop, Hide) is inapplicable as there are no animations, auto-playing media, or moving content; WCAG 2.4.6 (Headings and Labels) passes with a single, well-formed H1 that accurately describes the page and no labels are present to evaluate; and WCAG 3.1.4 (Abbreviations) is inapplicable because the page contains only 17 words of body text with no detectable abbreviations.</t>
  </si>
  <si>
    <t xml:space="preserve">[2.4.5] Only one navigation mechanism is present on the page. WCAG 2.4.5 requires at least two distinct ways to locate a page within a set of web pages (e.g., navigation menu plus search, sitemap, breadcrumb, or table of contents). Add at least one additional navigation mechanism such as a site search field, a link to a sitemap, or a breadcrumb trail so users have multiple ways to find content.</t>
  </si>
  <si>
    <t xml:space="preserve">Four of the five target criteria are either passing or inapplicable for this minimal page. WCAG 1.4.12 (Text Spacing) passes — no fixed-height containers or overflow issues were detected. WCAG 2.2.2 (Pause, Stop, Hide) is inapplicable — there are no animations, autoplay media, or moving content. WCAG 2.4.6 (Headings and Labels) passes — the single H1 ('Knowledge base') is descriptive and the form label ('Search articles') clearly describes its input. WCAG 3.1.4 (Abbreviations) is inapplicable — the page contains only 15 words and no abbreviations. WCAG 2.4.5 (Multiple Ways) is the sole concern: the page provides only a search form and no other navigation mechanism (no site nav, sitemap, breadcrumb, or related links), leaving users with no alternative way to locate content within the site. This is a moderate violation that should be remediated by adding at least one additional navigation pathway.</t>
  </si>
  <si>
    <t xml:space="preserve">[2.4.5] Only a single navigation mechanism (search form) is present. No site navigation, sitemap, breadcrumb, table of contents, or other way to locate content is provided. Add at least one additional navigation mechanism such as a site-wide &lt;nav&gt; menu, a sitemap link, or a breadcrumb trail so users have multiple ways to locate content across the site.</t>
  </si>
  <si>
    <t xml:space="preserve">The page passes four of the five evaluated criteria. WCAG 1.4.12 (Text Spacing) passes — no fixed-height containers or overflow issues were detected. WCAG 2.2.2 (Pause, Stop, Hide) is inapplicable — there are no animations, auto-playing media, or moving content. WCAG 2.4.6 (Headings and Labels) passes — the single H1 ('Knowledge base') is descriptive and correctly structured, and the form label ('Search articles') is meaningful and properly associated with its input. WCAG 3.1.4 (Abbreviations) is inapplicable — the page contains only 15 words with no abbreviations present. However, the page fails WCAG 2.4.5 (Multiple Ways): it provides only a search form and no other navigation mechanism (no site nav, sitemap, breadcrumb, or related links), meaning users have no alternative way to locate or navigate to other content within the site.</t>
  </si>
  <si>
    <t xml:space="preserve">[2.4.5] Only one way to navigate the site is provided. The page contains no navigation links, sitemap, table of contents, or any other mechanism beyond the single search form to reach other pages or content. Add at least one additional navigation mechanism alongside the search form, such as a site navigation menu (&lt;nav&gt; with links to key sections), a sitemap link, or a breadcrumb trail. WCAG 2.4.5 requires that any web page that is part of a set of pages offers more than one way to locate it.</t>
  </si>
  <si>
    <t xml:space="preserve">The page passes four of the five evaluated criteria. WCAG 1.4.12 (Text Spacing) passes — no fixed-height containers or overflow issues were detected. WCAG 2.2.2 (Pause, Stop, Hide) is inapplicable — there are no animations, autoplay media, or moving content. WCAG 2.4.6 (Headings and Labels) passes — a single, well-formed H1 ('Knowledge base') is present and the form label ('Search articles') is properly associated with its input. WCAG 3.1.4 (Abbreviations) is inapplicable — the minimal text content contains no abbreviations. However, the page fails WCAG 2.4.5 (Multiple Ways, Level AA): it provides only a search form and no other navigation mechanism (no site nav, no sitemap, no breadcrumb, no related links). Unless this page is itself a step in a process, at least two distinct ways to locate content must be available.</t>
  </si>
  <si>
    <t xml:space="preserve">[2.4.5] Only one way to reach content is provided. The page contains no navigation links, sitemap, table of contents, or any secondary navigation mechanism beyond the single search form. Provide at least two ways to locate content within the site, such as a site-wide navigation menu AND the search form, or a sitemap link in addition to navigation. WCAG 2.4.5 requires that any page which is not the result of, or a step in, a process offers multiple navigation mechanisms.</t>
  </si>
  <si>
    <t xml:space="preserve">The page passes four of the five evaluated criteria. WCAG 1.4.12 (Text Spacing) passes with no overflow or content-integrity issues under forced spacing overrides. WCAG 2.2.2 (Pause, Stop, Hide) is inapplicable — there are no animations, autoplay media, or moving content. WCAG 2.4.6 (Headings and Labels) passes — the single H1 ('Order confirmation') is descriptive, correctly structured, and matches the page title. WCAG 3.1.4 (Abbreviations) is inapplicable given the minimal text content (25 words) with no unexpanded abbreviations. However, the page fails WCAG 2.4.5 (Multiple Ways, Level AA): it provides no secondary navigation mechanism whatsoever — no site nav, search, sitemap, breadcrumb, or table of contents — leaving users with no alternative way to locate content within the site. Adding a persistent navigation menu or at least one other wayfinding mechanism would resolve this failure.</t>
  </si>
  <si>
    <t xml:space="preserve">[2.4.5] No secondary navigation mechanism is present. The page provides only a single link to order details but offers no site navigation, search, sitemap, breadcrumb, or table of contents to help users locate content. Add at least one additional way for users to navigate the site — for example, a persistent site navigation menu, a site search feature, a sitemap link, or a breadcrumb trail. WCAG 2.4.5 requires at least two mechanisms for locating pages within a set of web pages.</t>
  </si>
  <si>
    <t xml:space="preserve">The page passes four of the five evaluated criteria. WCAG 1.4.12 (Text Spacing) passes with no overflow or content-integrity issues under forced spacing overrides. WCAG 2.2.2 (Pause, Stop, Hide) is inapplicable — there are no animations, autoplay media, or moving content. WCAG 2.4.6 (Headings and Labels) passes — a single, well-formed H1 ('Order confirmation') accurately describes the page with no skipped levels or generic text. WCAG 3.1.4 (Abbreviations) is inapplicable given the minimal 25-word content with no detectable unexplained abbreviations. However, the page fails WCAG 2.4.5 (Multiple Ways): it is a standalone page with no site navigation, search, sitemap, breadcrumb, or any secondary mechanism for users to locate content within the broader site. At minimum, a persistent navigation menu or site search should be added.</t>
  </si>
  <si>
    <t xml:space="preserve">The page passes four of the five evaluated criteria. WCAG 1.4.12 (Text Spacing) passes with no layout breakage under forced spacing overrides. WCAG 2.2.2 (Pause, Stop, Hide) is inapplicable because there are no animations, auto-playing media, or moving content. WCAG 2.4.6 (Headings and Labels) passes: a single, well-formed H1 ('Order confirmation') accurately describes the page content with no skipped levels or generic text. WCAG 3.1.4 (Abbreviations) is inapplicable due to minimal text content (25 words) with no detectable unexplained abbreviations. However, the page fails WCAG 2.4.5 (Multiple Ways, Level AA): it is a standalone page with no site navigation, search, sitemap, breadcrumb, or any other secondary mechanism that would allow users to find content within the site. At minimum, a persistent navigation menu or site search should be added.</t>
  </si>
  <si>
    <t xml:space="preserve">[2.4.5] No secondary navigation mechanism is present. The page provides only a single link to order details but offers no site navigation, search, sitemap, breadcrumb, or table of contents to help users locate content. Add at least one additional way for users to navigate the site — for example, a persistent site navigation menu, a site search feature, a sitemap link, or a breadcrumb trail — so that users have multiple means of locating content across the site.</t>
  </si>
  <si>
    <t xml:space="preserve">Four of the five target criteria are either passing or inapplicable for this minimal sign-in page. WCAG 1.4.12 Text Spacing passes — no fixed-height containers or overflow issues were detected. WCAG 2.2.2 Pause, Stop, Hide is inapplicable — there are no animations, auto-playing media, or moving content. WCAG 2.4.6 Headings and Labels passes — the single &lt;h1&gt; 'Sign in' is descriptive and the form labels ('Username', 'Password') are explicit and correctly associated. WCAG 3.1.4 Abbreviations is inapplicable — the page contains only 8 words and no abbreviations. However, WCAG 2.4.5 Multiple Ways is a concern: the page provides no navigation mechanisms whatsoever (no site nav, no search, no sitemap, no breadcrumb, no links to other pages). If this page is part of a multi-page website — which is the normal case — it must offer at least two ways for users to locate it or navigate to other content. The page should be augmented with a site header containing navigation and/or a search feature.</t>
  </si>
  <si>
    <t xml:space="preserve">[2.4.5] No multiple navigation mechanisms are present. The page is a standalone sign-in form with no links, site navigation, search, sitemap, or breadcrumb trail, making it impossible to reach other content via more than one method. Provide at least two ways to navigate the site (e.g., a site navigation menu AND a search feature, or a sitemap link). Even a minimal header with a home link and a site-map link would satisfy this criterion for a page that is part of a larger site.</t>
  </si>
  <si>
    <t xml:space="preserve">The page passes four of the five evaluated criteria. WCAG 1.4.12 (Text Spacing) passes — no fixed-height containers or overflow issues were detected. WCAG 2.2.2 (Pause, Stop, Hide) is inapplicable — there are no animations, auto-playing media, or moving content. WCAG 2.4.6 (Headings and Labels) passes — a single, well-formed H1 ('Sign in') is present and all form inputs have explicit, descriptive labels. WCAG 3.1.4 (Abbreviations) is inapplicable — the page contains only 8 words and no abbreviations. The sole failure is WCAG 2.4.5 (Multiple Ways): the page provides no navigation links, search, sitemap, or breadcrumb, meaning users have only one way (direct URL) to reach it. Unless this page qualifies as a step in a process, at least two distinct navigation mechanisms must be provided.</t>
  </si>
  <si>
    <t xml:space="preserve">[2.4.5] No multiple navigation mechanisms are present. The page is a standalone sign-in form with no links to other pages, no site navigation, no search, no sitemap, and no breadcrumb trail. Add at least two navigation mechanisms to the site (e.g., a site-wide navigation menu and a site search, or a sitemap link). If this page is genuinely a step in a process (e.g., a checkout flow), document that exemption; otherwise, provide multiple ways to reach it.</t>
  </si>
  <si>
    <t xml:space="preserve">Four of the five target criteria are either passing or inapplicable for this minimal sign-in page. WCAG 1.4.12 (Text Spacing) passes — no fixed-height containers or overflow issues were detected. WCAG 2.2.2 (Pause, Stop, Hide) is inapplicable — there are no animations, auto-playing media, or moving content. WCAG 2.4.6 (Headings and Labels) passes — the single &lt;h1&gt; 'Sign in' is descriptive and the form labels ('Username', 'Password') are clear and properly associated. WCAG 3.1.4 (Abbreviations) is inapplicable — the page contains only 8 words with no abbreviations present. However, WCAG 2.4.5 (Multiple Ways) fails: the page is a self-contained form with no navigation links, search, sitemap, or breadcrumb, meaning there is no second mechanism for users to locate or reach this page within the broader site. Adding at least one additional navigation mechanism (e.g., a site nav or search) would resolve this failure.</t>
  </si>
  <si>
    <t xml:space="preserve">[2.4.5] No multiple ways to reach this page are provided. The page contains no site navigation, search, sitemap, breadcrumb, or table of contents — only a standalone sign-in form with no links to other pages. Provide at least two ways for users to locate this page within the site (e.g., a site-wide navigation menu, a site search feature, a sitemap link, or breadcrumb trail). Even a minimal header with a home link and a site search would satisfy this criterion.</t>
  </si>
  <si>
    <t xml:space="preserve">The page passes all five evaluated WCAG 2.1 criteria. (1) WCAG 1.4.12 Text Spacing: Applying the required text-spacing overrides (line-height, letter-spacing, word-spacing, paragraph spacing) caused no layout breaks or content loss. (2) WCAG 2.2.2 Pause, Stop, Hide: No animations, auto-playing media, marquees, or moving content of any kind were detected, making this criterion inapplicable — which counts as a pass. (3) WCAG 2.4.5 Multiple Ways: Two distinct navigation mechanisms are present — a labelled primary navigation menu with five site links and a search form with role='search' — satisfying the requirement for more than one way to locate pages. (4) WCAG 2.4.6 Headings and Labels: The single heading (&lt;h1&gt;University library&lt;/h1&gt;) is descriptive and accurately reflects the page content; the search form field has a clear, associated &lt;label&gt; ('Search the catalog'); the heading hierarchy is valid with no skipped levels or generic text. (5) WCAG 3.1.4 Abbreviations: No abbreviations were detected in the page content, making this AAA criterion inapplicable — which counts as a pass. Overall, this is a clean, minimal page with no accessibility violations against the targeted criteria.</t>
  </si>
  <si>
    <t xml:space="preserve">The page passes all five evaluated WCAG 2.1 criteria. (1) WCAG 1.4.12 Text Spacing: Applying the required text-spacing overrides (line-height ≥1.5×, letter-spacing ≥0.12em, word-spacing ≥0.16em, paragraph spacing ≥2em) caused no content clipping, overlap, or layout breakage. (2) WCAG 2.2.2 Pause, Stop, Hide: The page contains no CSS animations, CSS transitions, autoplay media, animated GIFs, or marquee elements, making this criterion inapplicable — a clean pass by absence. (3) WCAG 2.4.5 Multiple Ways: Two distinct navigation mechanisms are present — a labelled primary navigation menu with five site links and a search form with role='search' — satisfying the requirement for more than one way to locate pages. (4) WCAG 2.4.6 Headings and Labels: The single heading (&lt;h1&gt;University library&lt;/h1&gt;) is descriptive and correctly placed; the search form's input is properly labelled ('Search the catalog'); the heading hierarchy is valid with no skipped levels or generic text. (5) WCAG 3.1.4 Abbreviations: The tool found no abbreviations in the page's 20 words of visible text, making this criterion inapplicable — no unexpanded abbreviations are present to flag.</t>
  </si>
  <si>
    <t xml:space="preserve">The page passes all five evaluated WCAG criteria. (1) WCAG 1.4.12 Text Spacing: Applying the required text-spacing overrides (line-height, letter-spacing, word-spacing, paragraph spacing) caused no layout breaks or content loss. (2) WCAG 2.2.2 Pause, Stop, Hide: No CSS animations, transitions, autoplay media, animated GIFs, or marquee elements were detected, making this criterion inapplicable — a clean result. (3) WCAG 2.4.5 Multiple Ways: Two distinct navigation mechanisms are present — a labelled primary navigation menu with five site links and a search form with role='search' — satisfying the requirement for at least two ways to locate content. (4) WCAG 2.4.6 Headings and Labels: The single heading (&lt;h1&gt;University library&lt;/h1&gt;) is descriptive and correctly placed at the top of the hierarchy with no skipped levels, empty headings, or generic text; the search form field has a clear, associated &lt;label&gt;. (5) WCAG 3.1.4 Abbreviations: No abbreviations were detected in the page content, making this AAA criterion inapplicable. Overall, the page is a clean, minimal document with no accessibility violations against the targeted criteria.</t>
  </si>
  <si>
    <t xml:space="preserve">The page passes all five evaluated WCAG 2.1 criteria. (1) WCAG 1.4.12 Text Spacing: No fixed-height containers, overflow clipping, or tight inline styles were detected; applying the required text-spacing overrides causes no layout breakage. (2) WCAG 2.2.2 Pause, Stop, Hide: The page contains zero animations, auto-playing media, marquees, or moving content, making this criterion inapplicable — which counts as a pass. (3) WCAG 2.4.5 Multiple Ways: Three distinct navigation mechanisms are present — a primary site-navigation menu, a breadcrumb trail, and a link to a sitemap — satisfying the requirement for at least two ways to locate a page. (4) WCAG 2.4.6 Headings and Labels: A single, well-formed H1 ('Astronomy resources') accurately describes the page content; the heading hierarchy is valid with no skipped levels, empty headings, or generic labels. (5) WCAG 3.1.4 Abbreviations: The page's text content is minimal (15 words) and contains no detectable abbreviations or acronyms, so the criterion is inapplicable — which counts as a pass.</t>
  </si>
  <si>
    <t xml:space="preserve">The page passes all five evaluated WCAG 2.1 criteria. (1) WCAG 1.4.12 Text Spacing: No fixed-height containers, overflow clipping, or tight inline styles were detected; applying the required text-spacing overrides caused no layout breakage. (2) WCAG 2.2.2 Pause, Stop, Hide: The page contains zero animations, auto-playing media, marquees, or moving content, making the criterion inapplicable — a clean result. (3) WCAG 2.4.5 Multiple Ways: Three distinct navigation mechanisms are present — a primary site-navigation menu, a sitemap link, and a breadcrumb trail — satisfying the requirement for more than one way to locate a page. (4) WCAG 2.4.6 Headings and Labels: A single, well-formed H1 ('Astronomy resources') accurately describes the page content; the heading hierarchy is valid with no skipped levels, empty headings, or generic labels. (5) WCAG 3.1.4 Abbreviations: No abbreviations were detected in the page content, making the criterion inapplicable; no unexpanded acronyms or initialisms are present that would require an &lt;abbr&gt; element or equivalent mechanism.</t>
  </si>
  <si>
    <t xml:space="preserve">The page passes all five evaluated WCAG 2.1 criteria. (1) WCAG 1.4.12 Text Spacing: No CSS overrides suppress text-spacing properties; applying the required spacing overrides causes no layout breakage or content loss. (2) WCAG 2.2.2 Pause, Stop, Hide: The page contains zero animations, autoplay media, marquees, or moving content — the criterion is inapplicable, which counts as a pass. (3) WCAG 2.4.5 Multiple Ways: Three distinct navigation mechanisms are present — a primary site-navigation menu, a breadcrumb trail, and a link to a sitemap — satisfying the requirement for more than one way to locate the page. (4) WCAG 2.4.6 Headings and Labels: A single, well-formed H1 ('Astronomy resources') accurately describes the page content; the heading hierarchy is valid with no skipped levels, empty headings, or generic labels. (5) WCAG 3.1.4 Abbreviations: The page's text content (15 words) contains no detectable abbreviations or acronyms, making the criterion inapplicable — no violations possible.</t>
  </si>
  <si>
    <t xml:space="preserve">The page fails primarily on WCAG 2.4.6 (Headings and Labels) because it contains zero headings, offering no structural orientation for users of assistive technologies. The remaining criteria are either passing or inapplicable: WCAG 1.4.12 (Text Spacing) passes — the single label/input layout survives spacing overrides without overflow or content loss. WCAG 2.2.2 (Pause, Stop, Hide) is inapplicable — there are no animations, autoplay media, or moving content of any kind. WCAG 2.4.5 (Multiple Ways) is inapplicable — the page contains no inter-page navigation links, so the requirement for multiple navigation mechanisms does not apply to this single-element page. WCAG 3.1.4 (Abbreviations) is inapplicable — the text content ('Date of birth:') is too minimal and contains no abbreviations to evaluate. The sole actionable fix is to introduce a descriptive heading that contextualises the form field.</t>
  </si>
  <si>
    <t xml:space="preserve">[2.4.6] The page has no headings whatsoever, providing no structural labelling for content sections. Add at least one meaningful heading (e.g., &lt;h1&gt;) that describes the purpose of the page or the form section containing the date-of-birth field.</t>
  </si>
  <si>
    <t xml:space="preserve">The page fails primarily on WCAG 2.4.6 (Headings and Labels) because it contains zero headings, providing no structural or navigational context for the single date-of-birth form field. The remaining criteria are either passing or inapplicable: WCAG 1.4.12 (Text Spacing) passes with no layout breakage detected; WCAG 2.2.2 (Pause, Stop, Hide) is inapplicable as there are no animations, autoplay media, or moving content; WCAG 2.4.5 (Multiple Ways) is inapplicable since the page has no inter-page links and appears to be a standalone page; and WCAG 3.1.4 (Abbreviations) is inapplicable because the minimal text content ('Date of birth:') contains no abbreviations requiring expansion. The critical fix needed is adding a meaningful &lt;h1&gt; heading to satisfy 2.4.6, and if this page belongs to a broader site, site-wide navigation mechanisms should be added to satisfy 2.4.5.</t>
  </si>
  <si>
    <t xml:space="preserve">[2.4.6] The page has no headings whatsoever. A single form field with a label does not constitute a meaningful heading structure. Add at least one descriptive &lt;h1&gt; heading to give the page a meaningful title and structure (e.g., &lt;h1&gt;Personal Information&lt;/h1&gt;). Headings must describe the topic or purpose of the content they introduce. || [2.4.5] WCAG 2.4.5 (Multiple Ways) is inapplicable because the page contains no links to other pages and appears to be a standalone single-page form with no site navigation context. If this page is part of a larger website, provide at least two navigation mechanisms (e.g., a site navigation menu AND a search function or sitemap) so users can locate this page in multiple ways.</t>
  </si>
  <si>
    <t xml:space="preserve">The page was evaluated against five WCAG 2.1 criteria. Three criteria are inapplicable: WCAG 1.4.12 (Text Spacing) passed with no layout issues detected; WCAG 2.2.2 (Pause, Stop, Hide) is inapplicable because there are no animations, autoplay media, or moving content; WCAG 3.1.4 (Abbreviations) is inapplicable because the page contains only three words of text, too little for a meaningful abbreviation check. WCAG 2.4.5 (Multiple Ways) is also inapplicable since the page contains no links to other pages and functions as a standalone form. However, the page fails WCAG 2.4.6 (Headings and Labels) because it contains zero headings — no &lt;h1&gt; or any other heading element — leaving the page without any structural labeling. The label element correctly associates 'Date of birth:' with the input, so the label portion of 2.4.6 is satisfied, but the complete absence of headings is a serious structural deficiency.</t>
  </si>
  <si>
    <t xml:space="preserve">[2.4.6] The page has no headings whatsoever. A single date-of-birth input field with no surrounding page structure means there are no headings to describe the page's content or purpose. Add at least one descriptive heading (e.g., &lt;h1&gt;Personal Information&lt;/h1&gt;) to give the page meaningful structure and orient users, especially those using assistive technologies.</t>
  </si>
  <si>
    <t xml:space="preserve">The page fails on two of the five evaluated criteria. For WCAG 1.4.12 (Text Spacing), no layout breakage was detected — pass. For WCAG 2.2.2 (Pause, Stop, Hide), no animations or auto-playing media are present — inapplicable. For WCAG 2.4.5 (Multiple Ways), the page has no links to other pages so the criterion is inapplicable. For WCAG 2.4.6 (Headings and Labels), the only heading is the single character 'A', which is flagged as too short and non-descriptive, failing the requirement that headings describe their topic or purpose. For WCAG 3.1.4 (Abbreviations), while the automated tool deemed the text too short to analyze statistically, the heading 'A' functions as an unexpanded abbreviation or initial with no &lt;abbr&gt; markup or inline expansion, which is a clear violation of the spirit and letter of this AAA criterion. Both failures are serious in that they impair comprehension for screen reader users and users with cognitive disabilities.</t>
  </si>
  <si>
    <t xml:space="preserve">[2.4.6] The sole heading &lt;h1&gt; contains only the single character 'A', which is not descriptive or meaningful as a label for the page content. Replace the heading with a descriptive title that clearly conveys the purpose of the content, e.g., &lt;h1&gt;Glossary: Words Starting with A&lt;/h1&gt;. || [3.1.4] The tool returned inapplicable due to minimal word count, but the heading 'A' is itself an unexpanded single-letter abbreviation/initial with no &lt;abbr&gt; element or expansion provided anywhere on the page. If 'A' is intended as an abbreviation or section label (e.g., for an alphabetical index), wrap it in an &lt;abbr&gt; element with a title attribute: &lt;abbr title="Words beginning with the letter A"&gt;A&lt;/abbr&gt;, or expand it inline.</t>
  </si>
  <si>
    <t xml:space="preserve">The page fails on two of the five evaluated criteria. For WCAG 2.4.6 (Headings and Labels), the only heading present — &lt;h1&gt;A&lt;/h1&gt; — is a single character and provides no meaningful description of the page content, violating the requirement that headings be descriptive. For WCAG 3.1.4 (Abbreviations, AAA), the heading 'A' is ambiguous and potentially an abbreviation with no expansion mechanism provided; additionally, no &lt;abbr&gt; elements are used anywhere on the page. The remaining three criteria are inapplicable: WCAG 1.4.12 (Text Spacing) passed with no layout breakage detected; WCAG 2.2.2 (Pause, Stop, Hide) is inapplicable because there are no animations, autoplay media, or moving content; and WCAG 2.4.5 (Multiple Ways) is inapplicable because the page contains no links to other pages and does not function as part of a multi-page set.</t>
  </si>
  <si>
    <t xml:space="preserve">[2.4.6] The sole heading &lt;h1&gt; contains only the single character 'A', which is too short and non-descriptive to convey the purpose or topic of the page. Replace the heading text with a meaningful, descriptive label that clearly communicates the section's content, e.g., &lt;h1&gt;Dictionary: Words Beginning with A&lt;/h1&gt;. || [3.1.4] The page contains no &lt;abbr&gt; elements or any other mechanism to expand abbreviations. The heading 'A' itself could be interpreted as an abbreviation but is left unexplained. If 'A' is used as an abbreviation or shorthand (e.g., for a letter-indexed glossary section), wrap it in an &lt;abbr&gt; element with a title attribute: &lt;abbr title='Words beginning with the letter A'&gt;A&lt;/abbr&gt;. For any other abbreviations in content, use &lt;abbr title='expansion'&gt;ABBR&lt;/abbr&gt;.</t>
  </si>
  <si>
    <t xml:space="preserve">The page fails primarily on WCAG 2.4.6 (Headings and Labels) because its only heading, &lt;h1&gt;A&lt;/h1&gt;, is a single non-descriptive character that provides no meaningful information about the page content. WCAG 1.4.12 (Text Spacing) passed with no layout or overflow issues detected. WCAG 2.2.2 (Pause, Stop, Hide) is inapplicable — no animations, autoplay media, or moving content were found. WCAG 2.4.5 (Multiple Ways) is inapplicable because the page contains no links to other pages and functions as a standalone document. WCAG 3.1.4 (Abbreviations) is inapplicable due to insufficient text content for a meaningful analysis, and no &lt;abbr&gt; elements or unexpanded abbreviations were detected. The single but serious failure is the uninformative heading, which must be corrected to give users — especially screen reader users — a clear understanding of the page's purpose.</t>
  </si>
  <si>
    <t xml:space="preserve">[2.4.6] The sole heading &lt;h1&gt; contains only the single character 'A', which is too short and non-descriptive to convey the purpose or topic of the page. Replace the heading text with a meaningful, descriptive label that clearly communicates the section or page topic (e.g., &lt;h1&gt;Glossary: Words Starting with A&lt;/h1&gt;).</t>
  </si>
  <si>
    <t xml:space="preserve">The page fails primarily on WCAG 2.4.6 (Headings and Labels) due to a complete absence of headings — no &lt;h1&gt; or any other heading element is present, leaving the page without any structural organization. The remaining criteria are either passing or inapplicable: WCAG 1.4.12 (Text Spacing) passes with no layout breakage detected; WCAG 2.2.2 (Pause, Stop, Hide) is inapplicable as there are no animations, autoplay media, or moving content; WCAG 2.4.5 (Multiple Ways) is inapplicable because the page contains no links to other pages and does not constitute a multi-page site; and WCAG 3.1.4 (Abbreviations) is inapplicable given the minimal two-word text content. The sole but serious violation is the missing heading structure required by 2.4.6.</t>
  </si>
  <si>
    <t xml:space="preserve">[2.4.6] The page has no headings whatsoever, providing no structural or navigational landmarks for users. Add a meaningful &lt;h1&gt; heading to describe the page's purpose, and use additional heading levels (h2, h3, etc.) as needed to organize content hierarchically.</t>
  </si>
  <si>
    <t xml:space="preserve">The page fails primarily on WCAG 2.4.6 (Headings and Labels). It contains zero headings, which is a serious structural deficiency, and its only label is incorrectly associated with a &lt;p&gt; element rather than a labelable form control, rendering it non-functional. The remaining four criteria are either inapplicable or passing: WCAG 1.4.12 (Text Spacing) passes with no layout breakage detected; WCAG 2.2.2 (Pause, Stop, Hide) is inapplicable as there are no animations or auto-playing media; WCAG 2.4.5 (Multiple Ways) is inapplicable because the page contains no links to other pages; and WCAG 3.1.4 (Abbreviations) is inapplicable due to insufficient text content. Immediate fixes should include adding a descriptive &lt;h1&gt; and replacing the &lt;p&gt; with a proper &lt;input&gt; element.</t>
  </si>
  <si>
    <t xml:space="preserve">[2.4.6] The page has no headings whatsoever, providing no structural or navigational landmarks for users. Add a meaningful &lt;h1&gt; heading to describe the page's primary purpose, and use additional heading levels (h2, h3, etc.) as needed to organize content hierarchically. || [2.4.6] The &lt;label&gt; element references a &lt;p&gt; element (id='fname') instead of a form control, making it a non-functional and misleading label. Replace &lt;p id='fname'&gt;&lt;/p&gt; with an appropriate form control such as &lt;input type='text' id='fname' name='fname'&gt; so the label is properly associated and meaningful.</t>
  </si>
  <si>
    <t xml:space="preserve">The page fails primarily on WCAG 2.4.6 (Headings and Labels). It contains no headings at all — a serious structural deficiency — and its only label is incorrectly associated with a &lt;p&gt; element rather than a labelable form control, rendering it non-functional. The remaining criteria are either inapplicable or passing: WCAG 1.4.12 (Text Spacing) passes with no layout breakage detected; WCAG 2.2.2 (Pause, Stop, Hide) is inapplicable as there are no animations or auto-playing media; WCAG 2.4.5 (Multiple Ways) is inapplicable because the page contains no links to other pages; and WCAG 3.1.4 (Abbreviations) is inapplicable due to insufficient text content. Immediate fixes should include adding a descriptive &lt;h1&gt; and replacing the &lt;p&gt; with a proper &lt;input&gt; element.</t>
  </si>
  <si>
    <t xml:space="preserve">[2.4.6] The page has no headings whatsoever, providing no structural or navigational context for users. Add a meaningful &lt;h1&gt; heading to describe the page's purpose, and use additional heading levels (h2, h3, etc.) as needed to organize content hierarchically. || [2.4.6] The &lt;label&gt; element references a &lt;p&gt; element (id='fname') instead of a form control, making it a non-functional and misleading label. Replace &lt;p id='fname'&gt;&lt;/p&gt; with an appropriate form control such as &lt;input type='text' id='fname' name='fname'&gt; so the label is properly associated and descriptive.</t>
  </si>
  <si>
    <t xml:space="preserve">The page fails two of the five evaluated WCAG 2.1 criteria. For WCAG 2.4.6 (Headings and Labels), the page contains zero headings — not even an &lt;h1&gt; — which is a serious structural deficiency that prevents users (especially screen-reader users) from understanding or navigating the page. For WCAG 2.4.5 (Multiple Ways), the page provides no navigation mechanisms at all; if it belongs to a larger site, at least two distinct ways to reach pages must be offered. The remaining three criteria are inapplicable: WCAG 1.4.12 (Text Spacing) passed with no layout breakage detected; WCAG 2.2.2 (Pause, Stop, Hide) is inapplicable because there are no animations, autoplay media, or moving content; and WCAG 3.1.4 (Abbreviations) is inapplicable because the page contains only one word of text ('Menu'), making abbreviation analysis meaningless.</t>
  </si>
  <si>
    <t xml:space="preserve">[2.4.5] No navigation mechanisms are present on the page. If this page is part of a multi-page website, provide at least two ways to locate it (e.g., a site navigation menu AND a search feature or sitemap). If it is a truly standalone page (e.g., a login-only page), WCAG 2.4.5 may be genuinely inapplicable. || [2.4.6] The page has no headings whatsoever, making it impossible for users to understand the page structure or navigate by heading. Add a descriptive &lt;h1&gt; heading that identifies the purpose of the page (e.g., &lt;h1&gt;Contact Form&lt;/h1&gt;). Use additional heading levels (h2, h3…) as needed to label distinct sections. The existing &lt;label&gt; element is not a substitute for a page heading.</t>
  </si>
  <si>
    <t xml:space="preserve">The page fails two of the five evaluated WCAG 2.1 criteria. For WCAG 2.4.5 (Multiple Ways), the page is a bare stub with no navigation mechanisms whatsoever — no links, search, sitemap, or breadcrumbs — making it impossible for users to locate it through more than one means. For WCAG 2.4.6 (Headings and Labels), the page contains zero headings, providing no structural orientation for users, and the sole label ('Menu') is ambiguous for a plain text input. The remaining three criteria are inapplicable: WCAG 1.4.12 (Text Spacing) passed with no layout breakage detected; WCAG 2.2.2 (Pause, Stop, Hide) is inapplicable as there are no animations, autoplay media, or moving content; and WCAG 3.1.4 (Abbreviations) is inapplicable due to insufficient text content (only one word present).</t>
  </si>
  <si>
    <t xml:space="preserve">[2.4.5] No navigation mechanisms are present on the page. Ensure the page is part of a multi-page site and provides at least two ways to locate it (e.g., a site navigation menu AND a search feature, or a sitemap). Add &lt;nav&gt; elements, a search bar, or breadcrumb trails as appropriate. || [2.4.6] The page has no headings or meaningful labels to describe its content or purpose. Add a descriptive &lt;h1&gt; heading that conveys the page's purpose. Use additional heading levels (&lt;h2&gt;, &lt;h3&gt;, etc.) to structure any sections. Ensure all form labels are descriptive and accurately reflect the input's purpose (e.g., rename 'Menu' to something more meaningful if it labels a text field).</t>
  </si>
  <si>
    <t xml:space="preserve">The page fails on multiple target criteria. For WCAG 1.4.12 (Text Spacing), the page passes — no layout breaks were detected when text-spacing overrides were applied. For WCAG 2.2.2 (Pause, Stop, Hide), the criterion is inapplicable — there are no animations, autoplay media, or moving content. For WCAG 2.4.5 (Multiple Ways), the page is a bare form with no navigation links whatsoever; if it belongs to a larger site, it must offer at least two navigation mechanisms. For WCAG 2.4.6 (Headings and Labels), the page fails seriously — it contains zero headings, providing no structural orientation for users. For WCAG 3.1.4 (Abbreviations), the tool found insufficient text to evaluate formally, but the input's name attribute 'fname' is an unexpanded abbreviation that could confuse assistive technology users; the label should be updated to 'First Name' and any abbreviations should be properly marked up with &lt;abbr&gt;.</t>
  </si>
  <si>
    <t xml:space="preserve">[2.4.5] No navigation mechanisms are present on the page. If this page is part of a multi-page website, provide at least two ways to locate it (e.g., a site navigation menu, a search feature, a sitemap link, or breadcrumb trail). If this is a truly standalone page (e.g., a single-page app or isolated form), WCAG 2.4.5 may be genuinely inapplicable. || [2.4.6] The page has no headings whatsoever, providing no structural labeling for content. Add a descriptive &lt;h1&gt; heading that identifies the page's purpose (e.g., &lt;h1&gt;User Registration&lt;/h1&gt;). Use additional heading levels (h2, h3…) as needed to organize content sections logically. || [3.1.4] Abbreviation check is inapplicable due to minimal text content (1 word), but the label text 'Menu' used for a text input named 'fname' (first name) is itself potentially misleading — 'fname' is an unexpanded abbreviation used as the input's name attribute. Ensure any abbreviations visible to users (or exposed via accessible names) are expanded on first use, wrapped in an &lt;abbr title="..."&gt; element, or linked to a glossary. Update the label to clearly read 'First Name' rather than relying on the abbreviated attribute name.</t>
  </si>
  <si>
    <t xml:space="preserve">The page fails primarily on WCAG 2.4.6 (Headings and Labels): its sole heading is an empty &lt;p&gt; element with ARIA role="heading" and aria-level="1" but no text content, making it completely non-descriptive and useless for navigation or comprehension. WCAG 2.4.5 (Multiple Ways) is flagged because the page contains no links or navigation mechanisms at all, meaning there is no way to reach it as part of a larger site. WCAG 2.2.2 (Pause, Stop, Hide) is inapplicable — no animations, autoplay media, or moving content were detected. WCAG 1.4.12 (Text Spacing) is inapplicable — there is no meaningful text content to reflow. WCAG 3.1.4 (Abbreviations) is inapplicable — the page has zero words of text content. The most critical fix is to replace the empty ARIA heading with a native, descriptive &lt;h1&gt; element containing real text.</t>
  </si>
  <si>
    <t xml:space="preserve">[2.4.6] The page's only heading element is empty and uses an ARIA role instead of a native heading element, and contains no text content. Use a native heading element (e.g., &lt;h1&gt;) with meaningful, descriptive text content. Headings must be descriptive to satisfy WCAG 2.4.6. Example: &lt;h1&gt;Page Title&lt;/h1&gt; || [2.4.6] No headings are recognized by the accessibility tree. The tool found 0 headings because the ARIA-based heading has no text, making it non-descriptive and effectively invisible to assistive technologies. Ensure all headings have descriptive, non-empty text content so users of assistive technologies can understand the page structure and navigate by headings. || [2.4.5] The page provides no navigation mechanisms whatsoever — no site navigation, search, sitemap, breadcrumb, or table of contents — making it impossible to reach this page via multiple ways. Provide at least two ways to locate a page within a set of pages (e.g., a navigation menu plus a search function, or a sitemap). This applies at the site level, not just the page level.</t>
  </si>
  <si>
    <t xml:space="preserve">The page fails WCAG 2.4.6 (Headings and Labels) because its only heading is an empty &lt;p&gt; element with ARIA role overrides — the heading carries no text content and therefore provides no meaningful label or structure. The heading structure tool found zero headings and flagged a missing H1 as a serious issue. The remaining four criteria are inapplicable to this minimal page: WCAG 1.4.12 (Text Spacing) has no meaningful text or layout to evaluate; WCAG 2.2.2 (Pause, Stop, Hide) finds no animations, autoplay media, or moving content; WCAG 2.4.5 (Multiple Ways) does not apply because the page contains no links to other pages; and WCAG 3.1.4 (Abbreviations) is inapplicable due to zero words of text content.</t>
  </si>
  <si>
    <t xml:space="preserve">[2.4.6] The page's sole heading element is empty and uses ARIA role/level attributes on a &lt;p&gt; tag instead of a native heading element, resulting in no meaningful heading structure. Replace the empty &lt;p role="heading" aria-level="1"&gt; with a native heading element (e.g., &lt;h1&gt;) and provide descriptive, non-empty text content so the heading is both semantically correct and meaningful to users.</t>
  </si>
  <si>
    <t xml:space="preserve">The page fails primarily on WCAG 2.4.6 (Headings and Labels). The sole heading on the page is an empty &lt;p&gt; element with role='heading' and aria-level='1' — it carries no text content whatsoever, making it useless for orientation and navigation. Tools confirm zero meaningful headings are present and the page lacks an H1. WCAG 1.4.12 (Text Spacing) and 2.2.2 (Pause, Stop, Hide) are inapplicable due to the absence of text content and animations/media respectively. WCAG 2.4.5 (Multiple Ways) is also inapplicable as the page has no inter-page links. WCAG 3.1.4 (Abbreviations) is inapplicable due to zero word content. The critical fix is to replace the empty ARIA-attributed paragraph with a native, descriptive &lt;h1&gt; element containing meaningful text.</t>
  </si>
  <si>
    <t xml:space="preserve">[2.4.6] The page's only heading element is empty and uses ARIA role/level attributes on a &lt;p&gt; tag instead of a native heading element, and contains no text content. Use a native heading element (e.g., &lt;h1&gt;) with meaningful, descriptive text content. Empty headings provide no navigational or structural value to users of assistive technologies. || [2.4.6] The tool confirms zero headings are detected in the page structure (the ARIA-based heading is empty and not recognized as a valid heading), and the page is missing an H1. Ensure every page has at least one properly structured, non-empty heading (preferably a native &lt;h1&gt;) that describes the page's main topic or purpose. || [2.4.5] WCAG 2.4.5 is inapplicable — the page contains no links to other pages and no navigation mechanisms, so Multiple Ways does not apply. N/A for this page in isolation, but if this page is part of a multi-page site, ensure at least two navigation mechanisms (e.g., site nav + search or sitemap) are provided.</t>
  </si>
  <si>
    <t xml:space="preserve">The page fails primarily on WCAG 2.4.6 (Headings and Labels): it has zero headings (missing H1) and the sole interactive button is labeled only 'Go', which is non-descriptive. WCAG 2.4.5 (Multiple Ways) is inapplicable because the page contains no links to other pages and does not constitute a navigable site on its own. WCAG 1.4.12 (Text Spacing) is inapplicable due to the minimal, unstyled content. WCAG 2.2.2 (Pause, Stop, Hide) is inapplicable because there are no animations, autoplay media, or moving content. WCAG 3.1.4 (Abbreviations) is inapplicable because the page's two-word text content contains no abbreviations to evaluate. The most actionable fixes are: add a meaningful page heading and replace the vague 'Go' button label with a descriptive one such as 'Search'.</t>
  </si>
  <si>
    <t xml:space="preserve">[2.4.5] No multiple navigation mechanisms are present on the page. If this page is part of a larger website, ensure at least two navigation mechanisms are provided (e.g., a site-wide nav menu plus a search function, or a sitemap link). || [2.4.6] The page has no headings whatsoever, and the button label 'Go' is insufficiently descriptive as a label. Add a meaningful &lt;h1&gt; heading to describe the page's purpose. Rename the button to something descriptive like 'Search' or use aria-label="Search" on the button so its label clearly conveys its function.</t>
  </si>
  <si>
    <t xml:space="preserve">The page fails primarily on WCAG 2.4.6 (Headings and Labels). There are zero headings on the page, which is a serious structural omission, and the only interactive button carries the vague label 'Go' — which does not clearly communicate its purpose to users, including those relying on assistive technologies. The remaining four criteria (1.4.12 Text Spacing, 2.2.2 Pause/Stop/Hide, 2.4.5 Multiple Ways, and 3.1.4 Abbreviations) are all inapplicable to this minimal HTML snippet, as it contains no animations, no multi-page navigation structure, no complex text layout, and insufficient text content to evaluate abbreviations. The overall verdict is 'failed' due to the 2.4.6 violation.</t>
  </si>
  <si>
    <t xml:space="preserve">[2.4.6] The page has no headings whatsoever, and the sole visible label for the input is ambiguous. The button text 'Go' is a generic, non-descriptive label that does not clearly describe the control's purpose. Add at least one meaningful heading (e.g., &lt;h1&gt;Site Search&lt;/h1&gt;) to give the page structure. Replace or supplement the button label 'Go' with a descriptive label such as 'Search' (e.g., &lt;button id="submit"&gt;Search&lt;/button&gt; or use aria-label="Search"). || [2.4.5] WCAG 2.4.5 is inapplicable to this page because it contains no links to other pages and is not part of a navigable multi-page set as represented in this HTML snippet. N/A — criterion does not apply to this isolated page fragment. || [1.4.12] Text Spacing is inapplicable. The page contains virtually no styled text content that could be affected by spacing overrides. N/A — criterion does not apply to this page as written. || [2.2.2] Pause, Stop, Hide is inapplicable. No animations, auto-playing media, marquees, or moving content were detected. N/A — criterion does not apply to this page as written. || [3.1.4] Abbreviations criterion is inapplicable. The page contains only 2 words of text content ('Search' and 'Go'), which is insufficient to meaningfully evaluate abbreviation usage. N/A — criterion does not apply to this page as written.</t>
  </si>
  <si>
    <t xml:space="preserve">The page fails primarily against WCAG 2.4.6 (Headings and Labels). There are zero headings on the page, which is a serious structural omission. Additionally, the only button carries the vague label 'Go', which does not clearly describe its purpose. The input's aria-labelledby='submit search' concatenates the button text ('Go') before the hidden span text ('Search'), producing the awkward screen-reader announcement 'Go Search' rather than the intended 'Search'. Three of the five evaluated criteria (1.4.12, 2.2.2, and 3.1.4) are inapplicable given the minimal content of the page, and WCAG 2.4.5 is also inapplicable because the page contains no inter-page navigation links. The overall verdict is 'failed' due to the heading and label deficiencies under WCAG 2.4.6.</t>
  </si>
  <si>
    <t xml:space="preserve">[2.4.6] The page has no headings whatsoever, and the sole interactive label is ambiguous. The button is labelled 'Go' — a generic, non-descriptive label that does not clearly communicate the button's purpose. Add at least one descriptive &lt;h1&gt; heading to give the page structure. Rename the button to something descriptive such as 'Search' or 'Submit Search'. Ensure aria-labelledby references produce a meaningful, correctly ordered label (e.g., aria-labelledby="search" alone, and make the span visible or use aria-label directly). || [2.4.5] WCAG 2.4.5 is inapplicable to this page because it contains no links to other pages and therefore cannot be evaluated for multiple navigation mechanisms. No action required for this criterion on this page in isolation; ensure the broader site provides multiple ways to locate pages (e.g., navigation menu + search + sitemap). || [1.4.12] Text spacing check is inapplicable — the page contains no meaningful styled text blocks that could be affected by spacing overrides. No action required for this criterion on this minimal page. || [2.2.2] No animations, auto-playing media, or moving content detected. Criterion is inapplicable. No action required for this criterion on this page. || [3.1.4] Abbreviation check is inapplicable due to minimal text content (only 2 words: 'Search' and 'Go'). No abbreviations detected. No action required for this criterion on this page.</t>
  </si>
  <si>
    <t xml:space="preserve">The page passes four of the five evaluated criteria. WCAG 1.4.12 (Text Spacing) passes with no layout breakage under forced spacing overrides. WCAG 2.2.2 (Pause, Stop, Hide) is inapplicable — there are no animations, autoplay media, or moving content. WCAG 2.4.5 (Multiple Ways) is inapplicable — the page contains no links to other pages and exists as a standalone document. WCAG 2.4.6 (Headings and Labels) passes — a single, well-formed H1 heading ('API design notes') accurately describes the page content with no skipped levels or generic labels. However, the page fails WCAG 3.1.4 (Abbreviations, Level AAA): it uses at least six technical abbreviations (REST, JSON, CRUD, HTTP, ORM, ETL, ANSI, CLI, CI) with no expansion mechanism whatsoever — no &lt;abbr title&gt; markup, no parenthetical first-use definitions, and no glossary. This is a minor severity issue (AAA criterion) but a clear, actionable violation.</t>
  </si>
  <si>
    <t xml:space="preserve">[3.1.4] Multiple abbreviations are used throughout the page without any expansion mechanism (no &lt;abbr&gt; element, no first-use expansion in parentheses, and no glossary link). Wrap each abbreviation in an &lt;abbr&gt; element with a 'title' attribute providing the full expansion (e.g., &lt;abbr title="HyperText Transfer Protocol"&gt;HTTP&lt;/abbr&gt;), or spell out the full term on first use followed by the abbreviation in parentheses, or provide a linked glossary on the page.</t>
  </si>
  <si>
    <t xml:space="preserve">The page fails exclusively on WCAG 3.1.4 (Abbreviations, Level AAA). It is densely packed with unexpanded technical abbreviations — REST, JSON, CRUD, HTTP, ORM, ETL, ANSI, CLI, and CI — none of which are marked up with &lt;abbr title="..."&gt;, expanded inline on first use, or supported by a glossary link. The remaining four criteria are either passing or inapplicable: WCAG 1.4.12 (Text Spacing) passes with no layout breakage detected; WCAG 2.2.2 (Pause, Stop, Hide) is inapplicable because the page contains no animations, autoplay media, or moving content; WCAG 2.4.5 (Multiple Ways) is inapplicable because the page is a standalone document with no links to other pages, so no site-navigation mechanism is required; and WCAG 2.4.6 (Headings and Labels) passes — the single &lt;h1&gt; heading is descriptive, the hierarchy is valid, and there are no labels on the page to evaluate.</t>
  </si>
  <si>
    <t xml:space="preserve">[3.1.4] Multiple abbreviations are used throughout the page without any expansion mechanism (no &lt;abbr&gt; element, no first-use expansion in parentheses, and no linked glossary). Wrap each abbreviation in an &lt;abbr&gt; element with a 'title' attribute providing the full expansion, e.g. &lt;abbr title="Application Programming Interface"&gt;API&lt;/abbr&gt;, &lt;abbr title="JavaScript Object Notation"&gt;JSON&lt;/abbr&gt;, etc. Alternatively, expand each term on first use in parentheses, or provide a linked glossary on the page.</t>
  </si>
  <si>
    <t xml:space="preserve">The page passes four of the five evaluated criteria. WCAG 1.4.12 (Text Spacing) passes — the simple static layout accommodates spacing overrides without breakage. WCAG 2.2.2 (Pause, Stop, Hide) is inapplicable — there are no animations, autoplay media, or moving content. WCAG 2.4.5 (Multiple Ways) is inapplicable — this is a standalone page with no links to other pages, so the criterion does not apply. WCAG 2.4.6 (Headings and Labels) passes — a single, descriptive H1 ('API design notes') is present with a valid hierarchy and no generic or empty headings. However, the page fails WCAG 3.1.4 (Abbreviations, Level AAA): at least six abbreviations (REST, JSON, CRUD, HTTP, ORM, ETL, ANSI, CLI, CI) appear in the body text with no &lt;abbr title='...'&gt; markup, no parenthetical first-use expansion, and no glossary link, leaving readers without a way to determine the meaning of these terms.</t>
  </si>
  <si>
    <t xml:space="preserve">[3.1.4] Multiple abbreviations are used throughout the page without any expansion mechanism (no &lt;abbr&gt; element, no first-use expansion in parentheses, and no linked glossary). Wrap each abbreviation in an &lt;abbr&gt; element with a 'title' attribute providing the full expansion (e.g., &lt;abbr title="HyperText Transfer Protocol"&gt;HTTP&lt;/abbr&gt;), or expand each abbreviation on first use in parentheses, or provide a linked glossary on the page.</t>
  </si>
  <si>
    <t xml:space="preserve">The page fails WCAG 3.1.4 (Abbreviations, Level AAA) due to three defective &lt;abbr&gt; usages: 'PCR' carries an empty title, 'DNA' has a title that merely echoes the abbreviation rather than expanding it, and 'SOP' has no title attribute at all. All three abbreviations are domain-specific scientific/procedural terms that users unfamiliar with laboratory contexts cannot resolve without proper expansions. The remaining four criteria are either passing or inapplicable: text spacing (1.4.12) passes with no layout breakage; no animations or auto-playing media exist so 2.2.2 is inapplicable; the page is a standalone document with no inter-page navigation so 2.4.5 is inapplicable; and the single H1 heading 'Lab procedures' is descriptive and correctly structured, satisfying 2.4.6.</t>
  </si>
  <si>
    <t xml:space="preserve">[3.1.4] Abbreviation 'PCR' has an empty title attribute, providing no expansion or definition. Provide a meaningful expansion in the title attribute, e.g., &lt;abbr title="Polymerase Chain Reaction"&gt;PCR&lt;/abbr&gt;. || [3.1.4] Abbreviation 'DNA' has a title attribute that merely repeats the abbreviation itself ('DNA'), which is not a valid expansion. Replace the title with the full form, e.g., &lt;abbr title="Deoxyribonucleic Acid"&gt;DNA&lt;/abbr&gt;. || [3.1.4] Abbreviation 'SOP' has no title attribute and no other mechanism to convey its expansion. Add a descriptive title attribute, e.g., &lt;abbr title="Standard Operating Procedure"&gt;SOP&lt;/abbr&gt;.</t>
  </si>
  <si>
    <t xml:space="preserve">The page fails WCAG 3.1.4 (Abbreviations, Level AAA) due to three defective &lt;abbr&gt; usages: 'PCR' carries an empty title attribute (no expansion provided), 'SOP' has no title attribute whatsoever, and 'DNA' has a title that merely repeats the abbreviation rather than expanding it. All three abbreviations are scientific/technical terms that require clear definitions for users unfamiliar with them. The remaining four criteria are either passed or inapplicable: WCAG 1.4.12 (Text Spacing) passes with no layout breakage detected; WCAG 2.2.2 (Pause, Stop, Hide) is inapplicable as there are no animations, autoplay media, or moving content; WCAG 2.4.5 (Multiple Ways) is inapplicable because the page contains no links to other pages and does not constitute a multi-page site; and WCAG 2.4.6 (Headings and Labels) passes with a single, well-formed, descriptive H1 heading and no form labels present.</t>
  </si>
  <si>
    <t xml:space="preserve">[3.1.4] PCR abbreviation has an empty title attribute, providing no expansion or definition. Provide a meaningful expansion in the title attribute, e.g., &lt;abbr title="Polymerase Chain Reaction"&gt;PCR&lt;/abbr&gt;. || [3.1.4] SOP abbreviation has no title attribute at all, so its meaning is completely unexplained. Add a title attribute with the full expansion, e.g., &lt;abbr title="Standard Operating Procedure"&gt;SOP&lt;/abbr&gt;. || [3.1.4] DNA abbreviation's title attribute redundantly repeats the abbreviation itself ('DNA') rather than expanding it. Replace the title with the full form, e.g., &lt;abbr title="Deoxyribonucleic Acid"&gt;DNA&lt;/abbr&gt;.</t>
  </si>
  <si>
    <t xml:space="preserve">The page fails WCAG 3.1.4 (Abbreviations, Level AAA) due to three defective &lt;abbr&gt; usages: 'PCR' carries an empty title attribute (no expansion provided), 'SOP' has no title attribute whatsoever, and 'DNA' has a title that merely repeats the abbreviation rather than expanding it. All three cases leave users — particularly those relying on assistive technology or unfamiliar with scientific terminology — without a mechanism to understand the abbreviations. The remaining four criteria are either passed or inapplicable: WCAG 1.4.12 (Text Spacing) passes with no layout breakage detected; WCAG 2.2.2 (Pause, Stop, Hide) is inapplicable as there are no animations, autoplay media, or moving content; WCAG 2.4.5 (Multiple Ways) is inapplicable because this is a single standalone page with no links to other pages; and WCAG 2.4.6 (Headings and Labels) passes with a valid, descriptive H1 heading and no skipped levels or generic headings.</t>
  </si>
  <si>
    <t xml:space="preserve">[3.1.4] PCR abbreviation has an empty title attribute, providing no expansion or definition. Provide a meaningful expansion in the title attribute, e.g., &lt;abbr title="Polymerase Chain Reaction"&gt;PCR&lt;/abbr&gt;. || [3.1.4] SOP abbreviation has no title attribute at all, so no expansion or definition is available to users. Add a title attribute with the full expansion, e.g., &lt;abbr title="Standard Operating Procedure"&gt;SOP&lt;/abbr&gt;. || [3.1.4] DNA abbreviation's title attribute merely repeats the abbreviation itself ('DNA') rather than providing a meaningful expansion. Replace the self-referential title with the full form, e.g., &lt;abbr title="Deoxyribonucleic Acid"&gt;DNA&lt;/abbr&gt;.</t>
  </si>
  <si>
    <t xml:space="preserve">The page passes all five evaluated WCAG 2.1 criteria. (1) WCAG 1.4.12 Text Spacing: Applying the required text-spacing overrides (line height, letter/word spacing, paragraph spacing) caused no content overflow or layout breakage. (2) WCAG 2.2.2 Pause, Stop, Hide: The criterion is inapplicable — the page contains zero animations, auto-playing media, marquees, or moving content of any kind. (3) WCAG 2.4.5 Multiple Ways: The criterion is inapplicable — the page is a single, self-contained document with no links to other pages, so no navigation mechanism is required. (4) WCAG 2.4.6 Headings and Labels: The single H1 heading ('Welcome to the garden') is descriptive, correctly placed, and the heading hierarchy is valid with no skipped levels, empty headings, or generic labels. (5) WCAG 3.1.4 Abbreviations: No abbreviations were detected anywhere in the page content, so the criterion is satisfied by absence.</t>
  </si>
  <si>
    <t xml:space="preserve">Four of the five evaluated criteria pass or are inapplicable. WCAG 1.4.12 (Text Spacing) passes — no overflow or content-integrity issues were detected when spacing overrides were applied. WCAG 2.2.2 (Pause, Stop, Hide) is inapplicable — there are no animations, autoplay media, or moving content of any kind. WCAG 2.4.6 (Headings and Labels) passes — a single, well-formed H1 heading ('Welcome to the garden') accurately describes the page content, the hierarchy is valid, and no generic or empty headings are present. WCAG 3.1.4 (Abbreviations) passes — no abbreviations were detected in the page content. WCAG 2.4.5 (Multiple Ways) is the sole concern: the page contains no links, no navigation landmark, no search facility, no sitemap, and no breadcrumb. If this is a self-contained, single-page document that is not part of a larger set of pages, the criterion is technically inapplicable and the overall verdict would be 'passed'. However, given that real-world pages almost always exist within a site, the absence of any secondary navigation mechanism is flagged as a serious gap that must be remediated before the page can be considered fully compliant.</t>
  </si>
  <si>
    <t xml:space="preserve">[2.4.5] No multiple navigation mechanisms are provided. The page is a standalone document with no links to other pages, no site navigation, no search, no sitemap, and no breadcrumb trail. If this page is part of a multi-page site, add at least two navigation mechanisms such as a site-wide navigation menu, a search function, a sitemap link, or breadcrumb navigation so users can locate the page in more than one way.</t>
  </si>
  <si>
    <t xml:space="preserve">The page passes all five evaluated WCAG 2.1 criteria. (1) WCAG 1.4.12 Text Spacing: Applying the required text-spacing overrides (line height, letter/word spacing, paragraph spacing) caused no content overflow or layout breakage. (2) WCAG 2.2.2 Pause, Stop, Hide: The criterion is inapplicable — the page contains no animations, auto-playing media, marquees, or any moving content whatsoever. (3) WCAG 2.4.5 Multiple Ways: The criterion is inapplicable — the page is a single, self-contained document with no links to other pages, so no site-navigation mechanism is required. (4) WCAG 2.4.6 Headings and Labels: The sole heading ('Welcome to the garden', H1) is descriptive, correctly placed, and the hierarchy is valid with no skipped levels, generic text, or empty headings; there are no form labels to evaluate. (5) WCAG 3.1.4 Abbreviations: No abbreviations were detected anywhere in the page content, so the criterion is satisfied by absence.</t>
  </si>
  <si>
    <t xml:space="preserve">The page passes WCAG 1.4.12 (Text Spacing) — no CSS overrides cause layout breakage. It passes WCAG 2.2.2 (Pause, Stop, Hide) — no animations, autoplay media, or moving content are present. WCAG 2.4.6 (Headings and Labels) is satisfied — a single, descriptive H1 heading ('Marine research') is present with a valid hierarchy and no generic or empty headings. However, the page fails on two criteria: (1) WCAG 2.4.5 (Multiple Ways, Level AA) — if this page belongs to a website, no secondary navigation mechanism (search, sitemap, breadcrumb, or nav menu) is provided alongside any primary navigation, leaving users with only one way to reach the page; and (2) WCAG 3.1.4 (Abbreviations, Level AAA) — the text contains the acronyms 'radar', 'scuba', and 'laser', none of which are marked up with &lt;abbr title="..."&gt; elements or otherwise expanded inline, violating the requirement that the first occurrence of each abbreviation have an available expansion.</t>
  </si>
  <si>
    <t xml:space="preserve">[2.4.5] No multiple navigation mechanisms are provided. The page is a standalone document with no links, site navigation, search, sitemap, or breadcrumb trail. If this page is part of a multi-page website, provide at least two ways to locate it — for example, a site-wide navigation menu plus a search function, or a sitemap plus breadcrumb trail. || [3.1.4] Abbreviations appear in the body text without any expansion or definition mechanism. 'Radar' (Radio Detection And Ranging) and 'scuba' (Self-Contained Underwater Breathing Apparatus) are acronyms used as common words, but 'laser' (Light Amplification by Stimulated Emission of Radiation) is also an acronym that lacks any &lt;abbr&gt; element or inline expansion. Wrap each abbreviation/acronym in an &lt;abbr&gt; element with a 'title' attribute providing the full expansion, e.g., &lt;abbr title="Radio Detection And Ranging"&gt;radar&lt;/abbr&gt;, &lt;abbr title="Self-Contained Underwater Breathing Apparatus"&gt;scuba&lt;/abbr&gt;, and &lt;abbr title="Light Amplification by Stimulated Emission of Radiation"&gt;laser&lt;/abbr&gt;.</t>
  </si>
  <si>
    <t xml:space="preserve">The page passes WCAG 1.4.12 (Text Spacing) — no layout breaks were detected when spacing overrides were applied. It passes WCAG 2.2.2 (Pause, Stop, Hide) — no animations, autoplay media, or moving content are present. WCAG 2.4.6 (Headings and Labels) is satisfied — a single, descriptive H1 heading ('Marine research') is present with a valid hierarchy and no generic or empty headings. However, the page fails on two criteria: WCAG 2.4.5 (Multiple Ways) is violated because the page provides no navigation mechanisms whatsoever (no nav, search, sitemap, or breadcrumbs), which is required for pages that are part of a set of web pages. WCAG 3.1.4 (Abbreviations, Level AAA) is violated because the text contains at least three well-known acronyms — 'radar', 'scuba', and 'laser' — none of which are marked up with &lt;abbr title="..."&gt; or otherwise defined, leaving users without a programmatic way to discover their expansions.</t>
  </si>
  <si>
    <t xml:space="preserve">[2.4.5] No multiple navigation mechanisms are provided. The page is a standalone document with no links, site navigation, search, sitemap, or breadcrumb trail. If this page is part of a multi-page site, provide at least two navigation mechanisms such as a site-wide navigation menu plus a search function, sitemap link, or breadcrumb trail. || [3.1.4] Abbreviations appear in the body text ('radar', 'scuba', 'laser') without any programmatic expansion or definition mechanism. Wrap each abbreviation in an &lt;abbr&gt; element with a title attribute providing the full expansion, e.g., &lt;abbr title="Radio Detection And Ranging"&gt;radar&lt;/abbr&gt;, &lt;abbr title="Self-Contained Underwater Breathing Apparatus"&gt;scuba&lt;/abbr&gt;, and &lt;abbr title="Light Amplification by Stimulated Emission of Radiation"&gt;laser&lt;/abbr&gt;.</t>
  </si>
  <si>
    <t xml:space="preserve">The page passes WCAG 1.4.12 (Text Spacing) — no layout breaks were detected under forced spacing overrides. It passes WCAG 2.2.2 (Pause, Stop, Hide) — no animations, autoplay media, or moving content are present. WCAG 2.4.5 (Multiple Ways) is technically inapplicable as a single isolated page with no outbound links, but if this page exists within a broader website it would fail because no navigation mechanisms (nav menu, search, sitemap, breadcrumb) are present. WCAG 2.4.6 (Headings and Labels) passes — the single H1 heading is descriptive, the hierarchy is valid, and no labels are used on this page. WCAG 3.1.4 (Abbreviations) fails: the text contains at least three well-known acronyms — 'radar', 'scuba', and 'laser' — none of which are marked up with &lt;abbr title="..."&gt; elements or expanded inline, leaving assistive technology users without programmatic access to their full meanings.</t>
  </si>
  <si>
    <t xml:space="preserve">[2.4.5] No multiple navigation mechanisms are provided. The page is a standalone document with no links, site navigation, search, sitemap, or breadcrumb trail. Provide at least two ways to locate this page within the site, such as a site-wide navigation menu plus a search function, or a sitemap link plus breadcrumb trail. || [3.1.4] Abbreviations and acronyms appear in the body text without any expansion or programmatic identification. Wrap each abbreviation or acronym in an &lt;abbr&gt; element with a 'title' attribute providing the full expansion, e.g., &lt;abbr title="Radio Detection And Ranging"&gt;radar&lt;/abbr&gt;, &lt;abbr title="Self-Contained Underwater Breathing Apparatus"&gt;scuba&lt;/abbr&gt;, and &lt;abbr title="Light Amplification by Stimulated Emission of Radiation"&gt;laser&lt;/abbr&gt;.</t>
  </si>
  <si>
    <t xml:space="preserve">The page passes all five evaluated criteria. (1) WCAG 1.4.12 Text Spacing: no layout breaks were detected when WCAG text-spacing overrides were applied. (2) WCAG 2.2.2 Pause, Stop, Hide: no animations, auto-playing media, or moving content of any kind are present, making the criterion inapplicable — which counts as a pass. (3) WCAG 2.4.5 Multiple Ways: the page has no links to other pages and is therefore a single, standalone document; the criterion is inapplicable, which counts as a pass. (4) WCAG 2.4.6 Headings and Labels: the single H1 heading ('Web standards overview') is descriptive, the hierarchy is valid with no skipped levels, and there are no labels on the page to evaluate — fully compliant. (5) WCAG 3.1.4 Abbreviations: all four abbreviations in the page (W3C, WCAG, AG WG, HTTP) are wrapped in &lt;abbr&gt; elements with accurate, complete title attributes that expose their expanded forms to all users, satisfying the AAA requirement.</t>
  </si>
  <si>
    <t xml:space="preserve">The page passes all five evaluated WCAG 2.1 criteria. (1) WCAG 1.4.12 Text Spacing: No layout breaks were detected when text-spacing overrides were applied — the simple block-level structure reflows cleanly. (2) WCAG 2.2.2 Pause, Stop, Hide: No animations, auto-playing media, or moving content of any kind are present, making the criterion inapplicable (no violation). (3) WCAG 2.4.5 Multiple Ways: The page contains no links to other pages and is therefore a single, standalone document; the criterion is inapplicable by design. (4) WCAG 2.4.6 Headings and Labels: A single, descriptive H1 ('Web standards overview') is present, the hierarchy is valid with no skipped levels, no generic headings, and no form labels are needed — fully compliant. (5) WCAG 3.1.4 Abbreviations: All four abbreviations (W3C, WCAG, AG WG, HTTP) are marked up with the &lt;abbr&gt; element and each carries a meaningful title attribute that expands the abbreviation in full, satisfying the criterion completely.</t>
  </si>
  <si>
    <t xml:space="preserve">The page passes all five evaluated criteria. (1) WCAG 1.4.12 Text Spacing: applying the required text-spacing overrides caused no layout breaks or content loss. (2) WCAG 2.2.2 Pause, Stop, Hide: no animations, autoplay media, or moving content of any kind are present, making the criterion inapplicable — which counts as a pass. (3) WCAG 2.4.5 Multiple Ways: the page is a single, standalone document with no links to other pages, so the criterion is inapplicable (it only applies to pages that are part of a multi-page set). (4) WCAG 2.4.6 Headings and Labels: the single H1 heading ('Web standards overview') is descriptive, the hierarchy is valid with no skipped levels, no generic headings, and no form labels are present to evaluate — fully compliant. (5) WCAG 3.1.4 Abbreviations: all four abbreviations (W3C, WCAG, AG WG, HTTP) are marked up with the &lt;abbr&gt; element and carry meaningful title attributes that expand each abbreviation, satisfying the criterion. No violations were found across any of the five criteria.</t>
  </si>
  <si>
    <t xml:space="preserve">The page passes WCAG 1.4.12 (Text Spacing) with no layout breakage, WCAG 2.2.2 (Pause, Stop, Hide) as inapplicable due to no animations or moving content, WCAG 2.4.5 (Multiple Ways) as inapplicable because the page contains no links to other pages, and WCAG 2.4.6 (Headings and Labels) with a valid, descriptive H1 and no labels required. However, the page fails WCAG 3.1.4 (Abbreviations, Level AAA) because while some abbreviations are expanded parenthetically on first use (e.g., 'Learning Management System (LMS)'), subsequent standalone uses of those abbreviations ('LMS', 'FAQ', 'PRs') are not marked up with &lt;abbr title="..."&gt; elements. The plural form 'PRs' in particular has no expansion at all. The WCAG 3.1.4 requirement demands a mechanism — such as an &lt;abbr&gt; element, a glossary, or a definition link — for every occurrence of an abbreviation, not just the first.</t>
  </si>
  <si>
    <t xml:space="preserve">[3.1.4] Multiple abbreviations are used without a compliant expansion mechanism. The tool only detected 'LMS' as having a first-use expansion, but 'FAQ', 'PR', and 'PRs' are also abbreviations used in the text without any &lt;abbr&gt; element, glossary link, or reliable first-use expansion. Wrap every abbreviation in an &lt;abbr&gt; element with a descriptive title attribute, e.g. &lt;abbr title="Learning Management System"&gt;LMS&lt;/abbr&gt;, &lt;abbr title="Frequently Asked Questions"&gt;FAQ&lt;/abbr&gt;, &lt;abbr title="Pull Request"&gt;PR&lt;/abbr&gt;. This ensures all occurrences — including plurals like 'PRs' and standalone reuses like 'The FAQ section' and 'LMS will route' — are unambiguously defined for all users, including screen reader users.</t>
  </si>
  <si>
    <t xml:space="preserve">Four of the five evaluated criteria pass or are inapplicable. WCAG 1.4.12 (Text Spacing) passes — the plain static page reflows without layout breakage. WCAG 2.2.2 (Pause, Stop, Hide) is inapplicable — there are no animations, autoplay media, or moving content. WCAG 2.4.5 (Multiple Ways) is inapplicable — the page contains no links to other pages and is effectively a standalone document. WCAG 2.4.6 (Headings and Labels) passes — a single, descriptive H1 is present with a valid hierarchy and no generic or empty headings. WCAG 3.1.4 (Abbreviations) fails: three abbreviations — LMS, FAQ, and PR/PRs — are introduced with a parenthetical expansion on first use, but none are wrapped in &lt;abbr title="..."&gt; elements. Subsequent uses of LMS, FAQ, and PRs appear as bare acronyms with no machine-readable mechanism for assistive technologies to retrieve the expansion. The fix is straightforward: apply &lt;abbr title="..."&gt; to every occurrence of each abbreviation.</t>
  </si>
  <si>
    <t xml:space="preserve">[3.1.4] Multiple abbreviations are used without a programmatic mechanism (e.g., &lt;abbr&gt; element) to expose their expanded form. The tool only detected 'LMS' as having a first-use expansion, but 'FAQ', 'PR', and 'PRs' are also abbreviations introduced and then reused without any &lt;abbr&gt; element or consistent first-use parenthetical expansion that a machine or assistive technology can reliably identify. Wrap every occurrence of each abbreviation in an &lt;abbr title="..."&gt; element, e.g. &lt;abbr title="Learning Management System"&gt;LMS&lt;/abbr&gt;, &lt;abbr title="Frequently Asked Questions"&gt;FAQ&lt;/abbr&gt;, &lt;abbr title="Pull Request"&gt;PR&lt;/abbr&gt;. This ensures assistive technologies can always expose the expansion, regardless of reading order.</t>
  </si>
  <si>
    <t xml:space="preserve">The page passes WCAG 1.4.12 (Text Spacing) with no layout breakage, WCAG 2.2.2 (Pause, Stop, Hide) as inapplicable due to no animations or auto-playing media, and WCAG 2.4.6 (Headings and Labels) with a single, well-formed H1 and no labels needed. However, the page fails WCAG 3.1.4 (Abbreviations, Level AAA): while LMS, FAQ, and PR are each expanded parenthetically on first use, none of the abbreviations — including their repeated subsequent uses — are wrapped in &lt;abbr title="..."&gt; elements, depriving assistive technology users of on-demand access to the expansions. WCAG 2.4.5 (Multiple Ways) is technically inapplicable to a standalone page with no outbound links, but the absence of any navigation infrastructure is a concern if this page belongs to a broader site.</t>
  </si>
  <si>
    <t xml:space="preserve">[3.1.4] Abbreviations are expanded inline on first use but are not marked up with &lt;abbr&gt; elements, so assistive technology users cannot retrieve the expansion on demand for subsequent uses. The tool also failed to detect FAQ and PR/PRs as abbreviation candidates. Wrap every occurrence of each abbreviation in an &lt;abbr&gt; element with a descriptive title attribute, e.g. &lt;abbr title="Learning Management System"&gt;LMS&lt;/abbr&gt;, &lt;abbr title="Frequently Asked Questions"&gt;FAQ&lt;/abbr&gt;, and &lt;abbr title="Pull Request"&gt;PR&lt;/abbr&gt; / &lt;abbr title="Pull Requests"&gt;PRs&lt;/abbr&gt;. At minimum, mark up all subsequent uses after the first inline expansion. || [2.4.5] The page has no navigation mechanisms (no site nav, search, sitemap, or links to other pages), making WCAG 2.4.5 inapplicable in isolation, but the page exists in a multi-page site context (references to LMS, FAQ, documentation repository) with no navigation provided whatsoever. If this page is part of a larger site, add at least two navigation mechanisms (e.g., a site-wide navigation menu and a search function, or a sitemap link) so users have multiple ways to locate this page.</t>
  </si>
</sst>
</file>

<file path=xl/styles.xml><?xml version="1.0" encoding="utf-8"?>
<styleSheet xmlns="http://schemas.openxmlformats.org/spreadsheetml/2006/main">
  <numFmts count="4">
    <numFmt numFmtId="164" formatCode="General"/>
    <numFmt numFmtId="165" formatCode="0.0%"/>
    <numFmt numFmtId="166" formatCode="0.00"/>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3"/>
      <name val="Arial"/>
      <family val="2"/>
      <charset val="1"/>
    </font>
    <font>
      <i val="true"/>
      <sz val="9"/>
      <color rgb="FF595959"/>
      <name val="Arial"/>
      <family val="2"/>
      <charset val="1"/>
    </font>
    <font>
      <b val="true"/>
      <sz val="11"/>
      <name val="Arial"/>
      <family val="2"/>
      <charset val="1"/>
    </font>
    <font>
      <b val="true"/>
      <sz val="11"/>
      <color rgb="FFFFFFFF"/>
      <name val="Arial"/>
      <family val="2"/>
      <charset val="1"/>
    </font>
    <font>
      <sz val="11"/>
      <name val="Arial"/>
      <family val="2"/>
      <charset val="1"/>
    </font>
    <font>
      <b val="true"/>
      <sz val="14"/>
      <color rgb="FF1F386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0"/>
      <name val="Arial"/>
      <family val="0"/>
      <charset val="1"/>
    </font>
  </fonts>
  <fills count="6">
    <fill>
      <patternFill patternType="none"/>
    </fill>
    <fill>
      <patternFill patternType="gray125"/>
    </fill>
    <fill>
      <patternFill patternType="solid">
        <fgColor rgb="FF2F5496"/>
        <bgColor rgb="FF2E5496"/>
      </patternFill>
    </fill>
    <fill>
      <patternFill patternType="solid">
        <fgColor rgb="FF1F3864"/>
        <bgColor rgb="FF2E5496"/>
      </patternFill>
    </fill>
    <fill>
      <patternFill patternType="solid">
        <fgColor rgb="FF2E5496"/>
        <bgColor rgb="FF2F5496"/>
      </patternFill>
    </fill>
    <fill>
      <patternFill patternType="solid">
        <fgColor rgb="FFF2F5FB"/>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7" fontId="12" fillId="5" borderId="1" xfId="0" applyFont="true" applyBorder="true" applyAlignment="true" applyProtection="false">
      <alignment horizontal="center" vertical="center" textRotation="0" wrapText="true" indent="0" shrinkToFit="false"/>
      <protection locked="true" hidden="false"/>
    </xf>
    <xf numFmtId="165" fontId="13" fillId="5"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5" fontId="13"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B"/>
      <rgbColor rgb="FFCCFFFF"/>
      <rgbColor rgb="FF660066"/>
      <rgbColor rgb="FFFF8080"/>
      <rgbColor rgb="FF2E5496"/>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66796875" defaultRowHeight="15" zeroHeight="false" outlineLevelRow="0" outlineLevelCol="0"/>
  <cols>
    <col collapsed="false" customWidth="true" hidden="false" outlineLevel="0" max="1" min="1" style="0" width="22"/>
    <col collapsed="false" customWidth="true" hidden="false" outlineLevel="0" max="12" min="2" style="0" width="15"/>
  </cols>
  <sheetData>
    <row r="1" customFormat="false" ht="16.5" hidden="false" customHeight="true" outlineLevel="0" collapsed="false">
      <c r="A1" s="1" t="s">
        <v>0</v>
      </c>
    </row>
    <row r="2" customFormat="false" ht="15" hidden="false" customHeight="false" outlineLevel="0" collapsed="false">
      <c r="A2" s="2"/>
    </row>
    <row r="4" customFormat="false" ht="15" hidden="false" customHeight="false" outlineLevel="0" collapsed="false">
      <c r="A4" s="3" t="s">
        <v>1</v>
      </c>
    </row>
    <row r="5" customFormat="false" ht="30.75" hidden="false" customHeight="true" outlineLevel="0" collapsed="false">
      <c r="A5" s="4" t="s">
        <v>2</v>
      </c>
      <c r="B5" s="4" t="s">
        <v>3</v>
      </c>
      <c r="C5" s="4" t="s">
        <v>4</v>
      </c>
      <c r="D5" s="4" t="s">
        <v>5</v>
      </c>
      <c r="E5" s="4" t="s">
        <v>6</v>
      </c>
      <c r="F5" s="4" t="s">
        <v>7</v>
      </c>
      <c r="G5" s="4" t="s">
        <v>8</v>
      </c>
      <c r="H5" s="4" t="s">
        <v>9</v>
      </c>
      <c r="I5" s="4" t="s">
        <v>10</v>
      </c>
      <c r="J5" s="4" t="s">
        <v>11</v>
      </c>
      <c r="K5" s="4" t="s">
        <v>12</v>
      </c>
    </row>
    <row r="6" customFormat="false" ht="15" hidden="false" customHeight="false" outlineLevel="0" collapsed="false">
      <c r="A6" s="5" t="s">
        <v>13</v>
      </c>
      <c r="B6" s="5" t="s">
        <v>14</v>
      </c>
      <c r="C6" s="5" t="n">
        <f aca="false">COUNTA(A_axe!$A$2:$A$538)</f>
        <v>537</v>
      </c>
      <c r="D6" s="5" t="n">
        <f aca="false">SUM(A_axe!$I$2:$I$538)</f>
        <v>237</v>
      </c>
      <c r="E6" s="6" t="n">
        <f aca="false">IFERROR(D6/C6,"")</f>
        <v>0.441340782122905</v>
      </c>
      <c r="F6" s="6" t="n">
        <f aca="false">IFERROR(COUNTIFS(A_axe!$G$2:$G$538,"passed",A_axe!$I$2:$I$538,1)/COUNTIF(A_axe!$G$2:$G$538,"passed"),"")</f>
        <v>0.95</v>
      </c>
      <c r="G6" s="6" t="n">
        <f aca="false">IFERROR(COUNTIFS(A_axe!$G$2:$G$538,"failed",A_axe!$I$2:$I$538,1)/COUNTIF(A_axe!$G$2:$G$538,"failed"),"")</f>
        <v>0.372881355932203</v>
      </c>
      <c r="H6" s="6" t="n">
        <f aca="false">IFERROR(COUNTIFS(A_axe!$G$2:$G$538,"inapplicable",A_axe!$I$2:$I$538,1)/COUNTIF(A_axe!$G$2:$G$538,"inapplicable"),"")</f>
        <v>0</v>
      </c>
      <c r="I6" s="7" t="n">
        <f aca="false">AVERAGE(A_axe!$P$2:$P$538)</f>
        <v>12.6871694599628</v>
      </c>
      <c r="J6" s="7" t="n">
        <f aca="false">AVERAGE(A_axe!$L$2:$L$538)</f>
        <v>0.150837988826816</v>
      </c>
      <c r="K6" s="7" t="n">
        <f aca="false">AVERAGE(A_axe!$M$2:$M$538)</f>
        <v>1</v>
      </c>
    </row>
    <row r="7" customFormat="false" ht="15" hidden="false" customHeight="false" outlineLevel="0" collapsed="false">
      <c r="A7" s="5" t="s">
        <v>15</v>
      </c>
      <c r="B7" s="5" t="s">
        <v>16</v>
      </c>
      <c r="C7" s="5" t="n">
        <f aca="false">COUNTA(B_persona_llm!$A$2:$A$538)</f>
        <v>537</v>
      </c>
      <c r="D7" s="5" t="n">
        <f aca="false">SUM(B_persona_llm!$I$2:$I$538)</f>
        <v>381</v>
      </c>
      <c r="E7" s="6" t="n">
        <f aca="false">IFERROR(D7/C7,"")</f>
        <v>0.709497206703911</v>
      </c>
      <c r="F7" s="6" t="n">
        <f aca="false">IFERROR(COUNTIFS(B_persona_llm!$G$2:$G$538,"passed",B_persona_llm!$I$2:$I$538,1)/COUNTIF(B_persona_llm!$G$2:$G$538,"passed"),"")</f>
        <v>0.605555555555556</v>
      </c>
      <c r="G7" s="6" t="n">
        <f aca="false">IFERROR(COUNTIFS(B_persona_llm!$G$2:$G$538,"failed",B_persona_llm!$I$2:$I$538,1)/COUNTIF(B_persona_llm!$G$2:$G$538,"failed"),"")</f>
        <v>0.943502824858757</v>
      </c>
      <c r="H7" s="6" t="n">
        <f aca="false">IFERROR(COUNTIFS(B_persona_llm!$G$2:$G$538,"inapplicable",B_persona_llm!$I$2:$I$538,1)/COUNTIF(B_persona_llm!$G$2:$G$538,"inapplicable"),"")</f>
        <v>0.583333333333333</v>
      </c>
      <c r="I7" s="7" t="n">
        <f aca="false">AVERAGE(B_persona_llm!$P$2:$P$538)</f>
        <v>7.53817504655494</v>
      </c>
      <c r="J7" s="7" t="n">
        <f aca="false">AVERAGE(B_persona_llm!$L$2:$L$538)</f>
        <v>1.16201117318436</v>
      </c>
      <c r="K7" s="7" t="n">
        <f aca="false">AVERAGE(B_persona_llm!$M$2:$M$538)</f>
        <v>0</v>
      </c>
    </row>
    <row r="8" customFormat="false" ht="15" hidden="false" customHeight="false" outlineLevel="0" collapsed="false">
      <c r="A8" s="5" t="s">
        <v>17</v>
      </c>
      <c r="B8" s="5" t="s">
        <v>18</v>
      </c>
      <c r="C8" s="5" t="n">
        <f aca="false">COUNTA(C_persona_agent!$A$2:$A$538)</f>
        <v>537</v>
      </c>
      <c r="D8" s="5" t="n">
        <f aca="false">SUM(C_persona_agent!$I$2:$I$538)</f>
        <v>284</v>
      </c>
      <c r="E8" s="6" t="n">
        <f aca="false">IFERROR(D8/C8,"")</f>
        <v>0.528864059590317</v>
      </c>
      <c r="F8" s="6" t="n">
        <f aca="false">IFERROR(COUNTIFS(C_persona_agent!$G$2:$G$538,"passed",C_persona_agent!$I$2:$I$538,1)/COUNTIF(C_persona_agent!$G$2:$G$538,"passed"),"")</f>
        <v>0.394444444444444</v>
      </c>
      <c r="G8" s="6" t="n">
        <f aca="false">IFERROR(COUNTIFS(C_persona_agent!$G$2:$G$538,"failed",C_persona_agent!$I$2:$I$538,1)/COUNTIF(C_persona_agent!$G$2:$G$538,"failed"),"")</f>
        <v>0.864406779661017</v>
      </c>
      <c r="H8" s="6" t="n">
        <f aca="false">IFERROR(COUNTIFS(C_persona_agent!$G$2:$G$538,"inapplicable",C_persona_agent!$I$2:$I$538,1)/COUNTIF(C_persona_agent!$G$2:$G$538,"inapplicable"),"")</f>
        <v>0.333333333333333</v>
      </c>
      <c r="I8" s="7" t="n">
        <f aca="false">AVERAGE(C_persona_agent!$P$2:$P$538)</f>
        <v>28.4758100558659</v>
      </c>
      <c r="J8" s="7" t="n">
        <f aca="false">AVERAGE(C_persona_agent!$L$2:$L$538)</f>
        <v>0.847299813780261</v>
      </c>
      <c r="K8" s="7" t="n">
        <f aca="false">AVERAGE(C_persona_agent!$M$2:$M$538)</f>
        <v>4.3389199255121</v>
      </c>
    </row>
    <row r="9" customFormat="false" ht="15" hidden="false" customHeight="false" outlineLevel="0" collapsed="false">
      <c r="A9" s="5" t="s">
        <v>19</v>
      </c>
      <c r="B9" s="5" t="s">
        <v>20</v>
      </c>
      <c r="C9" s="5" t="n">
        <f aca="false">COUNTA(D_vanilla_llm!$A$2:$A$538)</f>
        <v>537</v>
      </c>
      <c r="D9" s="5" t="n">
        <f aca="false">SUM(D_vanilla_llm!$I$2:$I$538)</f>
        <v>370</v>
      </c>
      <c r="E9" s="6" t="n">
        <f aca="false">IFERROR(D9/C9,"")</f>
        <v>0.689013035381751</v>
      </c>
      <c r="F9" s="6" t="n">
        <f aca="false">IFERROR(COUNTIFS(D_vanilla_llm!$G$2:$G$538,"passed",D_vanilla_llm!$I$2:$I$538,1)/COUNTIF(D_vanilla_llm!$G$2:$G$538,"passed"),"")</f>
        <v>0.711111111111111</v>
      </c>
      <c r="G9" s="6" t="n">
        <f aca="false">IFERROR(COUNTIFS(D_vanilla_llm!$G$2:$G$538,"failed",D_vanilla_llm!$I$2:$I$538,1)/COUNTIF(D_vanilla_llm!$G$2:$G$538,"failed"),"")</f>
        <v>0.96045197740113</v>
      </c>
      <c r="H9" s="6" t="n">
        <f aca="false">IFERROR(COUNTIFS(D_vanilla_llm!$G$2:$G$538,"inapplicable",D_vanilla_llm!$I$2:$I$538,1)/COUNTIF(D_vanilla_llm!$G$2:$G$538,"inapplicable"),"")</f>
        <v>0.4</v>
      </c>
      <c r="I9" s="7" t="n">
        <f aca="false">AVERAGE(D_vanilla_llm!$P$2:$P$538)</f>
        <v>9.82858472998138</v>
      </c>
      <c r="J9" s="7" t="n">
        <f aca="false">AVERAGE(D_vanilla_llm!$L$2:$L$538)</f>
        <v>0.992551210428305</v>
      </c>
      <c r="K9" s="7" t="n">
        <f aca="false">AVERAGE(D_vanilla_llm!$M$2:$M$538)</f>
        <v>0</v>
      </c>
    </row>
    <row r="10" customFormat="false" ht="15" hidden="false" customHeight="false" outlineLevel="0" collapsed="false">
      <c r="A10" s="5" t="s">
        <v>21</v>
      </c>
      <c r="B10" s="5" t="s">
        <v>22</v>
      </c>
      <c r="C10" s="5" t="n">
        <f aca="false">COUNTA(E_vanilla_agent!$A$2:$A$538)</f>
        <v>537</v>
      </c>
      <c r="D10" s="5" t="n">
        <f aca="false">SUM(E_vanilla_agent!$I$2:$I$538)</f>
        <v>302</v>
      </c>
      <c r="E10" s="6" t="n">
        <f aca="false">IFERROR(D10/C10,"")</f>
        <v>0.562383612662942</v>
      </c>
      <c r="F10" s="6" t="n">
        <f aca="false">IFERROR(COUNTIFS(E_vanilla_agent!$G$2:$G$538,"passed",E_vanilla_agent!$I$2:$I$538,1)/COUNTIF(E_vanilla_agent!$G$2:$G$538,"passed"),"")</f>
        <v>0.394444444444444</v>
      </c>
      <c r="G10" s="6" t="n">
        <f aca="false">IFERROR(COUNTIFS(E_vanilla_agent!$G$2:$G$538,"failed",E_vanilla_agent!$I$2:$I$538,1)/COUNTIF(E_vanilla_agent!$G$2:$G$538,"failed"),"")</f>
        <v>0.932203389830508</v>
      </c>
      <c r="H10" s="6" t="n">
        <f aca="false">IFERROR(COUNTIFS(E_vanilla_agent!$G$2:$G$538,"inapplicable",E_vanilla_agent!$I$2:$I$538,1)/COUNTIF(E_vanilla_agent!$G$2:$G$538,"inapplicable"),"")</f>
        <v>0.366666666666667</v>
      </c>
      <c r="I10" s="7" t="n">
        <f aca="false">AVERAGE(E_vanilla_agent!$P$2:$P$538)</f>
        <v>31.4548789571695</v>
      </c>
      <c r="J10" s="7" t="n">
        <f aca="false">AVERAGE(E_vanilla_agent!$L$2:$L$538)</f>
        <v>1.22905027932961</v>
      </c>
      <c r="K10" s="7" t="n">
        <f aca="false">AVERAGE(E_vanilla_agent!$M$2:$M$538)</f>
        <v>4.40782122905028</v>
      </c>
    </row>
    <row r="13" customFormat="false" ht="15" hidden="false" customHeight="false" outlineLevel="0" collapsed="false">
      <c r="A13" s="3" t="s">
        <v>23</v>
      </c>
    </row>
    <row r="14" customFormat="false" ht="30.75" hidden="false" customHeight="true" outlineLevel="0" collapsed="false">
      <c r="A14" s="4" t="s">
        <v>2</v>
      </c>
      <c r="B14" s="4" t="s">
        <v>24</v>
      </c>
      <c r="C14" s="4" t="s">
        <v>25</v>
      </c>
      <c r="D14" s="4" t="s">
        <v>26</v>
      </c>
      <c r="E14" s="4" t="s">
        <v>27</v>
      </c>
      <c r="F14" s="4" t="s">
        <v>28</v>
      </c>
      <c r="G14" s="4" t="s">
        <v>29</v>
      </c>
    </row>
    <row r="15" customFormat="false" ht="15" hidden="false" customHeight="false" outlineLevel="0" collapsed="false">
      <c r="A15" s="5" t="s">
        <v>13</v>
      </c>
      <c r="B15" s="5" t="s">
        <v>30</v>
      </c>
      <c r="C15" s="5" t="n">
        <f aca="false">COUNTIFS(A_axe!$G$2:$G$538,"passed",A_axe!$H$2:$H$538,"passed")</f>
        <v>171</v>
      </c>
      <c r="D15" s="5" t="n">
        <f aca="false">COUNTIFS(A_axe!$G$2:$G$538,"passed",A_axe!$H$2:$H$538,"failed")</f>
        <v>9</v>
      </c>
      <c r="E15" s="5" t="n">
        <f aca="false">COUNTIFS(A_axe!$G$2:$G$538,"passed",A_axe!$H$2:$H$538,"inapplicable")</f>
        <v>0</v>
      </c>
      <c r="F15" s="5" t="n">
        <f aca="false">COUNTIFS(A_axe!$G$2:$G$538,"passed",A_axe!$H$2:$H$538,"error")</f>
        <v>0</v>
      </c>
      <c r="G15" s="5" t="n">
        <f aca="false">SUM(C15:F15)</f>
        <v>180</v>
      </c>
    </row>
    <row r="16" customFormat="false" ht="15" hidden="false" customHeight="false" outlineLevel="0" collapsed="false">
      <c r="A16" s="5" t="s">
        <v>13</v>
      </c>
      <c r="B16" s="5" t="s">
        <v>31</v>
      </c>
      <c r="C16" s="5" t="n">
        <f aca="false">COUNTIFS(A_axe!$G$2:$G$538,"failed",A_axe!$H$2:$H$538,"passed")</f>
        <v>111</v>
      </c>
      <c r="D16" s="5" t="n">
        <f aca="false">COUNTIFS(A_axe!$G$2:$G$538,"failed",A_axe!$H$2:$H$538,"failed")</f>
        <v>66</v>
      </c>
      <c r="E16" s="5" t="n">
        <f aca="false">COUNTIFS(A_axe!$G$2:$G$538,"failed",A_axe!$H$2:$H$538,"inapplicable")</f>
        <v>0</v>
      </c>
      <c r="F16" s="5" t="n">
        <f aca="false">COUNTIFS(A_axe!$G$2:$G$538,"failed",A_axe!$H$2:$H$538,"error")</f>
        <v>0</v>
      </c>
      <c r="G16" s="5" t="n">
        <f aca="false">SUM(C16:F16)</f>
        <v>177</v>
      </c>
    </row>
    <row r="17" customFormat="false" ht="15" hidden="false" customHeight="false" outlineLevel="0" collapsed="false">
      <c r="A17" s="5" t="s">
        <v>13</v>
      </c>
      <c r="B17" s="5" t="s">
        <v>32</v>
      </c>
      <c r="C17" s="5" t="n">
        <f aca="false">COUNTIFS(A_axe!$G$2:$G$538,"inapplicable",A_axe!$H$2:$H$538,"passed")</f>
        <v>180</v>
      </c>
      <c r="D17" s="5" t="n">
        <f aca="false">COUNTIFS(A_axe!$G$2:$G$538,"inapplicable",A_axe!$H$2:$H$538,"failed")</f>
        <v>0</v>
      </c>
      <c r="E17" s="5" t="n">
        <f aca="false">COUNTIFS(A_axe!$G$2:$G$538,"inapplicable",A_axe!$H$2:$H$538,"inapplicable")</f>
        <v>0</v>
      </c>
      <c r="F17" s="5" t="n">
        <f aca="false">COUNTIFS(A_axe!$G$2:$G$538,"inapplicable",A_axe!$H$2:$H$538,"error")</f>
        <v>0</v>
      </c>
      <c r="G17" s="5" t="n">
        <f aca="false">SUM(C17:F17)</f>
        <v>180</v>
      </c>
    </row>
    <row r="18" customFormat="false" ht="15" hidden="false" customHeight="false" outlineLevel="0" collapsed="false">
      <c r="A18" s="5" t="s">
        <v>15</v>
      </c>
      <c r="B18" s="5" t="s">
        <v>30</v>
      </c>
      <c r="C18" s="5" t="n">
        <f aca="false">COUNTIFS(B_persona_llm!$G$2:$G$538,"passed",B_persona_llm!$H$2:$H$538,"passed")</f>
        <v>109</v>
      </c>
      <c r="D18" s="5" t="n">
        <f aca="false">COUNTIFS(B_persona_llm!$G$2:$G$538,"passed",B_persona_llm!$H$2:$H$538,"failed")</f>
        <v>46</v>
      </c>
      <c r="E18" s="5" t="n">
        <f aca="false">COUNTIFS(B_persona_llm!$G$2:$G$538,"passed",B_persona_llm!$H$2:$H$538,"inapplicable")</f>
        <v>23</v>
      </c>
      <c r="F18" s="5" t="n">
        <f aca="false">COUNTIFS(B_persona_llm!$G$2:$G$538,"passed",B_persona_llm!$H$2:$H$538,"error")</f>
        <v>2</v>
      </c>
      <c r="G18" s="5" t="n">
        <f aca="false">SUM(C18:F18)</f>
        <v>180</v>
      </c>
    </row>
    <row r="19" customFormat="false" ht="15" hidden="false" customHeight="false" outlineLevel="0" collapsed="false">
      <c r="A19" s="5" t="s">
        <v>15</v>
      </c>
      <c r="B19" s="5" t="s">
        <v>31</v>
      </c>
      <c r="C19" s="5" t="n">
        <f aca="false">COUNTIFS(B_persona_llm!$G$2:$G$538,"failed",B_persona_llm!$H$2:$H$538,"passed")</f>
        <v>6</v>
      </c>
      <c r="D19" s="5" t="n">
        <f aca="false">COUNTIFS(B_persona_llm!$G$2:$G$538,"failed",B_persona_llm!$H$2:$H$538,"failed")</f>
        <v>167</v>
      </c>
      <c r="E19" s="5" t="n">
        <f aca="false">COUNTIFS(B_persona_llm!$G$2:$G$538,"failed",B_persona_llm!$H$2:$H$538,"inapplicable")</f>
        <v>4</v>
      </c>
      <c r="F19" s="5" t="n">
        <f aca="false">COUNTIFS(B_persona_llm!$G$2:$G$538,"failed",B_persona_llm!$H$2:$H$538,"error")</f>
        <v>0</v>
      </c>
      <c r="G19" s="5" t="n">
        <f aca="false">SUM(C19:F19)</f>
        <v>177</v>
      </c>
    </row>
    <row r="20" customFormat="false" ht="15" hidden="false" customHeight="false" outlineLevel="0" collapsed="false">
      <c r="A20" s="5" t="s">
        <v>15</v>
      </c>
      <c r="B20" s="5" t="s">
        <v>32</v>
      </c>
      <c r="C20" s="5" t="n">
        <f aca="false">COUNTIFS(B_persona_llm!$G$2:$G$538,"inapplicable",B_persona_llm!$H$2:$H$538,"passed")</f>
        <v>54</v>
      </c>
      <c r="D20" s="5" t="n">
        <f aca="false">COUNTIFS(B_persona_llm!$G$2:$G$538,"inapplicable",B_persona_llm!$H$2:$H$538,"failed")</f>
        <v>21</v>
      </c>
      <c r="E20" s="5" t="n">
        <f aca="false">COUNTIFS(B_persona_llm!$G$2:$G$538,"inapplicable",B_persona_llm!$H$2:$H$538,"inapplicable")</f>
        <v>105</v>
      </c>
      <c r="F20" s="5" t="n">
        <f aca="false">COUNTIFS(B_persona_llm!$G$2:$G$538,"inapplicable",B_persona_llm!$H$2:$H$538,"error")</f>
        <v>0</v>
      </c>
      <c r="G20" s="5" t="n">
        <f aca="false">SUM(C20:F20)</f>
        <v>180</v>
      </c>
    </row>
    <row r="21" customFormat="false" ht="15" hidden="false" customHeight="false" outlineLevel="0" collapsed="false">
      <c r="A21" s="5" t="s">
        <v>17</v>
      </c>
      <c r="B21" s="5" t="s">
        <v>30</v>
      </c>
      <c r="C21" s="5" t="n">
        <f aca="false">COUNTIFS(C_persona_agent!$G$2:$G$538,"passed",C_persona_agent!$H$2:$H$538,"passed")</f>
        <v>71</v>
      </c>
      <c r="D21" s="5" t="n">
        <f aca="false">COUNTIFS(C_persona_agent!$G$2:$G$538,"passed",C_persona_agent!$H$2:$H$538,"failed")</f>
        <v>105</v>
      </c>
      <c r="E21" s="5" t="n">
        <f aca="false">COUNTIFS(C_persona_agent!$G$2:$G$538,"passed",C_persona_agent!$H$2:$H$538,"inapplicable")</f>
        <v>4</v>
      </c>
      <c r="F21" s="5" t="n">
        <f aca="false">COUNTIFS(C_persona_agent!$G$2:$G$538,"passed",C_persona_agent!$H$2:$H$538,"error")</f>
        <v>0</v>
      </c>
      <c r="G21" s="5" t="n">
        <f aca="false">SUM(C21:F21)</f>
        <v>180</v>
      </c>
    </row>
    <row r="22" customFormat="false" ht="15" hidden="false" customHeight="false" outlineLevel="0" collapsed="false">
      <c r="A22" s="5" t="s">
        <v>17</v>
      </c>
      <c r="B22" s="5" t="s">
        <v>31</v>
      </c>
      <c r="C22" s="5" t="n">
        <f aca="false">COUNTIFS(C_persona_agent!$G$2:$G$538,"failed",C_persona_agent!$H$2:$H$538,"passed")</f>
        <v>22</v>
      </c>
      <c r="D22" s="5" t="n">
        <f aca="false">COUNTIFS(C_persona_agent!$G$2:$G$538,"failed",C_persona_agent!$H$2:$H$538,"failed")</f>
        <v>153</v>
      </c>
      <c r="E22" s="5" t="n">
        <f aca="false">COUNTIFS(C_persona_agent!$G$2:$G$538,"failed",C_persona_agent!$H$2:$H$538,"inapplicable")</f>
        <v>2</v>
      </c>
      <c r="F22" s="5" t="n">
        <f aca="false">COUNTIFS(C_persona_agent!$G$2:$G$538,"failed",C_persona_agent!$H$2:$H$538,"error")</f>
        <v>0</v>
      </c>
      <c r="G22" s="5" t="n">
        <f aca="false">SUM(C22:F22)</f>
        <v>177</v>
      </c>
    </row>
    <row r="23" customFormat="false" ht="15" hidden="false" customHeight="false" outlineLevel="0" collapsed="false">
      <c r="A23" s="5" t="s">
        <v>17</v>
      </c>
      <c r="B23" s="5" t="s">
        <v>32</v>
      </c>
      <c r="C23" s="5" t="n">
        <f aca="false">COUNTIFS(C_persona_agent!$G$2:$G$538,"inapplicable",C_persona_agent!$H$2:$H$538,"passed")</f>
        <v>66</v>
      </c>
      <c r="D23" s="5" t="n">
        <f aca="false">COUNTIFS(C_persona_agent!$G$2:$G$538,"inapplicable",C_persona_agent!$H$2:$H$538,"failed")</f>
        <v>54</v>
      </c>
      <c r="E23" s="5" t="n">
        <f aca="false">COUNTIFS(C_persona_agent!$G$2:$G$538,"inapplicable",C_persona_agent!$H$2:$H$538,"inapplicable")</f>
        <v>60</v>
      </c>
      <c r="F23" s="5" t="n">
        <f aca="false">COUNTIFS(C_persona_agent!$G$2:$G$538,"inapplicable",C_persona_agent!$H$2:$H$538,"error")</f>
        <v>0</v>
      </c>
      <c r="G23" s="5" t="n">
        <f aca="false">SUM(C23:F23)</f>
        <v>180</v>
      </c>
    </row>
    <row r="24" customFormat="false" ht="15" hidden="false" customHeight="false" outlineLevel="0" collapsed="false">
      <c r="A24" s="5" t="s">
        <v>19</v>
      </c>
      <c r="B24" s="5" t="s">
        <v>30</v>
      </c>
      <c r="C24" s="5" t="n">
        <f aca="false">COUNTIFS(D_vanilla_llm!$G$2:$G$538,"passed",D_vanilla_llm!$H$2:$H$538,"passed")</f>
        <v>128</v>
      </c>
      <c r="D24" s="5" t="n">
        <f aca="false">COUNTIFS(D_vanilla_llm!$G$2:$G$538,"passed",D_vanilla_llm!$H$2:$H$538,"failed")</f>
        <v>45</v>
      </c>
      <c r="E24" s="5" t="n">
        <f aca="false">COUNTIFS(D_vanilla_llm!$G$2:$G$538,"passed",D_vanilla_llm!$H$2:$H$538,"inapplicable")</f>
        <v>7</v>
      </c>
      <c r="F24" s="5" t="n">
        <f aca="false">COUNTIFS(D_vanilla_llm!$G$2:$G$538,"passed",D_vanilla_llm!$H$2:$H$538,"error")</f>
        <v>0</v>
      </c>
      <c r="G24" s="5" t="n">
        <f aca="false">SUM(C24:F24)</f>
        <v>180</v>
      </c>
    </row>
    <row r="25" customFormat="false" ht="15" hidden="false" customHeight="false" outlineLevel="0" collapsed="false">
      <c r="A25" s="5" t="s">
        <v>19</v>
      </c>
      <c r="B25" s="5" t="s">
        <v>31</v>
      </c>
      <c r="C25" s="5" t="n">
        <f aca="false">COUNTIFS(D_vanilla_llm!$G$2:$G$538,"failed",D_vanilla_llm!$H$2:$H$538,"passed")</f>
        <v>4</v>
      </c>
      <c r="D25" s="5" t="n">
        <f aca="false">COUNTIFS(D_vanilla_llm!$G$2:$G$538,"failed",D_vanilla_llm!$H$2:$H$538,"failed")</f>
        <v>170</v>
      </c>
      <c r="E25" s="5" t="n">
        <f aca="false">COUNTIFS(D_vanilla_llm!$G$2:$G$538,"failed",D_vanilla_llm!$H$2:$H$538,"inapplicable")</f>
        <v>3</v>
      </c>
      <c r="F25" s="5" t="n">
        <f aca="false">COUNTIFS(D_vanilla_llm!$G$2:$G$538,"failed",D_vanilla_llm!$H$2:$H$538,"error")</f>
        <v>0</v>
      </c>
      <c r="G25" s="5" t="n">
        <f aca="false">SUM(C25:F25)</f>
        <v>177</v>
      </c>
    </row>
    <row r="26" customFormat="false" ht="15" hidden="false" customHeight="false" outlineLevel="0" collapsed="false">
      <c r="A26" s="5" t="s">
        <v>19</v>
      </c>
      <c r="B26" s="5" t="s">
        <v>32</v>
      </c>
      <c r="C26" s="5" t="n">
        <f aca="false">COUNTIFS(D_vanilla_llm!$G$2:$G$538,"inapplicable",D_vanilla_llm!$H$2:$H$538,"passed")</f>
        <v>51</v>
      </c>
      <c r="D26" s="5" t="n">
        <f aca="false">COUNTIFS(D_vanilla_llm!$G$2:$G$538,"inapplicable",D_vanilla_llm!$H$2:$H$538,"failed")</f>
        <v>57</v>
      </c>
      <c r="E26" s="5" t="n">
        <f aca="false">COUNTIFS(D_vanilla_llm!$G$2:$G$538,"inapplicable",D_vanilla_llm!$H$2:$H$538,"inapplicable")</f>
        <v>72</v>
      </c>
      <c r="F26" s="5" t="n">
        <f aca="false">COUNTIFS(D_vanilla_llm!$G$2:$G$538,"inapplicable",D_vanilla_llm!$H$2:$H$538,"error")</f>
        <v>0</v>
      </c>
      <c r="G26" s="5" t="n">
        <f aca="false">SUM(C26:F26)</f>
        <v>180</v>
      </c>
    </row>
    <row r="27" customFormat="false" ht="15" hidden="false" customHeight="false" outlineLevel="0" collapsed="false">
      <c r="A27" s="5" t="s">
        <v>21</v>
      </c>
      <c r="B27" s="5" t="s">
        <v>30</v>
      </c>
      <c r="C27" s="5" t="n">
        <f aca="false">COUNTIFS(E_vanilla_agent!$G$2:$G$538,"passed",E_vanilla_agent!$H$2:$H$538,"passed")</f>
        <v>71</v>
      </c>
      <c r="D27" s="5" t="n">
        <f aca="false">COUNTIFS(E_vanilla_agent!$G$2:$G$538,"passed",E_vanilla_agent!$H$2:$H$538,"failed")</f>
        <v>109</v>
      </c>
      <c r="E27" s="5" t="n">
        <f aca="false">COUNTIFS(E_vanilla_agent!$G$2:$G$538,"passed",E_vanilla_agent!$H$2:$H$538,"inapplicable")</f>
        <v>0</v>
      </c>
      <c r="F27" s="5" t="n">
        <f aca="false">COUNTIFS(E_vanilla_agent!$G$2:$G$538,"passed",E_vanilla_agent!$H$2:$H$538,"error")</f>
        <v>0</v>
      </c>
      <c r="G27" s="5" t="n">
        <f aca="false">SUM(C27:F27)</f>
        <v>180</v>
      </c>
    </row>
    <row r="28" customFormat="false" ht="15" hidden="false" customHeight="false" outlineLevel="0" collapsed="false">
      <c r="A28" s="5" t="s">
        <v>21</v>
      </c>
      <c r="B28" s="5" t="s">
        <v>31</v>
      </c>
      <c r="C28" s="5" t="n">
        <f aca="false">COUNTIFS(E_vanilla_agent!$G$2:$G$538,"failed",E_vanilla_agent!$H$2:$H$538,"passed")</f>
        <v>12</v>
      </c>
      <c r="D28" s="5" t="n">
        <f aca="false">COUNTIFS(E_vanilla_agent!$G$2:$G$538,"failed",E_vanilla_agent!$H$2:$H$538,"failed")</f>
        <v>165</v>
      </c>
      <c r="E28" s="5" t="n">
        <f aca="false">COUNTIFS(E_vanilla_agent!$G$2:$G$538,"failed",E_vanilla_agent!$H$2:$H$538,"inapplicable")</f>
        <v>0</v>
      </c>
      <c r="F28" s="5" t="n">
        <f aca="false">COUNTIFS(E_vanilla_agent!$G$2:$G$538,"failed",E_vanilla_agent!$H$2:$H$538,"error")</f>
        <v>0</v>
      </c>
      <c r="G28" s="5" t="n">
        <f aca="false">SUM(C28:F28)</f>
        <v>177</v>
      </c>
    </row>
    <row r="29" customFormat="false" ht="15" hidden="false" customHeight="false" outlineLevel="0" collapsed="false">
      <c r="A29" s="5" t="s">
        <v>21</v>
      </c>
      <c r="B29" s="5" t="s">
        <v>32</v>
      </c>
      <c r="C29" s="5" t="n">
        <f aca="false">COUNTIFS(E_vanilla_agent!$G$2:$G$538,"inapplicable",E_vanilla_agent!$H$2:$H$538,"passed")</f>
        <v>42</v>
      </c>
      <c r="D29" s="5" t="n">
        <f aca="false">COUNTIFS(E_vanilla_agent!$G$2:$G$538,"inapplicable",E_vanilla_agent!$H$2:$H$538,"failed")</f>
        <v>72</v>
      </c>
      <c r="E29" s="5" t="n">
        <f aca="false">COUNTIFS(E_vanilla_agent!$G$2:$G$538,"inapplicable",E_vanilla_agent!$H$2:$H$538,"inapplicable")</f>
        <v>66</v>
      </c>
      <c r="F29" s="5" t="n">
        <f aca="false">COUNTIFS(E_vanilla_agent!$G$2:$G$538,"inapplicable",E_vanilla_agent!$H$2:$H$538,"error")</f>
        <v>0</v>
      </c>
      <c r="G29" s="5" t="n">
        <f aca="false">SUM(C29:F29)</f>
        <v>180</v>
      </c>
    </row>
    <row r="32" customFormat="false" ht="15" hidden="false" customHeight="false" outlineLevel="0" collapsed="false">
      <c r="A32" s="3" t="s">
        <v>33</v>
      </c>
    </row>
    <row r="33" customFormat="false" ht="15.75" hidden="false" customHeight="true" outlineLevel="0" collapsed="false">
      <c r="A33" s="4" t="s">
        <v>34</v>
      </c>
      <c r="B33" s="4" t="s">
        <v>13</v>
      </c>
      <c r="C33" s="4" t="s">
        <v>15</v>
      </c>
      <c r="D33" s="4" t="s">
        <v>17</v>
      </c>
      <c r="E33" s="4" t="s">
        <v>19</v>
      </c>
      <c r="F33" s="4" t="s">
        <v>21</v>
      </c>
    </row>
    <row r="34" customFormat="false" ht="15" hidden="false" customHeight="false" outlineLevel="0" collapsed="false">
      <c r="A34" s="8" t="s">
        <v>35</v>
      </c>
      <c r="B34" s="6" t="n">
        <f aca="false">IFERROR(COUNTIFS(A_axe!$E$2:$E$538,"ade",A_axe!$I$2:$I$538,1)/COUNTIF(A_axe!$E$2:$E$538,"ade"),"")</f>
        <v>0.433333333333333</v>
      </c>
      <c r="C34" s="6" t="n">
        <f aca="false">IFERROR(COUNTIFS(B_persona_llm!$E$2:$E$538,"ade",B_persona_llm!$I$2:$I$538,1)/COUNTIF(B_persona_llm!$E$2:$E$538,"ade"),"")</f>
        <v>0.788888888888889</v>
      </c>
      <c r="D34" s="6" t="n">
        <f aca="false">IFERROR(COUNTIFS(C_persona_agent!$E$2:$E$538,"ade",C_persona_agent!$I$2:$I$538,1)/COUNTIF(C_persona_agent!$E$2:$E$538,"ade"),"")</f>
        <v>0.533333333333333</v>
      </c>
      <c r="E34" s="6" t="n">
        <f aca="false">IFERROR(COUNTIFS(D_vanilla_llm!$E$2:$E$538,"ade",D_vanilla_llm!$I$2:$I$538,1)/COUNTIF(D_vanilla_llm!$E$2:$E$538,"ade"),"")</f>
        <v>0.777777777777778</v>
      </c>
      <c r="F34" s="6" t="n">
        <f aca="false">IFERROR(COUNTIFS(E_vanilla_agent!$E$2:$E$538,"ade",E_vanilla_agent!$I$2:$I$538,1)/COUNTIF(E_vanilla_agent!$E$2:$E$538,"ade"),"")</f>
        <v>0.633333333333333</v>
      </c>
    </row>
    <row r="35" customFormat="false" ht="15" hidden="false" customHeight="false" outlineLevel="0" collapsed="false">
      <c r="A35" s="8" t="s">
        <v>36</v>
      </c>
      <c r="B35" s="6" t="n">
        <f aca="false">IFERROR(COUNTIFS(A_axe!$E$2:$E$538,"elias",A_axe!$I$2:$I$538,1)/COUNTIF(A_axe!$E$2:$E$538,"elias"),"")</f>
        <v>0.466666666666667</v>
      </c>
      <c r="C35" s="6" t="n">
        <f aca="false">IFERROR(COUNTIFS(B_persona_llm!$E$2:$E$538,"elias",B_persona_llm!$I$2:$I$538,1)/COUNTIF(B_persona_llm!$E$2:$E$538,"elias"),"")</f>
        <v>0.844444444444444</v>
      </c>
      <c r="D35" s="6" t="n">
        <f aca="false">IFERROR(COUNTIFS(C_persona_agent!$E$2:$E$538,"elias",C_persona_agent!$I$2:$I$538,1)/COUNTIF(C_persona_agent!$E$2:$E$538,"elias"),"")</f>
        <v>0.377777777777778</v>
      </c>
      <c r="E35" s="6" t="n">
        <f aca="false">IFERROR(COUNTIFS(D_vanilla_llm!$E$2:$E$538,"elias",D_vanilla_llm!$I$2:$I$538,1)/COUNTIF(D_vanilla_llm!$E$2:$E$538,"elias"),"")</f>
        <v>0.811111111111111</v>
      </c>
      <c r="F35" s="6" t="n">
        <f aca="false">IFERROR(COUNTIFS(E_vanilla_agent!$E$2:$E$538,"elias",E_vanilla_agent!$I$2:$I$538,1)/COUNTIF(E_vanilla_agent!$E$2:$E$538,"elias"),"")</f>
        <v>0.333333333333333</v>
      </c>
    </row>
    <row r="36" customFormat="false" ht="15" hidden="false" customHeight="false" outlineLevel="0" collapsed="false">
      <c r="A36" s="8" t="s">
        <v>37</v>
      </c>
      <c r="B36" s="6" t="n">
        <f aca="false">IFERROR(COUNTIFS(A_axe!$E$2:$E$538,"ian",A_axe!$I$2:$I$538,1)/COUNTIF(A_axe!$E$2:$E$538,"ian"),"")</f>
        <v>0.433333333333333</v>
      </c>
      <c r="C36" s="6" t="n">
        <f aca="false">IFERROR(COUNTIFS(B_persona_llm!$E$2:$E$538,"ian",B_persona_llm!$I$2:$I$538,1)/COUNTIF(B_persona_llm!$E$2:$E$538,"ian"),"")</f>
        <v>0.6</v>
      </c>
      <c r="D36" s="6" t="n">
        <f aca="false">IFERROR(COUNTIFS(C_persona_agent!$E$2:$E$538,"ian",C_persona_agent!$I$2:$I$538,1)/COUNTIF(C_persona_agent!$E$2:$E$538,"ian"),"")</f>
        <v>0.5</v>
      </c>
      <c r="E36" s="6" t="n">
        <f aca="false">IFERROR(COUNTIFS(D_vanilla_llm!$E$2:$E$538,"ian",D_vanilla_llm!$I$2:$I$538,1)/COUNTIF(D_vanilla_llm!$E$2:$E$538,"ian"),"")</f>
        <v>0.633333333333333</v>
      </c>
      <c r="F36" s="6" t="n">
        <f aca="false">IFERROR(COUNTIFS(E_vanilla_agent!$E$2:$E$538,"ian",E_vanilla_agent!$I$2:$I$538,1)/COUNTIF(E_vanilla_agent!$E$2:$E$538,"ian"),"")</f>
        <v>0.6</v>
      </c>
    </row>
    <row r="37" customFormat="false" ht="15" hidden="false" customHeight="false" outlineLevel="0" collapsed="false">
      <c r="A37" s="8" t="s">
        <v>38</v>
      </c>
      <c r="B37" s="6" t="n">
        <f aca="false">IFERROR(COUNTIFS(A_axe!$E$2:$E$538,"lakshmi",A_axe!$I$2:$I$538,1)/COUNTIF(A_axe!$E$2:$E$538,"lakshmi"),"")</f>
        <v>0.517241379310345</v>
      </c>
      <c r="C37" s="6" t="n">
        <f aca="false">IFERROR(COUNTIFS(B_persona_llm!$E$2:$E$538,"lakshmi",B_persona_llm!$I$2:$I$538,1)/COUNTIF(B_persona_llm!$E$2:$E$538,"lakshmi"),"")</f>
        <v>0.735632183908046</v>
      </c>
      <c r="D37" s="6" t="n">
        <f aca="false">IFERROR(COUNTIFS(C_persona_agent!$E$2:$E$538,"lakshmi",C_persona_agent!$I$2:$I$538,1)/COUNTIF(C_persona_agent!$E$2:$E$538,"lakshmi"),"")</f>
        <v>0.666666666666667</v>
      </c>
      <c r="E37" s="6" t="n">
        <f aca="false">IFERROR(COUNTIFS(D_vanilla_llm!$E$2:$E$538,"lakshmi",D_vanilla_llm!$I$2:$I$538,1)/COUNTIF(D_vanilla_llm!$E$2:$E$538,"lakshmi"),"")</f>
        <v>0.632183908045977</v>
      </c>
      <c r="F37" s="6" t="n">
        <f aca="false">IFERROR(COUNTIFS(E_vanilla_agent!$E$2:$E$538,"lakshmi",E_vanilla_agent!$I$2:$I$538,1)/COUNTIF(E_vanilla_agent!$E$2:$E$538,"lakshmi"),"")</f>
        <v>0.666666666666667</v>
      </c>
    </row>
    <row r="38" customFormat="false" ht="15" hidden="false" customHeight="false" outlineLevel="0" collapsed="false">
      <c r="A38" s="8" t="s">
        <v>39</v>
      </c>
      <c r="B38" s="6" t="n">
        <f aca="false">IFERROR(COUNTIFS(A_axe!$E$2:$E$538,"sophie",A_axe!$I$2:$I$538,1)/COUNTIF(A_axe!$E$2:$E$538,"sophie"),"")</f>
        <v>0.4</v>
      </c>
      <c r="C38" s="6" t="n">
        <f aca="false">IFERROR(COUNTIFS(B_persona_llm!$E$2:$E$538,"sophie",B_persona_llm!$I$2:$I$538,1)/COUNTIF(B_persona_llm!$E$2:$E$538,"sophie"),"")</f>
        <v>0.666666666666667</v>
      </c>
      <c r="D38" s="6" t="n">
        <f aca="false">IFERROR(COUNTIFS(C_persona_agent!$E$2:$E$538,"sophie",C_persona_agent!$I$2:$I$538,1)/COUNTIF(C_persona_agent!$E$2:$E$538,"sophie"),"")</f>
        <v>0.455555555555556</v>
      </c>
      <c r="E38" s="6" t="n">
        <f aca="false">IFERROR(COUNTIFS(D_vanilla_llm!$E$2:$E$538,"sophie",D_vanilla_llm!$I$2:$I$538,1)/COUNTIF(D_vanilla_llm!$E$2:$E$538,"sophie"),"")</f>
        <v>0.711111111111111</v>
      </c>
      <c r="F38" s="6" t="n">
        <f aca="false">IFERROR(COUNTIFS(E_vanilla_agent!$E$2:$E$538,"sophie",E_vanilla_agent!$I$2:$I$538,1)/COUNTIF(E_vanilla_agent!$E$2:$E$538,"sophie"),"")</f>
        <v>0.544444444444444</v>
      </c>
    </row>
    <row r="39" customFormat="false" ht="15" hidden="false" customHeight="false" outlineLevel="0" collapsed="false">
      <c r="A39" s="8" t="s">
        <v>40</v>
      </c>
      <c r="B39" s="6" t="n">
        <f aca="false">IFERROR(COUNTIFS(A_axe!$E$2:$E$538,"stefan",A_axe!$I$2:$I$538,1)/COUNTIF(A_axe!$E$2:$E$538,"stefan"),"")</f>
        <v>0.4</v>
      </c>
      <c r="C39" s="6" t="n">
        <f aca="false">IFERROR(COUNTIFS(B_persona_llm!$E$2:$E$538,"stefan",B_persona_llm!$I$2:$I$538,1)/COUNTIF(B_persona_llm!$E$2:$E$538,"stefan"),"")</f>
        <v>0.622222222222222</v>
      </c>
      <c r="D39" s="6" t="n">
        <f aca="false">IFERROR(COUNTIFS(C_persona_agent!$E$2:$E$538,"stefan",C_persona_agent!$I$2:$I$538,1)/COUNTIF(C_persona_agent!$E$2:$E$538,"stefan"),"")</f>
        <v>0.644444444444445</v>
      </c>
      <c r="E39" s="6" t="n">
        <f aca="false">IFERROR(COUNTIFS(D_vanilla_llm!$E$2:$E$538,"stefan",D_vanilla_llm!$I$2:$I$538,1)/COUNTIF(D_vanilla_llm!$E$2:$E$538,"stefan"),"")</f>
        <v>0.566666666666667</v>
      </c>
      <c r="F39" s="6" t="n">
        <f aca="false">IFERROR(COUNTIFS(E_vanilla_agent!$E$2:$E$538,"stefan",E_vanilla_agent!$I$2:$I$538,1)/COUNTIF(E_vanilla_agent!$E$2:$E$538,"stefan"),"")</f>
        <v>0.6</v>
      </c>
    </row>
    <row r="42" customFormat="false" ht="15" hidden="false" customHeight="false" outlineLevel="0" collapsed="false">
      <c r="A42" s="3" t="s">
        <v>41</v>
      </c>
    </row>
    <row r="43" customFormat="false" ht="30.75" hidden="false" customHeight="true" outlineLevel="0" collapsed="false">
      <c r="A43" s="4" t="s">
        <v>42</v>
      </c>
      <c r="B43" s="4" t="s">
        <v>43</v>
      </c>
      <c r="C43" s="4" t="s">
        <v>13</v>
      </c>
      <c r="D43" s="4" t="s">
        <v>15</v>
      </c>
      <c r="E43" s="4" t="s">
        <v>17</v>
      </c>
      <c r="F43" s="4" t="s">
        <v>19</v>
      </c>
      <c r="G43" s="4" t="s">
        <v>21</v>
      </c>
    </row>
    <row r="44" customFormat="false" ht="15" hidden="false" customHeight="false" outlineLevel="0" collapsed="false">
      <c r="A44" s="8" t="s">
        <v>44</v>
      </c>
      <c r="B44" s="8" t="n">
        <f aca="false">COUNTIF(A_axe!$F$2:$F$538,"1.1.1")</f>
        <v>18</v>
      </c>
      <c r="C44" s="6" t="n">
        <f aca="false">IFERROR(COUNTIFS(A_axe!$F$2:$F$538,"1.1.1",A_axe!$I$2:$I$538,1)/COUNTIF(A_axe!$F$2:$F$538,"1.1.1"),"")</f>
        <v>0.666666666666667</v>
      </c>
      <c r="D44" s="6" t="n">
        <f aca="false">IFERROR(COUNTIFS(B_persona_llm!$F$2:$F$538,"1.1.1",B_persona_llm!$I$2:$I$538,1)/COUNTIF(B_persona_llm!$F$2:$F$538,"1.1.1"),"")</f>
        <v>0.833333333333333</v>
      </c>
      <c r="E44" s="6" t="n">
        <f aca="false">IFERROR(COUNTIFS(C_persona_agent!$F$2:$F$538,"1.1.1",C_persona_agent!$I$2:$I$538,1)/COUNTIF(C_persona_agent!$F$2:$F$538,"1.1.1"),"")</f>
        <v>0.666666666666667</v>
      </c>
      <c r="F44" s="6" t="n">
        <f aca="false">IFERROR(COUNTIFS(D_vanilla_llm!$F$2:$F$538,"1.1.1",D_vanilla_llm!$I$2:$I$538,1)/COUNTIF(D_vanilla_llm!$F$2:$F$538,"1.1.1"),"")</f>
        <v>0.833333333333333</v>
      </c>
      <c r="G44" s="6" t="n">
        <f aca="false">IFERROR(COUNTIFS(E_vanilla_agent!$F$2:$F$538,"1.1.1",E_vanilla_agent!$I$2:$I$538,1)/COUNTIF(E_vanilla_agent!$F$2:$F$538,"1.1.1"),"")</f>
        <v>0.722222222222222</v>
      </c>
    </row>
    <row r="45" customFormat="false" ht="15" hidden="false" customHeight="false" outlineLevel="0" collapsed="false">
      <c r="A45" s="8" t="s">
        <v>45</v>
      </c>
      <c r="B45" s="8" t="n">
        <f aca="false">COUNTIF(A_axe!$F$2:$F$538,"1.3.1")</f>
        <v>36</v>
      </c>
      <c r="C45" s="6" t="n">
        <f aca="false">IFERROR(COUNTIFS(A_axe!$F$2:$F$538,"1.3.1",A_axe!$I$2:$I$538,1)/COUNTIF(A_axe!$F$2:$F$538,"1.3.1"),"")</f>
        <v>0.666666666666667</v>
      </c>
      <c r="D45" s="6" t="n">
        <f aca="false">IFERROR(COUNTIFS(B_persona_llm!$F$2:$F$538,"1.3.1",B_persona_llm!$I$2:$I$538,1)/COUNTIF(B_persona_llm!$F$2:$F$538,"1.3.1"),"")</f>
        <v>0.833333333333333</v>
      </c>
      <c r="E45" s="6" t="n">
        <f aca="false">IFERROR(COUNTIFS(C_persona_agent!$F$2:$F$538,"1.3.1",C_persona_agent!$I$2:$I$538,1)/COUNTIF(C_persona_agent!$F$2:$F$538,"1.3.1"),"")</f>
        <v>0.75</v>
      </c>
      <c r="F45" s="6" t="n">
        <f aca="false">IFERROR(COUNTIFS(D_vanilla_llm!$F$2:$F$538,"1.3.1",D_vanilla_llm!$I$2:$I$538,1)/COUNTIF(D_vanilla_llm!$F$2:$F$538,"1.3.1"),"")</f>
        <v>0.694444444444444</v>
      </c>
      <c r="G45" s="6" t="n">
        <f aca="false">IFERROR(COUNTIFS(E_vanilla_agent!$F$2:$F$538,"1.3.1",E_vanilla_agent!$I$2:$I$538,1)/COUNTIF(E_vanilla_agent!$F$2:$F$538,"1.3.1"),"")</f>
        <v>0.972222222222222</v>
      </c>
    </row>
    <row r="46" customFormat="false" ht="15" hidden="false" customHeight="false" outlineLevel="0" collapsed="false">
      <c r="A46" s="8" t="s">
        <v>46</v>
      </c>
      <c r="B46" s="8" t="n">
        <f aca="false">COUNTIF(A_axe!$F$2:$F$538,"1.3.5")</f>
        <v>18</v>
      </c>
      <c r="C46" s="6" t="n">
        <f aca="false">IFERROR(COUNTIFS(A_axe!$F$2:$F$538,"1.3.5",A_axe!$I$2:$I$538,1)/COUNTIF(A_axe!$F$2:$F$538,"1.3.5"),"")</f>
        <v>0.666666666666667</v>
      </c>
      <c r="D46" s="6" t="n">
        <f aca="false">IFERROR(COUNTIFS(B_persona_llm!$F$2:$F$538,"1.3.5",B_persona_llm!$I$2:$I$538,1)/COUNTIF(B_persona_llm!$F$2:$F$538,"1.3.5"),"")</f>
        <v>1</v>
      </c>
      <c r="E46" s="6" t="n">
        <f aca="false">IFERROR(COUNTIFS(C_persona_agent!$F$2:$F$538,"1.3.5",C_persona_agent!$I$2:$I$538,1)/COUNTIF(C_persona_agent!$F$2:$F$538,"1.3.5"),"")</f>
        <v>0.388888888888889</v>
      </c>
      <c r="F46" s="6" t="n">
        <f aca="false">IFERROR(COUNTIFS(D_vanilla_llm!$F$2:$F$538,"1.3.5",D_vanilla_llm!$I$2:$I$538,1)/COUNTIF(D_vanilla_llm!$F$2:$F$538,"1.3.5"),"")</f>
        <v>0.833333333333333</v>
      </c>
      <c r="G46" s="6" t="n">
        <f aca="false">IFERROR(COUNTIFS(E_vanilla_agent!$F$2:$F$538,"1.3.5",E_vanilla_agent!$I$2:$I$538,1)/COUNTIF(E_vanilla_agent!$F$2:$F$538,"1.3.5"),"")</f>
        <v>0.333333333333333</v>
      </c>
    </row>
    <row r="47" customFormat="false" ht="15" hidden="false" customHeight="false" outlineLevel="0" collapsed="false">
      <c r="A47" s="8" t="s">
        <v>47</v>
      </c>
      <c r="B47" s="8" t="n">
        <f aca="false">COUNTIF(A_axe!$F$2:$F$538,"1.4.3")</f>
        <v>18</v>
      </c>
      <c r="C47" s="6" t="n">
        <f aca="false">IFERROR(COUNTIFS(A_axe!$F$2:$F$538,"1.4.3",A_axe!$I$2:$I$538,1)/COUNTIF(A_axe!$F$2:$F$538,"1.4.3"),"")</f>
        <v>0.333333333333333</v>
      </c>
      <c r="D47" s="6" t="n">
        <f aca="false">IFERROR(COUNTIFS(B_persona_llm!$F$2:$F$538,"1.4.3",B_persona_llm!$I$2:$I$538,1)/COUNTIF(B_persona_llm!$F$2:$F$538,"1.4.3"),"")</f>
        <v>0.833333333333333</v>
      </c>
      <c r="E47" s="6" t="n">
        <f aca="false">IFERROR(COUNTIFS(C_persona_agent!$F$2:$F$538,"1.4.3",C_persona_agent!$I$2:$I$538,1)/COUNTIF(C_persona_agent!$F$2:$F$538,"1.4.3"),"")</f>
        <v>0.444444444444444</v>
      </c>
      <c r="F47" s="6" t="n">
        <f aca="false">IFERROR(COUNTIFS(D_vanilla_llm!$F$2:$F$538,"1.4.3",D_vanilla_llm!$I$2:$I$538,1)/COUNTIF(D_vanilla_llm!$F$2:$F$538,"1.4.3"),"")</f>
        <v>0.833333333333333</v>
      </c>
      <c r="G47" s="6" t="n">
        <f aca="false">IFERROR(COUNTIFS(E_vanilla_agent!$F$2:$F$538,"1.4.3",E_vanilla_agent!$I$2:$I$538,1)/COUNTIF(E_vanilla_agent!$F$2:$F$538,"1.4.3"),"")</f>
        <v>0.333333333333333</v>
      </c>
    </row>
    <row r="48" customFormat="false" ht="15" hidden="false" customHeight="false" outlineLevel="0" collapsed="false">
      <c r="A48" s="8" t="s">
        <v>48</v>
      </c>
      <c r="B48" s="8" t="n">
        <f aca="false">COUNTIF(A_axe!$F$2:$F$538,"1.4.12")</f>
        <v>36</v>
      </c>
      <c r="C48" s="6" t="n">
        <f aca="false">IFERROR(COUNTIFS(A_axe!$F$2:$F$538,"1.4.12",A_axe!$I$2:$I$538,1)/COUNTIF(A_axe!$F$2:$F$538,"1.4.12"),"")</f>
        <v>0.5</v>
      </c>
      <c r="D48" s="6" t="n">
        <f aca="false">IFERROR(COUNTIFS(B_persona_llm!$F$2:$F$538,"1.4.12",B_persona_llm!$I$2:$I$538,1)/COUNTIF(B_persona_llm!$F$2:$F$538,"1.4.12"),"")</f>
        <v>0.833333333333333</v>
      </c>
      <c r="E48" s="6" t="n">
        <f aca="false">IFERROR(COUNTIFS(C_persona_agent!$F$2:$F$538,"1.4.12",C_persona_agent!$I$2:$I$538,1)/COUNTIF(C_persona_agent!$F$2:$F$538,"1.4.12"),"")</f>
        <v>0.555555555555556</v>
      </c>
      <c r="F48" s="6" t="n">
        <f aca="false">IFERROR(COUNTIFS(D_vanilla_llm!$F$2:$F$538,"1.4.12",D_vanilla_llm!$I$2:$I$538,1)/COUNTIF(D_vanilla_llm!$F$2:$F$538,"1.4.12"),"")</f>
        <v>0.722222222222222</v>
      </c>
      <c r="G48" s="6" t="n">
        <f aca="false">IFERROR(COUNTIFS(E_vanilla_agent!$F$2:$F$538,"1.4.12",E_vanilla_agent!$I$2:$I$538,1)/COUNTIF(E_vanilla_agent!$F$2:$F$538,"1.4.12"),"")</f>
        <v>0.666666666666667</v>
      </c>
    </row>
    <row r="49" customFormat="false" ht="15" hidden="false" customHeight="false" outlineLevel="0" collapsed="false">
      <c r="A49" s="8" t="s">
        <v>49</v>
      </c>
      <c r="B49" s="8" t="n">
        <f aca="false">COUNTIF(A_axe!$F$2:$F$538,"2.1.1")</f>
        <v>36</v>
      </c>
      <c r="C49" s="6" t="n">
        <f aca="false">IFERROR(COUNTIFS(A_axe!$F$2:$F$538,"2.1.1",A_axe!$I$2:$I$538,1)/COUNTIF(A_axe!$F$2:$F$538,"2.1.1"),"")</f>
        <v>0.416666666666667</v>
      </c>
      <c r="D49" s="6" t="n">
        <f aca="false">IFERROR(COUNTIFS(B_persona_llm!$F$2:$F$538,"2.1.1",B_persona_llm!$I$2:$I$538,1)/COUNTIF(B_persona_llm!$F$2:$F$538,"2.1.1"),"")</f>
        <v>0.972222222222222</v>
      </c>
      <c r="E49" s="6" t="n">
        <f aca="false">IFERROR(COUNTIFS(C_persona_agent!$F$2:$F$538,"2.1.1",C_persona_agent!$I$2:$I$538,1)/COUNTIF(C_persona_agent!$F$2:$F$538,"2.1.1"),"")</f>
        <v>0.777777777777778</v>
      </c>
      <c r="F49" s="6" t="n">
        <f aca="false">IFERROR(COUNTIFS(D_vanilla_llm!$F$2:$F$538,"2.1.1",D_vanilla_llm!$I$2:$I$538,1)/COUNTIF(D_vanilla_llm!$F$2:$F$538,"2.1.1"),"")</f>
        <v>0.777777777777778</v>
      </c>
      <c r="G49" s="6" t="n">
        <f aca="false">IFERROR(COUNTIFS(E_vanilla_agent!$F$2:$F$538,"2.1.1",E_vanilla_agent!$I$2:$I$538,1)/COUNTIF(E_vanilla_agent!$F$2:$F$538,"2.1.1"),"")</f>
        <v>0.833333333333333</v>
      </c>
    </row>
    <row r="50" customFormat="false" ht="15" hidden="false" customHeight="false" outlineLevel="0" collapsed="false">
      <c r="A50" s="8" t="s">
        <v>50</v>
      </c>
      <c r="B50" s="8" t="n">
        <f aca="false">COUNTIF(A_axe!$F$2:$F$538,"2.2.1")</f>
        <v>36</v>
      </c>
      <c r="C50" s="6" t="n">
        <f aca="false">IFERROR(COUNTIFS(A_axe!$F$2:$F$538,"2.2.1",A_axe!$I$2:$I$538,1)/COUNTIF(A_axe!$F$2:$F$538,"2.2.1"),"")</f>
        <v>0.666666666666667</v>
      </c>
      <c r="D50" s="6" t="n">
        <f aca="false">IFERROR(COUNTIFS(B_persona_llm!$F$2:$F$538,"2.2.1",B_persona_llm!$I$2:$I$538,1)/COUNTIF(B_persona_llm!$F$2:$F$538,"2.2.1"),"")</f>
        <v>0.5</v>
      </c>
      <c r="E50" s="6" t="n">
        <f aca="false">IFERROR(COUNTIFS(C_persona_agent!$F$2:$F$538,"2.2.1",C_persona_agent!$I$2:$I$538,1)/COUNTIF(C_persona_agent!$F$2:$F$538,"2.2.1"),"")</f>
        <v>0.388888888888889</v>
      </c>
      <c r="F50" s="6" t="n">
        <f aca="false">IFERROR(COUNTIFS(D_vanilla_llm!$F$2:$F$538,"2.2.1",D_vanilla_llm!$I$2:$I$538,1)/COUNTIF(D_vanilla_llm!$F$2:$F$538,"2.2.1"),"")</f>
        <v>0.583333333333333</v>
      </c>
      <c r="G50" s="6" t="n">
        <f aca="false">IFERROR(COUNTIFS(E_vanilla_agent!$F$2:$F$538,"2.2.1",E_vanilla_agent!$I$2:$I$538,1)/COUNTIF(E_vanilla_agent!$F$2:$F$538,"2.2.1"),"")</f>
        <v>0.333333333333333</v>
      </c>
    </row>
    <row r="51" customFormat="false" ht="15" hidden="false" customHeight="false" outlineLevel="0" collapsed="false">
      <c r="A51" s="8" t="s">
        <v>51</v>
      </c>
      <c r="B51" s="8" t="n">
        <f aca="false">COUNTIF(A_axe!$F$2:$F$538,"2.2.2")</f>
        <v>54</v>
      </c>
      <c r="C51" s="6" t="n">
        <f aca="false">IFERROR(COUNTIFS(A_axe!$F$2:$F$538,"2.2.2",A_axe!$I$2:$I$538,1)/COUNTIF(A_axe!$F$2:$F$538,"2.2.2"),"")</f>
        <v>0.5</v>
      </c>
      <c r="D51" s="6" t="n">
        <f aca="false">IFERROR(COUNTIFS(B_persona_llm!$F$2:$F$538,"2.2.2",B_persona_llm!$I$2:$I$538,1)/COUNTIF(B_persona_llm!$F$2:$F$538,"2.2.2"),"")</f>
        <v>0.740740740740741</v>
      </c>
      <c r="E51" s="6" t="n">
        <f aca="false">IFERROR(COUNTIFS(C_persona_agent!$F$2:$F$538,"2.2.2",C_persona_agent!$I$2:$I$538,1)/COUNTIF(C_persona_agent!$F$2:$F$538,"2.2.2"),"")</f>
        <v>0.611111111111111</v>
      </c>
      <c r="F51" s="6" t="n">
        <f aca="false">IFERROR(COUNTIFS(D_vanilla_llm!$F$2:$F$538,"2.2.2",D_vanilla_llm!$I$2:$I$538,1)/COUNTIF(D_vanilla_llm!$F$2:$F$538,"2.2.2"),"")</f>
        <v>0.777777777777778</v>
      </c>
      <c r="G51" s="6" t="n">
        <f aca="false">IFERROR(COUNTIFS(E_vanilla_agent!$F$2:$F$538,"2.2.2",E_vanilla_agent!$I$2:$I$538,1)/COUNTIF(E_vanilla_agent!$F$2:$F$538,"2.2.2"),"")</f>
        <v>0.518518518518519</v>
      </c>
    </row>
    <row r="52" customFormat="false" ht="15" hidden="false" customHeight="false" outlineLevel="0" collapsed="false">
      <c r="A52" s="8" t="s">
        <v>52</v>
      </c>
      <c r="B52" s="8" t="n">
        <f aca="false">COUNTIF(A_axe!$F$2:$F$538,"2.4.1")</f>
        <v>18</v>
      </c>
      <c r="C52" s="6" t="n">
        <f aca="false">IFERROR(COUNTIFS(A_axe!$F$2:$F$538,"2.4.1",A_axe!$I$2:$I$538,1)/COUNTIF(A_axe!$F$2:$F$538,"2.4.1"),"")</f>
        <v>0.333333333333333</v>
      </c>
      <c r="D52" s="6" t="n">
        <f aca="false">IFERROR(COUNTIFS(B_persona_llm!$F$2:$F$538,"2.4.1",B_persona_llm!$I$2:$I$538,1)/COUNTIF(B_persona_llm!$F$2:$F$538,"2.4.1"),"")</f>
        <v>0.5</v>
      </c>
      <c r="E52" s="6" t="n">
        <f aca="false">IFERROR(COUNTIFS(C_persona_agent!$F$2:$F$538,"2.4.1",C_persona_agent!$I$2:$I$538,1)/COUNTIF(C_persona_agent!$F$2:$F$538,"2.4.1"),"")</f>
        <v>0.5</v>
      </c>
      <c r="F52" s="6" t="n">
        <f aca="false">IFERROR(COUNTIFS(D_vanilla_llm!$F$2:$F$538,"2.4.1",D_vanilla_llm!$I$2:$I$538,1)/COUNTIF(D_vanilla_llm!$F$2:$F$538,"2.4.1"),"")</f>
        <v>0.444444444444444</v>
      </c>
      <c r="G52" s="6" t="n">
        <f aca="false">IFERROR(COUNTIFS(E_vanilla_agent!$F$2:$F$538,"2.4.1",E_vanilla_agent!$I$2:$I$538,1)/COUNTIF(E_vanilla_agent!$F$2:$F$538,"2.4.1"),"")</f>
        <v>0.333333333333333</v>
      </c>
    </row>
    <row r="53" customFormat="false" ht="15" hidden="false" customHeight="false" outlineLevel="0" collapsed="false">
      <c r="A53" s="8" t="s">
        <v>53</v>
      </c>
      <c r="B53" s="8" t="n">
        <f aca="false">COUNTIF(A_axe!$F$2:$F$538,"2.4.3")</f>
        <v>18</v>
      </c>
      <c r="C53" s="6" t="n">
        <f aca="false">IFERROR(COUNTIFS(A_axe!$F$2:$F$538,"2.4.3",A_axe!$I$2:$I$538,1)/COUNTIF(A_axe!$F$2:$F$538,"2.4.3"),"")</f>
        <v>0.333333333333333</v>
      </c>
      <c r="D53" s="6" t="n">
        <f aca="false">IFERROR(COUNTIFS(B_persona_llm!$F$2:$F$538,"2.4.3",B_persona_llm!$I$2:$I$538,1)/COUNTIF(B_persona_llm!$F$2:$F$538,"2.4.3"),"")</f>
        <v>0.666666666666667</v>
      </c>
      <c r="E53" s="6" t="n">
        <f aca="false">IFERROR(COUNTIFS(C_persona_agent!$F$2:$F$538,"2.4.3",C_persona_agent!$I$2:$I$538,1)/COUNTIF(C_persona_agent!$F$2:$F$538,"2.4.3"),"")</f>
        <v>0.5</v>
      </c>
      <c r="F53" s="6" t="n">
        <f aca="false">IFERROR(COUNTIFS(D_vanilla_llm!$F$2:$F$538,"2.4.3",D_vanilla_llm!$I$2:$I$538,1)/COUNTIF(D_vanilla_llm!$F$2:$F$538,"2.4.3"),"")</f>
        <v>0.833333333333333</v>
      </c>
      <c r="G53" s="6" t="n">
        <f aca="false">IFERROR(COUNTIFS(E_vanilla_agent!$F$2:$F$538,"2.4.3",E_vanilla_agent!$I$2:$I$538,1)/COUNTIF(E_vanilla_agent!$F$2:$F$538,"2.4.3"),"")</f>
        <v>0.5</v>
      </c>
    </row>
    <row r="54" customFormat="false" ht="15" hidden="false" customHeight="false" outlineLevel="0" collapsed="false">
      <c r="A54" s="8" t="s">
        <v>54</v>
      </c>
      <c r="B54" s="8" t="n">
        <f aca="false">COUNTIF(A_axe!$F$2:$F$538,"2.4.5")</f>
        <v>18</v>
      </c>
      <c r="C54" s="6" t="n">
        <f aca="false">IFERROR(COUNTIFS(A_axe!$F$2:$F$538,"2.4.5",A_axe!$I$2:$I$538,1)/COUNTIF(A_axe!$F$2:$F$538,"2.4.5"),"")</f>
        <v>0.333333333333333</v>
      </c>
      <c r="D54" s="6" t="n">
        <f aca="false">IFERROR(COUNTIFS(B_persona_llm!$F$2:$F$538,"2.4.5",B_persona_llm!$I$2:$I$538,1)/COUNTIF(B_persona_llm!$F$2:$F$538,"2.4.5"),"")</f>
        <v>0.666666666666667</v>
      </c>
      <c r="E54" s="6" t="n">
        <f aca="false">IFERROR(COUNTIFS(C_persona_agent!$F$2:$F$538,"2.4.5",C_persona_agent!$I$2:$I$538,1)/COUNTIF(C_persona_agent!$F$2:$F$538,"2.4.5"),"")</f>
        <v>0.5</v>
      </c>
      <c r="F54" s="6" t="n">
        <f aca="false">IFERROR(COUNTIFS(D_vanilla_llm!$F$2:$F$538,"2.4.5",D_vanilla_llm!$I$2:$I$538,1)/COUNTIF(D_vanilla_llm!$F$2:$F$538,"2.4.5"),"")</f>
        <v>0.666666666666667</v>
      </c>
      <c r="G54" s="6" t="n">
        <f aca="false">IFERROR(COUNTIFS(E_vanilla_agent!$F$2:$F$538,"2.4.5",E_vanilla_agent!$I$2:$I$538,1)/COUNTIF(E_vanilla_agent!$F$2:$F$538,"2.4.5"),"")</f>
        <v>0.666666666666667</v>
      </c>
    </row>
    <row r="55" customFormat="false" ht="15" hidden="false" customHeight="false" outlineLevel="0" collapsed="false">
      <c r="A55" s="8" t="s">
        <v>55</v>
      </c>
      <c r="B55" s="8" t="n">
        <f aca="false">COUNTIF(A_axe!$F$2:$F$538,"2.4.6")</f>
        <v>36</v>
      </c>
      <c r="C55" s="6" t="n">
        <f aca="false">IFERROR(COUNTIFS(A_axe!$F$2:$F$538,"2.4.6",A_axe!$I$2:$I$538,1)/COUNTIF(A_axe!$F$2:$F$538,"2.4.6"),"")</f>
        <v>0.333333333333333</v>
      </c>
      <c r="D55" s="6" t="n">
        <f aca="false">IFERROR(COUNTIFS(B_persona_llm!$F$2:$F$538,"2.4.6",B_persona_llm!$I$2:$I$538,1)/COUNTIF(B_persona_llm!$F$2:$F$538,"2.4.6"),"")</f>
        <v>0.5</v>
      </c>
      <c r="E55" s="6" t="n">
        <f aca="false">IFERROR(COUNTIFS(C_persona_agent!$F$2:$F$538,"2.4.6",C_persona_agent!$I$2:$I$538,1)/COUNTIF(C_persona_agent!$F$2:$F$538,"2.4.6"),"")</f>
        <v>0.333333333333333</v>
      </c>
      <c r="F55" s="6" t="n">
        <f aca="false">IFERROR(COUNTIFS(D_vanilla_llm!$F$2:$F$538,"2.4.6",D_vanilla_llm!$I$2:$I$538,1)/COUNTIF(D_vanilla_llm!$F$2:$F$538,"2.4.6"),"")</f>
        <v>0.416666666666667</v>
      </c>
      <c r="G55" s="6" t="n">
        <f aca="false">IFERROR(COUNTIFS(E_vanilla_agent!$F$2:$F$538,"2.4.6",E_vanilla_agent!$I$2:$I$538,1)/COUNTIF(E_vanilla_agent!$F$2:$F$538,"2.4.6"),"")</f>
        <v>0.333333333333333</v>
      </c>
    </row>
    <row r="56" customFormat="false" ht="15" hidden="false" customHeight="false" outlineLevel="0" collapsed="false">
      <c r="A56" s="8" t="s">
        <v>56</v>
      </c>
      <c r="B56" s="8" t="n">
        <f aca="false">COUNTIF(A_axe!$F$2:$F$538,"2.4.7")</f>
        <v>18</v>
      </c>
      <c r="C56" s="6" t="n">
        <f aca="false">IFERROR(COUNTIFS(A_axe!$F$2:$F$538,"2.4.7",A_axe!$I$2:$I$538,1)/COUNTIF(A_axe!$F$2:$F$538,"2.4.7"),"")</f>
        <v>0.333333333333333</v>
      </c>
      <c r="D56" s="6" t="n">
        <f aca="false">IFERROR(COUNTIFS(B_persona_llm!$F$2:$F$538,"2.4.7",B_persona_llm!$I$2:$I$538,1)/COUNTIF(B_persona_llm!$F$2:$F$538,"2.4.7"),"")</f>
        <v>0.833333333333333</v>
      </c>
      <c r="E56" s="6" t="n">
        <f aca="false">IFERROR(COUNTIFS(C_persona_agent!$F$2:$F$538,"2.4.7",C_persona_agent!$I$2:$I$538,1)/COUNTIF(C_persona_agent!$F$2:$F$538,"2.4.7"),"")</f>
        <v>0.5</v>
      </c>
      <c r="F56" s="6" t="n">
        <f aca="false">IFERROR(COUNTIFS(D_vanilla_llm!$F$2:$F$538,"2.4.7",D_vanilla_llm!$I$2:$I$538,1)/COUNTIF(D_vanilla_llm!$F$2:$F$538,"2.4.7"),"")</f>
        <v>0.722222222222222</v>
      </c>
      <c r="G56" s="6" t="n">
        <f aca="false">IFERROR(COUNTIFS(E_vanilla_agent!$F$2:$F$538,"2.4.7",E_vanilla_agent!$I$2:$I$538,1)/COUNTIF(E_vanilla_agent!$F$2:$F$538,"2.4.7"),"")</f>
        <v>0.666666666666667</v>
      </c>
    </row>
    <row r="57" customFormat="false" ht="15" hidden="false" customHeight="false" outlineLevel="0" collapsed="false">
      <c r="A57" s="8" t="s">
        <v>57</v>
      </c>
      <c r="B57" s="8" t="n">
        <f aca="false">COUNTIF(A_axe!$F$2:$F$538,"2.4.8")</f>
        <v>36</v>
      </c>
      <c r="C57" s="6" t="n">
        <f aca="false">IFERROR(COUNTIFS(A_axe!$F$2:$F$538,"2.4.8",A_axe!$I$2:$I$538,1)/COUNTIF(A_axe!$F$2:$F$538,"2.4.8"),"")</f>
        <v>0.333333333333333</v>
      </c>
      <c r="D57" s="6" t="n">
        <f aca="false">IFERROR(COUNTIFS(B_persona_llm!$F$2:$F$538,"2.4.8",B_persona_llm!$I$2:$I$538,1)/COUNTIF(B_persona_llm!$F$2:$F$538,"2.4.8"),"")</f>
        <v>0.555555555555556</v>
      </c>
      <c r="E57" s="6" t="n">
        <f aca="false">IFERROR(COUNTIFS(C_persona_agent!$F$2:$F$538,"2.4.8",C_persona_agent!$I$2:$I$538,1)/COUNTIF(C_persona_agent!$F$2:$F$538,"2.4.8"),"")</f>
        <v>0.333333333333333</v>
      </c>
      <c r="F57" s="6" t="n">
        <f aca="false">IFERROR(COUNTIFS(D_vanilla_llm!$F$2:$F$538,"2.4.8",D_vanilla_llm!$I$2:$I$538,1)/COUNTIF(D_vanilla_llm!$F$2:$F$538,"2.4.8"),"")</f>
        <v>0.638888888888889</v>
      </c>
      <c r="G57" s="6" t="n">
        <f aca="false">IFERROR(COUNTIFS(E_vanilla_agent!$F$2:$F$538,"2.4.8",E_vanilla_agent!$I$2:$I$538,1)/COUNTIF(E_vanilla_agent!$F$2:$F$538,"2.4.8"),"")</f>
        <v>0.388888888888889</v>
      </c>
    </row>
    <row r="58" customFormat="false" ht="15" hidden="false" customHeight="false" outlineLevel="0" collapsed="false">
      <c r="A58" s="8" t="s">
        <v>58</v>
      </c>
      <c r="B58" s="8" t="n">
        <f aca="false">COUNTIF(A_axe!$F$2:$F$538,"2.5.5")</f>
        <v>18</v>
      </c>
      <c r="C58" s="6" t="n">
        <f aca="false">IFERROR(COUNTIFS(A_axe!$F$2:$F$538,"2.5.5",A_axe!$I$2:$I$538,1)/COUNTIF(A_axe!$F$2:$F$538,"2.5.5"),"")</f>
        <v>0.333333333333333</v>
      </c>
      <c r="D58" s="6" t="n">
        <f aca="false">IFERROR(COUNTIFS(B_persona_llm!$F$2:$F$538,"2.5.5",B_persona_llm!$I$2:$I$538,1)/COUNTIF(B_persona_llm!$F$2:$F$538,"2.5.5"),"")</f>
        <v>1</v>
      </c>
      <c r="E58" s="6" t="n">
        <f aca="false">IFERROR(COUNTIFS(C_persona_agent!$F$2:$F$538,"2.5.5",C_persona_agent!$I$2:$I$538,1)/COUNTIF(C_persona_agent!$F$2:$F$538,"2.5.5"),"")</f>
        <v>0.555555555555556</v>
      </c>
      <c r="F58" s="6" t="n">
        <f aca="false">IFERROR(COUNTIFS(D_vanilla_llm!$F$2:$F$538,"2.5.5",D_vanilla_llm!$I$2:$I$538,1)/COUNTIF(D_vanilla_llm!$F$2:$F$538,"2.5.5"),"")</f>
        <v>0.833333333333333</v>
      </c>
      <c r="G58" s="6" t="n">
        <f aca="false">IFERROR(COUNTIFS(E_vanilla_agent!$F$2:$F$538,"2.5.5",E_vanilla_agent!$I$2:$I$538,1)/COUNTIF(E_vanilla_agent!$F$2:$F$538,"2.5.5"),"")</f>
        <v>0.833333333333333</v>
      </c>
    </row>
    <row r="59" customFormat="false" ht="15" hidden="false" customHeight="false" outlineLevel="0" collapsed="false">
      <c r="A59" s="8" t="s">
        <v>59</v>
      </c>
      <c r="B59" s="8" t="n">
        <f aca="false">COUNTIF(A_axe!$F$2:$F$538,"3.1.4")</f>
        <v>54</v>
      </c>
      <c r="C59" s="6" t="n">
        <f aca="false">IFERROR(COUNTIFS(A_axe!$F$2:$F$538,"3.1.4",A_axe!$I$2:$I$538,1)/COUNTIF(A_axe!$F$2:$F$538,"3.1.4"),"")</f>
        <v>0.333333333333333</v>
      </c>
      <c r="D59" s="6" t="n">
        <f aca="false">IFERROR(COUNTIFS(B_persona_llm!$F$2:$F$538,"3.1.4",B_persona_llm!$I$2:$I$538,1)/COUNTIF(B_persona_llm!$F$2:$F$538,"3.1.4"),"")</f>
        <v>0.62962962962963</v>
      </c>
      <c r="E59" s="6" t="n">
        <f aca="false">IFERROR(COUNTIFS(C_persona_agent!$F$2:$F$538,"3.1.4",C_persona_agent!$I$2:$I$538,1)/COUNTIF(C_persona_agent!$F$2:$F$538,"3.1.4"),"")</f>
        <v>0.611111111111111</v>
      </c>
      <c r="F59" s="6" t="n">
        <f aca="false">IFERROR(COUNTIFS(D_vanilla_llm!$F$2:$F$538,"3.1.4",D_vanilla_llm!$I$2:$I$538,1)/COUNTIF(D_vanilla_llm!$F$2:$F$538,"3.1.4"),"")</f>
        <v>0.611111111111111</v>
      </c>
      <c r="G59" s="6" t="n">
        <f aca="false">IFERROR(COUNTIFS(E_vanilla_agent!$F$2:$F$538,"3.1.4",E_vanilla_agent!$I$2:$I$538,1)/COUNTIF(E_vanilla_agent!$F$2:$F$538,"3.1.4"),"")</f>
        <v>0.574074074074074</v>
      </c>
    </row>
    <row r="60" customFormat="false" ht="15" hidden="false" customHeight="false" outlineLevel="0" collapsed="false">
      <c r="A60" s="8" t="s">
        <v>60</v>
      </c>
      <c r="B60" s="8" t="n">
        <f aca="false">COUNTIF(A_axe!$F$2:$F$538,"3.1.5")</f>
        <v>18</v>
      </c>
      <c r="C60" s="6" t="n">
        <f aca="false">IFERROR(COUNTIFS(A_axe!$F$2:$F$538,"3.1.5",A_axe!$I$2:$I$538,1)/COUNTIF(A_axe!$F$2:$F$538,"3.1.5"),"")</f>
        <v>0.333333333333333</v>
      </c>
      <c r="D60" s="6" t="n">
        <f aca="false">IFERROR(COUNTIFS(B_persona_llm!$F$2:$F$538,"3.1.5",B_persona_llm!$I$2:$I$538,1)/COUNTIF(B_persona_llm!$F$2:$F$538,"3.1.5"),"")</f>
        <v>0.5</v>
      </c>
      <c r="E60" s="6" t="n">
        <f aca="false">IFERROR(COUNTIFS(C_persona_agent!$F$2:$F$538,"3.1.5",C_persona_agent!$I$2:$I$538,1)/COUNTIF(C_persona_agent!$F$2:$F$538,"3.1.5"),"")</f>
        <v>0.5</v>
      </c>
      <c r="F60" s="6" t="n">
        <f aca="false">IFERROR(COUNTIFS(D_vanilla_llm!$F$2:$F$538,"3.1.5",D_vanilla_llm!$I$2:$I$538,1)/COUNTIF(D_vanilla_llm!$F$2:$F$538,"3.1.5"),"")</f>
        <v>0.666666666666667</v>
      </c>
      <c r="G60" s="6" t="n">
        <f aca="false">IFERROR(COUNTIFS(E_vanilla_agent!$F$2:$F$538,"3.1.5",E_vanilla_agent!$I$2:$I$538,1)/COUNTIF(E_vanilla_agent!$F$2:$F$538,"3.1.5"),"")</f>
        <v>0.5</v>
      </c>
    </row>
    <row r="61" customFormat="false" ht="15" hidden="false" customHeight="false" outlineLevel="0" collapsed="false">
      <c r="A61" s="8" t="s">
        <v>61</v>
      </c>
      <c r="B61" s="8" t="n">
        <f aca="false">COUNTIF(A_axe!$F$2:$F$538,"3.3.1")</f>
        <v>18</v>
      </c>
      <c r="C61" s="6" t="n">
        <f aca="false">IFERROR(COUNTIFS(A_axe!$F$2:$F$538,"3.3.1",A_axe!$I$2:$I$538,1)/COUNTIF(A_axe!$F$2:$F$538,"3.3.1"),"")</f>
        <v>0.333333333333333</v>
      </c>
      <c r="D61" s="6" t="n">
        <f aca="false">IFERROR(COUNTIFS(B_persona_llm!$F$2:$F$538,"3.3.1",B_persona_llm!$I$2:$I$538,1)/COUNTIF(B_persona_llm!$F$2:$F$538,"3.3.1"),"")</f>
        <v>0.833333333333333</v>
      </c>
      <c r="E61" s="6" t="n">
        <f aca="false">IFERROR(COUNTIFS(C_persona_agent!$F$2:$F$538,"3.3.1",C_persona_agent!$I$2:$I$538,1)/COUNTIF(C_persona_agent!$F$2:$F$538,"3.3.1"),"")</f>
        <v>0.333333333333333</v>
      </c>
      <c r="F61" s="6" t="n">
        <f aca="false">IFERROR(COUNTIFS(D_vanilla_llm!$F$2:$F$538,"3.3.1",D_vanilla_llm!$I$2:$I$538,1)/COUNTIF(D_vanilla_llm!$F$2:$F$538,"3.3.1"),"")</f>
        <v>1</v>
      </c>
      <c r="G61" s="6" t="n">
        <f aca="false">IFERROR(COUNTIFS(E_vanilla_agent!$F$2:$F$538,"3.3.1",E_vanilla_agent!$I$2:$I$538,1)/COUNTIF(E_vanilla_agent!$F$2:$F$538,"3.3.1"),"")</f>
        <v>0.555555555555556</v>
      </c>
    </row>
    <row r="62" customFormat="false" ht="15" hidden="false" customHeight="false" outlineLevel="0" collapsed="false">
      <c r="A62" s="8" t="s">
        <v>62</v>
      </c>
      <c r="B62" s="8" t="n">
        <f aca="false">COUNTIF(A_axe!$F$2:$F$538,"3.3.2")</f>
        <v>18</v>
      </c>
      <c r="C62" s="6" t="n">
        <f aca="false">IFERROR(COUNTIFS(A_axe!$F$2:$F$538,"3.3.2",A_axe!$I$2:$I$538,1)/COUNTIF(A_axe!$F$2:$F$538,"3.3.2"),"")</f>
        <v>0.333333333333333</v>
      </c>
      <c r="D62" s="6" t="n">
        <f aca="false">IFERROR(COUNTIFS(B_persona_llm!$F$2:$F$538,"3.3.2",B_persona_llm!$I$2:$I$538,1)/COUNTIF(B_persona_llm!$F$2:$F$538,"3.3.2"),"")</f>
        <v>0.666666666666667</v>
      </c>
      <c r="E62" s="6" t="n">
        <f aca="false">IFERROR(COUNTIFS(C_persona_agent!$F$2:$F$538,"3.3.2",C_persona_agent!$I$2:$I$538,1)/COUNTIF(C_persona_agent!$F$2:$F$538,"3.3.2"),"")</f>
        <v>0.611111111111111</v>
      </c>
      <c r="F62" s="6" t="n">
        <f aca="false">IFERROR(COUNTIFS(D_vanilla_llm!$F$2:$F$538,"3.3.2",D_vanilla_llm!$I$2:$I$538,1)/COUNTIF(D_vanilla_llm!$F$2:$F$538,"3.3.2"),"")</f>
        <v>0.722222222222222</v>
      </c>
      <c r="G62" s="6" t="n">
        <f aca="false">IFERROR(COUNTIFS(E_vanilla_agent!$F$2:$F$538,"3.3.2",E_vanilla_agent!$I$2:$I$538,1)/COUNTIF(E_vanilla_agent!$F$2:$F$538,"3.3.2"),"")</f>
        <v>0.666666666666667</v>
      </c>
    </row>
    <row r="63" customFormat="false" ht="15" hidden="false" customHeight="false" outlineLevel="0" collapsed="false">
      <c r="A63" s="8" t="s">
        <v>63</v>
      </c>
      <c r="B63" s="8" t="n">
        <f aca="false">COUNTIF(A_axe!$F$2:$F$538,"4.1.2")</f>
        <v>15</v>
      </c>
      <c r="C63" s="6" t="n">
        <f aca="false">IFERROR(COUNTIFS(A_axe!$F$2:$F$538,"4.1.2",A_axe!$I$2:$I$538,1)/COUNTIF(A_axe!$F$2:$F$538,"4.1.2"),"")</f>
        <v>0.6</v>
      </c>
      <c r="D63" s="6" t="n">
        <f aca="false">IFERROR(COUNTIFS(B_persona_llm!$F$2:$F$538,"4.1.2",B_persona_llm!$I$2:$I$538,1)/COUNTIF(B_persona_llm!$F$2:$F$538,"4.1.2"),"")</f>
        <v>0.4</v>
      </c>
      <c r="E63" s="6" t="n">
        <f aca="false">IFERROR(COUNTIFS(C_persona_agent!$F$2:$F$538,"4.1.2",C_persona_agent!$I$2:$I$538,1)/COUNTIF(C_persona_agent!$F$2:$F$538,"4.1.2"),"")</f>
        <v>0.4</v>
      </c>
      <c r="F63" s="6" t="n">
        <f aca="false">IFERROR(COUNTIFS(D_vanilla_llm!$F$2:$F$538,"4.1.2",D_vanilla_llm!$I$2:$I$538,1)/COUNTIF(D_vanilla_llm!$F$2:$F$538,"4.1.2"),"")</f>
        <v>0.4</v>
      </c>
      <c r="G63" s="6" t="n">
        <f aca="false">IFERROR(COUNTIFS(E_vanilla_agent!$F$2:$F$538,"4.1.2",E_vanilla_agent!$I$2:$I$538,1)/COUNTIF(E_vanilla_agent!$F$2:$F$538,"4.1.2"),"")</f>
        <v>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6"/>
    <col collapsed="false" customWidth="true" hidden="false" outlineLevel="0" max="4" min="4" style="0" width="18"/>
    <col collapsed="false" customWidth="true" hidden="false" outlineLevel="0" max="5" min="5" style="0" width="10"/>
    <col collapsed="false" customWidth="true" hidden="false" outlineLevel="0" max="6" min="6" style="0" width="9"/>
    <col collapsed="false" customWidth="true" hidden="false" outlineLevel="0" max="8" min="7" style="0" width="13"/>
    <col collapsed="false" customWidth="true" hidden="false" outlineLevel="0" max="9" min="9" style="0" width="8"/>
    <col collapsed="false" customWidth="true" hidden="false" outlineLevel="0" max="10" min="10" style="0" width="6"/>
    <col collapsed="false" customWidth="true" hidden="false" outlineLevel="0" max="11" min="11" style="0" width="10"/>
    <col collapsed="false" customWidth="true" hidden="false" outlineLevel="0" max="12" min="12" style="0" width="7"/>
    <col collapsed="false" customWidth="true" hidden="false" outlineLevel="0" max="13" min="13" style="0" width="8"/>
    <col collapsed="false" customWidth="true" hidden="false" outlineLevel="0" max="14" min="14" style="0" width="34"/>
    <col collapsed="false" customWidth="true" hidden="false" outlineLevel="0" max="15" min="15" style="0" width="8"/>
    <col collapsed="false" customWidth="true" hidden="false" outlineLevel="0" max="16" min="16" style="0" width="10"/>
    <col collapsed="false" customWidth="true" hidden="false" outlineLevel="0" max="17" min="17" style="0" width="8"/>
    <col collapsed="false" customWidth="true" hidden="false" outlineLevel="0" max="18" min="18" style="0" width="9"/>
    <col collapsed="false" customWidth="true" hidden="false" outlineLevel="0" max="19" min="19" style="0" width="24"/>
    <col collapsed="false" customWidth="true" hidden="false" outlineLevel="0" max="20" min="20" style="0" width="10"/>
    <col collapsed="false" customWidth="true" hidden="false" outlineLevel="0" max="21" min="21" style="0" width="34"/>
    <col collapsed="false" customWidth="true" hidden="false" outlineLevel="0" max="22" min="22" style="0" width="12"/>
    <col collapsed="false" customWidth="true" hidden="false" outlineLevel="0" max="23" min="23" style="0" width="32"/>
    <col collapsed="false" customWidth="true" hidden="false" outlineLevel="0" max="24" min="24" style="0" width="40"/>
    <col collapsed="false" customWidth="true" hidden="false" outlineLevel="0" max="26" min="25" style="0" width="60"/>
  </cols>
  <sheetData>
    <row r="1" customFormat="false" ht="45" hidden="false" customHeight="true" outlineLevel="0" collapsed="false">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customFormat="false" ht="15" hidden="false" customHeight="false" outlineLevel="0" collapsed="false">
      <c r="A2" s="8" t="s">
        <v>90</v>
      </c>
      <c r="B2" s="8" t="s">
        <v>13</v>
      </c>
      <c r="C2" s="8" t="s">
        <v>14</v>
      </c>
      <c r="D2" s="8" t="s">
        <v>91</v>
      </c>
      <c r="E2" s="8" t="s">
        <v>35</v>
      </c>
      <c r="F2" s="8" t="s">
        <v>49</v>
      </c>
      <c r="G2" s="8" t="s">
        <v>32</v>
      </c>
      <c r="H2" s="8" t="s">
        <v>30</v>
      </c>
      <c r="I2" s="8" t="n">
        <f aca="false">IF(EXACT(G2,H2),1,0)</f>
        <v>0</v>
      </c>
      <c r="J2" s="8" t="n">
        <v>0</v>
      </c>
      <c r="K2" s="8" t="s">
        <v>92</v>
      </c>
      <c r="L2" s="8" t="n">
        <v>0</v>
      </c>
      <c r="M2" s="8" t="n">
        <v>1</v>
      </c>
      <c r="N2" s="8" t="s">
        <v>93</v>
      </c>
      <c r="O2" s="8" t="n">
        <v>1</v>
      </c>
      <c r="P2" s="10" t="n">
        <v>4.7</v>
      </c>
      <c r="Q2" s="8"/>
      <c r="R2" s="8"/>
      <c r="S2" s="8" t="s">
        <v>94</v>
      </c>
      <c r="T2" s="8" t="s">
        <v>95</v>
      </c>
      <c r="U2" s="8" t="s">
        <v>96</v>
      </c>
      <c r="V2" s="8"/>
      <c r="W2" s="8" t="s">
        <v>97</v>
      </c>
      <c r="X2" s="8" t="s">
        <v>98</v>
      </c>
      <c r="Y2" s="8" t="s">
        <v>99</v>
      </c>
      <c r="Z2" s="8"/>
    </row>
    <row r="3" customFormat="false" ht="15" hidden="false" customHeight="false" outlineLevel="0" collapsed="false">
      <c r="A3" s="8" t="s">
        <v>90</v>
      </c>
      <c r="B3" s="8" t="s">
        <v>13</v>
      </c>
      <c r="C3" s="8" t="s">
        <v>14</v>
      </c>
      <c r="D3" s="8" t="s">
        <v>91</v>
      </c>
      <c r="E3" s="8" t="s">
        <v>35</v>
      </c>
      <c r="F3" s="8" t="s">
        <v>49</v>
      </c>
      <c r="G3" s="8" t="s">
        <v>32</v>
      </c>
      <c r="H3" s="8" t="s">
        <v>30</v>
      </c>
      <c r="I3" s="8" t="n">
        <f aca="false">IF(EXACT(G3,H3),1,0)</f>
        <v>0</v>
      </c>
      <c r="J3" s="8" t="n">
        <v>1</v>
      </c>
      <c r="K3" s="8" t="s">
        <v>92</v>
      </c>
      <c r="L3" s="8" t="n">
        <v>0</v>
      </c>
      <c r="M3" s="8" t="n">
        <v>1</v>
      </c>
      <c r="N3" s="8" t="s">
        <v>93</v>
      </c>
      <c r="O3" s="8" t="n">
        <v>1</v>
      </c>
      <c r="P3" s="10" t="n">
        <v>4.48</v>
      </c>
      <c r="Q3" s="8"/>
      <c r="R3" s="8"/>
      <c r="S3" s="8" t="s">
        <v>94</v>
      </c>
      <c r="T3" s="8" t="s">
        <v>95</v>
      </c>
      <c r="U3" s="8" t="s">
        <v>96</v>
      </c>
      <c r="V3" s="8"/>
      <c r="W3" s="8" t="s">
        <v>97</v>
      </c>
      <c r="X3" s="8" t="s">
        <v>98</v>
      </c>
      <c r="Y3" s="8" t="s">
        <v>99</v>
      </c>
      <c r="Z3" s="8"/>
    </row>
    <row r="4" customFormat="false" ht="15" hidden="false" customHeight="false" outlineLevel="0" collapsed="false">
      <c r="A4" s="8" t="s">
        <v>90</v>
      </c>
      <c r="B4" s="8" t="s">
        <v>13</v>
      </c>
      <c r="C4" s="8" t="s">
        <v>14</v>
      </c>
      <c r="D4" s="8" t="s">
        <v>91</v>
      </c>
      <c r="E4" s="8" t="s">
        <v>35</v>
      </c>
      <c r="F4" s="8" t="s">
        <v>49</v>
      </c>
      <c r="G4" s="8" t="s">
        <v>32</v>
      </c>
      <c r="H4" s="8" t="s">
        <v>30</v>
      </c>
      <c r="I4" s="8" t="n">
        <f aca="false">IF(EXACT(G4,H4),1,0)</f>
        <v>0</v>
      </c>
      <c r="J4" s="8" t="n">
        <v>2</v>
      </c>
      <c r="K4" s="8" t="s">
        <v>92</v>
      </c>
      <c r="L4" s="8" t="n">
        <v>0</v>
      </c>
      <c r="M4" s="8" t="n">
        <v>1</v>
      </c>
      <c r="N4" s="8" t="s">
        <v>93</v>
      </c>
      <c r="O4" s="8" t="n">
        <v>1</v>
      </c>
      <c r="P4" s="10" t="n">
        <v>5</v>
      </c>
      <c r="Q4" s="8"/>
      <c r="R4" s="8"/>
      <c r="S4" s="8" t="s">
        <v>94</v>
      </c>
      <c r="T4" s="8" t="s">
        <v>95</v>
      </c>
      <c r="U4" s="8" t="s">
        <v>96</v>
      </c>
      <c r="V4" s="8"/>
      <c r="W4" s="8" t="s">
        <v>97</v>
      </c>
      <c r="X4" s="8" t="s">
        <v>98</v>
      </c>
      <c r="Y4" s="8" t="s">
        <v>99</v>
      </c>
      <c r="Z4" s="8"/>
    </row>
    <row r="5" customFormat="false" ht="15" hidden="false" customHeight="false" outlineLevel="0" collapsed="false">
      <c r="A5" s="8" t="s">
        <v>100</v>
      </c>
      <c r="B5" s="8" t="s">
        <v>13</v>
      </c>
      <c r="C5" s="8" t="s">
        <v>14</v>
      </c>
      <c r="D5" s="8" t="s">
        <v>91</v>
      </c>
      <c r="E5" s="8" t="s">
        <v>35</v>
      </c>
      <c r="F5" s="8" t="s">
        <v>49</v>
      </c>
      <c r="G5" s="8" t="s">
        <v>32</v>
      </c>
      <c r="H5" s="8" t="s">
        <v>30</v>
      </c>
      <c r="I5" s="8" t="n">
        <f aca="false">IF(EXACT(G5,H5),1,0)</f>
        <v>0</v>
      </c>
      <c r="J5" s="8" t="n">
        <v>0</v>
      </c>
      <c r="K5" s="8" t="s">
        <v>92</v>
      </c>
      <c r="L5" s="8" t="n">
        <v>0</v>
      </c>
      <c r="M5" s="8" t="n">
        <v>1</v>
      </c>
      <c r="N5" s="8" t="s">
        <v>93</v>
      </c>
      <c r="O5" s="8" t="n">
        <v>1</v>
      </c>
      <c r="P5" s="10" t="n">
        <v>4.5</v>
      </c>
      <c r="Q5" s="8"/>
      <c r="R5" s="8"/>
      <c r="S5" s="8" t="s">
        <v>101</v>
      </c>
      <c r="T5" s="8" t="s">
        <v>95</v>
      </c>
      <c r="U5" s="8" t="s">
        <v>96</v>
      </c>
      <c r="V5" s="8"/>
      <c r="W5" s="8" t="s">
        <v>102</v>
      </c>
      <c r="X5" s="8" t="s">
        <v>103</v>
      </c>
      <c r="Y5" s="8" t="s">
        <v>99</v>
      </c>
      <c r="Z5" s="8"/>
    </row>
    <row r="6" customFormat="false" ht="15" hidden="false" customHeight="false" outlineLevel="0" collapsed="false">
      <c r="A6" s="8" t="s">
        <v>100</v>
      </c>
      <c r="B6" s="8" t="s">
        <v>13</v>
      </c>
      <c r="C6" s="8" t="s">
        <v>14</v>
      </c>
      <c r="D6" s="8" t="s">
        <v>91</v>
      </c>
      <c r="E6" s="8" t="s">
        <v>35</v>
      </c>
      <c r="F6" s="8" t="s">
        <v>49</v>
      </c>
      <c r="G6" s="8" t="s">
        <v>32</v>
      </c>
      <c r="H6" s="8" t="s">
        <v>30</v>
      </c>
      <c r="I6" s="8" t="n">
        <f aca="false">IF(EXACT(G6,H6),1,0)</f>
        <v>0</v>
      </c>
      <c r="J6" s="8" t="n">
        <v>1</v>
      </c>
      <c r="K6" s="8" t="s">
        <v>92</v>
      </c>
      <c r="L6" s="8" t="n">
        <v>0</v>
      </c>
      <c r="M6" s="8" t="n">
        <v>1</v>
      </c>
      <c r="N6" s="8" t="s">
        <v>93</v>
      </c>
      <c r="O6" s="8" t="n">
        <v>1</v>
      </c>
      <c r="P6" s="10" t="n">
        <v>4.53</v>
      </c>
      <c r="Q6" s="8"/>
      <c r="R6" s="8"/>
      <c r="S6" s="8" t="s">
        <v>101</v>
      </c>
      <c r="T6" s="8" t="s">
        <v>95</v>
      </c>
      <c r="U6" s="8" t="s">
        <v>96</v>
      </c>
      <c r="V6" s="8"/>
      <c r="W6" s="8" t="s">
        <v>102</v>
      </c>
      <c r="X6" s="8" t="s">
        <v>103</v>
      </c>
      <c r="Y6" s="8" t="s">
        <v>99</v>
      </c>
      <c r="Z6" s="8"/>
    </row>
    <row r="7" customFormat="false" ht="15" hidden="false" customHeight="false" outlineLevel="0" collapsed="false">
      <c r="A7" s="8" t="s">
        <v>100</v>
      </c>
      <c r="B7" s="8" t="s">
        <v>13</v>
      </c>
      <c r="C7" s="8" t="s">
        <v>14</v>
      </c>
      <c r="D7" s="8" t="s">
        <v>91</v>
      </c>
      <c r="E7" s="8" t="s">
        <v>35</v>
      </c>
      <c r="F7" s="8" t="s">
        <v>49</v>
      </c>
      <c r="G7" s="8" t="s">
        <v>32</v>
      </c>
      <c r="H7" s="8" t="s">
        <v>30</v>
      </c>
      <c r="I7" s="8" t="n">
        <f aca="false">IF(EXACT(G7,H7),1,0)</f>
        <v>0</v>
      </c>
      <c r="J7" s="8" t="n">
        <v>2</v>
      </c>
      <c r="K7" s="8" t="s">
        <v>92</v>
      </c>
      <c r="L7" s="8" t="n">
        <v>0</v>
      </c>
      <c r="M7" s="8" t="n">
        <v>1</v>
      </c>
      <c r="N7" s="8" t="s">
        <v>93</v>
      </c>
      <c r="O7" s="8" t="n">
        <v>1</v>
      </c>
      <c r="P7" s="10" t="n">
        <v>3.53</v>
      </c>
      <c r="Q7" s="8"/>
      <c r="R7" s="8"/>
      <c r="S7" s="8" t="s">
        <v>101</v>
      </c>
      <c r="T7" s="8" t="s">
        <v>95</v>
      </c>
      <c r="U7" s="8" t="s">
        <v>96</v>
      </c>
      <c r="V7" s="8"/>
      <c r="W7" s="8" t="s">
        <v>102</v>
      </c>
      <c r="X7" s="8" t="s">
        <v>103</v>
      </c>
      <c r="Y7" s="8" t="s">
        <v>99</v>
      </c>
      <c r="Z7" s="8"/>
    </row>
    <row r="8" customFormat="false" ht="15" hidden="false" customHeight="false" outlineLevel="0" collapsed="false">
      <c r="A8" s="8" t="s">
        <v>104</v>
      </c>
      <c r="B8" s="8" t="s">
        <v>13</v>
      </c>
      <c r="C8" s="8" t="s">
        <v>14</v>
      </c>
      <c r="D8" s="8" t="s">
        <v>91</v>
      </c>
      <c r="E8" s="8" t="s">
        <v>35</v>
      </c>
      <c r="F8" s="8" t="s">
        <v>49</v>
      </c>
      <c r="G8" s="8" t="s">
        <v>30</v>
      </c>
      <c r="H8" s="8" t="s">
        <v>30</v>
      </c>
      <c r="I8" s="8" t="n">
        <f aca="false">IF(EXACT(G8,H8),1,0)</f>
        <v>1</v>
      </c>
      <c r="J8" s="8" t="n">
        <v>0</v>
      </c>
      <c r="K8" s="8" t="s">
        <v>92</v>
      </c>
      <c r="L8" s="8" t="n">
        <v>0</v>
      </c>
      <c r="M8" s="8" t="n">
        <v>1</v>
      </c>
      <c r="N8" s="8" t="s">
        <v>93</v>
      </c>
      <c r="O8" s="8" t="n">
        <v>1</v>
      </c>
      <c r="P8" s="10" t="n">
        <v>5.64</v>
      </c>
      <c r="Q8" s="8"/>
      <c r="R8" s="8"/>
      <c r="S8" s="8" t="s">
        <v>105</v>
      </c>
      <c r="T8" s="8" t="s">
        <v>95</v>
      </c>
      <c r="U8" s="8" t="s">
        <v>96</v>
      </c>
      <c r="V8" s="8"/>
      <c r="W8" s="8" t="s">
        <v>106</v>
      </c>
      <c r="X8" s="8" t="s">
        <v>107</v>
      </c>
      <c r="Y8" s="8" t="s">
        <v>108</v>
      </c>
      <c r="Z8" s="8"/>
    </row>
    <row r="9" customFormat="false" ht="15" hidden="false" customHeight="false" outlineLevel="0" collapsed="false">
      <c r="A9" s="8" t="s">
        <v>104</v>
      </c>
      <c r="B9" s="8" t="s">
        <v>13</v>
      </c>
      <c r="C9" s="8" t="s">
        <v>14</v>
      </c>
      <c r="D9" s="8" t="s">
        <v>91</v>
      </c>
      <c r="E9" s="8" t="s">
        <v>35</v>
      </c>
      <c r="F9" s="8" t="s">
        <v>49</v>
      </c>
      <c r="G9" s="8" t="s">
        <v>30</v>
      </c>
      <c r="H9" s="8" t="s">
        <v>30</v>
      </c>
      <c r="I9" s="8" t="n">
        <f aca="false">IF(EXACT(G9,H9),1,0)</f>
        <v>1</v>
      </c>
      <c r="J9" s="8" t="n">
        <v>1</v>
      </c>
      <c r="K9" s="8" t="s">
        <v>92</v>
      </c>
      <c r="L9" s="8" t="n">
        <v>0</v>
      </c>
      <c r="M9" s="8" t="n">
        <v>1</v>
      </c>
      <c r="N9" s="8" t="s">
        <v>93</v>
      </c>
      <c r="O9" s="8" t="n">
        <v>1</v>
      </c>
      <c r="P9" s="10" t="n">
        <v>4.67</v>
      </c>
      <c r="Q9" s="8"/>
      <c r="R9" s="8"/>
      <c r="S9" s="8" t="s">
        <v>105</v>
      </c>
      <c r="T9" s="8" t="s">
        <v>95</v>
      </c>
      <c r="U9" s="8" t="s">
        <v>96</v>
      </c>
      <c r="V9" s="8"/>
      <c r="W9" s="8" t="s">
        <v>106</v>
      </c>
      <c r="X9" s="8" t="s">
        <v>107</v>
      </c>
      <c r="Y9" s="8" t="s">
        <v>108</v>
      </c>
      <c r="Z9" s="8"/>
    </row>
    <row r="10" customFormat="false" ht="15" hidden="false" customHeight="false" outlineLevel="0" collapsed="false">
      <c r="A10" s="8" t="s">
        <v>104</v>
      </c>
      <c r="B10" s="8" t="s">
        <v>13</v>
      </c>
      <c r="C10" s="8" t="s">
        <v>14</v>
      </c>
      <c r="D10" s="8" t="s">
        <v>91</v>
      </c>
      <c r="E10" s="8" t="s">
        <v>35</v>
      </c>
      <c r="F10" s="8" t="s">
        <v>49</v>
      </c>
      <c r="G10" s="8" t="s">
        <v>30</v>
      </c>
      <c r="H10" s="8" t="s">
        <v>30</v>
      </c>
      <c r="I10" s="8" t="n">
        <f aca="false">IF(EXACT(G10,H10),1,0)</f>
        <v>1</v>
      </c>
      <c r="J10" s="8" t="n">
        <v>2</v>
      </c>
      <c r="K10" s="8" t="s">
        <v>92</v>
      </c>
      <c r="L10" s="8" t="n">
        <v>0</v>
      </c>
      <c r="M10" s="8" t="n">
        <v>1</v>
      </c>
      <c r="N10" s="8" t="s">
        <v>93</v>
      </c>
      <c r="O10" s="8" t="n">
        <v>1</v>
      </c>
      <c r="P10" s="10" t="n">
        <v>4.45</v>
      </c>
      <c r="Q10" s="8"/>
      <c r="R10" s="8"/>
      <c r="S10" s="8" t="s">
        <v>105</v>
      </c>
      <c r="T10" s="8" t="s">
        <v>95</v>
      </c>
      <c r="U10" s="8" t="s">
        <v>96</v>
      </c>
      <c r="V10" s="8"/>
      <c r="W10" s="8" t="s">
        <v>106</v>
      </c>
      <c r="X10" s="8" t="s">
        <v>107</v>
      </c>
      <c r="Y10" s="8" t="s">
        <v>108</v>
      </c>
      <c r="Z10" s="8"/>
    </row>
    <row r="11" customFormat="false" ht="15" hidden="false" customHeight="false" outlineLevel="0" collapsed="false">
      <c r="A11" s="8" t="s">
        <v>109</v>
      </c>
      <c r="B11" s="8" t="s">
        <v>13</v>
      </c>
      <c r="C11" s="8" t="s">
        <v>14</v>
      </c>
      <c r="D11" s="8" t="s">
        <v>91</v>
      </c>
      <c r="E11" s="8" t="s">
        <v>35</v>
      </c>
      <c r="F11" s="8" t="s">
        <v>49</v>
      </c>
      <c r="G11" s="8" t="s">
        <v>30</v>
      </c>
      <c r="H11" s="8" t="s">
        <v>30</v>
      </c>
      <c r="I11" s="8" t="n">
        <f aca="false">IF(EXACT(G11,H11),1,0)</f>
        <v>1</v>
      </c>
      <c r="J11" s="8" t="n">
        <v>0</v>
      </c>
      <c r="K11" s="8" t="s">
        <v>92</v>
      </c>
      <c r="L11" s="8" t="n">
        <v>0</v>
      </c>
      <c r="M11" s="8" t="n">
        <v>1</v>
      </c>
      <c r="N11" s="8" t="s">
        <v>93</v>
      </c>
      <c r="O11" s="8" t="n">
        <v>1</v>
      </c>
      <c r="P11" s="10" t="n">
        <v>4.24</v>
      </c>
      <c r="Q11" s="8"/>
      <c r="R11" s="8"/>
      <c r="S11" s="8" t="s">
        <v>110</v>
      </c>
      <c r="T11" s="8" t="s">
        <v>111</v>
      </c>
      <c r="U11" s="8" t="s">
        <v>112</v>
      </c>
      <c r="V11" s="8"/>
      <c r="W11" s="8" t="s">
        <v>113</v>
      </c>
      <c r="X11" s="8" t="s">
        <v>114</v>
      </c>
      <c r="Y11" s="8" t="s">
        <v>99</v>
      </c>
      <c r="Z11" s="8"/>
    </row>
    <row r="12" customFormat="false" ht="15" hidden="false" customHeight="false" outlineLevel="0" collapsed="false">
      <c r="A12" s="8" t="s">
        <v>109</v>
      </c>
      <c r="B12" s="8" t="s">
        <v>13</v>
      </c>
      <c r="C12" s="8" t="s">
        <v>14</v>
      </c>
      <c r="D12" s="8" t="s">
        <v>91</v>
      </c>
      <c r="E12" s="8" t="s">
        <v>35</v>
      </c>
      <c r="F12" s="8" t="s">
        <v>49</v>
      </c>
      <c r="G12" s="8" t="s">
        <v>30</v>
      </c>
      <c r="H12" s="8" t="s">
        <v>30</v>
      </c>
      <c r="I12" s="8" t="n">
        <f aca="false">IF(EXACT(G12,H12),1,0)</f>
        <v>1</v>
      </c>
      <c r="J12" s="8" t="n">
        <v>1</v>
      </c>
      <c r="K12" s="8" t="s">
        <v>92</v>
      </c>
      <c r="L12" s="8" t="n">
        <v>0</v>
      </c>
      <c r="M12" s="8" t="n">
        <v>1</v>
      </c>
      <c r="N12" s="8" t="s">
        <v>93</v>
      </c>
      <c r="O12" s="8" t="n">
        <v>1</v>
      </c>
      <c r="P12" s="10" t="n">
        <v>4.17</v>
      </c>
      <c r="Q12" s="8"/>
      <c r="R12" s="8"/>
      <c r="S12" s="8" t="s">
        <v>110</v>
      </c>
      <c r="T12" s="8" t="s">
        <v>111</v>
      </c>
      <c r="U12" s="8" t="s">
        <v>112</v>
      </c>
      <c r="V12" s="8"/>
      <c r="W12" s="8" t="s">
        <v>113</v>
      </c>
      <c r="X12" s="8" t="s">
        <v>114</v>
      </c>
      <c r="Y12" s="8" t="s">
        <v>99</v>
      </c>
      <c r="Z12" s="8"/>
    </row>
    <row r="13" customFormat="false" ht="15" hidden="false" customHeight="false" outlineLevel="0" collapsed="false">
      <c r="A13" s="8" t="s">
        <v>109</v>
      </c>
      <c r="B13" s="8" t="s">
        <v>13</v>
      </c>
      <c r="C13" s="8" t="s">
        <v>14</v>
      </c>
      <c r="D13" s="8" t="s">
        <v>91</v>
      </c>
      <c r="E13" s="8" t="s">
        <v>35</v>
      </c>
      <c r="F13" s="8" t="s">
        <v>49</v>
      </c>
      <c r="G13" s="8" t="s">
        <v>30</v>
      </c>
      <c r="H13" s="8" t="s">
        <v>30</v>
      </c>
      <c r="I13" s="8" t="n">
        <f aca="false">IF(EXACT(G13,H13),1,0)</f>
        <v>1</v>
      </c>
      <c r="J13" s="8" t="n">
        <v>2</v>
      </c>
      <c r="K13" s="8" t="s">
        <v>92</v>
      </c>
      <c r="L13" s="8" t="n">
        <v>0</v>
      </c>
      <c r="M13" s="8" t="n">
        <v>1</v>
      </c>
      <c r="N13" s="8" t="s">
        <v>93</v>
      </c>
      <c r="O13" s="8" t="n">
        <v>1</v>
      </c>
      <c r="P13" s="10" t="n">
        <v>4.12</v>
      </c>
      <c r="Q13" s="8"/>
      <c r="R13" s="8"/>
      <c r="S13" s="8" t="s">
        <v>110</v>
      </c>
      <c r="T13" s="8" t="s">
        <v>111</v>
      </c>
      <c r="U13" s="8" t="s">
        <v>112</v>
      </c>
      <c r="V13" s="8"/>
      <c r="W13" s="8" t="s">
        <v>113</v>
      </c>
      <c r="X13" s="8" t="s">
        <v>114</v>
      </c>
      <c r="Y13" s="8" t="s">
        <v>99</v>
      </c>
      <c r="Z13" s="8"/>
    </row>
    <row r="14" customFormat="false" ht="15" hidden="false" customHeight="false" outlineLevel="0" collapsed="false">
      <c r="A14" s="8" t="s">
        <v>115</v>
      </c>
      <c r="B14" s="8" t="s">
        <v>13</v>
      </c>
      <c r="C14" s="8" t="s">
        <v>14</v>
      </c>
      <c r="D14" s="8" t="s">
        <v>91</v>
      </c>
      <c r="E14" s="8" t="s">
        <v>35</v>
      </c>
      <c r="F14" s="8" t="s">
        <v>49</v>
      </c>
      <c r="G14" s="8" t="s">
        <v>31</v>
      </c>
      <c r="H14" s="8" t="s">
        <v>31</v>
      </c>
      <c r="I14" s="8" t="n">
        <f aca="false">IF(EXACT(G14,H14),1,0)</f>
        <v>1</v>
      </c>
      <c r="J14" s="8" t="n">
        <v>0</v>
      </c>
      <c r="K14" s="8" t="s">
        <v>116</v>
      </c>
      <c r="L14" s="8" t="n">
        <v>1</v>
      </c>
      <c r="M14" s="8" t="n">
        <v>1</v>
      </c>
      <c r="N14" s="8" t="s">
        <v>93</v>
      </c>
      <c r="O14" s="8" t="n">
        <v>1</v>
      </c>
      <c r="P14" s="10" t="n">
        <v>4.66</v>
      </c>
      <c r="Q14" s="8"/>
      <c r="R14" s="8"/>
      <c r="S14" s="8" t="s">
        <v>117</v>
      </c>
      <c r="T14" s="8" t="s">
        <v>111</v>
      </c>
      <c r="U14" s="8" t="s">
        <v>112</v>
      </c>
      <c r="V14" s="8"/>
      <c r="W14" s="8" t="s">
        <v>118</v>
      </c>
      <c r="X14" s="8" t="s">
        <v>119</v>
      </c>
      <c r="Y14" s="8" t="s">
        <v>108</v>
      </c>
      <c r="Z14" s="8" t="s">
        <v>120</v>
      </c>
    </row>
    <row r="15" customFormat="false" ht="15" hidden="false" customHeight="false" outlineLevel="0" collapsed="false">
      <c r="A15" s="8" t="s">
        <v>115</v>
      </c>
      <c r="B15" s="8" t="s">
        <v>13</v>
      </c>
      <c r="C15" s="8" t="s">
        <v>14</v>
      </c>
      <c r="D15" s="8" t="s">
        <v>91</v>
      </c>
      <c r="E15" s="8" t="s">
        <v>35</v>
      </c>
      <c r="F15" s="8" t="s">
        <v>49</v>
      </c>
      <c r="G15" s="8" t="s">
        <v>31</v>
      </c>
      <c r="H15" s="8" t="s">
        <v>31</v>
      </c>
      <c r="I15" s="8" t="n">
        <f aca="false">IF(EXACT(G15,H15),1,0)</f>
        <v>1</v>
      </c>
      <c r="J15" s="8" t="n">
        <v>1</v>
      </c>
      <c r="K15" s="8" t="s">
        <v>116</v>
      </c>
      <c r="L15" s="8" t="n">
        <v>1</v>
      </c>
      <c r="M15" s="8" t="n">
        <v>1</v>
      </c>
      <c r="N15" s="8" t="s">
        <v>93</v>
      </c>
      <c r="O15" s="8" t="n">
        <v>1</v>
      </c>
      <c r="P15" s="10" t="n">
        <v>4.16</v>
      </c>
      <c r="Q15" s="8"/>
      <c r="R15" s="8"/>
      <c r="S15" s="8" t="s">
        <v>117</v>
      </c>
      <c r="T15" s="8" t="s">
        <v>111</v>
      </c>
      <c r="U15" s="8" t="s">
        <v>112</v>
      </c>
      <c r="V15" s="8"/>
      <c r="W15" s="8" t="s">
        <v>118</v>
      </c>
      <c r="X15" s="8" t="s">
        <v>119</v>
      </c>
      <c r="Y15" s="8" t="s">
        <v>108</v>
      </c>
      <c r="Z15" s="8" t="s">
        <v>120</v>
      </c>
    </row>
    <row r="16" customFormat="false" ht="15" hidden="false" customHeight="false" outlineLevel="0" collapsed="false">
      <c r="A16" s="8" t="s">
        <v>115</v>
      </c>
      <c r="B16" s="8" t="s">
        <v>13</v>
      </c>
      <c r="C16" s="8" t="s">
        <v>14</v>
      </c>
      <c r="D16" s="8" t="s">
        <v>91</v>
      </c>
      <c r="E16" s="8" t="s">
        <v>35</v>
      </c>
      <c r="F16" s="8" t="s">
        <v>49</v>
      </c>
      <c r="G16" s="8" t="s">
        <v>31</v>
      </c>
      <c r="H16" s="8" t="s">
        <v>31</v>
      </c>
      <c r="I16" s="8" t="n">
        <f aca="false">IF(EXACT(G16,H16),1,0)</f>
        <v>1</v>
      </c>
      <c r="J16" s="8" t="n">
        <v>2</v>
      </c>
      <c r="K16" s="8" t="s">
        <v>116</v>
      </c>
      <c r="L16" s="8" t="n">
        <v>1</v>
      </c>
      <c r="M16" s="8" t="n">
        <v>1</v>
      </c>
      <c r="N16" s="8" t="s">
        <v>93</v>
      </c>
      <c r="O16" s="8" t="n">
        <v>1</v>
      </c>
      <c r="P16" s="10" t="n">
        <v>4.15</v>
      </c>
      <c r="Q16" s="8"/>
      <c r="R16" s="8"/>
      <c r="S16" s="8" t="s">
        <v>117</v>
      </c>
      <c r="T16" s="8" t="s">
        <v>111</v>
      </c>
      <c r="U16" s="8" t="s">
        <v>112</v>
      </c>
      <c r="V16" s="8"/>
      <c r="W16" s="8" t="s">
        <v>118</v>
      </c>
      <c r="X16" s="8" t="s">
        <v>119</v>
      </c>
      <c r="Y16" s="8" t="s">
        <v>108</v>
      </c>
      <c r="Z16" s="8" t="s">
        <v>120</v>
      </c>
    </row>
    <row r="17" customFormat="false" ht="15" hidden="false" customHeight="false" outlineLevel="0" collapsed="false">
      <c r="A17" s="8" t="s">
        <v>121</v>
      </c>
      <c r="B17" s="8" t="s">
        <v>13</v>
      </c>
      <c r="C17" s="8" t="s">
        <v>14</v>
      </c>
      <c r="D17" s="8" t="s">
        <v>91</v>
      </c>
      <c r="E17" s="8" t="s">
        <v>35</v>
      </c>
      <c r="F17" s="8" t="s">
        <v>49</v>
      </c>
      <c r="G17" s="8" t="s">
        <v>31</v>
      </c>
      <c r="H17" s="8" t="s">
        <v>30</v>
      </c>
      <c r="I17" s="8" t="n">
        <f aca="false">IF(EXACT(G17,H17),1,0)</f>
        <v>0</v>
      </c>
      <c r="J17" s="8" t="n">
        <v>0</v>
      </c>
      <c r="K17" s="8" t="s">
        <v>92</v>
      </c>
      <c r="L17" s="8" t="n">
        <v>0</v>
      </c>
      <c r="M17" s="8" t="n">
        <v>1</v>
      </c>
      <c r="N17" s="8" t="s">
        <v>93</v>
      </c>
      <c r="O17" s="8" t="n">
        <v>1</v>
      </c>
      <c r="P17" s="10" t="n">
        <v>5.24</v>
      </c>
      <c r="Q17" s="8"/>
      <c r="R17" s="8"/>
      <c r="S17" s="8" t="s">
        <v>117</v>
      </c>
      <c r="T17" s="8" t="s">
        <v>95</v>
      </c>
      <c r="U17" s="8" t="s">
        <v>96</v>
      </c>
      <c r="V17" s="8"/>
      <c r="W17" s="8" t="s">
        <v>122</v>
      </c>
      <c r="X17" s="8" t="s">
        <v>123</v>
      </c>
      <c r="Y17" s="8" t="s">
        <v>99</v>
      </c>
      <c r="Z17" s="8"/>
    </row>
    <row r="18" customFormat="false" ht="15" hidden="false" customHeight="false" outlineLevel="0" collapsed="false">
      <c r="A18" s="8" t="s">
        <v>121</v>
      </c>
      <c r="B18" s="8" t="s">
        <v>13</v>
      </c>
      <c r="C18" s="8" t="s">
        <v>14</v>
      </c>
      <c r="D18" s="8" t="s">
        <v>91</v>
      </c>
      <c r="E18" s="8" t="s">
        <v>35</v>
      </c>
      <c r="F18" s="8" t="s">
        <v>49</v>
      </c>
      <c r="G18" s="8" t="s">
        <v>31</v>
      </c>
      <c r="H18" s="8" t="s">
        <v>30</v>
      </c>
      <c r="I18" s="8" t="n">
        <f aca="false">IF(EXACT(G18,H18),1,0)</f>
        <v>0</v>
      </c>
      <c r="J18" s="8" t="n">
        <v>1</v>
      </c>
      <c r="K18" s="8" t="s">
        <v>92</v>
      </c>
      <c r="L18" s="8" t="n">
        <v>0</v>
      </c>
      <c r="M18" s="8" t="n">
        <v>1</v>
      </c>
      <c r="N18" s="8" t="s">
        <v>93</v>
      </c>
      <c r="O18" s="8" t="n">
        <v>1</v>
      </c>
      <c r="P18" s="10" t="n">
        <v>5.33</v>
      </c>
      <c r="Q18" s="8"/>
      <c r="R18" s="8"/>
      <c r="S18" s="8" t="s">
        <v>117</v>
      </c>
      <c r="T18" s="8" t="s">
        <v>95</v>
      </c>
      <c r="U18" s="8" t="s">
        <v>96</v>
      </c>
      <c r="V18" s="8"/>
      <c r="W18" s="8" t="s">
        <v>122</v>
      </c>
      <c r="X18" s="8" t="s">
        <v>123</v>
      </c>
      <c r="Y18" s="8" t="s">
        <v>99</v>
      </c>
      <c r="Z18" s="8"/>
    </row>
    <row r="19" customFormat="false" ht="15" hidden="false" customHeight="false" outlineLevel="0" collapsed="false">
      <c r="A19" s="8" t="s">
        <v>121</v>
      </c>
      <c r="B19" s="8" t="s">
        <v>13</v>
      </c>
      <c r="C19" s="8" t="s">
        <v>14</v>
      </c>
      <c r="D19" s="8" t="s">
        <v>91</v>
      </c>
      <c r="E19" s="8" t="s">
        <v>35</v>
      </c>
      <c r="F19" s="8" t="s">
        <v>49</v>
      </c>
      <c r="G19" s="8" t="s">
        <v>31</v>
      </c>
      <c r="H19" s="8" t="s">
        <v>30</v>
      </c>
      <c r="I19" s="8" t="n">
        <f aca="false">IF(EXACT(G19,H19),1,0)</f>
        <v>0</v>
      </c>
      <c r="J19" s="8" t="n">
        <v>2</v>
      </c>
      <c r="K19" s="8" t="s">
        <v>92</v>
      </c>
      <c r="L19" s="8" t="n">
        <v>0</v>
      </c>
      <c r="M19" s="8" t="n">
        <v>1</v>
      </c>
      <c r="N19" s="8" t="s">
        <v>93</v>
      </c>
      <c r="O19" s="8" t="n">
        <v>1</v>
      </c>
      <c r="P19" s="10" t="n">
        <v>5.2</v>
      </c>
      <c r="Q19" s="8"/>
      <c r="R19" s="8"/>
      <c r="S19" s="8" t="s">
        <v>117</v>
      </c>
      <c r="T19" s="8" t="s">
        <v>95</v>
      </c>
      <c r="U19" s="8" t="s">
        <v>96</v>
      </c>
      <c r="V19" s="8"/>
      <c r="W19" s="8" t="s">
        <v>122</v>
      </c>
      <c r="X19" s="8" t="s">
        <v>123</v>
      </c>
      <c r="Y19" s="8" t="s">
        <v>99</v>
      </c>
      <c r="Z19" s="8"/>
    </row>
    <row r="20" customFormat="false" ht="15" hidden="false" customHeight="false" outlineLevel="0" collapsed="false">
      <c r="A20" s="8" t="s">
        <v>124</v>
      </c>
      <c r="B20" s="8" t="s">
        <v>13</v>
      </c>
      <c r="C20" s="8" t="s">
        <v>14</v>
      </c>
      <c r="D20" s="8" t="s">
        <v>91</v>
      </c>
      <c r="E20" s="8" t="s">
        <v>35</v>
      </c>
      <c r="F20" s="8" t="s">
        <v>50</v>
      </c>
      <c r="G20" s="8" t="s">
        <v>32</v>
      </c>
      <c r="H20" s="8" t="s">
        <v>30</v>
      </c>
      <c r="I20" s="8" t="n">
        <f aca="false">IF(EXACT(G20,H20),1,0)</f>
        <v>0</v>
      </c>
      <c r="J20" s="8" t="n">
        <v>0</v>
      </c>
      <c r="K20" s="8" t="s">
        <v>92</v>
      </c>
      <c r="L20" s="8" t="n">
        <v>0</v>
      </c>
      <c r="M20" s="8" t="n">
        <v>1</v>
      </c>
      <c r="N20" s="8" t="s">
        <v>93</v>
      </c>
      <c r="O20" s="8" t="n">
        <v>1</v>
      </c>
      <c r="P20" s="10" t="n">
        <v>4.62</v>
      </c>
      <c r="Q20" s="8"/>
      <c r="R20" s="8"/>
      <c r="S20" s="8" t="s">
        <v>125</v>
      </c>
      <c r="T20" s="8" t="s">
        <v>126</v>
      </c>
      <c r="U20" s="8" t="s">
        <v>127</v>
      </c>
      <c r="V20" s="8"/>
      <c r="W20" s="8" t="s">
        <v>128</v>
      </c>
      <c r="X20" s="8" t="s">
        <v>129</v>
      </c>
      <c r="Y20" s="8" t="s">
        <v>130</v>
      </c>
      <c r="Z20" s="8"/>
    </row>
    <row r="21" customFormat="false" ht="15" hidden="false" customHeight="false" outlineLevel="0" collapsed="false">
      <c r="A21" s="8" t="s">
        <v>124</v>
      </c>
      <c r="B21" s="8" t="s">
        <v>13</v>
      </c>
      <c r="C21" s="8" t="s">
        <v>14</v>
      </c>
      <c r="D21" s="8" t="s">
        <v>91</v>
      </c>
      <c r="E21" s="8" t="s">
        <v>35</v>
      </c>
      <c r="F21" s="8" t="s">
        <v>50</v>
      </c>
      <c r="G21" s="8" t="s">
        <v>32</v>
      </c>
      <c r="H21" s="8" t="s">
        <v>30</v>
      </c>
      <c r="I21" s="8" t="n">
        <f aca="false">IF(EXACT(G21,H21),1,0)</f>
        <v>0</v>
      </c>
      <c r="J21" s="8" t="n">
        <v>1</v>
      </c>
      <c r="K21" s="8" t="s">
        <v>92</v>
      </c>
      <c r="L21" s="8" t="n">
        <v>0</v>
      </c>
      <c r="M21" s="8" t="n">
        <v>1</v>
      </c>
      <c r="N21" s="8" t="s">
        <v>93</v>
      </c>
      <c r="O21" s="8" t="n">
        <v>1</v>
      </c>
      <c r="P21" s="10" t="n">
        <v>4.54</v>
      </c>
      <c r="Q21" s="8"/>
      <c r="R21" s="8"/>
      <c r="S21" s="8" t="s">
        <v>125</v>
      </c>
      <c r="T21" s="8" t="s">
        <v>126</v>
      </c>
      <c r="U21" s="8" t="s">
        <v>127</v>
      </c>
      <c r="V21" s="8"/>
      <c r="W21" s="8" t="s">
        <v>128</v>
      </c>
      <c r="X21" s="8" t="s">
        <v>129</v>
      </c>
      <c r="Y21" s="8" t="s">
        <v>130</v>
      </c>
      <c r="Z21" s="8"/>
    </row>
    <row r="22" customFormat="false" ht="15" hidden="false" customHeight="false" outlineLevel="0" collapsed="false">
      <c r="A22" s="8" t="s">
        <v>124</v>
      </c>
      <c r="B22" s="8" t="s">
        <v>13</v>
      </c>
      <c r="C22" s="8" t="s">
        <v>14</v>
      </c>
      <c r="D22" s="8" t="s">
        <v>91</v>
      </c>
      <c r="E22" s="8" t="s">
        <v>35</v>
      </c>
      <c r="F22" s="8" t="s">
        <v>50</v>
      </c>
      <c r="G22" s="8" t="s">
        <v>32</v>
      </c>
      <c r="H22" s="8" t="s">
        <v>30</v>
      </c>
      <c r="I22" s="8" t="n">
        <f aca="false">IF(EXACT(G22,H22),1,0)</f>
        <v>0</v>
      </c>
      <c r="J22" s="8" t="n">
        <v>2</v>
      </c>
      <c r="K22" s="8" t="s">
        <v>92</v>
      </c>
      <c r="L22" s="8" t="n">
        <v>0</v>
      </c>
      <c r="M22" s="8" t="n">
        <v>1</v>
      </c>
      <c r="N22" s="8" t="s">
        <v>93</v>
      </c>
      <c r="O22" s="8" t="n">
        <v>1</v>
      </c>
      <c r="P22" s="10" t="n">
        <v>4.31</v>
      </c>
      <c r="Q22" s="8"/>
      <c r="R22" s="8"/>
      <c r="S22" s="8" t="s">
        <v>125</v>
      </c>
      <c r="T22" s="8" t="s">
        <v>126</v>
      </c>
      <c r="U22" s="8" t="s">
        <v>127</v>
      </c>
      <c r="V22" s="8"/>
      <c r="W22" s="8" t="s">
        <v>128</v>
      </c>
      <c r="X22" s="8" t="s">
        <v>129</v>
      </c>
      <c r="Y22" s="8" t="s">
        <v>130</v>
      </c>
      <c r="Z22" s="8"/>
    </row>
    <row r="23" customFormat="false" ht="15" hidden="false" customHeight="false" outlineLevel="0" collapsed="false">
      <c r="A23" s="8" t="s">
        <v>131</v>
      </c>
      <c r="B23" s="8" t="s">
        <v>13</v>
      </c>
      <c r="C23" s="8" t="s">
        <v>14</v>
      </c>
      <c r="D23" s="8" t="s">
        <v>91</v>
      </c>
      <c r="E23" s="8" t="s">
        <v>35</v>
      </c>
      <c r="F23" s="8" t="s">
        <v>50</v>
      </c>
      <c r="G23" s="8" t="s">
        <v>32</v>
      </c>
      <c r="H23" s="8" t="s">
        <v>30</v>
      </c>
      <c r="I23" s="8" t="n">
        <f aca="false">IF(EXACT(G23,H23),1,0)</f>
        <v>0</v>
      </c>
      <c r="J23" s="8" t="n">
        <v>0</v>
      </c>
      <c r="K23" s="8" t="s">
        <v>92</v>
      </c>
      <c r="L23" s="8" t="n">
        <v>0</v>
      </c>
      <c r="M23" s="8" t="n">
        <v>1</v>
      </c>
      <c r="N23" s="8" t="s">
        <v>93</v>
      </c>
      <c r="O23" s="8" t="n">
        <v>1</v>
      </c>
      <c r="P23" s="10" t="n">
        <v>4.61</v>
      </c>
      <c r="Q23" s="8"/>
      <c r="R23" s="8"/>
      <c r="S23" s="8" t="s">
        <v>132</v>
      </c>
      <c r="T23" s="8" t="s">
        <v>126</v>
      </c>
      <c r="U23" s="8" t="s">
        <v>127</v>
      </c>
      <c r="V23" s="8"/>
      <c r="W23" s="8" t="s">
        <v>133</v>
      </c>
      <c r="X23" s="8" t="s">
        <v>134</v>
      </c>
      <c r="Y23" s="8" t="s">
        <v>130</v>
      </c>
      <c r="Z23" s="8"/>
    </row>
    <row r="24" customFormat="false" ht="15" hidden="false" customHeight="false" outlineLevel="0" collapsed="false">
      <c r="A24" s="8" t="s">
        <v>131</v>
      </c>
      <c r="B24" s="8" t="s">
        <v>13</v>
      </c>
      <c r="C24" s="8" t="s">
        <v>14</v>
      </c>
      <c r="D24" s="8" t="s">
        <v>91</v>
      </c>
      <c r="E24" s="8" t="s">
        <v>35</v>
      </c>
      <c r="F24" s="8" t="s">
        <v>50</v>
      </c>
      <c r="G24" s="8" t="s">
        <v>32</v>
      </c>
      <c r="H24" s="8" t="s">
        <v>30</v>
      </c>
      <c r="I24" s="8" t="n">
        <f aca="false">IF(EXACT(G24,H24),1,0)</f>
        <v>0</v>
      </c>
      <c r="J24" s="8" t="n">
        <v>1</v>
      </c>
      <c r="K24" s="8" t="s">
        <v>92</v>
      </c>
      <c r="L24" s="8" t="n">
        <v>0</v>
      </c>
      <c r="M24" s="8" t="n">
        <v>1</v>
      </c>
      <c r="N24" s="8" t="s">
        <v>93</v>
      </c>
      <c r="O24" s="8" t="n">
        <v>1</v>
      </c>
      <c r="P24" s="10" t="n">
        <v>4.87</v>
      </c>
      <c r="Q24" s="8"/>
      <c r="R24" s="8"/>
      <c r="S24" s="8" t="s">
        <v>132</v>
      </c>
      <c r="T24" s="8" t="s">
        <v>126</v>
      </c>
      <c r="U24" s="8" t="s">
        <v>127</v>
      </c>
      <c r="V24" s="8"/>
      <c r="W24" s="8" t="s">
        <v>133</v>
      </c>
      <c r="X24" s="8" t="s">
        <v>134</v>
      </c>
      <c r="Y24" s="8" t="s">
        <v>130</v>
      </c>
      <c r="Z24" s="8"/>
    </row>
    <row r="25" customFormat="false" ht="15" hidden="false" customHeight="false" outlineLevel="0" collapsed="false">
      <c r="A25" s="8" t="s">
        <v>131</v>
      </c>
      <c r="B25" s="8" t="s">
        <v>13</v>
      </c>
      <c r="C25" s="8" t="s">
        <v>14</v>
      </c>
      <c r="D25" s="8" t="s">
        <v>91</v>
      </c>
      <c r="E25" s="8" t="s">
        <v>35</v>
      </c>
      <c r="F25" s="8" t="s">
        <v>50</v>
      </c>
      <c r="G25" s="8" t="s">
        <v>32</v>
      </c>
      <c r="H25" s="8" t="s">
        <v>30</v>
      </c>
      <c r="I25" s="8" t="n">
        <f aca="false">IF(EXACT(G25,H25),1,0)</f>
        <v>0</v>
      </c>
      <c r="J25" s="8" t="n">
        <v>2</v>
      </c>
      <c r="K25" s="8" t="s">
        <v>92</v>
      </c>
      <c r="L25" s="8" t="n">
        <v>0</v>
      </c>
      <c r="M25" s="8" t="n">
        <v>1</v>
      </c>
      <c r="N25" s="8" t="s">
        <v>93</v>
      </c>
      <c r="O25" s="8" t="n">
        <v>1</v>
      </c>
      <c r="P25" s="10" t="n">
        <v>4.78</v>
      </c>
      <c r="Q25" s="8"/>
      <c r="R25" s="8"/>
      <c r="S25" s="8" t="s">
        <v>132</v>
      </c>
      <c r="T25" s="8" t="s">
        <v>126</v>
      </c>
      <c r="U25" s="8" t="s">
        <v>127</v>
      </c>
      <c r="V25" s="8"/>
      <c r="W25" s="8" t="s">
        <v>133</v>
      </c>
      <c r="X25" s="8" t="s">
        <v>134</v>
      </c>
      <c r="Y25" s="8" t="s">
        <v>130</v>
      </c>
      <c r="Z25" s="8"/>
    </row>
    <row r="26" customFormat="false" ht="15" hidden="false" customHeight="false" outlineLevel="0" collapsed="false">
      <c r="A26" s="8" t="s">
        <v>135</v>
      </c>
      <c r="B26" s="8" t="s">
        <v>13</v>
      </c>
      <c r="C26" s="8" t="s">
        <v>14</v>
      </c>
      <c r="D26" s="8" t="s">
        <v>91</v>
      </c>
      <c r="E26" s="8" t="s">
        <v>35</v>
      </c>
      <c r="F26" s="8" t="s">
        <v>50</v>
      </c>
      <c r="G26" s="8" t="s">
        <v>30</v>
      </c>
      <c r="H26" s="8" t="s">
        <v>30</v>
      </c>
      <c r="I26" s="8" t="n">
        <f aca="false">IF(EXACT(G26,H26),1,0)</f>
        <v>1</v>
      </c>
      <c r="J26" s="8" t="n">
        <v>0</v>
      </c>
      <c r="K26" s="8" t="s">
        <v>92</v>
      </c>
      <c r="L26" s="8" t="n">
        <v>0</v>
      </c>
      <c r="M26" s="8" t="n">
        <v>1</v>
      </c>
      <c r="N26" s="8" t="s">
        <v>93</v>
      </c>
      <c r="O26" s="8" t="n">
        <v>1</v>
      </c>
      <c r="P26" s="10" t="n">
        <v>5.81</v>
      </c>
      <c r="Q26" s="8"/>
      <c r="R26" s="8"/>
      <c r="S26" s="8" t="s">
        <v>105</v>
      </c>
      <c r="T26" s="8" t="s">
        <v>126</v>
      </c>
      <c r="U26" s="8" t="s">
        <v>127</v>
      </c>
      <c r="V26" s="8"/>
      <c r="W26" s="8" t="s">
        <v>136</v>
      </c>
      <c r="X26" s="8" t="s">
        <v>137</v>
      </c>
      <c r="Y26" s="8" t="s">
        <v>138</v>
      </c>
      <c r="Z26" s="8"/>
    </row>
    <row r="27" customFormat="false" ht="15" hidden="false" customHeight="false" outlineLevel="0" collapsed="false">
      <c r="A27" s="8" t="s">
        <v>135</v>
      </c>
      <c r="B27" s="8" t="s">
        <v>13</v>
      </c>
      <c r="C27" s="8" t="s">
        <v>14</v>
      </c>
      <c r="D27" s="8" t="s">
        <v>91</v>
      </c>
      <c r="E27" s="8" t="s">
        <v>35</v>
      </c>
      <c r="F27" s="8" t="s">
        <v>50</v>
      </c>
      <c r="G27" s="8" t="s">
        <v>30</v>
      </c>
      <c r="H27" s="8" t="s">
        <v>30</v>
      </c>
      <c r="I27" s="8" t="n">
        <f aca="false">IF(EXACT(G27,H27),1,0)</f>
        <v>1</v>
      </c>
      <c r="J27" s="8" t="n">
        <v>1</v>
      </c>
      <c r="K27" s="8" t="s">
        <v>92</v>
      </c>
      <c r="L27" s="8" t="n">
        <v>0</v>
      </c>
      <c r="M27" s="8" t="n">
        <v>1</v>
      </c>
      <c r="N27" s="8" t="s">
        <v>93</v>
      </c>
      <c r="O27" s="8" t="n">
        <v>1</v>
      </c>
      <c r="P27" s="10" t="n">
        <v>5.82</v>
      </c>
      <c r="Q27" s="8"/>
      <c r="R27" s="8"/>
      <c r="S27" s="8" t="s">
        <v>105</v>
      </c>
      <c r="T27" s="8" t="s">
        <v>126</v>
      </c>
      <c r="U27" s="8" t="s">
        <v>127</v>
      </c>
      <c r="V27" s="8"/>
      <c r="W27" s="8" t="s">
        <v>136</v>
      </c>
      <c r="X27" s="8" t="s">
        <v>137</v>
      </c>
      <c r="Y27" s="8" t="s">
        <v>138</v>
      </c>
      <c r="Z27" s="8"/>
    </row>
    <row r="28" customFormat="false" ht="15" hidden="false" customHeight="false" outlineLevel="0" collapsed="false">
      <c r="A28" s="8" t="s">
        <v>135</v>
      </c>
      <c r="B28" s="8" t="s">
        <v>13</v>
      </c>
      <c r="C28" s="8" t="s">
        <v>14</v>
      </c>
      <c r="D28" s="8" t="s">
        <v>91</v>
      </c>
      <c r="E28" s="8" t="s">
        <v>35</v>
      </c>
      <c r="F28" s="8" t="s">
        <v>50</v>
      </c>
      <c r="G28" s="8" t="s">
        <v>30</v>
      </c>
      <c r="H28" s="8" t="s">
        <v>30</v>
      </c>
      <c r="I28" s="8" t="n">
        <f aca="false">IF(EXACT(G28,H28),1,0)</f>
        <v>1</v>
      </c>
      <c r="J28" s="8" t="n">
        <v>2</v>
      </c>
      <c r="K28" s="8" t="s">
        <v>92</v>
      </c>
      <c r="L28" s="8" t="n">
        <v>0</v>
      </c>
      <c r="M28" s="8" t="n">
        <v>1</v>
      </c>
      <c r="N28" s="8" t="s">
        <v>93</v>
      </c>
      <c r="O28" s="8" t="n">
        <v>1</v>
      </c>
      <c r="P28" s="10" t="n">
        <v>6.12</v>
      </c>
      <c r="Q28" s="8"/>
      <c r="R28" s="8"/>
      <c r="S28" s="8" t="s">
        <v>105</v>
      </c>
      <c r="T28" s="8" t="s">
        <v>126</v>
      </c>
      <c r="U28" s="8" t="s">
        <v>127</v>
      </c>
      <c r="V28" s="8"/>
      <c r="W28" s="8" t="s">
        <v>136</v>
      </c>
      <c r="X28" s="8" t="s">
        <v>137</v>
      </c>
      <c r="Y28" s="8" t="s">
        <v>138</v>
      </c>
      <c r="Z28" s="8"/>
    </row>
    <row r="29" customFormat="false" ht="15" hidden="false" customHeight="false" outlineLevel="0" collapsed="false">
      <c r="A29" s="8" t="s">
        <v>139</v>
      </c>
      <c r="B29" s="8" t="s">
        <v>13</v>
      </c>
      <c r="C29" s="8" t="s">
        <v>14</v>
      </c>
      <c r="D29" s="8" t="s">
        <v>91</v>
      </c>
      <c r="E29" s="8" t="s">
        <v>35</v>
      </c>
      <c r="F29" s="8" t="s">
        <v>50</v>
      </c>
      <c r="G29" s="8" t="s">
        <v>31</v>
      </c>
      <c r="H29" s="8" t="s">
        <v>31</v>
      </c>
      <c r="I29" s="8" t="n">
        <f aca="false">IF(EXACT(G29,H29),1,0)</f>
        <v>1</v>
      </c>
      <c r="J29" s="8" t="n">
        <v>0</v>
      </c>
      <c r="K29" s="8" t="s">
        <v>140</v>
      </c>
      <c r="L29" s="8" t="n">
        <v>1</v>
      </c>
      <c r="M29" s="8" t="n">
        <v>1</v>
      </c>
      <c r="N29" s="8" t="s">
        <v>93</v>
      </c>
      <c r="O29" s="8" t="n">
        <v>1</v>
      </c>
      <c r="P29" s="10" t="n">
        <v>3.51</v>
      </c>
      <c r="Q29" s="8"/>
      <c r="R29" s="8"/>
      <c r="S29" s="8" t="s">
        <v>117</v>
      </c>
      <c r="T29" s="8" t="s">
        <v>126</v>
      </c>
      <c r="U29" s="8" t="s">
        <v>127</v>
      </c>
      <c r="V29" s="8"/>
      <c r="W29" s="8" t="s">
        <v>141</v>
      </c>
      <c r="X29" s="8" t="s">
        <v>142</v>
      </c>
      <c r="Y29" s="8" t="s">
        <v>143</v>
      </c>
      <c r="Z29" s="8" t="s">
        <v>144</v>
      </c>
    </row>
    <row r="30" customFormat="false" ht="15" hidden="false" customHeight="false" outlineLevel="0" collapsed="false">
      <c r="A30" s="8" t="s">
        <v>139</v>
      </c>
      <c r="B30" s="8" t="s">
        <v>13</v>
      </c>
      <c r="C30" s="8" t="s">
        <v>14</v>
      </c>
      <c r="D30" s="8" t="s">
        <v>91</v>
      </c>
      <c r="E30" s="8" t="s">
        <v>35</v>
      </c>
      <c r="F30" s="8" t="s">
        <v>50</v>
      </c>
      <c r="G30" s="8" t="s">
        <v>31</v>
      </c>
      <c r="H30" s="8" t="s">
        <v>31</v>
      </c>
      <c r="I30" s="8" t="n">
        <f aca="false">IF(EXACT(G30,H30),1,0)</f>
        <v>1</v>
      </c>
      <c r="J30" s="8" t="n">
        <v>1</v>
      </c>
      <c r="K30" s="8" t="s">
        <v>140</v>
      </c>
      <c r="L30" s="8" t="n">
        <v>1</v>
      </c>
      <c r="M30" s="8" t="n">
        <v>1</v>
      </c>
      <c r="N30" s="8" t="s">
        <v>93</v>
      </c>
      <c r="O30" s="8" t="n">
        <v>1</v>
      </c>
      <c r="P30" s="10" t="n">
        <v>3.51</v>
      </c>
      <c r="Q30" s="8"/>
      <c r="R30" s="8"/>
      <c r="S30" s="8" t="s">
        <v>117</v>
      </c>
      <c r="T30" s="8" t="s">
        <v>126</v>
      </c>
      <c r="U30" s="8" t="s">
        <v>127</v>
      </c>
      <c r="V30" s="8"/>
      <c r="W30" s="8" t="s">
        <v>141</v>
      </c>
      <c r="X30" s="8" t="s">
        <v>142</v>
      </c>
      <c r="Y30" s="8" t="s">
        <v>143</v>
      </c>
      <c r="Z30" s="8" t="s">
        <v>144</v>
      </c>
    </row>
    <row r="31" customFormat="false" ht="15" hidden="false" customHeight="false" outlineLevel="0" collapsed="false">
      <c r="A31" s="8" t="s">
        <v>139</v>
      </c>
      <c r="B31" s="8" t="s">
        <v>13</v>
      </c>
      <c r="C31" s="8" t="s">
        <v>14</v>
      </c>
      <c r="D31" s="8" t="s">
        <v>91</v>
      </c>
      <c r="E31" s="8" t="s">
        <v>35</v>
      </c>
      <c r="F31" s="8" t="s">
        <v>50</v>
      </c>
      <c r="G31" s="8" t="s">
        <v>31</v>
      </c>
      <c r="H31" s="8" t="s">
        <v>31</v>
      </c>
      <c r="I31" s="8" t="n">
        <f aca="false">IF(EXACT(G31,H31),1,0)</f>
        <v>1</v>
      </c>
      <c r="J31" s="8" t="n">
        <v>2</v>
      </c>
      <c r="K31" s="8" t="s">
        <v>140</v>
      </c>
      <c r="L31" s="8" t="n">
        <v>1</v>
      </c>
      <c r="M31" s="8" t="n">
        <v>1</v>
      </c>
      <c r="N31" s="8" t="s">
        <v>93</v>
      </c>
      <c r="O31" s="8" t="n">
        <v>1</v>
      </c>
      <c r="P31" s="10" t="n">
        <v>3.51</v>
      </c>
      <c r="Q31" s="8"/>
      <c r="R31" s="8"/>
      <c r="S31" s="8" t="s">
        <v>117</v>
      </c>
      <c r="T31" s="8" t="s">
        <v>126</v>
      </c>
      <c r="U31" s="8" t="s">
        <v>127</v>
      </c>
      <c r="V31" s="8"/>
      <c r="W31" s="8" t="s">
        <v>141</v>
      </c>
      <c r="X31" s="8" t="s">
        <v>142</v>
      </c>
      <c r="Y31" s="8" t="s">
        <v>143</v>
      </c>
      <c r="Z31" s="8" t="s">
        <v>144</v>
      </c>
    </row>
    <row r="32" customFormat="false" ht="15" hidden="false" customHeight="false" outlineLevel="0" collapsed="false">
      <c r="A32" s="8" t="s">
        <v>145</v>
      </c>
      <c r="B32" s="8" t="s">
        <v>13</v>
      </c>
      <c r="C32" s="8" t="s">
        <v>14</v>
      </c>
      <c r="D32" s="8" t="s">
        <v>91</v>
      </c>
      <c r="E32" s="8" t="s">
        <v>35</v>
      </c>
      <c r="F32" s="8" t="s">
        <v>50</v>
      </c>
      <c r="G32" s="8" t="s">
        <v>31</v>
      </c>
      <c r="H32" s="8" t="s">
        <v>31</v>
      </c>
      <c r="I32" s="8" t="n">
        <f aca="false">IF(EXACT(G32,H32),1,0)</f>
        <v>1</v>
      </c>
      <c r="J32" s="8" t="n">
        <v>0</v>
      </c>
      <c r="K32" s="8" t="s">
        <v>140</v>
      </c>
      <c r="L32" s="8" t="n">
        <v>1</v>
      </c>
      <c r="M32" s="8" t="n">
        <v>1</v>
      </c>
      <c r="N32" s="8" t="s">
        <v>93</v>
      </c>
      <c r="O32" s="8" t="n">
        <v>1</v>
      </c>
      <c r="P32" s="10" t="n">
        <v>3.51</v>
      </c>
      <c r="Q32" s="8"/>
      <c r="R32" s="8"/>
      <c r="S32" s="8" t="s">
        <v>146</v>
      </c>
      <c r="T32" s="8" t="s">
        <v>126</v>
      </c>
      <c r="U32" s="8" t="s">
        <v>127</v>
      </c>
      <c r="V32" s="8"/>
      <c r="W32" s="8" t="s">
        <v>147</v>
      </c>
      <c r="X32" s="8" t="s">
        <v>148</v>
      </c>
      <c r="Y32" s="8" t="s">
        <v>143</v>
      </c>
      <c r="Z32" s="8" t="s">
        <v>144</v>
      </c>
    </row>
    <row r="33" customFormat="false" ht="15" hidden="false" customHeight="false" outlineLevel="0" collapsed="false">
      <c r="A33" s="8" t="s">
        <v>145</v>
      </c>
      <c r="B33" s="8" t="s">
        <v>13</v>
      </c>
      <c r="C33" s="8" t="s">
        <v>14</v>
      </c>
      <c r="D33" s="8" t="s">
        <v>91</v>
      </c>
      <c r="E33" s="8" t="s">
        <v>35</v>
      </c>
      <c r="F33" s="8" t="s">
        <v>50</v>
      </c>
      <c r="G33" s="8" t="s">
        <v>31</v>
      </c>
      <c r="H33" s="8" t="s">
        <v>31</v>
      </c>
      <c r="I33" s="8" t="n">
        <f aca="false">IF(EXACT(G33,H33),1,0)</f>
        <v>1</v>
      </c>
      <c r="J33" s="8" t="n">
        <v>1</v>
      </c>
      <c r="K33" s="8" t="s">
        <v>140</v>
      </c>
      <c r="L33" s="8" t="n">
        <v>1</v>
      </c>
      <c r="M33" s="8" t="n">
        <v>1</v>
      </c>
      <c r="N33" s="8" t="s">
        <v>93</v>
      </c>
      <c r="O33" s="8" t="n">
        <v>1</v>
      </c>
      <c r="P33" s="10" t="n">
        <v>3.51</v>
      </c>
      <c r="Q33" s="8"/>
      <c r="R33" s="8"/>
      <c r="S33" s="8" t="s">
        <v>146</v>
      </c>
      <c r="T33" s="8" t="s">
        <v>126</v>
      </c>
      <c r="U33" s="8" t="s">
        <v>127</v>
      </c>
      <c r="V33" s="8"/>
      <c r="W33" s="8" t="s">
        <v>147</v>
      </c>
      <c r="X33" s="8" t="s">
        <v>148</v>
      </c>
      <c r="Y33" s="8" t="s">
        <v>143</v>
      </c>
      <c r="Z33" s="8" t="s">
        <v>144</v>
      </c>
    </row>
    <row r="34" customFormat="false" ht="15" hidden="false" customHeight="false" outlineLevel="0" collapsed="false">
      <c r="A34" s="8" t="s">
        <v>145</v>
      </c>
      <c r="B34" s="8" t="s">
        <v>13</v>
      </c>
      <c r="C34" s="8" t="s">
        <v>14</v>
      </c>
      <c r="D34" s="8" t="s">
        <v>91</v>
      </c>
      <c r="E34" s="8" t="s">
        <v>35</v>
      </c>
      <c r="F34" s="8" t="s">
        <v>50</v>
      </c>
      <c r="G34" s="8" t="s">
        <v>31</v>
      </c>
      <c r="H34" s="8" t="s">
        <v>31</v>
      </c>
      <c r="I34" s="8" t="n">
        <f aca="false">IF(EXACT(G34,H34),1,0)</f>
        <v>1</v>
      </c>
      <c r="J34" s="8" t="n">
        <v>2</v>
      </c>
      <c r="K34" s="8" t="s">
        <v>140</v>
      </c>
      <c r="L34" s="8" t="n">
        <v>1</v>
      </c>
      <c r="M34" s="8" t="n">
        <v>1</v>
      </c>
      <c r="N34" s="8" t="s">
        <v>93</v>
      </c>
      <c r="O34" s="8" t="n">
        <v>1</v>
      </c>
      <c r="P34" s="10" t="n">
        <v>3.51</v>
      </c>
      <c r="Q34" s="8"/>
      <c r="R34" s="8"/>
      <c r="S34" s="8" t="s">
        <v>146</v>
      </c>
      <c r="T34" s="8" t="s">
        <v>126</v>
      </c>
      <c r="U34" s="8" t="s">
        <v>127</v>
      </c>
      <c r="V34" s="8"/>
      <c r="W34" s="8" t="s">
        <v>147</v>
      </c>
      <c r="X34" s="8" t="s">
        <v>148</v>
      </c>
      <c r="Y34" s="8" t="s">
        <v>143</v>
      </c>
      <c r="Z34" s="8" t="s">
        <v>144</v>
      </c>
    </row>
    <row r="35" customFormat="false" ht="15" hidden="false" customHeight="false" outlineLevel="0" collapsed="false">
      <c r="A35" s="8" t="s">
        <v>149</v>
      </c>
      <c r="B35" s="8" t="s">
        <v>13</v>
      </c>
      <c r="C35" s="8" t="s">
        <v>14</v>
      </c>
      <c r="D35" s="8" t="s">
        <v>91</v>
      </c>
      <c r="E35" s="8" t="s">
        <v>35</v>
      </c>
      <c r="F35" s="8" t="s">
        <v>50</v>
      </c>
      <c r="G35" s="8" t="s">
        <v>30</v>
      </c>
      <c r="H35" s="8" t="s">
        <v>30</v>
      </c>
      <c r="I35" s="8" t="n">
        <f aca="false">IF(EXACT(G35,H35),1,0)</f>
        <v>1</v>
      </c>
      <c r="J35" s="8" t="n">
        <v>0</v>
      </c>
      <c r="K35" s="8" t="s">
        <v>92</v>
      </c>
      <c r="L35" s="8" t="n">
        <v>0</v>
      </c>
      <c r="M35" s="8" t="n">
        <v>1</v>
      </c>
      <c r="N35" s="8" t="s">
        <v>93</v>
      </c>
      <c r="O35" s="8" t="n">
        <v>1</v>
      </c>
      <c r="P35" s="10" t="n">
        <v>3.6</v>
      </c>
      <c r="Q35" s="8"/>
      <c r="R35" s="8"/>
      <c r="S35" s="8" t="s">
        <v>150</v>
      </c>
      <c r="T35" s="8" t="s">
        <v>126</v>
      </c>
      <c r="U35" s="8" t="s">
        <v>127</v>
      </c>
      <c r="V35" s="8"/>
      <c r="W35" s="8" t="s">
        <v>151</v>
      </c>
      <c r="X35" s="8" t="s">
        <v>152</v>
      </c>
      <c r="Y35" s="8" t="s">
        <v>108</v>
      </c>
      <c r="Z35" s="8"/>
    </row>
    <row r="36" customFormat="false" ht="15" hidden="false" customHeight="false" outlineLevel="0" collapsed="false">
      <c r="A36" s="8" t="s">
        <v>149</v>
      </c>
      <c r="B36" s="8" t="s">
        <v>13</v>
      </c>
      <c r="C36" s="8" t="s">
        <v>14</v>
      </c>
      <c r="D36" s="8" t="s">
        <v>91</v>
      </c>
      <c r="E36" s="8" t="s">
        <v>35</v>
      </c>
      <c r="F36" s="8" t="s">
        <v>50</v>
      </c>
      <c r="G36" s="8" t="s">
        <v>30</v>
      </c>
      <c r="H36" s="8" t="s">
        <v>30</v>
      </c>
      <c r="I36" s="8" t="n">
        <f aca="false">IF(EXACT(G36,H36),1,0)</f>
        <v>1</v>
      </c>
      <c r="J36" s="8" t="n">
        <v>1</v>
      </c>
      <c r="K36" s="8" t="s">
        <v>92</v>
      </c>
      <c r="L36" s="8" t="n">
        <v>0</v>
      </c>
      <c r="M36" s="8" t="n">
        <v>1</v>
      </c>
      <c r="N36" s="8" t="s">
        <v>93</v>
      </c>
      <c r="O36" s="8" t="n">
        <v>1</v>
      </c>
      <c r="P36" s="10" t="n">
        <v>3.53</v>
      </c>
      <c r="Q36" s="8"/>
      <c r="R36" s="8"/>
      <c r="S36" s="8" t="s">
        <v>150</v>
      </c>
      <c r="T36" s="8" t="s">
        <v>126</v>
      </c>
      <c r="U36" s="8" t="s">
        <v>127</v>
      </c>
      <c r="V36" s="8"/>
      <c r="W36" s="8" t="s">
        <v>151</v>
      </c>
      <c r="X36" s="8" t="s">
        <v>152</v>
      </c>
      <c r="Y36" s="8" t="s">
        <v>108</v>
      </c>
      <c r="Z36" s="8"/>
    </row>
    <row r="37" customFormat="false" ht="15" hidden="false" customHeight="false" outlineLevel="0" collapsed="false">
      <c r="A37" s="8" t="s">
        <v>149</v>
      </c>
      <c r="B37" s="8" t="s">
        <v>13</v>
      </c>
      <c r="C37" s="8" t="s">
        <v>14</v>
      </c>
      <c r="D37" s="8" t="s">
        <v>91</v>
      </c>
      <c r="E37" s="8" t="s">
        <v>35</v>
      </c>
      <c r="F37" s="8" t="s">
        <v>50</v>
      </c>
      <c r="G37" s="8" t="s">
        <v>30</v>
      </c>
      <c r="H37" s="8" t="s">
        <v>30</v>
      </c>
      <c r="I37" s="8" t="n">
        <f aca="false">IF(EXACT(G37,H37),1,0)</f>
        <v>1</v>
      </c>
      <c r="J37" s="8" t="n">
        <v>2</v>
      </c>
      <c r="K37" s="8" t="s">
        <v>92</v>
      </c>
      <c r="L37" s="8" t="n">
        <v>0</v>
      </c>
      <c r="M37" s="8" t="n">
        <v>1</v>
      </c>
      <c r="N37" s="8" t="s">
        <v>93</v>
      </c>
      <c r="O37" s="8" t="n">
        <v>1</v>
      </c>
      <c r="P37" s="10" t="n">
        <v>3.57</v>
      </c>
      <c r="Q37" s="8"/>
      <c r="R37" s="8"/>
      <c r="S37" s="8" t="s">
        <v>150</v>
      </c>
      <c r="T37" s="8" t="s">
        <v>126</v>
      </c>
      <c r="U37" s="8" t="s">
        <v>127</v>
      </c>
      <c r="V37" s="8"/>
      <c r="W37" s="8" t="s">
        <v>151</v>
      </c>
      <c r="X37" s="8" t="s">
        <v>152</v>
      </c>
      <c r="Y37" s="8" t="s">
        <v>108</v>
      </c>
      <c r="Z37" s="8"/>
    </row>
    <row r="38" customFormat="false" ht="15" hidden="false" customHeight="false" outlineLevel="0" collapsed="false">
      <c r="A38" s="8" t="s">
        <v>153</v>
      </c>
      <c r="B38" s="8" t="s">
        <v>13</v>
      </c>
      <c r="C38" s="8" t="s">
        <v>14</v>
      </c>
      <c r="D38" s="8" t="s">
        <v>91</v>
      </c>
      <c r="E38" s="8" t="s">
        <v>35</v>
      </c>
      <c r="F38" s="8" t="s">
        <v>53</v>
      </c>
      <c r="G38" s="8" t="s">
        <v>31</v>
      </c>
      <c r="H38" s="8" t="s">
        <v>30</v>
      </c>
      <c r="I38" s="8" t="n">
        <f aca="false">IF(EXACT(G38,H38),1,0)</f>
        <v>0</v>
      </c>
      <c r="J38" s="8" t="n">
        <v>0</v>
      </c>
      <c r="K38" s="8" t="s">
        <v>92</v>
      </c>
      <c r="L38" s="8" t="n">
        <v>0</v>
      </c>
      <c r="M38" s="8" t="n">
        <v>1</v>
      </c>
      <c r="N38" s="8" t="s">
        <v>93</v>
      </c>
      <c r="O38" s="8" t="n">
        <v>1</v>
      </c>
      <c r="P38" s="10" t="n">
        <v>4.8</v>
      </c>
      <c r="Q38" s="8"/>
      <c r="R38" s="8"/>
      <c r="S38" s="8" t="s">
        <v>154</v>
      </c>
      <c r="T38" s="8"/>
      <c r="U38" s="8"/>
      <c r="V38" s="8" t="s">
        <v>155</v>
      </c>
      <c r="W38" s="8"/>
      <c r="X38" s="8" t="s">
        <v>156</v>
      </c>
      <c r="Y38" s="8" t="s">
        <v>157</v>
      </c>
      <c r="Z38" s="8"/>
    </row>
    <row r="39" customFormat="false" ht="15" hidden="false" customHeight="false" outlineLevel="0" collapsed="false">
      <c r="A39" s="8" t="s">
        <v>153</v>
      </c>
      <c r="B39" s="8" t="s">
        <v>13</v>
      </c>
      <c r="C39" s="8" t="s">
        <v>14</v>
      </c>
      <c r="D39" s="8" t="s">
        <v>91</v>
      </c>
      <c r="E39" s="8" t="s">
        <v>35</v>
      </c>
      <c r="F39" s="8" t="s">
        <v>53</v>
      </c>
      <c r="G39" s="8" t="s">
        <v>31</v>
      </c>
      <c r="H39" s="8" t="s">
        <v>30</v>
      </c>
      <c r="I39" s="8" t="n">
        <f aca="false">IF(EXACT(G39,H39),1,0)</f>
        <v>0</v>
      </c>
      <c r="J39" s="8" t="n">
        <v>1</v>
      </c>
      <c r="K39" s="8" t="s">
        <v>92</v>
      </c>
      <c r="L39" s="8" t="n">
        <v>0</v>
      </c>
      <c r="M39" s="8" t="n">
        <v>1</v>
      </c>
      <c r="N39" s="8" t="s">
        <v>93</v>
      </c>
      <c r="O39" s="8" t="n">
        <v>1</v>
      </c>
      <c r="P39" s="10" t="n">
        <v>4.98</v>
      </c>
      <c r="Q39" s="8"/>
      <c r="R39" s="8"/>
      <c r="S39" s="8" t="s">
        <v>154</v>
      </c>
      <c r="T39" s="8"/>
      <c r="U39" s="8"/>
      <c r="V39" s="8" t="s">
        <v>155</v>
      </c>
      <c r="W39" s="8"/>
      <c r="X39" s="8" t="s">
        <v>156</v>
      </c>
      <c r="Y39" s="8" t="s">
        <v>157</v>
      </c>
      <c r="Z39" s="8"/>
    </row>
    <row r="40" customFormat="false" ht="15" hidden="false" customHeight="false" outlineLevel="0" collapsed="false">
      <c r="A40" s="8" t="s">
        <v>153</v>
      </c>
      <c r="B40" s="8" t="s">
        <v>13</v>
      </c>
      <c r="C40" s="8" t="s">
        <v>14</v>
      </c>
      <c r="D40" s="8" t="s">
        <v>91</v>
      </c>
      <c r="E40" s="8" t="s">
        <v>35</v>
      </c>
      <c r="F40" s="8" t="s">
        <v>53</v>
      </c>
      <c r="G40" s="8" t="s">
        <v>31</v>
      </c>
      <c r="H40" s="8" t="s">
        <v>30</v>
      </c>
      <c r="I40" s="8" t="n">
        <f aca="false">IF(EXACT(G40,H40),1,0)</f>
        <v>0</v>
      </c>
      <c r="J40" s="8" t="n">
        <v>2</v>
      </c>
      <c r="K40" s="8" t="s">
        <v>92</v>
      </c>
      <c r="L40" s="8" t="n">
        <v>0</v>
      </c>
      <c r="M40" s="8" t="n">
        <v>1</v>
      </c>
      <c r="N40" s="8" t="s">
        <v>93</v>
      </c>
      <c r="O40" s="8" t="n">
        <v>1</v>
      </c>
      <c r="P40" s="10" t="n">
        <v>4.72</v>
      </c>
      <c r="Q40" s="8"/>
      <c r="R40" s="8"/>
      <c r="S40" s="8" t="s">
        <v>154</v>
      </c>
      <c r="T40" s="8"/>
      <c r="U40" s="8"/>
      <c r="V40" s="8" t="s">
        <v>155</v>
      </c>
      <c r="W40" s="8"/>
      <c r="X40" s="8" t="s">
        <v>156</v>
      </c>
      <c r="Y40" s="8" t="s">
        <v>157</v>
      </c>
      <c r="Z40" s="8"/>
    </row>
    <row r="41" customFormat="false" ht="15" hidden="false" customHeight="false" outlineLevel="0" collapsed="false">
      <c r="A41" s="8" t="s">
        <v>158</v>
      </c>
      <c r="B41" s="8" t="s">
        <v>13</v>
      </c>
      <c r="C41" s="8" t="s">
        <v>14</v>
      </c>
      <c r="D41" s="8" t="s">
        <v>91</v>
      </c>
      <c r="E41" s="8" t="s">
        <v>35</v>
      </c>
      <c r="F41" s="8" t="s">
        <v>53</v>
      </c>
      <c r="G41" s="8" t="s">
        <v>31</v>
      </c>
      <c r="H41" s="8" t="s">
        <v>30</v>
      </c>
      <c r="I41" s="8" t="n">
        <f aca="false">IF(EXACT(G41,H41),1,0)</f>
        <v>0</v>
      </c>
      <c r="J41" s="8" t="n">
        <v>0</v>
      </c>
      <c r="K41" s="8" t="s">
        <v>92</v>
      </c>
      <c r="L41" s="8" t="n">
        <v>0</v>
      </c>
      <c r="M41" s="8" t="n">
        <v>1</v>
      </c>
      <c r="N41" s="8" t="s">
        <v>93</v>
      </c>
      <c r="O41" s="8" t="n">
        <v>1</v>
      </c>
      <c r="P41" s="10" t="n">
        <v>4.89</v>
      </c>
      <c r="Q41" s="8"/>
      <c r="R41" s="8"/>
      <c r="S41" s="8" t="s">
        <v>159</v>
      </c>
      <c r="T41" s="8"/>
      <c r="U41" s="8"/>
      <c r="V41" s="8" t="s">
        <v>155</v>
      </c>
      <c r="W41" s="8"/>
      <c r="X41" s="8" t="s">
        <v>160</v>
      </c>
      <c r="Y41" s="8" t="s">
        <v>161</v>
      </c>
      <c r="Z41" s="8"/>
    </row>
    <row r="42" customFormat="false" ht="15" hidden="false" customHeight="false" outlineLevel="0" collapsed="false">
      <c r="A42" s="8" t="s">
        <v>158</v>
      </c>
      <c r="B42" s="8" t="s">
        <v>13</v>
      </c>
      <c r="C42" s="8" t="s">
        <v>14</v>
      </c>
      <c r="D42" s="8" t="s">
        <v>91</v>
      </c>
      <c r="E42" s="8" t="s">
        <v>35</v>
      </c>
      <c r="F42" s="8" t="s">
        <v>53</v>
      </c>
      <c r="G42" s="8" t="s">
        <v>31</v>
      </c>
      <c r="H42" s="8" t="s">
        <v>30</v>
      </c>
      <c r="I42" s="8" t="n">
        <f aca="false">IF(EXACT(G42,H42),1,0)</f>
        <v>0</v>
      </c>
      <c r="J42" s="8" t="n">
        <v>1</v>
      </c>
      <c r="K42" s="8" t="s">
        <v>92</v>
      </c>
      <c r="L42" s="8" t="n">
        <v>0</v>
      </c>
      <c r="M42" s="8" t="n">
        <v>1</v>
      </c>
      <c r="N42" s="8" t="s">
        <v>93</v>
      </c>
      <c r="O42" s="8" t="n">
        <v>1</v>
      </c>
      <c r="P42" s="10" t="n">
        <v>4.51</v>
      </c>
      <c r="Q42" s="8"/>
      <c r="R42" s="8"/>
      <c r="S42" s="8" t="s">
        <v>159</v>
      </c>
      <c r="T42" s="8"/>
      <c r="U42" s="8"/>
      <c r="V42" s="8" t="s">
        <v>155</v>
      </c>
      <c r="W42" s="8"/>
      <c r="X42" s="8" t="s">
        <v>160</v>
      </c>
      <c r="Y42" s="8" t="s">
        <v>161</v>
      </c>
      <c r="Z42" s="8"/>
    </row>
    <row r="43" customFormat="false" ht="15" hidden="false" customHeight="false" outlineLevel="0" collapsed="false">
      <c r="A43" s="8" t="s">
        <v>158</v>
      </c>
      <c r="B43" s="8" t="s">
        <v>13</v>
      </c>
      <c r="C43" s="8" t="s">
        <v>14</v>
      </c>
      <c r="D43" s="8" t="s">
        <v>91</v>
      </c>
      <c r="E43" s="8" t="s">
        <v>35</v>
      </c>
      <c r="F43" s="8" t="s">
        <v>53</v>
      </c>
      <c r="G43" s="8" t="s">
        <v>31</v>
      </c>
      <c r="H43" s="8" t="s">
        <v>30</v>
      </c>
      <c r="I43" s="8" t="n">
        <f aca="false">IF(EXACT(G43,H43),1,0)</f>
        <v>0</v>
      </c>
      <c r="J43" s="8" t="n">
        <v>2</v>
      </c>
      <c r="K43" s="8" t="s">
        <v>92</v>
      </c>
      <c r="L43" s="8" t="n">
        <v>0</v>
      </c>
      <c r="M43" s="8" t="n">
        <v>1</v>
      </c>
      <c r="N43" s="8" t="s">
        <v>93</v>
      </c>
      <c r="O43" s="8" t="n">
        <v>1</v>
      </c>
      <c r="P43" s="10" t="n">
        <v>4.86</v>
      </c>
      <c r="Q43" s="8"/>
      <c r="R43" s="8"/>
      <c r="S43" s="8" t="s">
        <v>159</v>
      </c>
      <c r="T43" s="8"/>
      <c r="U43" s="8"/>
      <c r="V43" s="8" t="s">
        <v>155</v>
      </c>
      <c r="W43" s="8"/>
      <c r="X43" s="8" t="s">
        <v>160</v>
      </c>
      <c r="Y43" s="8" t="s">
        <v>161</v>
      </c>
      <c r="Z43" s="8"/>
    </row>
    <row r="44" customFormat="false" ht="15" hidden="false" customHeight="false" outlineLevel="0" collapsed="false">
      <c r="A44" s="8" t="s">
        <v>162</v>
      </c>
      <c r="B44" s="8" t="s">
        <v>13</v>
      </c>
      <c r="C44" s="8" t="s">
        <v>14</v>
      </c>
      <c r="D44" s="8" t="s">
        <v>91</v>
      </c>
      <c r="E44" s="8" t="s">
        <v>35</v>
      </c>
      <c r="F44" s="8" t="s">
        <v>53</v>
      </c>
      <c r="G44" s="8" t="s">
        <v>32</v>
      </c>
      <c r="H44" s="8" t="s">
        <v>30</v>
      </c>
      <c r="I44" s="8" t="n">
        <f aca="false">IF(EXACT(G44,H44),1,0)</f>
        <v>0</v>
      </c>
      <c r="J44" s="8" t="n">
        <v>0</v>
      </c>
      <c r="K44" s="8" t="s">
        <v>92</v>
      </c>
      <c r="L44" s="8" t="n">
        <v>0</v>
      </c>
      <c r="M44" s="8" t="n">
        <v>1</v>
      </c>
      <c r="N44" s="8" t="s">
        <v>93</v>
      </c>
      <c r="O44" s="8" t="n">
        <v>1</v>
      </c>
      <c r="P44" s="10" t="n">
        <v>4.55</v>
      </c>
      <c r="Q44" s="8"/>
      <c r="R44" s="8"/>
      <c r="S44" s="8" t="s">
        <v>163</v>
      </c>
      <c r="T44" s="8"/>
      <c r="U44" s="8"/>
      <c r="V44" s="8" t="s">
        <v>155</v>
      </c>
      <c r="W44" s="8"/>
      <c r="X44" s="8" t="s">
        <v>164</v>
      </c>
      <c r="Y44" s="8" t="s">
        <v>161</v>
      </c>
      <c r="Z44" s="8"/>
    </row>
    <row r="45" customFormat="false" ht="15" hidden="false" customHeight="false" outlineLevel="0" collapsed="false">
      <c r="A45" s="8" t="s">
        <v>162</v>
      </c>
      <c r="B45" s="8" t="s">
        <v>13</v>
      </c>
      <c r="C45" s="8" t="s">
        <v>14</v>
      </c>
      <c r="D45" s="8" t="s">
        <v>91</v>
      </c>
      <c r="E45" s="8" t="s">
        <v>35</v>
      </c>
      <c r="F45" s="8" t="s">
        <v>53</v>
      </c>
      <c r="G45" s="8" t="s">
        <v>32</v>
      </c>
      <c r="H45" s="8" t="s">
        <v>30</v>
      </c>
      <c r="I45" s="8" t="n">
        <f aca="false">IF(EXACT(G45,H45),1,0)</f>
        <v>0</v>
      </c>
      <c r="J45" s="8" t="n">
        <v>1</v>
      </c>
      <c r="K45" s="8" t="s">
        <v>92</v>
      </c>
      <c r="L45" s="8" t="n">
        <v>0</v>
      </c>
      <c r="M45" s="8" t="n">
        <v>1</v>
      </c>
      <c r="N45" s="8" t="s">
        <v>93</v>
      </c>
      <c r="O45" s="8" t="n">
        <v>1</v>
      </c>
      <c r="P45" s="10" t="n">
        <v>4.64</v>
      </c>
      <c r="Q45" s="8"/>
      <c r="R45" s="8"/>
      <c r="S45" s="8" t="s">
        <v>163</v>
      </c>
      <c r="T45" s="8"/>
      <c r="U45" s="8"/>
      <c r="V45" s="8" t="s">
        <v>155</v>
      </c>
      <c r="W45" s="8"/>
      <c r="X45" s="8" t="s">
        <v>164</v>
      </c>
      <c r="Y45" s="8" t="s">
        <v>161</v>
      </c>
      <c r="Z45" s="8"/>
    </row>
    <row r="46" customFormat="false" ht="15" hidden="false" customHeight="false" outlineLevel="0" collapsed="false">
      <c r="A46" s="8" t="s">
        <v>162</v>
      </c>
      <c r="B46" s="8" t="s">
        <v>13</v>
      </c>
      <c r="C46" s="8" t="s">
        <v>14</v>
      </c>
      <c r="D46" s="8" t="s">
        <v>91</v>
      </c>
      <c r="E46" s="8" t="s">
        <v>35</v>
      </c>
      <c r="F46" s="8" t="s">
        <v>53</v>
      </c>
      <c r="G46" s="8" t="s">
        <v>32</v>
      </c>
      <c r="H46" s="8" t="s">
        <v>30</v>
      </c>
      <c r="I46" s="8" t="n">
        <f aca="false">IF(EXACT(G46,H46),1,0)</f>
        <v>0</v>
      </c>
      <c r="J46" s="8" t="n">
        <v>2</v>
      </c>
      <c r="K46" s="8" t="s">
        <v>92</v>
      </c>
      <c r="L46" s="8" t="n">
        <v>0</v>
      </c>
      <c r="M46" s="8" t="n">
        <v>1</v>
      </c>
      <c r="N46" s="8" t="s">
        <v>93</v>
      </c>
      <c r="O46" s="8" t="n">
        <v>1</v>
      </c>
      <c r="P46" s="10" t="n">
        <v>5.04</v>
      </c>
      <c r="Q46" s="8"/>
      <c r="R46" s="8"/>
      <c r="S46" s="8" t="s">
        <v>163</v>
      </c>
      <c r="T46" s="8"/>
      <c r="U46" s="8"/>
      <c r="V46" s="8" t="s">
        <v>155</v>
      </c>
      <c r="W46" s="8"/>
      <c r="X46" s="8" t="s">
        <v>164</v>
      </c>
      <c r="Y46" s="8" t="s">
        <v>161</v>
      </c>
      <c r="Z46" s="8"/>
    </row>
    <row r="47" customFormat="false" ht="15" hidden="false" customHeight="false" outlineLevel="0" collapsed="false">
      <c r="A47" s="8" t="s">
        <v>165</v>
      </c>
      <c r="B47" s="8" t="s">
        <v>13</v>
      </c>
      <c r="C47" s="8" t="s">
        <v>14</v>
      </c>
      <c r="D47" s="8" t="s">
        <v>91</v>
      </c>
      <c r="E47" s="8" t="s">
        <v>35</v>
      </c>
      <c r="F47" s="8" t="s">
        <v>53</v>
      </c>
      <c r="G47" s="8" t="s">
        <v>32</v>
      </c>
      <c r="H47" s="8" t="s">
        <v>30</v>
      </c>
      <c r="I47" s="8" t="n">
        <f aca="false">IF(EXACT(G47,H47),1,0)</f>
        <v>0</v>
      </c>
      <c r="J47" s="8" t="n">
        <v>0</v>
      </c>
      <c r="K47" s="8" t="s">
        <v>92</v>
      </c>
      <c r="L47" s="8" t="n">
        <v>0</v>
      </c>
      <c r="M47" s="8" t="n">
        <v>1</v>
      </c>
      <c r="N47" s="8" t="s">
        <v>93</v>
      </c>
      <c r="O47" s="8" t="n">
        <v>1</v>
      </c>
      <c r="P47" s="10" t="n">
        <v>4.51</v>
      </c>
      <c r="Q47" s="8"/>
      <c r="R47" s="8"/>
      <c r="S47" s="8" t="s">
        <v>166</v>
      </c>
      <c r="T47" s="8"/>
      <c r="U47" s="8"/>
      <c r="V47" s="8" t="s">
        <v>155</v>
      </c>
      <c r="W47" s="8"/>
      <c r="X47" s="8" t="s">
        <v>167</v>
      </c>
      <c r="Y47" s="8" t="s">
        <v>161</v>
      </c>
      <c r="Z47" s="8"/>
    </row>
    <row r="48" customFormat="false" ht="15" hidden="false" customHeight="false" outlineLevel="0" collapsed="false">
      <c r="A48" s="8" t="s">
        <v>165</v>
      </c>
      <c r="B48" s="8" t="s">
        <v>13</v>
      </c>
      <c r="C48" s="8" t="s">
        <v>14</v>
      </c>
      <c r="D48" s="8" t="s">
        <v>91</v>
      </c>
      <c r="E48" s="8" t="s">
        <v>35</v>
      </c>
      <c r="F48" s="8" t="s">
        <v>53</v>
      </c>
      <c r="G48" s="8" t="s">
        <v>32</v>
      </c>
      <c r="H48" s="8" t="s">
        <v>30</v>
      </c>
      <c r="I48" s="8" t="n">
        <f aca="false">IF(EXACT(G48,H48),1,0)</f>
        <v>0</v>
      </c>
      <c r="J48" s="8" t="n">
        <v>1</v>
      </c>
      <c r="K48" s="8" t="s">
        <v>92</v>
      </c>
      <c r="L48" s="8" t="n">
        <v>0</v>
      </c>
      <c r="M48" s="8" t="n">
        <v>1</v>
      </c>
      <c r="N48" s="8" t="s">
        <v>93</v>
      </c>
      <c r="O48" s="8" t="n">
        <v>1</v>
      </c>
      <c r="P48" s="10" t="n">
        <v>4.44</v>
      </c>
      <c r="Q48" s="8"/>
      <c r="R48" s="8"/>
      <c r="S48" s="8" t="s">
        <v>166</v>
      </c>
      <c r="T48" s="8"/>
      <c r="U48" s="8"/>
      <c r="V48" s="8" t="s">
        <v>155</v>
      </c>
      <c r="W48" s="8"/>
      <c r="X48" s="8" t="s">
        <v>167</v>
      </c>
      <c r="Y48" s="8" t="s">
        <v>161</v>
      </c>
      <c r="Z48" s="8"/>
    </row>
    <row r="49" customFormat="false" ht="15" hidden="false" customHeight="false" outlineLevel="0" collapsed="false">
      <c r="A49" s="8" t="s">
        <v>165</v>
      </c>
      <c r="B49" s="8" t="s">
        <v>13</v>
      </c>
      <c r="C49" s="8" t="s">
        <v>14</v>
      </c>
      <c r="D49" s="8" t="s">
        <v>91</v>
      </c>
      <c r="E49" s="8" t="s">
        <v>35</v>
      </c>
      <c r="F49" s="8" t="s">
        <v>53</v>
      </c>
      <c r="G49" s="8" t="s">
        <v>32</v>
      </c>
      <c r="H49" s="8" t="s">
        <v>30</v>
      </c>
      <c r="I49" s="8" t="n">
        <f aca="false">IF(EXACT(G49,H49),1,0)</f>
        <v>0</v>
      </c>
      <c r="J49" s="8" t="n">
        <v>2</v>
      </c>
      <c r="K49" s="8" t="s">
        <v>92</v>
      </c>
      <c r="L49" s="8" t="n">
        <v>0</v>
      </c>
      <c r="M49" s="8" t="n">
        <v>1</v>
      </c>
      <c r="N49" s="8" t="s">
        <v>93</v>
      </c>
      <c r="O49" s="8" t="n">
        <v>1</v>
      </c>
      <c r="P49" s="10" t="n">
        <v>4.66</v>
      </c>
      <c r="Q49" s="8"/>
      <c r="R49" s="8"/>
      <c r="S49" s="8" t="s">
        <v>166</v>
      </c>
      <c r="T49" s="8"/>
      <c r="U49" s="8"/>
      <c r="V49" s="8" t="s">
        <v>155</v>
      </c>
      <c r="W49" s="8"/>
      <c r="X49" s="8" t="s">
        <v>167</v>
      </c>
      <c r="Y49" s="8" t="s">
        <v>161</v>
      </c>
      <c r="Z49" s="8"/>
    </row>
    <row r="50" customFormat="false" ht="15" hidden="false" customHeight="false" outlineLevel="0" collapsed="false">
      <c r="A50" s="8" t="s">
        <v>168</v>
      </c>
      <c r="B50" s="8" t="s">
        <v>13</v>
      </c>
      <c r="C50" s="8" t="s">
        <v>14</v>
      </c>
      <c r="D50" s="8" t="s">
        <v>91</v>
      </c>
      <c r="E50" s="8" t="s">
        <v>35</v>
      </c>
      <c r="F50" s="8" t="s">
        <v>53</v>
      </c>
      <c r="G50" s="8" t="s">
        <v>30</v>
      </c>
      <c r="H50" s="8" t="s">
        <v>30</v>
      </c>
      <c r="I50" s="8" t="n">
        <f aca="false">IF(EXACT(G50,H50),1,0)</f>
        <v>1</v>
      </c>
      <c r="J50" s="8" t="n">
        <v>0</v>
      </c>
      <c r="K50" s="8" t="s">
        <v>92</v>
      </c>
      <c r="L50" s="8" t="n">
        <v>0</v>
      </c>
      <c r="M50" s="8" t="n">
        <v>1</v>
      </c>
      <c r="N50" s="8" t="s">
        <v>93</v>
      </c>
      <c r="O50" s="8" t="n">
        <v>1</v>
      </c>
      <c r="P50" s="10" t="n">
        <v>4.64</v>
      </c>
      <c r="Q50" s="8"/>
      <c r="R50" s="8"/>
      <c r="S50" s="8" t="s">
        <v>169</v>
      </c>
      <c r="T50" s="8"/>
      <c r="U50" s="8"/>
      <c r="V50" s="8" t="s">
        <v>155</v>
      </c>
      <c r="W50" s="8"/>
      <c r="X50" s="8" t="s">
        <v>170</v>
      </c>
      <c r="Y50" s="8" t="s">
        <v>161</v>
      </c>
      <c r="Z50" s="8"/>
    </row>
    <row r="51" customFormat="false" ht="15" hidden="false" customHeight="false" outlineLevel="0" collapsed="false">
      <c r="A51" s="8" t="s">
        <v>168</v>
      </c>
      <c r="B51" s="8" t="s">
        <v>13</v>
      </c>
      <c r="C51" s="8" t="s">
        <v>14</v>
      </c>
      <c r="D51" s="8" t="s">
        <v>91</v>
      </c>
      <c r="E51" s="8" t="s">
        <v>35</v>
      </c>
      <c r="F51" s="8" t="s">
        <v>53</v>
      </c>
      <c r="G51" s="8" t="s">
        <v>30</v>
      </c>
      <c r="H51" s="8" t="s">
        <v>30</v>
      </c>
      <c r="I51" s="8" t="n">
        <f aca="false">IF(EXACT(G51,H51),1,0)</f>
        <v>1</v>
      </c>
      <c r="J51" s="8" t="n">
        <v>1</v>
      </c>
      <c r="K51" s="8" t="s">
        <v>92</v>
      </c>
      <c r="L51" s="8" t="n">
        <v>0</v>
      </c>
      <c r="M51" s="8" t="n">
        <v>1</v>
      </c>
      <c r="N51" s="8" t="s">
        <v>93</v>
      </c>
      <c r="O51" s="8" t="n">
        <v>1</v>
      </c>
      <c r="P51" s="10" t="n">
        <v>4.64</v>
      </c>
      <c r="Q51" s="8"/>
      <c r="R51" s="8"/>
      <c r="S51" s="8" t="s">
        <v>169</v>
      </c>
      <c r="T51" s="8"/>
      <c r="U51" s="8"/>
      <c r="V51" s="8" t="s">
        <v>155</v>
      </c>
      <c r="W51" s="8"/>
      <c r="X51" s="8" t="s">
        <v>170</v>
      </c>
      <c r="Y51" s="8" t="s">
        <v>161</v>
      </c>
      <c r="Z51" s="8"/>
    </row>
    <row r="52" customFormat="false" ht="15" hidden="false" customHeight="false" outlineLevel="0" collapsed="false">
      <c r="A52" s="8" t="s">
        <v>168</v>
      </c>
      <c r="B52" s="8" t="s">
        <v>13</v>
      </c>
      <c r="C52" s="8" t="s">
        <v>14</v>
      </c>
      <c r="D52" s="8" t="s">
        <v>91</v>
      </c>
      <c r="E52" s="8" t="s">
        <v>35</v>
      </c>
      <c r="F52" s="8" t="s">
        <v>53</v>
      </c>
      <c r="G52" s="8" t="s">
        <v>30</v>
      </c>
      <c r="H52" s="8" t="s">
        <v>30</v>
      </c>
      <c r="I52" s="8" t="n">
        <f aca="false">IF(EXACT(G52,H52),1,0)</f>
        <v>1</v>
      </c>
      <c r="J52" s="8" t="n">
        <v>2</v>
      </c>
      <c r="K52" s="8" t="s">
        <v>92</v>
      </c>
      <c r="L52" s="8" t="n">
        <v>0</v>
      </c>
      <c r="M52" s="8" t="n">
        <v>1</v>
      </c>
      <c r="N52" s="8" t="s">
        <v>93</v>
      </c>
      <c r="O52" s="8" t="n">
        <v>1</v>
      </c>
      <c r="P52" s="10" t="n">
        <v>4.73</v>
      </c>
      <c r="Q52" s="8"/>
      <c r="R52" s="8"/>
      <c r="S52" s="8" t="s">
        <v>169</v>
      </c>
      <c r="T52" s="8"/>
      <c r="U52" s="8"/>
      <c r="V52" s="8" t="s">
        <v>155</v>
      </c>
      <c r="W52" s="8"/>
      <c r="X52" s="8" t="s">
        <v>170</v>
      </c>
      <c r="Y52" s="8" t="s">
        <v>161</v>
      </c>
      <c r="Z52" s="8"/>
    </row>
    <row r="53" customFormat="false" ht="15" hidden="false" customHeight="false" outlineLevel="0" collapsed="false">
      <c r="A53" s="8" t="s">
        <v>171</v>
      </c>
      <c r="B53" s="8" t="s">
        <v>13</v>
      </c>
      <c r="C53" s="8" t="s">
        <v>14</v>
      </c>
      <c r="D53" s="8" t="s">
        <v>91</v>
      </c>
      <c r="E53" s="8" t="s">
        <v>35</v>
      </c>
      <c r="F53" s="8" t="s">
        <v>53</v>
      </c>
      <c r="G53" s="8" t="s">
        <v>30</v>
      </c>
      <c r="H53" s="8" t="s">
        <v>30</v>
      </c>
      <c r="I53" s="8" t="n">
        <f aca="false">IF(EXACT(G53,H53),1,0)</f>
        <v>1</v>
      </c>
      <c r="J53" s="8" t="n">
        <v>0</v>
      </c>
      <c r="K53" s="8" t="s">
        <v>92</v>
      </c>
      <c r="L53" s="8" t="n">
        <v>0</v>
      </c>
      <c r="M53" s="8" t="n">
        <v>1</v>
      </c>
      <c r="N53" s="8" t="s">
        <v>93</v>
      </c>
      <c r="O53" s="8" t="n">
        <v>1</v>
      </c>
      <c r="P53" s="10" t="n">
        <v>4.61</v>
      </c>
      <c r="Q53" s="8"/>
      <c r="R53" s="8"/>
      <c r="S53" s="8" t="s">
        <v>172</v>
      </c>
      <c r="T53" s="8"/>
      <c r="U53" s="8"/>
      <c r="V53" s="8" t="s">
        <v>155</v>
      </c>
      <c r="W53" s="8"/>
      <c r="X53" s="8" t="s">
        <v>173</v>
      </c>
      <c r="Y53" s="8" t="s">
        <v>161</v>
      </c>
      <c r="Z53" s="8"/>
    </row>
    <row r="54" customFormat="false" ht="15" hidden="false" customHeight="false" outlineLevel="0" collapsed="false">
      <c r="A54" s="8" t="s">
        <v>171</v>
      </c>
      <c r="B54" s="8" t="s">
        <v>13</v>
      </c>
      <c r="C54" s="8" t="s">
        <v>14</v>
      </c>
      <c r="D54" s="8" t="s">
        <v>91</v>
      </c>
      <c r="E54" s="8" t="s">
        <v>35</v>
      </c>
      <c r="F54" s="8" t="s">
        <v>53</v>
      </c>
      <c r="G54" s="8" t="s">
        <v>30</v>
      </c>
      <c r="H54" s="8" t="s">
        <v>30</v>
      </c>
      <c r="I54" s="8" t="n">
        <f aca="false">IF(EXACT(G54,H54),1,0)</f>
        <v>1</v>
      </c>
      <c r="J54" s="8" t="n">
        <v>1</v>
      </c>
      <c r="K54" s="8" t="s">
        <v>92</v>
      </c>
      <c r="L54" s="8" t="n">
        <v>0</v>
      </c>
      <c r="M54" s="8" t="n">
        <v>1</v>
      </c>
      <c r="N54" s="8" t="s">
        <v>93</v>
      </c>
      <c r="O54" s="8" t="n">
        <v>1</v>
      </c>
      <c r="P54" s="10" t="n">
        <v>4.7</v>
      </c>
      <c r="Q54" s="8"/>
      <c r="R54" s="8"/>
      <c r="S54" s="8" t="s">
        <v>172</v>
      </c>
      <c r="T54" s="8"/>
      <c r="U54" s="8"/>
      <c r="V54" s="8" t="s">
        <v>155</v>
      </c>
      <c r="W54" s="8"/>
      <c r="X54" s="8" t="s">
        <v>173</v>
      </c>
      <c r="Y54" s="8" t="s">
        <v>161</v>
      </c>
      <c r="Z54" s="8"/>
    </row>
    <row r="55" customFormat="false" ht="15" hidden="false" customHeight="false" outlineLevel="0" collapsed="false">
      <c r="A55" s="8" t="s">
        <v>171</v>
      </c>
      <c r="B55" s="8" t="s">
        <v>13</v>
      </c>
      <c r="C55" s="8" t="s">
        <v>14</v>
      </c>
      <c r="D55" s="8" t="s">
        <v>91</v>
      </c>
      <c r="E55" s="8" t="s">
        <v>35</v>
      </c>
      <c r="F55" s="8" t="s">
        <v>53</v>
      </c>
      <c r="G55" s="8" t="s">
        <v>30</v>
      </c>
      <c r="H55" s="8" t="s">
        <v>30</v>
      </c>
      <c r="I55" s="8" t="n">
        <f aca="false">IF(EXACT(G55,H55),1,0)</f>
        <v>1</v>
      </c>
      <c r="J55" s="8" t="n">
        <v>2</v>
      </c>
      <c r="K55" s="8" t="s">
        <v>92</v>
      </c>
      <c r="L55" s="8" t="n">
        <v>0</v>
      </c>
      <c r="M55" s="8" t="n">
        <v>1</v>
      </c>
      <c r="N55" s="8" t="s">
        <v>93</v>
      </c>
      <c r="O55" s="8" t="n">
        <v>1</v>
      </c>
      <c r="P55" s="10" t="n">
        <v>4.77</v>
      </c>
      <c r="Q55" s="8"/>
      <c r="R55" s="8"/>
      <c r="S55" s="8" t="s">
        <v>172</v>
      </c>
      <c r="T55" s="8"/>
      <c r="U55" s="8"/>
      <c r="V55" s="8" t="s">
        <v>155</v>
      </c>
      <c r="W55" s="8"/>
      <c r="X55" s="8" t="s">
        <v>173</v>
      </c>
      <c r="Y55" s="8" t="s">
        <v>161</v>
      </c>
      <c r="Z55" s="8"/>
    </row>
    <row r="56" customFormat="false" ht="15" hidden="false" customHeight="false" outlineLevel="0" collapsed="false">
      <c r="A56" s="8" t="s">
        <v>174</v>
      </c>
      <c r="B56" s="8" t="s">
        <v>13</v>
      </c>
      <c r="C56" s="8" t="s">
        <v>14</v>
      </c>
      <c r="D56" s="8" t="s">
        <v>91</v>
      </c>
      <c r="E56" s="8" t="s">
        <v>35</v>
      </c>
      <c r="F56" s="8" t="s">
        <v>56</v>
      </c>
      <c r="G56" s="8" t="s">
        <v>30</v>
      </c>
      <c r="H56" s="8" t="s">
        <v>30</v>
      </c>
      <c r="I56" s="8" t="n">
        <f aca="false">IF(EXACT(G56,H56),1,0)</f>
        <v>1</v>
      </c>
      <c r="J56" s="8" t="n">
        <v>0</v>
      </c>
      <c r="K56" s="8" t="s">
        <v>92</v>
      </c>
      <c r="L56" s="8" t="n">
        <v>0</v>
      </c>
      <c r="M56" s="8" t="n">
        <v>1</v>
      </c>
      <c r="N56" s="8" t="s">
        <v>93</v>
      </c>
      <c r="O56" s="8" t="n">
        <v>1</v>
      </c>
      <c r="P56" s="10" t="n">
        <v>4.77</v>
      </c>
      <c r="Q56" s="8"/>
      <c r="R56" s="8"/>
      <c r="S56" s="8" t="s">
        <v>105</v>
      </c>
      <c r="T56" s="8" t="s">
        <v>175</v>
      </c>
      <c r="U56" s="8" t="s">
        <v>176</v>
      </c>
      <c r="V56" s="8"/>
      <c r="W56" s="8" t="s">
        <v>177</v>
      </c>
      <c r="X56" s="8" t="s">
        <v>178</v>
      </c>
      <c r="Y56" s="8" t="s">
        <v>108</v>
      </c>
      <c r="Z56" s="8"/>
    </row>
    <row r="57" customFormat="false" ht="15" hidden="false" customHeight="false" outlineLevel="0" collapsed="false">
      <c r="A57" s="8" t="s">
        <v>174</v>
      </c>
      <c r="B57" s="8" t="s">
        <v>13</v>
      </c>
      <c r="C57" s="8" t="s">
        <v>14</v>
      </c>
      <c r="D57" s="8" t="s">
        <v>91</v>
      </c>
      <c r="E57" s="8" t="s">
        <v>35</v>
      </c>
      <c r="F57" s="8" t="s">
        <v>56</v>
      </c>
      <c r="G57" s="8" t="s">
        <v>30</v>
      </c>
      <c r="H57" s="8" t="s">
        <v>30</v>
      </c>
      <c r="I57" s="8" t="n">
        <f aca="false">IF(EXACT(G57,H57),1,0)</f>
        <v>1</v>
      </c>
      <c r="J57" s="8" t="n">
        <v>1</v>
      </c>
      <c r="K57" s="8" t="s">
        <v>92</v>
      </c>
      <c r="L57" s="8" t="n">
        <v>0</v>
      </c>
      <c r="M57" s="8" t="n">
        <v>1</v>
      </c>
      <c r="N57" s="8" t="s">
        <v>93</v>
      </c>
      <c r="O57" s="8" t="n">
        <v>1</v>
      </c>
      <c r="P57" s="10" t="n">
        <v>4.67</v>
      </c>
      <c r="Q57" s="8"/>
      <c r="R57" s="8"/>
      <c r="S57" s="8" t="s">
        <v>105</v>
      </c>
      <c r="T57" s="8" t="s">
        <v>175</v>
      </c>
      <c r="U57" s="8" t="s">
        <v>176</v>
      </c>
      <c r="V57" s="8"/>
      <c r="W57" s="8" t="s">
        <v>177</v>
      </c>
      <c r="X57" s="8" t="s">
        <v>178</v>
      </c>
      <c r="Y57" s="8" t="s">
        <v>108</v>
      </c>
      <c r="Z57" s="8"/>
    </row>
    <row r="58" customFormat="false" ht="15" hidden="false" customHeight="false" outlineLevel="0" collapsed="false">
      <c r="A58" s="8" t="s">
        <v>174</v>
      </c>
      <c r="B58" s="8" t="s">
        <v>13</v>
      </c>
      <c r="C58" s="8" t="s">
        <v>14</v>
      </c>
      <c r="D58" s="8" t="s">
        <v>91</v>
      </c>
      <c r="E58" s="8" t="s">
        <v>35</v>
      </c>
      <c r="F58" s="8" t="s">
        <v>56</v>
      </c>
      <c r="G58" s="8" t="s">
        <v>30</v>
      </c>
      <c r="H58" s="8" t="s">
        <v>30</v>
      </c>
      <c r="I58" s="8" t="n">
        <f aca="false">IF(EXACT(G58,H58),1,0)</f>
        <v>1</v>
      </c>
      <c r="J58" s="8" t="n">
        <v>2</v>
      </c>
      <c r="K58" s="8" t="s">
        <v>92</v>
      </c>
      <c r="L58" s="8" t="n">
        <v>0</v>
      </c>
      <c r="M58" s="8" t="n">
        <v>1</v>
      </c>
      <c r="N58" s="8" t="s">
        <v>93</v>
      </c>
      <c r="O58" s="8" t="n">
        <v>1</v>
      </c>
      <c r="P58" s="10" t="n">
        <v>4.79</v>
      </c>
      <c r="Q58" s="8"/>
      <c r="R58" s="8"/>
      <c r="S58" s="8" t="s">
        <v>105</v>
      </c>
      <c r="T58" s="8" t="s">
        <v>175</v>
      </c>
      <c r="U58" s="8" t="s">
        <v>176</v>
      </c>
      <c r="V58" s="8"/>
      <c r="W58" s="8" t="s">
        <v>177</v>
      </c>
      <c r="X58" s="8" t="s">
        <v>178</v>
      </c>
      <c r="Y58" s="8" t="s">
        <v>108</v>
      </c>
      <c r="Z58" s="8"/>
    </row>
    <row r="59" customFormat="false" ht="15" hidden="false" customHeight="false" outlineLevel="0" collapsed="false">
      <c r="A59" s="8" t="s">
        <v>179</v>
      </c>
      <c r="B59" s="8" t="s">
        <v>13</v>
      </c>
      <c r="C59" s="8" t="s">
        <v>14</v>
      </c>
      <c r="D59" s="8" t="s">
        <v>91</v>
      </c>
      <c r="E59" s="8" t="s">
        <v>35</v>
      </c>
      <c r="F59" s="8" t="s">
        <v>56</v>
      </c>
      <c r="G59" s="8" t="s">
        <v>30</v>
      </c>
      <c r="H59" s="8" t="s">
        <v>30</v>
      </c>
      <c r="I59" s="8" t="n">
        <f aca="false">IF(EXACT(G59,H59),1,0)</f>
        <v>1</v>
      </c>
      <c r="J59" s="8" t="n">
        <v>0</v>
      </c>
      <c r="K59" s="8" t="s">
        <v>92</v>
      </c>
      <c r="L59" s="8" t="n">
        <v>0</v>
      </c>
      <c r="M59" s="8" t="n">
        <v>1</v>
      </c>
      <c r="N59" s="8" t="s">
        <v>93</v>
      </c>
      <c r="O59" s="8" t="n">
        <v>1</v>
      </c>
      <c r="P59" s="10" t="n">
        <v>5.35</v>
      </c>
      <c r="Q59" s="8"/>
      <c r="R59" s="8"/>
      <c r="S59" s="8" t="s">
        <v>180</v>
      </c>
      <c r="T59" s="8" t="s">
        <v>175</v>
      </c>
      <c r="U59" s="8" t="s">
        <v>176</v>
      </c>
      <c r="V59" s="8"/>
      <c r="W59" s="8" t="s">
        <v>181</v>
      </c>
      <c r="X59" s="8" t="s">
        <v>182</v>
      </c>
      <c r="Y59" s="8" t="s">
        <v>183</v>
      </c>
      <c r="Z59" s="8"/>
    </row>
    <row r="60" customFormat="false" ht="15" hidden="false" customHeight="false" outlineLevel="0" collapsed="false">
      <c r="A60" s="8" t="s">
        <v>179</v>
      </c>
      <c r="B60" s="8" t="s">
        <v>13</v>
      </c>
      <c r="C60" s="8" t="s">
        <v>14</v>
      </c>
      <c r="D60" s="8" t="s">
        <v>91</v>
      </c>
      <c r="E60" s="8" t="s">
        <v>35</v>
      </c>
      <c r="F60" s="8" t="s">
        <v>56</v>
      </c>
      <c r="G60" s="8" t="s">
        <v>30</v>
      </c>
      <c r="H60" s="8" t="s">
        <v>30</v>
      </c>
      <c r="I60" s="8" t="n">
        <f aca="false">IF(EXACT(G60,H60),1,0)</f>
        <v>1</v>
      </c>
      <c r="J60" s="8" t="n">
        <v>1</v>
      </c>
      <c r="K60" s="8" t="s">
        <v>92</v>
      </c>
      <c r="L60" s="8" t="n">
        <v>0</v>
      </c>
      <c r="M60" s="8" t="n">
        <v>1</v>
      </c>
      <c r="N60" s="8" t="s">
        <v>93</v>
      </c>
      <c r="O60" s="8" t="n">
        <v>1</v>
      </c>
      <c r="P60" s="10" t="n">
        <v>4.64</v>
      </c>
      <c r="Q60" s="8"/>
      <c r="R60" s="8"/>
      <c r="S60" s="8" t="s">
        <v>180</v>
      </c>
      <c r="T60" s="8" t="s">
        <v>175</v>
      </c>
      <c r="U60" s="8" t="s">
        <v>176</v>
      </c>
      <c r="V60" s="8"/>
      <c r="W60" s="8" t="s">
        <v>181</v>
      </c>
      <c r="X60" s="8" t="s">
        <v>182</v>
      </c>
      <c r="Y60" s="8" t="s">
        <v>183</v>
      </c>
      <c r="Z60" s="8"/>
    </row>
    <row r="61" customFormat="false" ht="15" hidden="false" customHeight="false" outlineLevel="0" collapsed="false">
      <c r="A61" s="8" t="s">
        <v>179</v>
      </c>
      <c r="B61" s="8" t="s">
        <v>13</v>
      </c>
      <c r="C61" s="8" t="s">
        <v>14</v>
      </c>
      <c r="D61" s="8" t="s">
        <v>91</v>
      </c>
      <c r="E61" s="8" t="s">
        <v>35</v>
      </c>
      <c r="F61" s="8" t="s">
        <v>56</v>
      </c>
      <c r="G61" s="8" t="s">
        <v>30</v>
      </c>
      <c r="H61" s="8" t="s">
        <v>30</v>
      </c>
      <c r="I61" s="8" t="n">
        <f aca="false">IF(EXACT(G61,H61),1,0)</f>
        <v>1</v>
      </c>
      <c r="J61" s="8" t="n">
        <v>2</v>
      </c>
      <c r="K61" s="8" t="s">
        <v>92</v>
      </c>
      <c r="L61" s="8" t="n">
        <v>0</v>
      </c>
      <c r="M61" s="8" t="n">
        <v>1</v>
      </c>
      <c r="N61" s="8" t="s">
        <v>93</v>
      </c>
      <c r="O61" s="8" t="n">
        <v>1</v>
      </c>
      <c r="P61" s="10" t="n">
        <v>5.1</v>
      </c>
      <c r="Q61" s="8"/>
      <c r="R61" s="8"/>
      <c r="S61" s="8" t="s">
        <v>180</v>
      </c>
      <c r="T61" s="8" t="s">
        <v>175</v>
      </c>
      <c r="U61" s="8" t="s">
        <v>176</v>
      </c>
      <c r="V61" s="8"/>
      <c r="W61" s="8" t="s">
        <v>181</v>
      </c>
      <c r="X61" s="8" t="s">
        <v>182</v>
      </c>
      <c r="Y61" s="8" t="s">
        <v>183</v>
      </c>
      <c r="Z61" s="8"/>
    </row>
    <row r="62" customFormat="false" ht="15" hidden="false" customHeight="false" outlineLevel="0" collapsed="false">
      <c r="A62" s="8" t="s">
        <v>184</v>
      </c>
      <c r="B62" s="8" t="s">
        <v>13</v>
      </c>
      <c r="C62" s="8" t="s">
        <v>14</v>
      </c>
      <c r="D62" s="8" t="s">
        <v>91</v>
      </c>
      <c r="E62" s="8" t="s">
        <v>35</v>
      </c>
      <c r="F62" s="8" t="s">
        <v>56</v>
      </c>
      <c r="G62" s="8" t="s">
        <v>32</v>
      </c>
      <c r="H62" s="8" t="s">
        <v>30</v>
      </c>
      <c r="I62" s="8" t="n">
        <f aca="false">IF(EXACT(G62,H62),1,0)</f>
        <v>0</v>
      </c>
      <c r="J62" s="8" t="n">
        <v>0</v>
      </c>
      <c r="K62" s="8" t="s">
        <v>92</v>
      </c>
      <c r="L62" s="8" t="n">
        <v>0</v>
      </c>
      <c r="M62" s="8" t="n">
        <v>1</v>
      </c>
      <c r="N62" s="8" t="s">
        <v>93</v>
      </c>
      <c r="O62" s="8" t="n">
        <v>1</v>
      </c>
      <c r="P62" s="10" t="n">
        <v>3.53</v>
      </c>
      <c r="Q62" s="8"/>
      <c r="R62" s="8"/>
      <c r="S62" s="8" t="s">
        <v>132</v>
      </c>
      <c r="T62" s="8" t="s">
        <v>175</v>
      </c>
      <c r="U62" s="8" t="s">
        <v>176</v>
      </c>
      <c r="V62" s="8"/>
      <c r="W62" s="8" t="s">
        <v>185</v>
      </c>
      <c r="X62" s="8" t="s">
        <v>186</v>
      </c>
      <c r="Y62" s="8" t="s">
        <v>108</v>
      </c>
      <c r="Z62" s="8"/>
    </row>
    <row r="63" customFormat="false" ht="15" hidden="false" customHeight="false" outlineLevel="0" collapsed="false">
      <c r="A63" s="8" t="s">
        <v>184</v>
      </c>
      <c r="B63" s="8" t="s">
        <v>13</v>
      </c>
      <c r="C63" s="8" t="s">
        <v>14</v>
      </c>
      <c r="D63" s="8" t="s">
        <v>91</v>
      </c>
      <c r="E63" s="8" t="s">
        <v>35</v>
      </c>
      <c r="F63" s="8" t="s">
        <v>56</v>
      </c>
      <c r="G63" s="8" t="s">
        <v>32</v>
      </c>
      <c r="H63" s="8" t="s">
        <v>30</v>
      </c>
      <c r="I63" s="8" t="n">
        <f aca="false">IF(EXACT(G63,H63),1,0)</f>
        <v>0</v>
      </c>
      <c r="J63" s="8" t="n">
        <v>1</v>
      </c>
      <c r="K63" s="8" t="s">
        <v>92</v>
      </c>
      <c r="L63" s="8" t="n">
        <v>0</v>
      </c>
      <c r="M63" s="8" t="n">
        <v>1</v>
      </c>
      <c r="N63" s="8" t="s">
        <v>93</v>
      </c>
      <c r="O63" s="8" t="n">
        <v>1</v>
      </c>
      <c r="P63" s="10" t="n">
        <v>3.52</v>
      </c>
      <c r="Q63" s="8"/>
      <c r="R63" s="8"/>
      <c r="S63" s="8" t="s">
        <v>132</v>
      </c>
      <c r="T63" s="8" t="s">
        <v>175</v>
      </c>
      <c r="U63" s="8" t="s">
        <v>176</v>
      </c>
      <c r="V63" s="8"/>
      <c r="W63" s="8" t="s">
        <v>185</v>
      </c>
      <c r="X63" s="8" t="s">
        <v>186</v>
      </c>
      <c r="Y63" s="8" t="s">
        <v>108</v>
      </c>
      <c r="Z63" s="8"/>
    </row>
    <row r="64" customFormat="false" ht="15" hidden="false" customHeight="false" outlineLevel="0" collapsed="false">
      <c r="A64" s="8" t="s">
        <v>184</v>
      </c>
      <c r="B64" s="8" t="s">
        <v>13</v>
      </c>
      <c r="C64" s="8" t="s">
        <v>14</v>
      </c>
      <c r="D64" s="8" t="s">
        <v>91</v>
      </c>
      <c r="E64" s="8" t="s">
        <v>35</v>
      </c>
      <c r="F64" s="8" t="s">
        <v>56</v>
      </c>
      <c r="G64" s="8" t="s">
        <v>32</v>
      </c>
      <c r="H64" s="8" t="s">
        <v>30</v>
      </c>
      <c r="I64" s="8" t="n">
        <f aca="false">IF(EXACT(G64,H64),1,0)</f>
        <v>0</v>
      </c>
      <c r="J64" s="8" t="n">
        <v>2</v>
      </c>
      <c r="K64" s="8" t="s">
        <v>92</v>
      </c>
      <c r="L64" s="8" t="n">
        <v>0</v>
      </c>
      <c r="M64" s="8" t="n">
        <v>1</v>
      </c>
      <c r="N64" s="8" t="s">
        <v>93</v>
      </c>
      <c r="O64" s="8" t="n">
        <v>1</v>
      </c>
      <c r="P64" s="10" t="n">
        <v>3.55</v>
      </c>
      <c r="Q64" s="8"/>
      <c r="R64" s="8"/>
      <c r="S64" s="8" t="s">
        <v>132</v>
      </c>
      <c r="T64" s="8" t="s">
        <v>175</v>
      </c>
      <c r="U64" s="8" t="s">
        <v>176</v>
      </c>
      <c r="V64" s="8"/>
      <c r="W64" s="8" t="s">
        <v>185</v>
      </c>
      <c r="X64" s="8" t="s">
        <v>186</v>
      </c>
      <c r="Y64" s="8" t="s">
        <v>108</v>
      </c>
      <c r="Z64" s="8"/>
    </row>
    <row r="65" customFormat="false" ht="15" hidden="false" customHeight="false" outlineLevel="0" collapsed="false">
      <c r="A65" s="8" t="s">
        <v>187</v>
      </c>
      <c r="B65" s="8" t="s">
        <v>13</v>
      </c>
      <c r="C65" s="8" t="s">
        <v>14</v>
      </c>
      <c r="D65" s="8" t="s">
        <v>91</v>
      </c>
      <c r="E65" s="8" t="s">
        <v>35</v>
      </c>
      <c r="F65" s="8" t="s">
        <v>56</v>
      </c>
      <c r="G65" s="8" t="s">
        <v>32</v>
      </c>
      <c r="H65" s="8" t="s">
        <v>30</v>
      </c>
      <c r="I65" s="8" t="n">
        <f aca="false">IF(EXACT(G65,H65),1,0)</f>
        <v>0</v>
      </c>
      <c r="J65" s="8" t="n">
        <v>0</v>
      </c>
      <c r="K65" s="8" t="s">
        <v>92</v>
      </c>
      <c r="L65" s="8" t="n">
        <v>0</v>
      </c>
      <c r="M65" s="8" t="n">
        <v>1</v>
      </c>
      <c r="N65" s="8" t="s">
        <v>93</v>
      </c>
      <c r="O65" s="8" t="n">
        <v>1</v>
      </c>
      <c r="P65" s="10" t="n">
        <v>3.56</v>
      </c>
      <c r="Q65" s="8"/>
      <c r="R65" s="8"/>
      <c r="S65" s="8" t="s">
        <v>94</v>
      </c>
      <c r="T65" s="8" t="s">
        <v>175</v>
      </c>
      <c r="U65" s="8" t="s">
        <v>176</v>
      </c>
      <c r="V65" s="8"/>
      <c r="W65" s="8" t="s">
        <v>188</v>
      </c>
      <c r="X65" s="8" t="s">
        <v>189</v>
      </c>
      <c r="Y65" s="8" t="s">
        <v>190</v>
      </c>
      <c r="Z65" s="8"/>
    </row>
    <row r="66" customFormat="false" ht="15" hidden="false" customHeight="false" outlineLevel="0" collapsed="false">
      <c r="A66" s="8" t="s">
        <v>187</v>
      </c>
      <c r="B66" s="8" t="s">
        <v>13</v>
      </c>
      <c r="C66" s="8" t="s">
        <v>14</v>
      </c>
      <c r="D66" s="8" t="s">
        <v>91</v>
      </c>
      <c r="E66" s="8" t="s">
        <v>35</v>
      </c>
      <c r="F66" s="8" t="s">
        <v>56</v>
      </c>
      <c r="G66" s="8" t="s">
        <v>32</v>
      </c>
      <c r="H66" s="8" t="s">
        <v>30</v>
      </c>
      <c r="I66" s="8" t="n">
        <f aca="false">IF(EXACT(G66,H66),1,0)</f>
        <v>0</v>
      </c>
      <c r="J66" s="8" t="n">
        <v>1</v>
      </c>
      <c r="K66" s="8" t="s">
        <v>92</v>
      </c>
      <c r="L66" s="8" t="n">
        <v>0</v>
      </c>
      <c r="M66" s="8" t="n">
        <v>1</v>
      </c>
      <c r="N66" s="8" t="s">
        <v>93</v>
      </c>
      <c r="O66" s="8" t="n">
        <v>1</v>
      </c>
      <c r="P66" s="10" t="n">
        <v>3.53</v>
      </c>
      <c r="Q66" s="8"/>
      <c r="R66" s="8"/>
      <c r="S66" s="8" t="s">
        <v>94</v>
      </c>
      <c r="T66" s="8" t="s">
        <v>175</v>
      </c>
      <c r="U66" s="8" t="s">
        <v>176</v>
      </c>
      <c r="V66" s="8"/>
      <c r="W66" s="8" t="s">
        <v>188</v>
      </c>
      <c r="X66" s="8" t="s">
        <v>189</v>
      </c>
      <c r="Y66" s="8" t="s">
        <v>190</v>
      </c>
      <c r="Z66" s="8"/>
    </row>
    <row r="67" customFormat="false" ht="15" hidden="false" customHeight="false" outlineLevel="0" collapsed="false">
      <c r="A67" s="8" t="s">
        <v>187</v>
      </c>
      <c r="B67" s="8" t="s">
        <v>13</v>
      </c>
      <c r="C67" s="8" t="s">
        <v>14</v>
      </c>
      <c r="D67" s="8" t="s">
        <v>91</v>
      </c>
      <c r="E67" s="8" t="s">
        <v>35</v>
      </c>
      <c r="F67" s="8" t="s">
        <v>56</v>
      </c>
      <c r="G67" s="8" t="s">
        <v>32</v>
      </c>
      <c r="H67" s="8" t="s">
        <v>30</v>
      </c>
      <c r="I67" s="8" t="n">
        <f aca="false">IF(EXACT(G67,H67),1,0)</f>
        <v>0</v>
      </c>
      <c r="J67" s="8" t="n">
        <v>2</v>
      </c>
      <c r="K67" s="8" t="s">
        <v>92</v>
      </c>
      <c r="L67" s="8" t="n">
        <v>0</v>
      </c>
      <c r="M67" s="8" t="n">
        <v>1</v>
      </c>
      <c r="N67" s="8" t="s">
        <v>93</v>
      </c>
      <c r="O67" s="8" t="n">
        <v>1</v>
      </c>
      <c r="P67" s="10" t="n">
        <v>3.67</v>
      </c>
      <c r="Q67" s="8"/>
      <c r="R67" s="8"/>
      <c r="S67" s="8" t="s">
        <v>94</v>
      </c>
      <c r="T67" s="8" t="s">
        <v>175</v>
      </c>
      <c r="U67" s="8" t="s">
        <v>176</v>
      </c>
      <c r="V67" s="8"/>
      <c r="W67" s="8" t="s">
        <v>188</v>
      </c>
      <c r="X67" s="8" t="s">
        <v>189</v>
      </c>
      <c r="Y67" s="8" t="s">
        <v>190</v>
      </c>
      <c r="Z67" s="8"/>
    </row>
    <row r="68" customFormat="false" ht="15" hidden="false" customHeight="false" outlineLevel="0" collapsed="false">
      <c r="A68" s="8" t="s">
        <v>191</v>
      </c>
      <c r="B68" s="8" t="s">
        <v>13</v>
      </c>
      <c r="C68" s="8" t="s">
        <v>14</v>
      </c>
      <c r="D68" s="8" t="s">
        <v>91</v>
      </c>
      <c r="E68" s="8" t="s">
        <v>35</v>
      </c>
      <c r="F68" s="8" t="s">
        <v>56</v>
      </c>
      <c r="G68" s="8" t="s">
        <v>31</v>
      </c>
      <c r="H68" s="8" t="s">
        <v>30</v>
      </c>
      <c r="I68" s="8" t="n">
        <f aca="false">IF(EXACT(G68,H68),1,0)</f>
        <v>0</v>
      </c>
      <c r="J68" s="8" t="n">
        <v>0</v>
      </c>
      <c r="K68" s="8" t="s">
        <v>92</v>
      </c>
      <c r="L68" s="8" t="n">
        <v>0</v>
      </c>
      <c r="M68" s="8" t="n">
        <v>1</v>
      </c>
      <c r="N68" s="8" t="s">
        <v>93</v>
      </c>
      <c r="O68" s="8" t="n">
        <v>1</v>
      </c>
      <c r="P68" s="10" t="n">
        <v>3.55</v>
      </c>
      <c r="Q68" s="8"/>
      <c r="R68" s="8"/>
      <c r="S68" s="8" t="s">
        <v>117</v>
      </c>
      <c r="T68" s="8" t="s">
        <v>175</v>
      </c>
      <c r="U68" s="8" t="s">
        <v>176</v>
      </c>
      <c r="V68" s="8"/>
      <c r="W68" s="8" t="s">
        <v>192</v>
      </c>
      <c r="X68" s="8" t="s">
        <v>193</v>
      </c>
      <c r="Y68" s="8" t="s">
        <v>108</v>
      </c>
      <c r="Z68" s="8"/>
    </row>
    <row r="69" customFormat="false" ht="15" hidden="false" customHeight="false" outlineLevel="0" collapsed="false">
      <c r="A69" s="8" t="s">
        <v>191</v>
      </c>
      <c r="B69" s="8" t="s">
        <v>13</v>
      </c>
      <c r="C69" s="8" t="s">
        <v>14</v>
      </c>
      <c r="D69" s="8" t="s">
        <v>91</v>
      </c>
      <c r="E69" s="8" t="s">
        <v>35</v>
      </c>
      <c r="F69" s="8" t="s">
        <v>56</v>
      </c>
      <c r="G69" s="8" t="s">
        <v>31</v>
      </c>
      <c r="H69" s="8" t="s">
        <v>30</v>
      </c>
      <c r="I69" s="8" t="n">
        <f aca="false">IF(EXACT(G69,H69),1,0)</f>
        <v>0</v>
      </c>
      <c r="J69" s="8" t="n">
        <v>1</v>
      </c>
      <c r="K69" s="8" t="s">
        <v>92</v>
      </c>
      <c r="L69" s="8" t="n">
        <v>0</v>
      </c>
      <c r="M69" s="8" t="n">
        <v>1</v>
      </c>
      <c r="N69" s="8" t="s">
        <v>93</v>
      </c>
      <c r="O69" s="8" t="n">
        <v>1</v>
      </c>
      <c r="P69" s="10" t="n">
        <v>3.54</v>
      </c>
      <c r="Q69" s="8"/>
      <c r="R69" s="8"/>
      <c r="S69" s="8" t="s">
        <v>117</v>
      </c>
      <c r="T69" s="8" t="s">
        <v>175</v>
      </c>
      <c r="U69" s="8" t="s">
        <v>176</v>
      </c>
      <c r="V69" s="8"/>
      <c r="W69" s="8" t="s">
        <v>192</v>
      </c>
      <c r="X69" s="8" t="s">
        <v>193</v>
      </c>
      <c r="Y69" s="8" t="s">
        <v>108</v>
      </c>
      <c r="Z69" s="8"/>
    </row>
    <row r="70" customFormat="false" ht="15" hidden="false" customHeight="false" outlineLevel="0" collapsed="false">
      <c r="A70" s="8" t="s">
        <v>191</v>
      </c>
      <c r="B70" s="8" t="s">
        <v>13</v>
      </c>
      <c r="C70" s="8" t="s">
        <v>14</v>
      </c>
      <c r="D70" s="8" t="s">
        <v>91</v>
      </c>
      <c r="E70" s="8" t="s">
        <v>35</v>
      </c>
      <c r="F70" s="8" t="s">
        <v>56</v>
      </c>
      <c r="G70" s="8" t="s">
        <v>31</v>
      </c>
      <c r="H70" s="8" t="s">
        <v>30</v>
      </c>
      <c r="I70" s="8" t="n">
        <f aca="false">IF(EXACT(G70,H70),1,0)</f>
        <v>0</v>
      </c>
      <c r="J70" s="8" t="n">
        <v>2</v>
      </c>
      <c r="K70" s="8" t="s">
        <v>92</v>
      </c>
      <c r="L70" s="8" t="n">
        <v>0</v>
      </c>
      <c r="M70" s="8" t="n">
        <v>1</v>
      </c>
      <c r="N70" s="8" t="s">
        <v>93</v>
      </c>
      <c r="O70" s="8" t="n">
        <v>1</v>
      </c>
      <c r="P70" s="10" t="n">
        <v>3.52</v>
      </c>
      <c r="Q70" s="8"/>
      <c r="R70" s="8"/>
      <c r="S70" s="8" t="s">
        <v>117</v>
      </c>
      <c r="T70" s="8" t="s">
        <v>175</v>
      </c>
      <c r="U70" s="8" t="s">
        <v>176</v>
      </c>
      <c r="V70" s="8"/>
      <c r="W70" s="8" t="s">
        <v>192</v>
      </c>
      <c r="X70" s="8" t="s">
        <v>193</v>
      </c>
      <c r="Y70" s="8" t="s">
        <v>108</v>
      </c>
      <c r="Z70" s="8"/>
    </row>
    <row r="71" customFormat="false" ht="15" hidden="false" customHeight="false" outlineLevel="0" collapsed="false">
      <c r="A71" s="8" t="s">
        <v>194</v>
      </c>
      <c r="B71" s="8" t="s">
        <v>13</v>
      </c>
      <c r="C71" s="8" t="s">
        <v>14</v>
      </c>
      <c r="D71" s="8" t="s">
        <v>91</v>
      </c>
      <c r="E71" s="8" t="s">
        <v>35</v>
      </c>
      <c r="F71" s="8" t="s">
        <v>56</v>
      </c>
      <c r="G71" s="8" t="s">
        <v>31</v>
      </c>
      <c r="H71" s="8" t="s">
        <v>30</v>
      </c>
      <c r="I71" s="8" t="n">
        <f aca="false">IF(EXACT(G71,H71),1,0)</f>
        <v>0</v>
      </c>
      <c r="J71" s="8" t="n">
        <v>0</v>
      </c>
      <c r="K71" s="8" t="s">
        <v>92</v>
      </c>
      <c r="L71" s="8" t="n">
        <v>0</v>
      </c>
      <c r="M71" s="8" t="n">
        <v>1</v>
      </c>
      <c r="N71" s="8" t="s">
        <v>93</v>
      </c>
      <c r="O71" s="8" t="n">
        <v>1</v>
      </c>
      <c r="P71" s="10" t="n">
        <v>3.6</v>
      </c>
      <c r="Q71" s="8"/>
      <c r="R71" s="8"/>
      <c r="S71" s="8" t="s">
        <v>195</v>
      </c>
      <c r="T71" s="8"/>
      <c r="U71" s="8"/>
      <c r="V71" s="8" t="s">
        <v>155</v>
      </c>
      <c r="W71" s="8"/>
      <c r="X71" s="8" t="s">
        <v>196</v>
      </c>
      <c r="Y71" s="8" t="s">
        <v>161</v>
      </c>
      <c r="Z71" s="8"/>
    </row>
    <row r="72" customFormat="false" ht="15" hidden="false" customHeight="false" outlineLevel="0" collapsed="false">
      <c r="A72" s="8" t="s">
        <v>194</v>
      </c>
      <c r="B72" s="8" t="s">
        <v>13</v>
      </c>
      <c r="C72" s="8" t="s">
        <v>14</v>
      </c>
      <c r="D72" s="8" t="s">
        <v>91</v>
      </c>
      <c r="E72" s="8" t="s">
        <v>35</v>
      </c>
      <c r="F72" s="8" t="s">
        <v>56</v>
      </c>
      <c r="G72" s="8" t="s">
        <v>31</v>
      </c>
      <c r="H72" s="8" t="s">
        <v>30</v>
      </c>
      <c r="I72" s="8" t="n">
        <f aca="false">IF(EXACT(G72,H72),1,0)</f>
        <v>0</v>
      </c>
      <c r="J72" s="8" t="n">
        <v>1</v>
      </c>
      <c r="K72" s="8" t="s">
        <v>92</v>
      </c>
      <c r="L72" s="8" t="n">
        <v>0</v>
      </c>
      <c r="M72" s="8" t="n">
        <v>1</v>
      </c>
      <c r="N72" s="8" t="s">
        <v>93</v>
      </c>
      <c r="O72" s="8" t="n">
        <v>1</v>
      </c>
      <c r="P72" s="10" t="n">
        <v>3.55</v>
      </c>
      <c r="Q72" s="8"/>
      <c r="R72" s="8"/>
      <c r="S72" s="8" t="s">
        <v>195</v>
      </c>
      <c r="T72" s="8"/>
      <c r="U72" s="8"/>
      <c r="V72" s="8" t="s">
        <v>155</v>
      </c>
      <c r="W72" s="8"/>
      <c r="X72" s="8" t="s">
        <v>196</v>
      </c>
      <c r="Y72" s="8" t="s">
        <v>161</v>
      </c>
      <c r="Z72" s="8"/>
    </row>
    <row r="73" customFormat="false" ht="15" hidden="false" customHeight="false" outlineLevel="0" collapsed="false">
      <c r="A73" s="8" t="s">
        <v>194</v>
      </c>
      <c r="B73" s="8" t="s">
        <v>13</v>
      </c>
      <c r="C73" s="8" t="s">
        <v>14</v>
      </c>
      <c r="D73" s="8" t="s">
        <v>91</v>
      </c>
      <c r="E73" s="8" t="s">
        <v>35</v>
      </c>
      <c r="F73" s="8" t="s">
        <v>56</v>
      </c>
      <c r="G73" s="8" t="s">
        <v>31</v>
      </c>
      <c r="H73" s="8" t="s">
        <v>30</v>
      </c>
      <c r="I73" s="8" t="n">
        <f aca="false">IF(EXACT(G73,H73),1,0)</f>
        <v>0</v>
      </c>
      <c r="J73" s="8" t="n">
        <v>2</v>
      </c>
      <c r="K73" s="8" t="s">
        <v>92</v>
      </c>
      <c r="L73" s="8" t="n">
        <v>0</v>
      </c>
      <c r="M73" s="8" t="n">
        <v>1</v>
      </c>
      <c r="N73" s="8" t="s">
        <v>93</v>
      </c>
      <c r="O73" s="8" t="n">
        <v>1</v>
      </c>
      <c r="P73" s="10" t="n">
        <v>3.58</v>
      </c>
      <c r="Q73" s="8"/>
      <c r="R73" s="8"/>
      <c r="S73" s="8" t="s">
        <v>195</v>
      </c>
      <c r="T73" s="8"/>
      <c r="U73" s="8"/>
      <c r="V73" s="8" t="s">
        <v>155</v>
      </c>
      <c r="W73" s="8"/>
      <c r="X73" s="8" t="s">
        <v>196</v>
      </c>
      <c r="Y73" s="8" t="s">
        <v>161</v>
      </c>
      <c r="Z73" s="8"/>
    </row>
    <row r="74" customFormat="false" ht="15" hidden="false" customHeight="false" outlineLevel="0" collapsed="false">
      <c r="A74" s="8" t="s">
        <v>197</v>
      </c>
      <c r="B74" s="8" t="s">
        <v>13</v>
      </c>
      <c r="C74" s="8" t="s">
        <v>14</v>
      </c>
      <c r="D74" s="8" t="s">
        <v>91</v>
      </c>
      <c r="E74" s="8" t="s">
        <v>35</v>
      </c>
      <c r="F74" s="8" t="s">
        <v>58</v>
      </c>
      <c r="G74" s="8" t="s">
        <v>31</v>
      </c>
      <c r="H74" s="8" t="s">
        <v>30</v>
      </c>
      <c r="I74" s="8" t="n">
        <f aca="false">IF(EXACT(G74,H74),1,0)</f>
        <v>0</v>
      </c>
      <c r="J74" s="8" t="n">
        <v>0</v>
      </c>
      <c r="K74" s="8" t="s">
        <v>92</v>
      </c>
      <c r="L74" s="8" t="n">
        <v>0</v>
      </c>
      <c r="M74" s="8" t="n">
        <v>1</v>
      </c>
      <c r="N74" s="8" t="s">
        <v>93</v>
      </c>
      <c r="O74" s="8" t="n">
        <v>1</v>
      </c>
      <c r="P74" s="10" t="n">
        <v>4.03</v>
      </c>
      <c r="Q74" s="8"/>
      <c r="R74" s="8"/>
      <c r="S74" s="8" t="s">
        <v>198</v>
      </c>
      <c r="T74" s="8"/>
      <c r="U74" s="8"/>
      <c r="V74" s="8" t="s">
        <v>155</v>
      </c>
      <c r="W74" s="8"/>
      <c r="X74" s="8" t="s">
        <v>199</v>
      </c>
      <c r="Y74" s="8" t="s">
        <v>99</v>
      </c>
      <c r="Z74" s="8"/>
    </row>
    <row r="75" customFormat="false" ht="15" hidden="false" customHeight="false" outlineLevel="0" collapsed="false">
      <c r="A75" s="8" t="s">
        <v>197</v>
      </c>
      <c r="B75" s="8" t="s">
        <v>13</v>
      </c>
      <c r="C75" s="8" t="s">
        <v>14</v>
      </c>
      <c r="D75" s="8" t="s">
        <v>91</v>
      </c>
      <c r="E75" s="8" t="s">
        <v>35</v>
      </c>
      <c r="F75" s="8" t="s">
        <v>58</v>
      </c>
      <c r="G75" s="8" t="s">
        <v>31</v>
      </c>
      <c r="H75" s="8" t="s">
        <v>30</v>
      </c>
      <c r="I75" s="8" t="n">
        <f aca="false">IF(EXACT(G75,H75),1,0)</f>
        <v>0</v>
      </c>
      <c r="J75" s="8" t="n">
        <v>1</v>
      </c>
      <c r="K75" s="8" t="s">
        <v>92</v>
      </c>
      <c r="L75" s="8" t="n">
        <v>0</v>
      </c>
      <c r="M75" s="8" t="n">
        <v>1</v>
      </c>
      <c r="N75" s="8" t="s">
        <v>93</v>
      </c>
      <c r="O75" s="8" t="n">
        <v>1</v>
      </c>
      <c r="P75" s="10" t="n">
        <v>3.53</v>
      </c>
      <c r="Q75" s="8"/>
      <c r="R75" s="8"/>
      <c r="S75" s="8" t="s">
        <v>198</v>
      </c>
      <c r="T75" s="8"/>
      <c r="U75" s="8"/>
      <c r="V75" s="8" t="s">
        <v>155</v>
      </c>
      <c r="W75" s="8"/>
      <c r="X75" s="8" t="s">
        <v>199</v>
      </c>
      <c r="Y75" s="8" t="s">
        <v>99</v>
      </c>
      <c r="Z75" s="8"/>
    </row>
    <row r="76" customFormat="false" ht="15" hidden="false" customHeight="false" outlineLevel="0" collapsed="false">
      <c r="A76" s="8" t="s">
        <v>197</v>
      </c>
      <c r="B76" s="8" t="s">
        <v>13</v>
      </c>
      <c r="C76" s="8" t="s">
        <v>14</v>
      </c>
      <c r="D76" s="8" t="s">
        <v>91</v>
      </c>
      <c r="E76" s="8" t="s">
        <v>35</v>
      </c>
      <c r="F76" s="8" t="s">
        <v>58</v>
      </c>
      <c r="G76" s="8" t="s">
        <v>31</v>
      </c>
      <c r="H76" s="8" t="s">
        <v>30</v>
      </c>
      <c r="I76" s="8" t="n">
        <f aca="false">IF(EXACT(G76,H76),1,0)</f>
        <v>0</v>
      </c>
      <c r="J76" s="8" t="n">
        <v>2</v>
      </c>
      <c r="K76" s="8" t="s">
        <v>92</v>
      </c>
      <c r="L76" s="8" t="n">
        <v>0</v>
      </c>
      <c r="M76" s="8" t="n">
        <v>1</v>
      </c>
      <c r="N76" s="8" t="s">
        <v>93</v>
      </c>
      <c r="O76" s="8" t="n">
        <v>1</v>
      </c>
      <c r="P76" s="10" t="n">
        <v>3.53</v>
      </c>
      <c r="Q76" s="8"/>
      <c r="R76" s="8"/>
      <c r="S76" s="8" t="s">
        <v>198</v>
      </c>
      <c r="T76" s="8"/>
      <c r="U76" s="8"/>
      <c r="V76" s="8" t="s">
        <v>155</v>
      </c>
      <c r="W76" s="8"/>
      <c r="X76" s="8" t="s">
        <v>199</v>
      </c>
      <c r="Y76" s="8" t="s">
        <v>99</v>
      </c>
      <c r="Z76" s="8"/>
    </row>
    <row r="77" customFormat="false" ht="15" hidden="false" customHeight="false" outlineLevel="0" collapsed="false">
      <c r="A77" s="8" t="s">
        <v>200</v>
      </c>
      <c r="B77" s="8" t="s">
        <v>13</v>
      </c>
      <c r="C77" s="8" t="s">
        <v>14</v>
      </c>
      <c r="D77" s="8" t="s">
        <v>91</v>
      </c>
      <c r="E77" s="8" t="s">
        <v>35</v>
      </c>
      <c r="F77" s="8" t="s">
        <v>58</v>
      </c>
      <c r="G77" s="8" t="s">
        <v>31</v>
      </c>
      <c r="H77" s="8" t="s">
        <v>30</v>
      </c>
      <c r="I77" s="8" t="n">
        <f aca="false">IF(EXACT(G77,H77),1,0)</f>
        <v>0</v>
      </c>
      <c r="J77" s="8" t="n">
        <v>0</v>
      </c>
      <c r="K77" s="8" t="s">
        <v>92</v>
      </c>
      <c r="L77" s="8" t="n">
        <v>0</v>
      </c>
      <c r="M77" s="8" t="n">
        <v>1</v>
      </c>
      <c r="N77" s="8" t="s">
        <v>93</v>
      </c>
      <c r="O77" s="8" t="n">
        <v>1</v>
      </c>
      <c r="P77" s="10" t="n">
        <v>3.69</v>
      </c>
      <c r="Q77" s="8"/>
      <c r="R77" s="8"/>
      <c r="S77" s="8" t="s">
        <v>201</v>
      </c>
      <c r="T77" s="8"/>
      <c r="U77" s="8"/>
      <c r="V77" s="8" t="s">
        <v>155</v>
      </c>
      <c r="W77" s="8"/>
      <c r="X77" s="8" t="s">
        <v>202</v>
      </c>
      <c r="Y77" s="8" t="s">
        <v>161</v>
      </c>
      <c r="Z77" s="8"/>
    </row>
    <row r="78" customFormat="false" ht="15" hidden="false" customHeight="false" outlineLevel="0" collapsed="false">
      <c r="A78" s="8" t="s">
        <v>200</v>
      </c>
      <c r="B78" s="8" t="s">
        <v>13</v>
      </c>
      <c r="C78" s="8" t="s">
        <v>14</v>
      </c>
      <c r="D78" s="8" t="s">
        <v>91</v>
      </c>
      <c r="E78" s="8" t="s">
        <v>35</v>
      </c>
      <c r="F78" s="8" t="s">
        <v>58</v>
      </c>
      <c r="G78" s="8" t="s">
        <v>31</v>
      </c>
      <c r="H78" s="8" t="s">
        <v>30</v>
      </c>
      <c r="I78" s="8" t="n">
        <f aca="false">IF(EXACT(G78,H78),1,0)</f>
        <v>0</v>
      </c>
      <c r="J78" s="8" t="n">
        <v>1</v>
      </c>
      <c r="K78" s="8" t="s">
        <v>92</v>
      </c>
      <c r="L78" s="8" t="n">
        <v>0</v>
      </c>
      <c r="M78" s="8" t="n">
        <v>1</v>
      </c>
      <c r="N78" s="8" t="s">
        <v>93</v>
      </c>
      <c r="O78" s="8" t="n">
        <v>1</v>
      </c>
      <c r="P78" s="10" t="n">
        <v>3.72</v>
      </c>
      <c r="Q78" s="8"/>
      <c r="R78" s="8"/>
      <c r="S78" s="8" t="s">
        <v>201</v>
      </c>
      <c r="T78" s="8"/>
      <c r="U78" s="8"/>
      <c r="V78" s="8" t="s">
        <v>155</v>
      </c>
      <c r="W78" s="8"/>
      <c r="X78" s="8" t="s">
        <v>202</v>
      </c>
      <c r="Y78" s="8" t="s">
        <v>161</v>
      </c>
      <c r="Z78" s="8"/>
    </row>
    <row r="79" customFormat="false" ht="15" hidden="false" customHeight="false" outlineLevel="0" collapsed="false">
      <c r="A79" s="8" t="s">
        <v>200</v>
      </c>
      <c r="B79" s="8" t="s">
        <v>13</v>
      </c>
      <c r="C79" s="8" t="s">
        <v>14</v>
      </c>
      <c r="D79" s="8" t="s">
        <v>91</v>
      </c>
      <c r="E79" s="8" t="s">
        <v>35</v>
      </c>
      <c r="F79" s="8" t="s">
        <v>58</v>
      </c>
      <c r="G79" s="8" t="s">
        <v>31</v>
      </c>
      <c r="H79" s="8" t="s">
        <v>30</v>
      </c>
      <c r="I79" s="8" t="n">
        <f aca="false">IF(EXACT(G79,H79),1,0)</f>
        <v>0</v>
      </c>
      <c r="J79" s="8" t="n">
        <v>2</v>
      </c>
      <c r="K79" s="8" t="s">
        <v>92</v>
      </c>
      <c r="L79" s="8" t="n">
        <v>0</v>
      </c>
      <c r="M79" s="8" t="n">
        <v>1</v>
      </c>
      <c r="N79" s="8" t="s">
        <v>93</v>
      </c>
      <c r="O79" s="8" t="n">
        <v>1</v>
      </c>
      <c r="P79" s="10" t="n">
        <v>3.67</v>
      </c>
      <c r="Q79" s="8"/>
      <c r="R79" s="8"/>
      <c r="S79" s="8" t="s">
        <v>201</v>
      </c>
      <c r="T79" s="8"/>
      <c r="U79" s="8"/>
      <c r="V79" s="8" t="s">
        <v>155</v>
      </c>
      <c r="W79" s="8"/>
      <c r="X79" s="8" t="s">
        <v>202</v>
      </c>
      <c r="Y79" s="8" t="s">
        <v>161</v>
      </c>
      <c r="Z79" s="8"/>
    </row>
    <row r="80" customFormat="false" ht="15" hidden="false" customHeight="false" outlineLevel="0" collapsed="false">
      <c r="A80" s="8" t="s">
        <v>203</v>
      </c>
      <c r="B80" s="8" t="s">
        <v>13</v>
      </c>
      <c r="C80" s="8" t="s">
        <v>14</v>
      </c>
      <c r="D80" s="8" t="s">
        <v>91</v>
      </c>
      <c r="E80" s="8" t="s">
        <v>35</v>
      </c>
      <c r="F80" s="8" t="s">
        <v>58</v>
      </c>
      <c r="G80" s="8" t="s">
        <v>32</v>
      </c>
      <c r="H80" s="8" t="s">
        <v>30</v>
      </c>
      <c r="I80" s="8" t="n">
        <f aca="false">IF(EXACT(G80,H80),1,0)</f>
        <v>0</v>
      </c>
      <c r="J80" s="8" t="n">
        <v>0</v>
      </c>
      <c r="K80" s="8" t="s">
        <v>92</v>
      </c>
      <c r="L80" s="8" t="n">
        <v>0</v>
      </c>
      <c r="M80" s="8" t="n">
        <v>1</v>
      </c>
      <c r="N80" s="8" t="s">
        <v>93</v>
      </c>
      <c r="O80" s="8" t="n">
        <v>1</v>
      </c>
      <c r="P80" s="10" t="n">
        <v>3.54</v>
      </c>
      <c r="Q80" s="8"/>
      <c r="R80" s="8"/>
      <c r="S80" s="8" t="s">
        <v>204</v>
      </c>
      <c r="T80" s="8"/>
      <c r="U80" s="8"/>
      <c r="V80" s="8" t="s">
        <v>155</v>
      </c>
      <c r="W80" s="8"/>
      <c r="X80" s="8" t="s">
        <v>205</v>
      </c>
      <c r="Y80" s="8" t="s">
        <v>161</v>
      </c>
      <c r="Z80" s="8"/>
    </row>
    <row r="81" customFormat="false" ht="15" hidden="false" customHeight="false" outlineLevel="0" collapsed="false">
      <c r="A81" s="8" t="s">
        <v>203</v>
      </c>
      <c r="B81" s="8" t="s">
        <v>13</v>
      </c>
      <c r="C81" s="8" t="s">
        <v>14</v>
      </c>
      <c r="D81" s="8" t="s">
        <v>91</v>
      </c>
      <c r="E81" s="8" t="s">
        <v>35</v>
      </c>
      <c r="F81" s="8" t="s">
        <v>58</v>
      </c>
      <c r="G81" s="8" t="s">
        <v>32</v>
      </c>
      <c r="H81" s="8" t="s">
        <v>30</v>
      </c>
      <c r="I81" s="8" t="n">
        <f aca="false">IF(EXACT(G81,H81),1,0)</f>
        <v>0</v>
      </c>
      <c r="J81" s="8" t="n">
        <v>1</v>
      </c>
      <c r="K81" s="8" t="s">
        <v>92</v>
      </c>
      <c r="L81" s="8" t="n">
        <v>0</v>
      </c>
      <c r="M81" s="8" t="n">
        <v>1</v>
      </c>
      <c r="N81" s="8" t="s">
        <v>93</v>
      </c>
      <c r="O81" s="8" t="n">
        <v>1</v>
      </c>
      <c r="P81" s="10" t="n">
        <v>3.55</v>
      </c>
      <c r="Q81" s="8"/>
      <c r="R81" s="8"/>
      <c r="S81" s="8" t="s">
        <v>204</v>
      </c>
      <c r="T81" s="8"/>
      <c r="U81" s="8"/>
      <c r="V81" s="8" t="s">
        <v>155</v>
      </c>
      <c r="W81" s="8"/>
      <c r="X81" s="8" t="s">
        <v>205</v>
      </c>
      <c r="Y81" s="8" t="s">
        <v>161</v>
      </c>
      <c r="Z81" s="8"/>
    </row>
    <row r="82" customFormat="false" ht="15" hidden="false" customHeight="false" outlineLevel="0" collapsed="false">
      <c r="A82" s="8" t="s">
        <v>203</v>
      </c>
      <c r="B82" s="8" t="s">
        <v>13</v>
      </c>
      <c r="C82" s="8" t="s">
        <v>14</v>
      </c>
      <c r="D82" s="8" t="s">
        <v>91</v>
      </c>
      <c r="E82" s="8" t="s">
        <v>35</v>
      </c>
      <c r="F82" s="8" t="s">
        <v>58</v>
      </c>
      <c r="G82" s="8" t="s">
        <v>32</v>
      </c>
      <c r="H82" s="8" t="s">
        <v>30</v>
      </c>
      <c r="I82" s="8" t="n">
        <f aca="false">IF(EXACT(G82,H82),1,0)</f>
        <v>0</v>
      </c>
      <c r="J82" s="8" t="n">
        <v>2</v>
      </c>
      <c r="K82" s="8" t="s">
        <v>92</v>
      </c>
      <c r="L82" s="8" t="n">
        <v>0</v>
      </c>
      <c r="M82" s="8" t="n">
        <v>1</v>
      </c>
      <c r="N82" s="8" t="s">
        <v>93</v>
      </c>
      <c r="O82" s="8" t="n">
        <v>1</v>
      </c>
      <c r="P82" s="10" t="n">
        <v>3.56</v>
      </c>
      <c r="Q82" s="8"/>
      <c r="R82" s="8"/>
      <c r="S82" s="8" t="s">
        <v>204</v>
      </c>
      <c r="T82" s="8"/>
      <c r="U82" s="8"/>
      <c r="V82" s="8" t="s">
        <v>155</v>
      </c>
      <c r="W82" s="8"/>
      <c r="X82" s="8" t="s">
        <v>205</v>
      </c>
      <c r="Y82" s="8" t="s">
        <v>161</v>
      </c>
      <c r="Z82" s="8"/>
    </row>
    <row r="83" customFormat="false" ht="15" hidden="false" customHeight="false" outlineLevel="0" collapsed="false">
      <c r="A83" s="8" t="s">
        <v>206</v>
      </c>
      <c r="B83" s="8" t="s">
        <v>13</v>
      </c>
      <c r="C83" s="8" t="s">
        <v>14</v>
      </c>
      <c r="D83" s="8" t="s">
        <v>91</v>
      </c>
      <c r="E83" s="8" t="s">
        <v>35</v>
      </c>
      <c r="F83" s="8" t="s">
        <v>58</v>
      </c>
      <c r="G83" s="8" t="s">
        <v>32</v>
      </c>
      <c r="H83" s="8" t="s">
        <v>30</v>
      </c>
      <c r="I83" s="8" t="n">
        <f aca="false">IF(EXACT(G83,H83),1,0)</f>
        <v>0</v>
      </c>
      <c r="J83" s="8" t="n">
        <v>0</v>
      </c>
      <c r="K83" s="8" t="s">
        <v>92</v>
      </c>
      <c r="L83" s="8" t="n">
        <v>0</v>
      </c>
      <c r="M83" s="8" t="n">
        <v>1</v>
      </c>
      <c r="N83" s="8" t="s">
        <v>93</v>
      </c>
      <c r="O83" s="8" t="n">
        <v>1</v>
      </c>
      <c r="P83" s="10" t="n">
        <v>3.69</v>
      </c>
      <c r="Q83" s="8"/>
      <c r="R83" s="8"/>
      <c r="S83" s="8" t="s">
        <v>207</v>
      </c>
      <c r="T83" s="8"/>
      <c r="U83" s="8"/>
      <c r="V83" s="8" t="s">
        <v>155</v>
      </c>
      <c r="W83" s="8"/>
      <c r="X83" s="8" t="s">
        <v>208</v>
      </c>
      <c r="Y83" s="8" t="s">
        <v>161</v>
      </c>
      <c r="Z83" s="8"/>
    </row>
    <row r="84" customFormat="false" ht="15" hidden="false" customHeight="false" outlineLevel="0" collapsed="false">
      <c r="A84" s="8" t="s">
        <v>206</v>
      </c>
      <c r="B84" s="8" t="s">
        <v>13</v>
      </c>
      <c r="C84" s="8" t="s">
        <v>14</v>
      </c>
      <c r="D84" s="8" t="s">
        <v>91</v>
      </c>
      <c r="E84" s="8" t="s">
        <v>35</v>
      </c>
      <c r="F84" s="8" t="s">
        <v>58</v>
      </c>
      <c r="G84" s="8" t="s">
        <v>32</v>
      </c>
      <c r="H84" s="8" t="s">
        <v>30</v>
      </c>
      <c r="I84" s="8" t="n">
        <f aca="false">IF(EXACT(G84,H84),1,0)</f>
        <v>0</v>
      </c>
      <c r="J84" s="8" t="n">
        <v>1</v>
      </c>
      <c r="K84" s="8" t="s">
        <v>92</v>
      </c>
      <c r="L84" s="8" t="n">
        <v>0</v>
      </c>
      <c r="M84" s="8" t="n">
        <v>1</v>
      </c>
      <c r="N84" s="8" t="s">
        <v>93</v>
      </c>
      <c r="O84" s="8" t="n">
        <v>1</v>
      </c>
      <c r="P84" s="10" t="n">
        <v>3.8</v>
      </c>
      <c r="Q84" s="8"/>
      <c r="R84" s="8"/>
      <c r="S84" s="8" t="s">
        <v>207</v>
      </c>
      <c r="T84" s="8"/>
      <c r="U84" s="8"/>
      <c r="V84" s="8" t="s">
        <v>155</v>
      </c>
      <c r="W84" s="8"/>
      <c r="X84" s="8" t="s">
        <v>208</v>
      </c>
      <c r="Y84" s="8" t="s">
        <v>161</v>
      </c>
      <c r="Z84" s="8"/>
    </row>
    <row r="85" customFormat="false" ht="15" hidden="false" customHeight="false" outlineLevel="0" collapsed="false">
      <c r="A85" s="8" t="s">
        <v>206</v>
      </c>
      <c r="B85" s="8" t="s">
        <v>13</v>
      </c>
      <c r="C85" s="8" t="s">
        <v>14</v>
      </c>
      <c r="D85" s="8" t="s">
        <v>91</v>
      </c>
      <c r="E85" s="8" t="s">
        <v>35</v>
      </c>
      <c r="F85" s="8" t="s">
        <v>58</v>
      </c>
      <c r="G85" s="8" t="s">
        <v>32</v>
      </c>
      <c r="H85" s="8" t="s">
        <v>30</v>
      </c>
      <c r="I85" s="8" t="n">
        <f aca="false">IF(EXACT(G85,H85),1,0)</f>
        <v>0</v>
      </c>
      <c r="J85" s="8" t="n">
        <v>2</v>
      </c>
      <c r="K85" s="8" t="s">
        <v>92</v>
      </c>
      <c r="L85" s="8" t="n">
        <v>0</v>
      </c>
      <c r="M85" s="8" t="n">
        <v>1</v>
      </c>
      <c r="N85" s="8" t="s">
        <v>93</v>
      </c>
      <c r="O85" s="8" t="n">
        <v>1</v>
      </c>
      <c r="P85" s="10" t="n">
        <v>3.82</v>
      </c>
      <c r="Q85" s="8"/>
      <c r="R85" s="8"/>
      <c r="S85" s="8" t="s">
        <v>207</v>
      </c>
      <c r="T85" s="8"/>
      <c r="U85" s="8"/>
      <c r="V85" s="8" t="s">
        <v>155</v>
      </c>
      <c r="W85" s="8"/>
      <c r="X85" s="8" t="s">
        <v>208</v>
      </c>
      <c r="Y85" s="8" t="s">
        <v>161</v>
      </c>
      <c r="Z85" s="8"/>
    </row>
    <row r="86" customFormat="false" ht="15" hidden="false" customHeight="false" outlineLevel="0" collapsed="false">
      <c r="A86" s="8" t="s">
        <v>209</v>
      </c>
      <c r="B86" s="8" t="s">
        <v>13</v>
      </c>
      <c r="C86" s="8" t="s">
        <v>14</v>
      </c>
      <c r="D86" s="8" t="s">
        <v>91</v>
      </c>
      <c r="E86" s="8" t="s">
        <v>35</v>
      </c>
      <c r="F86" s="8" t="s">
        <v>58</v>
      </c>
      <c r="G86" s="8" t="s">
        <v>30</v>
      </c>
      <c r="H86" s="8" t="s">
        <v>30</v>
      </c>
      <c r="I86" s="8" t="n">
        <f aca="false">IF(EXACT(G86,H86),1,0)</f>
        <v>1</v>
      </c>
      <c r="J86" s="8" t="n">
        <v>0</v>
      </c>
      <c r="K86" s="8" t="s">
        <v>92</v>
      </c>
      <c r="L86" s="8" t="n">
        <v>0</v>
      </c>
      <c r="M86" s="8" t="n">
        <v>1</v>
      </c>
      <c r="N86" s="8" t="s">
        <v>93</v>
      </c>
      <c r="O86" s="8" t="n">
        <v>1</v>
      </c>
      <c r="P86" s="10" t="n">
        <v>3.53</v>
      </c>
      <c r="Q86" s="8"/>
      <c r="R86" s="8"/>
      <c r="S86" s="8" t="s">
        <v>210</v>
      </c>
      <c r="T86" s="8"/>
      <c r="U86" s="8"/>
      <c r="V86" s="8" t="s">
        <v>155</v>
      </c>
      <c r="W86" s="8"/>
      <c r="X86" s="8" t="s">
        <v>211</v>
      </c>
      <c r="Y86" s="8" t="s">
        <v>161</v>
      </c>
      <c r="Z86" s="8"/>
    </row>
    <row r="87" customFormat="false" ht="15" hidden="false" customHeight="false" outlineLevel="0" collapsed="false">
      <c r="A87" s="8" t="s">
        <v>209</v>
      </c>
      <c r="B87" s="8" t="s">
        <v>13</v>
      </c>
      <c r="C87" s="8" t="s">
        <v>14</v>
      </c>
      <c r="D87" s="8" t="s">
        <v>91</v>
      </c>
      <c r="E87" s="8" t="s">
        <v>35</v>
      </c>
      <c r="F87" s="8" t="s">
        <v>58</v>
      </c>
      <c r="G87" s="8" t="s">
        <v>30</v>
      </c>
      <c r="H87" s="8" t="s">
        <v>30</v>
      </c>
      <c r="I87" s="8" t="n">
        <f aca="false">IF(EXACT(G87,H87),1,0)</f>
        <v>1</v>
      </c>
      <c r="J87" s="8" t="n">
        <v>1</v>
      </c>
      <c r="K87" s="8" t="s">
        <v>92</v>
      </c>
      <c r="L87" s="8" t="n">
        <v>0</v>
      </c>
      <c r="M87" s="8" t="n">
        <v>1</v>
      </c>
      <c r="N87" s="8" t="s">
        <v>93</v>
      </c>
      <c r="O87" s="8" t="n">
        <v>1</v>
      </c>
      <c r="P87" s="10" t="n">
        <v>3.58</v>
      </c>
      <c r="Q87" s="8"/>
      <c r="R87" s="8"/>
      <c r="S87" s="8" t="s">
        <v>210</v>
      </c>
      <c r="T87" s="8"/>
      <c r="U87" s="8"/>
      <c r="V87" s="8" t="s">
        <v>155</v>
      </c>
      <c r="W87" s="8"/>
      <c r="X87" s="8" t="s">
        <v>211</v>
      </c>
      <c r="Y87" s="8" t="s">
        <v>161</v>
      </c>
      <c r="Z87" s="8"/>
    </row>
    <row r="88" customFormat="false" ht="15" hidden="false" customHeight="false" outlineLevel="0" collapsed="false">
      <c r="A88" s="8" t="s">
        <v>209</v>
      </c>
      <c r="B88" s="8" t="s">
        <v>13</v>
      </c>
      <c r="C88" s="8" t="s">
        <v>14</v>
      </c>
      <c r="D88" s="8" t="s">
        <v>91</v>
      </c>
      <c r="E88" s="8" t="s">
        <v>35</v>
      </c>
      <c r="F88" s="8" t="s">
        <v>58</v>
      </c>
      <c r="G88" s="8" t="s">
        <v>30</v>
      </c>
      <c r="H88" s="8" t="s">
        <v>30</v>
      </c>
      <c r="I88" s="8" t="n">
        <f aca="false">IF(EXACT(G88,H88),1,0)</f>
        <v>1</v>
      </c>
      <c r="J88" s="8" t="n">
        <v>2</v>
      </c>
      <c r="K88" s="8" t="s">
        <v>92</v>
      </c>
      <c r="L88" s="8" t="n">
        <v>0</v>
      </c>
      <c r="M88" s="8" t="n">
        <v>1</v>
      </c>
      <c r="N88" s="8" t="s">
        <v>93</v>
      </c>
      <c r="O88" s="8" t="n">
        <v>1</v>
      </c>
      <c r="P88" s="10" t="n">
        <v>3.63</v>
      </c>
      <c r="Q88" s="8"/>
      <c r="R88" s="8"/>
      <c r="S88" s="8" t="s">
        <v>210</v>
      </c>
      <c r="T88" s="8"/>
      <c r="U88" s="8"/>
      <c r="V88" s="8" t="s">
        <v>155</v>
      </c>
      <c r="W88" s="8"/>
      <c r="X88" s="8" t="s">
        <v>211</v>
      </c>
      <c r="Y88" s="8" t="s">
        <v>161</v>
      </c>
      <c r="Z88" s="8"/>
    </row>
    <row r="89" customFormat="false" ht="15" hidden="false" customHeight="false" outlineLevel="0" collapsed="false">
      <c r="A89" s="8" t="s">
        <v>212</v>
      </c>
      <c r="B89" s="8" t="s">
        <v>13</v>
      </c>
      <c r="C89" s="8" t="s">
        <v>14</v>
      </c>
      <c r="D89" s="8" t="s">
        <v>91</v>
      </c>
      <c r="E89" s="8" t="s">
        <v>35</v>
      </c>
      <c r="F89" s="8" t="s">
        <v>58</v>
      </c>
      <c r="G89" s="8" t="s">
        <v>30</v>
      </c>
      <c r="H89" s="8" t="s">
        <v>30</v>
      </c>
      <c r="I89" s="8" t="n">
        <f aca="false">IF(EXACT(G89,H89),1,0)</f>
        <v>1</v>
      </c>
      <c r="J89" s="8" t="n">
        <v>0</v>
      </c>
      <c r="K89" s="8" t="s">
        <v>92</v>
      </c>
      <c r="L89" s="8" t="n">
        <v>0</v>
      </c>
      <c r="M89" s="8" t="n">
        <v>1</v>
      </c>
      <c r="N89" s="8" t="s">
        <v>93</v>
      </c>
      <c r="O89" s="8" t="n">
        <v>1</v>
      </c>
      <c r="P89" s="10" t="n">
        <v>3.58</v>
      </c>
      <c r="Q89" s="8"/>
      <c r="R89" s="8"/>
      <c r="S89" s="8" t="s">
        <v>213</v>
      </c>
      <c r="T89" s="8"/>
      <c r="U89" s="8"/>
      <c r="V89" s="8" t="s">
        <v>155</v>
      </c>
      <c r="W89" s="8"/>
      <c r="X89" s="8" t="s">
        <v>214</v>
      </c>
      <c r="Y89" s="8" t="s">
        <v>99</v>
      </c>
      <c r="Z89" s="8"/>
    </row>
    <row r="90" customFormat="false" ht="15" hidden="false" customHeight="false" outlineLevel="0" collapsed="false">
      <c r="A90" s="8" t="s">
        <v>212</v>
      </c>
      <c r="B90" s="8" t="s">
        <v>13</v>
      </c>
      <c r="C90" s="8" t="s">
        <v>14</v>
      </c>
      <c r="D90" s="8" t="s">
        <v>91</v>
      </c>
      <c r="E90" s="8" t="s">
        <v>35</v>
      </c>
      <c r="F90" s="8" t="s">
        <v>58</v>
      </c>
      <c r="G90" s="8" t="s">
        <v>30</v>
      </c>
      <c r="H90" s="8" t="s">
        <v>30</v>
      </c>
      <c r="I90" s="8" t="n">
        <f aca="false">IF(EXACT(G90,H90),1,0)</f>
        <v>1</v>
      </c>
      <c r="J90" s="8" t="n">
        <v>1</v>
      </c>
      <c r="K90" s="8" t="s">
        <v>92</v>
      </c>
      <c r="L90" s="8" t="n">
        <v>0</v>
      </c>
      <c r="M90" s="8" t="n">
        <v>1</v>
      </c>
      <c r="N90" s="8" t="s">
        <v>93</v>
      </c>
      <c r="O90" s="8" t="n">
        <v>1</v>
      </c>
      <c r="P90" s="10" t="n">
        <v>3.52</v>
      </c>
      <c r="Q90" s="8"/>
      <c r="R90" s="8"/>
      <c r="S90" s="8" t="s">
        <v>213</v>
      </c>
      <c r="T90" s="8"/>
      <c r="U90" s="8"/>
      <c r="V90" s="8" t="s">
        <v>155</v>
      </c>
      <c r="W90" s="8"/>
      <c r="X90" s="8" t="s">
        <v>214</v>
      </c>
      <c r="Y90" s="8" t="s">
        <v>99</v>
      </c>
      <c r="Z90" s="8"/>
    </row>
    <row r="91" customFormat="false" ht="15" hidden="false" customHeight="false" outlineLevel="0" collapsed="false">
      <c r="A91" s="8" t="s">
        <v>212</v>
      </c>
      <c r="B91" s="8" t="s">
        <v>13</v>
      </c>
      <c r="C91" s="8" t="s">
        <v>14</v>
      </c>
      <c r="D91" s="8" t="s">
        <v>91</v>
      </c>
      <c r="E91" s="8" t="s">
        <v>35</v>
      </c>
      <c r="F91" s="8" t="s">
        <v>58</v>
      </c>
      <c r="G91" s="8" t="s">
        <v>30</v>
      </c>
      <c r="H91" s="8" t="s">
        <v>30</v>
      </c>
      <c r="I91" s="8" t="n">
        <f aca="false">IF(EXACT(G91,H91),1,0)</f>
        <v>1</v>
      </c>
      <c r="J91" s="8" t="n">
        <v>2</v>
      </c>
      <c r="K91" s="8" t="s">
        <v>92</v>
      </c>
      <c r="L91" s="8" t="n">
        <v>0</v>
      </c>
      <c r="M91" s="8" t="n">
        <v>1</v>
      </c>
      <c r="N91" s="8" t="s">
        <v>93</v>
      </c>
      <c r="O91" s="8" t="n">
        <v>1</v>
      </c>
      <c r="P91" s="10" t="n">
        <v>3.52</v>
      </c>
      <c r="Q91" s="8"/>
      <c r="R91" s="8"/>
      <c r="S91" s="8" t="s">
        <v>213</v>
      </c>
      <c r="T91" s="8"/>
      <c r="U91" s="8"/>
      <c r="V91" s="8" t="s">
        <v>155</v>
      </c>
      <c r="W91" s="8"/>
      <c r="X91" s="8" t="s">
        <v>214</v>
      </c>
      <c r="Y91" s="8" t="s">
        <v>99</v>
      </c>
      <c r="Z91" s="8"/>
    </row>
    <row r="92" customFormat="false" ht="15" hidden="false" customHeight="false" outlineLevel="0" collapsed="false">
      <c r="A92" s="8" t="s">
        <v>215</v>
      </c>
      <c r="B92" s="8" t="s">
        <v>13</v>
      </c>
      <c r="C92" s="8" t="s">
        <v>14</v>
      </c>
      <c r="D92" s="8" t="s">
        <v>91</v>
      </c>
      <c r="E92" s="8" t="s">
        <v>36</v>
      </c>
      <c r="F92" s="8" t="s">
        <v>46</v>
      </c>
      <c r="G92" s="8" t="s">
        <v>30</v>
      </c>
      <c r="H92" s="8" t="s">
        <v>30</v>
      </c>
      <c r="I92" s="8" t="n">
        <f aca="false">IF(EXACT(G92,H92),1,0)</f>
        <v>1</v>
      </c>
      <c r="J92" s="8" t="n">
        <v>0</v>
      </c>
      <c r="K92" s="8" t="s">
        <v>92</v>
      </c>
      <c r="L92" s="8" t="n">
        <v>0</v>
      </c>
      <c r="M92" s="8" t="n">
        <v>1</v>
      </c>
      <c r="N92" s="8" t="s">
        <v>93</v>
      </c>
      <c r="O92" s="8" t="n">
        <v>1</v>
      </c>
      <c r="P92" s="10" t="n">
        <v>3.8</v>
      </c>
      <c r="Q92" s="8"/>
      <c r="R92" s="8"/>
      <c r="S92" s="8" t="s">
        <v>216</v>
      </c>
      <c r="T92" s="8" t="s">
        <v>217</v>
      </c>
      <c r="U92" s="8" t="s">
        <v>218</v>
      </c>
      <c r="V92" s="8"/>
      <c r="W92" s="8" t="s">
        <v>219</v>
      </c>
      <c r="X92" s="8" t="s">
        <v>220</v>
      </c>
      <c r="Y92" s="8" t="s">
        <v>108</v>
      </c>
      <c r="Z92" s="8"/>
    </row>
    <row r="93" customFormat="false" ht="15" hidden="false" customHeight="false" outlineLevel="0" collapsed="false">
      <c r="A93" s="8" t="s">
        <v>215</v>
      </c>
      <c r="B93" s="8" t="s">
        <v>13</v>
      </c>
      <c r="C93" s="8" t="s">
        <v>14</v>
      </c>
      <c r="D93" s="8" t="s">
        <v>91</v>
      </c>
      <c r="E93" s="8" t="s">
        <v>36</v>
      </c>
      <c r="F93" s="8" t="s">
        <v>46</v>
      </c>
      <c r="G93" s="8" t="s">
        <v>30</v>
      </c>
      <c r="H93" s="8" t="s">
        <v>30</v>
      </c>
      <c r="I93" s="8" t="n">
        <f aca="false">IF(EXACT(G93,H93),1,0)</f>
        <v>1</v>
      </c>
      <c r="J93" s="8" t="n">
        <v>1</v>
      </c>
      <c r="K93" s="8" t="s">
        <v>92</v>
      </c>
      <c r="L93" s="8" t="n">
        <v>0</v>
      </c>
      <c r="M93" s="8" t="n">
        <v>1</v>
      </c>
      <c r="N93" s="8" t="s">
        <v>93</v>
      </c>
      <c r="O93" s="8" t="n">
        <v>1</v>
      </c>
      <c r="P93" s="10" t="n">
        <v>3.95</v>
      </c>
      <c r="Q93" s="8"/>
      <c r="R93" s="8"/>
      <c r="S93" s="8" t="s">
        <v>216</v>
      </c>
      <c r="T93" s="8" t="s">
        <v>217</v>
      </c>
      <c r="U93" s="8" t="s">
        <v>218</v>
      </c>
      <c r="V93" s="8"/>
      <c r="W93" s="8" t="s">
        <v>219</v>
      </c>
      <c r="X93" s="8" t="s">
        <v>220</v>
      </c>
      <c r="Y93" s="8" t="s">
        <v>108</v>
      </c>
      <c r="Z93" s="8"/>
    </row>
    <row r="94" customFormat="false" ht="15" hidden="false" customHeight="false" outlineLevel="0" collapsed="false">
      <c r="A94" s="8" t="s">
        <v>215</v>
      </c>
      <c r="B94" s="8" t="s">
        <v>13</v>
      </c>
      <c r="C94" s="8" t="s">
        <v>14</v>
      </c>
      <c r="D94" s="8" t="s">
        <v>91</v>
      </c>
      <c r="E94" s="8" t="s">
        <v>36</v>
      </c>
      <c r="F94" s="8" t="s">
        <v>46</v>
      </c>
      <c r="G94" s="8" t="s">
        <v>30</v>
      </c>
      <c r="H94" s="8" t="s">
        <v>30</v>
      </c>
      <c r="I94" s="8" t="n">
        <f aca="false">IF(EXACT(G94,H94),1,0)</f>
        <v>1</v>
      </c>
      <c r="J94" s="8" t="n">
        <v>2</v>
      </c>
      <c r="K94" s="8" t="s">
        <v>92</v>
      </c>
      <c r="L94" s="8" t="n">
        <v>0</v>
      </c>
      <c r="M94" s="8" t="n">
        <v>1</v>
      </c>
      <c r="N94" s="8" t="s">
        <v>93</v>
      </c>
      <c r="O94" s="8" t="n">
        <v>1</v>
      </c>
      <c r="P94" s="10" t="n">
        <v>3.79</v>
      </c>
      <c r="Q94" s="8"/>
      <c r="R94" s="8"/>
      <c r="S94" s="8" t="s">
        <v>216</v>
      </c>
      <c r="T94" s="8" t="s">
        <v>217</v>
      </c>
      <c r="U94" s="8" t="s">
        <v>218</v>
      </c>
      <c r="V94" s="8"/>
      <c r="W94" s="8" t="s">
        <v>219</v>
      </c>
      <c r="X94" s="8" t="s">
        <v>220</v>
      </c>
      <c r="Y94" s="8" t="s">
        <v>108</v>
      </c>
      <c r="Z94" s="8"/>
    </row>
    <row r="95" customFormat="false" ht="15" hidden="false" customHeight="false" outlineLevel="0" collapsed="false">
      <c r="A95" s="8" t="s">
        <v>221</v>
      </c>
      <c r="B95" s="8" t="s">
        <v>13</v>
      </c>
      <c r="C95" s="8" t="s">
        <v>14</v>
      </c>
      <c r="D95" s="8" t="s">
        <v>91</v>
      </c>
      <c r="E95" s="8" t="s">
        <v>36</v>
      </c>
      <c r="F95" s="8" t="s">
        <v>46</v>
      </c>
      <c r="G95" s="8" t="s">
        <v>31</v>
      </c>
      <c r="H95" s="8" t="s">
        <v>31</v>
      </c>
      <c r="I95" s="8" t="n">
        <f aca="false">IF(EXACT(G95,H95),1,0)</f>
        <v>1</v>
      </c>
      <c r="J95" s="8" t="n">
        <v>0</v>
      </c>
      <c r="K95" s="8" t="s">
        <v>116</v>
      </c>
      <c r="L95" s="8" t="n">
        <v>1</v>
      </c>
      <c r="M95" s="8" t="n">
        <v>1</v>
      </c>
      <c r="N95" s="8" t="s">
        <v>93</v>
      </c>
      <c r="O95" s="8" t="n">
        <v>1</v>
      </c>
      <c r="P95" s="10" t="n">
        <v>3.57</v>
      </c>
      <c r="Q95" s="8"/>
      <c r="R95" s="8"/>
      <c r="S95" s="8" t="s">
        <v>222</v>
      </c>
      <c r="T95" s="8" t="s">
        <v>217</v>
      </c>
      <c r="U95" s="8" t="s">
        <v>223</v>
      </c>
      <c r="V95" s="8"/>
      <c r="W95" s="8" t="s">
        <v>224</v>
      </c>
      <c r="X95" s="8" t="s">
        <v>225</v>
      </c>
      <c r="Y95" s="8" t="s">
        <v>130</v>
      </c>
      <c r="Z95" s="8" t="s">
        <v>226</v>
      </c>
    </row>
    <row r="96" customFormat="false" ht="15" hidden="false" customHeight="false" outlineLevel="0" collapsed="false">
      <c r="A96" s="8" t="s">
        <v>221</v>
      </c>
      <c r="B96" s="8" t="s">
        <v>13</v>
      </c>
      <c r="C96" s="8" t="s">
        <v>14</v>
      </c>
      <c r="D96" s="8" t="s">
        <v>91</v>
      </c>
      <c r="E96" s="8" t="s">
        <v>36</v>
      </c>
      <c r="F96" s="8" t="s">
        <v>46</v>
      </c>
      <c r="G96" s="8" t="s">
        <v>31</v>
      </c>
      <c r="H96" s="8" t="s">
        <v>31</v>
      </c>
      <c r="I96" s="8" t="n">
        <f aca="false">IF(EXACT(G96,H96),1,0)</f>
        <v>1</v>
      </c>
      <c r="J96" s="8" t="n">
        <v>1</v>
      </c>
      <c r="K96" s="8" t="s">
        <v>116</v>
      </c>
      <c r="L96" s="8" t="n">
        <v>1</v>
      </c>
      <c r="M96" s="8" t="n">
        <v>1</v>
      </c>
      <c r="N96" s="8" t="s">
        <v>93</v>
      </c>
      <c r="O96" s="8" t="n">
        <v>1</v>
      </c>
      <c r="P96" s="10" t="n">
        <v>3.56</v>
      </c>
      <c r="Q96" s="8"/>
      <c r="R96" s="8"/>
      <c r="S96" s="8" t="s">
        <v>222</v>
      </c>
      <c r="T96" s="8" t="s">
        <v>217</v>
      </c>
      <c r="U96" s="8" t="s">
        <v>223</v>
      </c>
      <c r="V96" s="8"/>
      <c r="W96" s="8" t="s">
        <v>224</v>
      </c>
      <c r="X96" s="8" t="s">
        <v>225</v>
      </c>
      <c r="Y96" s="8" t="s">
        <v>130</v>
      </c>
      <c r="Z96" s="8" t="s">
        <v>226</v>
      </c>
    </row>
    <row r="97" customFormat="false" ht="15" hidden="false" customHeight="false" outlineLevel="0" collapsed="false">
      <c r="A97" s="8" t="s">
        <v>221</v>
      </c>
      <c r="B97" s="8" t="s">
        <v>13</v>
      </c>
      <c r="C97" s="8" t="s">
        <v>14</v>
      </c>
      <c r="D97" s="8" t="s">
        <v>91</v>
      </c>
      <c r="E97" s="8" t="s">
        <v>36</v>
      </c>
      <c r="F97" s="8" t="s">
        <v>46</v>
      </c>
      <c r="G97" s="8" t="s">
        <v>31</v>
      </c>
      <c r="H97" s="8" t="s">
        <v>31</v>
      </c>
      <c r="I97" s="8" t="n">
        <f aca="false">IF(EXACT(G97,H97),1,0)</f>
        <v>1</v>
      </c>
      <c r="J97" s="8" t="n">
        <v>2</v>
      </c>
      <c r="K97" s="8" t="s">
        <v>116</v>
      </c>
      <c r="L97" s="8" t="n">
        <v>1</v>
      </c>
      <c r="M97" s="8" t="n">
        <v>1</v>
      </c>
      <c r="N97" s="8" t="s">
        <v>93</v>
      </c>
      <c r="O97" s="8" t="n">
        <v>1</v>
      </c>
      <c r="P97" s="10" t="n">
        <v>3.54</v>
      </c>
      <c r="Q97" s="8"/>
      <c r="R97" s="8"/>
      <c r="S97" s="8" t="s">
        <v>222</v>
      </c>
      <c r="T97" s="8" t="s">
        <v>217</v>
      </c>
      <c r="U97" s="8" t="s">
        <v>223</v>
      </c>
      <c r="V97" s="8"/>
      <c r="W97" s="8" t="s">
        <v>224</v>
      </c>
      <c r="X97" s="8" t="s">
        <v>225</v>
      </c>
      <c r="Y97" s="8" t="s">
        <v>130</v>
      </c>
      <c r="Z97" s="8" t="s">
        <v>226</v>
      </c>
    </row>
    <row r="98" customFormat="false" ht="15" hidden="false" customHeight="false" outlineLevel="0" collapsed="false">
      <c r="A98" s="8" t="s">
        <v>227</v>
      </c>
      <c r="B98" s="8" t="s">
        <v>13</v>
      </c>
      <c r="C98" s="8" t="s">
        <v>14</v>
      </c>
      <c r="D98" s="8" t="s">
        <v>91</v>
      </c>
      <c r="E98" s="8" t="s">
        <v>36</v>
      </c>
      <c r="F98" s="8" t="s">
        <v>46</v>
      </c>
      <c r="G98" s="8" t="s">
        <v>31</v>
      </c>
      <c r="H98" s="8" t="s">
        <v>31</v>
      </c>
      <c r="I98" s="8" t="n">
        <f aca="false">IF(EXACT(G98,H98),1,0)</f>
        <v>1</v>
      </c>
      <c r="J98" s="8" t="n">
        <v>0</v>
      </c>
      <c r="K98" s="8" t="s">
        <v>116</v>
      </c>
      <c r="L98" s="8" t="n">
        <v>1</v>
      </c>
      <c r="M98" s="8" t="n">
        <v>1</v>
      </c>
      <c r="N98" s="8" t="s">
        <v>93</v>
      </c>
      <c r="O98" s="8" t="n">
        <v>1</v>
      </c>
      <c r="P98" s="10" t="n">
        <v>3.68</v>
      </c>
      <c r="Q98" s="8"/>
      <c r="R98" s="8"/>
      <c r="S98" s="8" t="s">
        <v>228</v>
      </c>
      <c r="T98" s="8" t="s">
        <v>217</v>
      </c>
      <c r="U98" s="8" t="s">
        <v>223</v>
      </c>
      <c r="V98" s="8"/>
      <c r="W98" s="8" t="s">
        <v>229</v>
      </c>
      <c r="X98" s="8" t="s">
        <v>230</v>
      </c>
      <c r="Y98" s="8" t="s">
        <v>130</v>
      </c>
      <c r="Z98" s="8" t="s">
        <v>226</v>
      </c>
    </row>
    <row r="99" customFormat="false" ht="15" hidden="false" customHeight="false" outlineLevel="0" collapsed="false">
      <c r="A99" s="8" t="s">
        <v>227</v>
      </c>
      <c r="B99" s="8" t="s">
        <v>13</v>
      </c>
      <c r="C99" s="8" t="s">
        <v>14</v>
      </c>
      <c r="D99" s="8" t="s">
        <v>91</v>
      </c>
      <c r="E99" s="8" t="s">
        <v>36</v>
      </c>
      <c r="F99" s="8" t="s">
        <v>46</v>
      </c>
      <c r="G99" s="8" t="s">
        <v>31</v>
      </c>
      <c r="H99" s="8" t="s">
        <v>31</v>
      </c>
      <c r="I99" s="8" t="n">
        <f aca="false">IF(EXACT(G99,H99),1,0)</f>
        <v>1</v>
      </c>
      <c r="J99" s="8" t="n">
        <v>1</v>
      </c>
      <c r="K99" s="8" t="s">
        <v>116</v>
      </c>
      <c r="L99" s="8" t="n">
        <v>1</v>
      </c>
      <c r="M99" s="8" t="n">
        <v>1</v>
      </c>
      <c r="N99" s="8" t="s">
        <v>93</v>
      </c>
      <c r="O99" s="8" t="n">
        <v>1</v>
      </c>
      <c r="P99" s="10" t="n">
        <v>3.67</v>
      </c>
      <c r="Q99" s="8"/>
      <c r="R99" s="8"/>
      <c r="S99" s="8" t="s">
        <v>228</v>
      </c>
      <c r="T99" s="8" t="s">
        <v>217</v>
      </c>
      <c r="U99" s="8" t="s">
        <v>223</v>
      </c>
      <c r="V99" s="8"/>
      <c r="W99" s="8" t="s">
        <v>229</v>
      </c>
      <c r="X99" s="8" t="s">
        <v>230</v>
      </c>
      <c r="Y99" s="8" t="s">
        <v>130</v>
      </c>
      <c r="Z99" s="8" t="s">
        <v>226</v>
      </c>
    </row>
    <row r="100" customFormat="false" ht="15" hidden="false" customHeight="false" outlineLevel="0" collapsed="false">
      <c r="A100" s="8" t="s">
        <v>227</v>
      </c>
      <c r="B100" s="8" t="s">
        <v>13</v>
      </c>
      <c r="C100" s="8" t="s">
        <v>14</v>
      </c>
      <c r="D100" s="8" t="s">
        <v>91</v>
      </c>
      <c r="E100" s="8" t="s">
        <v>36</v>
      </c>
      <c r="F100" s="8" t="s">
        <v>46</v>
      </c>
      <c r="G100" s="8" t="s">
        <v>31</v>
      </c>
      <c r="H100" s="8" t="s">
        <v>31</v>
      </c>
      <c r="I100" s="8" t="n">
        <f aca="false">IF(EXACT(G100,H100),1,0)</f>
        <v>1</v>
      </c>
      <c r="J100" s="8" t="n">
        <v>2</v>
      </c>
      <c r="K100" s="8" t="s">
        <v>116</v>
      </c>
      <c r="L100" s="8" t="n">
        <v>1</v>
      </c>
      <c r="M100" s="8" t="n">
        <v>1</v>
      </c>
      <c r="N100" s="8" t="s">
        <v>93</v>
      </c>
      <c r="O100" s="8" t="n">
        <v>1</v>
      </c>
      <c r="P100" s="10" t="n">
        <v>3.66</v>
      </c>
      <c r="Q100" s="8"/>
      <c r="R100" s="8"/>
      <c r="S100" s="8" t="s">
        <v>228</v>
      </c>
      <c r="T100" s="8" t="s">
        <v>217</v>
      </c>
      <c r="U100" s="8" t="s">
        <v>223</v>
      </c>
      <c r="V100" s="8"/>
      <c r="W100" s="8" t="s">
        <v>229</v>
      </c>
      <c r="X100" s="8" t="s">
        <v>230</v>
      </c>
      <c r="Y100" s="8" t="s">
        <v>130</v>
      </c>
      <c r="Z100" s="8" t="s">
        <v>226</v>
      </c>
    </row>
    <row r="101" customFormat="false" ht="15" hidden="false" customHeight="false" outlineLevel="0" collapsed="false">
      <c r="A101" s="8" t="s">
        <v>231</v>
      </c>
      <c r="B101" s="8" t="s">
        <v>13</v>
      </c>
      <c r="C101" s="8" t="s">
        <v>14</v>
      </c>
      <c r="D101" s="8" t="s">
        <v>91</v>
      </c>
      <c r="E101" s="8" t="s">
        <v>36</v>
      </c>
      <c r="F101" s="8" t="s">
        <v>46</v>
      </c>
      <c r="G101" s="8" t="s">
        <v>30</v>
      </c>
      <c r="H101" s="8" t="s">
        <v>30</v>
      </c>
      <c r="I101" s="8" t="n">
        <f aca="false">IF(EXACT(G101,H101),1,0)</f>
        <v>1</v>
      </c>
      <c r="J101" s="8" t="n">
        <v>0</v>
      </c>
      <c r="K101" s="8" t="s">
        <v>92</v>
      </c>
      <c r="L101" s="8" t="n">
        <v>0</v>
      </c>
      <c r="M101" s="8" t="n">
        <v>1</v>
      </c>
      <c r="N101" s="8" t="s">
        <v>93</v>
      </c>
      <c r="O101" s="8" t="n">
        <v>1</v>
      </c>
      <c r="P101" s="10" t="n">
        <v>3.64</v>
      </c>
      <c r="Q101" s="8"/>
      <c r="R101" s="8"/>
      <c r="S101" s="8" t="s">
        <v>232</v>
      </c>
      <c r="T101" s="8" t="s">
        <v>217</v>
      </c>
      <c r="U101" s="8" t="s">
        <v>218</v>
      </c>
      <c r="V101" s="8"/>
      <c r="W101" s="8" t="s">
        <v>233</v>
      </c>
      <c r="X101" s="8" t="s">
        <v>234</v>
      </c>
      <c r="Y101" s="8" t="s">
        <v>108</v>
      </c>
      <c r="Z101" s="8"/>
    </row>
    <row r="102" customFormat="false" ht="15" hidden="false" customHeight="false" outlineLevel="0" collapsed="false">
      <c r="A102" s="8" t="s">
        <v>231</v>
      </c>
      <c r="B102" s="8" t="s">
        <v>13</v>
      </c>
      <c r="C102" s="8" t="s">
        <v>14</v>
      </c>
      <c r="D102" s="8" t="s">
        <v>91</v>
      </c>
      <c r="E102" s="8" t="s">
        <v>36</v>
      </c>
      <c r="F102" s="8" t="s">
        <v>46</v>
      </c>
      <c r="G102" s="8" t="s">
        <v>30</v>
      </c>
      <c r="H102" s="8" t="s">
        <v>30</v>
      </c>
      <c r="I102" s="8" t="n">
        <f aca="false">IF(EXACT(G102,H102),1,0)</f>
        <v>1</v>
      </c>
      <c r="J102" s="8" t="n">
        <v>1</v>
      </c>
      <c r="K102" s="8" t="s">
        <v>92</v>
      </c>
      <c r="L102" s="8" t="n">
        <v>0</v>
      </c>
      <c r="M102" s="8" t="n">
        <v>1</v>
      </c>
      <c r="N102" s="8" t="s">
        <v>93</v>
      </c>
      <c r="O102" s="8" t="n">
        <v>1</v>
      </c>
      <c r="P102" s="10" t="n">
        <v>3.55</v>
      </c>
      <c r="Q102" s="8"/>
      <c r="R102" s="8"/>
      <c r="S102" s="8" t="s">
        <v>232</v>
      </c>
      <c r="T102" s="8" t="s">
        <v>217</v>
      </c>
      <c r="U102" s="8" t="s">
        <v>218</v>
      </c>
      <c r="V102" s="8"/>
      <c r="W102" s="8" t="s">
        <v>233</v>
      </c>
      <c r="X102" s="8" t="s">
        <v>234</v>
      </c>
      <c r="Y102" s="8" t="s">
        <v>108</v>
      </c>
      <c r="Z102" s="8"/>
    </row>
    <row r="103" customFormat="false" ht="15" hidden="false" customHeight="false" outlineLevel="0" collapsed="false">
      <c r="A103" s="8" t="s">
        <v>231</v>
      </c>
      <c r="B103" s="8" t="s">
        <v>13</v>
      </c>
      <c r="C103" s="8" t="s">
        <v>14</v>
      </c>
      <c r="D103" s="8" t="s">
        <v>91</v>
      </c>
      <c r="E103" s="8" t="s">
        <v>36</v>
      </c>
      <c r="F103" s="8" t="s">
        <v>46</v>
      </c>
      <c r="G103" s="8" t="s">
        <v>30</v>
      </c>
      <c r="H103" s="8" t="s">
        <v>30</v>
      </c>
      <c r="I103" s="8" t="n">
        <f aca="false">IF(EXACT(G103,H103),1,0)</f>
        <v>1</v>
      </c>
      <c r="J103" s="8" t="n">
        <v>2</v>
      </c>
      <c r="K103" s="8" t="s">
        <v>92</v>
      </c>
      <c r="L103" s="8" t="n">
        <v>0</v>
      </c>
      <c r="M103" s="8" t="n">
        <v>1</v>
      </c>
      <c r="N103" s="8" t="s">
        <v>93</v>
      </c>
      <c r="O103" s="8" t="n">
        <v>1</v>
      </c>
      <c r="P103" s="10" t="n">
        <v>3.56</v>
      </c>
      <c r="Q103" s="8"/>
      <c r="R103" s="8"/>
      <c r="S103" s="8" t="s">
        <v>232</v>
      </c>
      <c r="T103" s="8" t="s">
        <v>217</v>
      </c>
      <c r="U103" s="8" t="s">
        <v>218</v>
      </c>
      <c r="V103" s="8"/>
      <c r="W103" s="8" t="s">
        <v>233</v>
      </c>
      <c r="X103" s="8" t="s">
        <v>234</v>
      </c>
      <c r="Y103" s="8" t="s">
        <v>108</v>
      </c>
      <c r="Z103" s="8"/>
    </row>
    <row r="104" customFormat="false" ht="15" hidden="false" customHeight="false" outlineLevel="0" collapsed="false">
      <c r="A104" s="8" t="s">
        <v>235</v>
      </c>
      <c r="B104" s="8" t="s">
        <v>13</v>
      </c>
      <c r="C104" s="8" t="s">
        <v>14</v>
      </c>
      <c r="D104" s="8" t="s">
        <v>91</v>
      </c>
      <c r="E104" s="8" t="s">
        <v>36</v>
      </c>
      <c r="F104" s="8" t="s">
        <v>46</v>
      </c>
      <c r="G104" s="8" t="s">
        <v>32</v>
      </c>
      <c r="H104" s="8" t="s">
        <v>30</v>
      </c>
      <c r="I104" s="8" t="n">
        <f aca="false">IF(EXACT(G104,H104),1,0)</f>
        <v>0</v>
      </c>
      <c r="J104" s="8" t="n">
        <v>0</v>
      </c>
      <c r="K104" s="8" t="s">
        <v>92</v>
      </c>
      <c r="L104" s="8" t="n">
        <v>0</v>
      </c>
      <c r="M104" s="8" t="n">
        <v>1</v>
      </c>
      <c r="N104" s="8" t="s">
        <v>93</v>
      </c>
      <c r="O104" s="8" t="n">
        <v>1</v>
      </c>
      <c r="P104" s="10" t="n">
        <v>3.7</v>
      </c>
      <c r="Q104" s="8"/>
      <c r="R104" s="8"/>
      <c r="S104" s="8" t="s">
        <v>125</v>
      </c>
      <c r="T104" s="8" t="s">
        <v>217</v>
      </c>
      <c r="U104" s="8" t="s">
        <v>218</v>
      </c>
      <c r="V104" s="8"/>
      <c r="W104" s="8" t="s">
        <v>236</v>
      </c>
      <c r="X104" s="8" t="s">
        <v>237</v>
      </c>
      <c r="Y104" s="8" t="s">
        <v>108</v>
      </c>
      <c r="Z104" s="8"/>
    </row>
    <row r="105" customFormat="false" ht="15" hidden="false" customHeight="false" outlineLevel="0" collapsed="false">
      <c r="A105" s="8" t="s">
        <v>235</v>
      </c>
      <c r="B105" s="8" t="s">
        <v>13</v>
      </c>
      <c r="C105" s="8" t="s">
        <v>14</v>
      </c>
      <c r="D105" s="8" t="s">
        <v>91</v>
      </c>
      <c r="E105" s="8" t="s">
        <v>36</v>
      </c>
      <c r="F105" s="8" t="s">
        <v>46</v>
      </c>
      <c r="G105" s="8" t="s">
        <v>32</v>
      </c>
      <c r="H105" s="8" t="s">
        <v>30</v>
      </c>
      <c r="I105" s="8" t="n">
        <f aca="false">IF(EXACT(G105,H105),1,0)</f>
        <v>0</v>
      </c>
      <c r="J105" s="8" t="n">
        <v>1</v>
      </c>
      <c r="K105" s="8" t="s">
        <v>92</v>
      </c>
      <c r="L105" s="8" t="n">
        <v>0</v>
      </c>
      <c r="M105" s="8" t="n">
        <v>1</v>
      </c>
      <c r="N105" s="8" t="s">
        <v>93</v>
      </c>
      <c r="O105" s="8" t="n">
        <v>1</v>
      </c>
      <c r="P105" s="10" t="n">
        <v>3.68</v>
      </c>
      <c r="Q105" s="8"/>
      <c r="R105" s="8"/>
      <c r="S105" s="8" t="s">
        <v>125</v>
      </c>
      <c r="T105" s="8" t="s">
        <v>217</v>
      </c>
      <c r="U105" s="8" t="s">
        <v>218</v>
      </c>
      <c r="V105" s="8"/>
      <c r="W105" s="8" t="s">
        <v>236</v>
      </c>
      <c r="X105" s="8" t="s">
        <v>237</v>
      </c>
      <c r="Y105" s="8" t="s">
        <v>108</v>
      </c>
      <c r="Z105" s="8"/>
    </row>
    <row r="106" customFormat="false" ht="15" hidden="false" customHeight="false" outlineLevel="0" collapsed="false">
      <c r="A106" s="8" t="s">
        <v>235</v>
      </c>
      <c r="B106" s="8" t="s">
        <v>13</v>
      </c>
      <c r="C106" s="8" t="s">
        <v>14</v>
      </c>
      <c r="D106" s="8" t="s">
        <v>91</v>
      </c>
      <c r="E106" s="8" t="s">
        <v>36</v>
      </c>
      <c r="F106" s="8" t="s">
        <v>46</v>
      </c>
      <c r="G106" s="8" t="s">
        <v>32</v>
      </c>
      <c r="H106" s="8" t="s">
        <v>30</v>
      </c>
      <c r="I106" s="8" t="n">
        <f aca="false">IF(EXACT(G106,H106),1,0)</f>
        <v>0</v>
      </c>
      <c r="J106" s="8" t="n">
        <v>2</v>
      </c>
      <c r="K106" s="8" t="s">
        <v>92</v>
      </c>
      <c r="L106" s="8" t="n">
        <v>0</v>
      </c>
      <c r="M106" s="8" t="n">
        <v>1</v>
      </c>
      <c r="N106" s="8" t="s">
        <v>93</v>
      </c>
      <c r="O106" s="8" t="n">
        <v>1</v>
      </c>
      <c r="P106" s="10" t="n">
        <v>3.7</v>
      </c>
      <c r="Q106" s="8"/>
      <c r="R106" s="8"/>
      <c r="S106" s="8" t="s">
        <v>125</v>
      </c>
      <c r="T106" s="8" t="s">
        <v>217</v>
      </c>
      <c r="U106" s="8" t="s">
        <v>218</v>
      </c>
      <c r="V106" s="8"/>
      <c r="W106" s="8" t="s">
        <v>236</v>
      </c>
      <c r="X106" s="8" t="s">
        <v>237</v>
      </c>
      <c r="Y106" s="8" t="s">
        <v>108</v>
      </c>
      <c r="Z106" s="8"/>
    </row>
    <row r="107" customFormat="false" ht="15" hidden="false" customHeight="false" outlineLevel="0" collapsed="false">
      <c r="A107" s="8" t="s">
        <v>238</v>
      </c>
      <c r="B107" s="8" t="s">
        <v>13</v>
      </c>
      <c r="C107" s="8" t="s">
        <v>14</v>
      </c>
      <c r="D107" s="8" t="s">
        <v>91</v>
      </c>
      <c r="E107" s="8" t="s">
        <v>36</v>
      </c>
      <c r="F107" s="8" t="s">
        <v>46</v>
      </c>
      <c r="G107" s="8" t="s">
        <v>32</v>
      </c>
      <c r="H107" s="8" t="s">
        <v>30</v>
      </c>
      <c r="I107" s="8" t="n">
        <f aca="false">IF(EXACT(G107,H107),1,0)</f>
        <v>0</v>
      </c>
      <c r="J107" s="8" t="n">
        <v>0</v>
      </c>
      <c r="K107" s="8" t="s">
        <v>92</v>
      </c>
      <c r="L107" s="8" t="n">
        <v>0</v>
      </c>
      <c r="M107" s="8" t="n">
        <v>1</v>
      </c>
      <c r="N107" s="8" t="s">
        <v>93</v>
      </c>
      <c r="O107" s="8" t="n">
        <v>1</v>
      </c>
      <c r="P107" s="10" t="n">
        <v>3.62</v>
      </c>
      <c r="Q107" s="8"/>
      <c r="R107" s="8"/>
      <c r="S107" s="8" t="s">
        <v>239</v>
      </c>
      <c r="T107" s="8" t="s">
        <v>217</v>
      </c>
      <c r="U107" s="8" t="s">
        <v>223</v>
      </c>
      <c r="V107" s="8"/>
      <c r="W107" s="8" t="s">
        <v>240</v>
      </c>
      <c r="X107" s="8" t="s">
        <v>241</v>
      </c>
      <c r="Y107" s="8" t="s">
        <v>99</v>
      </c>
      <c r="Z107" s="8"/>
    </row>
    <row r="108" customFormat="false" ht="15" hidden="false" customHeight="false" outlineLevel="0" collapsed="false">
      <c r="A108" s="8" t="s">
        <v>238</v>
      </c>
      <c r="B108" s="8" t="s">
        <v>13</v>
      </c>
      <c r="C108" s="8" t="s">
        <v>14</v>
      </c>
      <c r="D108" s="8" t="s">
        <v>91</v>
      </c>
      <c r="E108" s="8" t="s">
        <v>36</v>
      </c>
      <c r="F108" s="8" t="s">
        <v>46</v>
      </c>
      <c r="G108" s="8" t="s">
        <v>32</v>
      </c>
      <c r="H108" s="8" t="s">
        <v>30</v>
      </c>
      <c r="I108" s="8" t="n">
        <f aca="false">IF(EXACT(G108,H108),1,0)</f>
        <v>0</v>
      </c>
      <c r="J108" s="8" t="n">
        <v>1</v>
      </c>
      <c r="K108" s="8" t="s">
        <v>92</v>
      </c>
      <c r="L108" s="8" t="n">
        <v>0</v>
      </c>
      <c r="M108" s="8" t="n">
        <v>1</v>
      </c>
      <c r="N108" s="8" t="s">
        <v>93</v>
      </c>
      <c r="O108" s="8" t="n">
        <v>1</v>
      </c>
      <c r="P108" s="10" t="n">
        <v>3.59</v>
      </c>
      <c r="Q108" s="8"/>
      <c r="R108" s="8"/>
      <c r="S108" s="8" t="s">
        <v>239</v>
      </c>
      <c r="T108" s="8" t="s">
        <v>217</v>
      </c>
      <c r="U108" s="8" t="s">
        <v>223</v>
      </c>
      <c r="V108" s="8"/>
      <c r="W108" s="8" t="s">
        <v>240</v>
      </c>
      <c r="X108" s="8" t="s">
        <v>241</v>
      </c>
      <c r="Y108" s="8" t="s">
        <v>99</v>
      </c>
      <c r="Z108" s="8"/>
    </row>
    <row r="109" customFormat="false" ht="15" hidden="false" customHeight="false" outlineLevel="0" collapsed="false">
      <c r="A109" s="8" t="s">
        <v>238</v>
      </c>
      <c r="B109" s="8" t="s">
        <v>13</v>
      </c>
      <c r="C109" s="8" t="s">
        <v>14</v>
      </c>
      <c r="D109" s="8" t="s">
        <v>91</v>
      </c>
      <c r="E109" s="8" t="s">
        <v>36</v>
      </c>
      <c r="F109" s="8" t="s">
        <v>46</v>
      </c>
      <c r="G109" s="8" t="s">
        <v>32</v>
      </c>
      <c r="H109" s="8" t="s">
        <v>30</v>
      </c>
      <c r="I109" s="8" t="n">
        <f aca="false">IF(EXACT(G109,H109),1,0)</f>
        <v>0</v>
      </c>
      <c r="J109" s="8" t="n">
        <v>2</v>
      </c>
      <c r="K109" s="8" t="s">
        <v>92</v>
      </c>
      <c r="L109" s="8" t="n">
        <v>0</v>
      </c>
      <c r="M109" s="8" t="n">
        <v>1</v>
      </c>
      <c r="N109" s="8" t="s">
        <v>93</v>
      </c>
      <c r="O109" s="8" t="n">
        <v>1</v>
      </c>
      <c r="P109" s="10" t="n">
        <v>3.57</v>
      </c>
      <c r="Q109" s="8"/>
      <c r="R109" s="8"/>
      <c r="S109" s="8" t="s">
        <v>239</v>
      </c>
      <c r="T109" s="8" t="s">
        <v>217</v>
      </c>
      <c r="U109" s="8" t="s">
        <v>223</v>
      </c>
      <c r="V109" s="8"/>
      <c r="W109" s="8" t="s">
        <v>240</v>
      </c>
      <c r="X109" s="8" t="s">
        <v>241</v>
      </c>
      <c r="Y109" s="8" t="s">
        <v>99</v>
      </c>
      <c r="Z109" s="8"/>
    </row>
    <row r="110" customFormat="false" ht="15" hidden="false" customHeight="false" outlineLevel="0" collapsed="false">
      <c r="A110" s="8" t="s">
        <v>242</v>
      </c>
      <c r="B110" s="8" t="s">
        <v>13</v>
      </c>
      <c r="C110" s="8" t="s">
        <v>14</v>
      </c>
      <c r="D110" s="8" t="s">
        <v>91</v>
      </c>
      <c r="E110" s="8" t="s">
        <v>36</v>
      </c>
      <c r="F110" s="8" t="s">
        <v>48</v>
      </c>
      <c r="G110" s="8" t="s">
        <v>32</v>
      </c>
      <c r="H110" s="8" t="s">
        <v>30</v>
      </c>
      <c r="I110" s="8" t="n">
        <f aca="false">IF(EXACT(G110,H110),1,0)</f>
        <v>0</v>
      </c>
      <c r="J110" s="8" t="n">
        <v>0</v>
      </c>
      <c r="K110" s="8" t="s">
        <v>92</v>
      </c>
      <c r="L110" s="8" t="n">
        <v>0</v>
      </c>
      <c r="M110" s="8" t="n">
        <v>1</v>
      </c>
      <c r="N110" s="8" t="s">
        <v>93</v>
      </c>
      <c r="O110" s="8" t="n">
        <v>1</v>
      </c>
      <c r="P110" s="10" t="n">
        <v>3.52</v>
      </c>
      <c r="Q110" s="8"/>
      <c r="R110" s="8"/>
      <c r="S110" s="8" t="s">
        <v>94</v>
      </c>
      <c r="T110" s="8" t="s">
        <v>243</v>
      </c>
      <c r="U110" s="8" t="s">
        <v>244</v>
      </c>
      <c r="V110" s="8"/>
      <c r="W110" s="8" t="s">
        <v>245</v>
      </c>
      <c r="X110" s="8" t="s">
        <v>246</v>
      </c>
      <c r="Y110" s="8" t="s">
        <v>99</v>
      </c>
      <c r="Z110" s="8"/>
    </row>
    <row r="111" customFormat="false" ht="15" hidden="false" customHeight="false" outlineLevel="0" collapsed="false">
      <c r="A111" s="8" t="s">
        <v>242</v>
      </c>
      <c r="B111" s="8" t="s">
        <v>13</v>
      </c>
      <c r="C111" s="8" t="s">
        <v>14</v>
      </c>
      <c r="D111" s="8" t="s">
        <v>91</v>
      </c>
      <c r="E111" s="8" t="s">
        <v>36</v>
      </c>
      <c r="F111" s="8" t="s">
        <v>48</v>
      </c>
      <c r="G111" s="8" t="s">
        <v>32</v>
      </c>
      <c r="H111" s="8" t="s">
        <v>30</v>
      </c>
      <c r="I111" s="8" t="n">
        <f aca="false">IF(EXACT(G111,H111),1,0)</f>
        <v>0</v>
      </c>
      <c r="J111" s="8" t="n">
        <v>1</v>
      </c>
      <c r="K111" s="8" t="s">
        <v>92</v>
      </c>
      <c r="L111" s="8" t="n">
        <v>0</v>
      </c>
      <c r="M111" s="8" t="n">
        <v>1</v>
      </c>
      <c r="N111" s="8" t="s">
        <v>93</v>
      </c>
      <c r="O111" s="8" t="n">
        <v>1</v>
      </c>
      <c r="P111" s="10" t="n">
        <v>3.54</v>
      </c>
      <c r="Q111" s="8"/>
      <c r="R111" s="8"/>
      <c r="S111" s="8" t="s">
        <v>94</v>
      </c>
      <c r="T111" s="8" t="s">
        <v>243</v>
      </c>
      <c r="U111" s="8" t="s">
        <v>244</v>
      </c>
      <c r="V111" s="8"/>
      <c r="W111" s="8" t="s">
        <v>245</v>
      </c>
      <c r="X111" s="8" t="s">
        <v>246</v>
      </c>
      <c r="Y111" s="8" t="s">
        <v>99</v>
      </c>
      <c r="Z111" s="8"/>
    </row>
    <row r="112" customFormat="false" ht="15" hidden="false" customHeight="false" outlineLevel="0" collapsed="false">
      <c r="A112" s="8" t="s">
        <v>242</v>
      </c>
      <c r="B112" s="8" t="s">
        <v>13</v>
      </c>
      <c r="C112" s="8" t="s">
        <v>14</v>
      </c>
      <c r="D112" s="8" t="s">
        <v>91</v>
      </c>
      <c r="E112" s="8" t="s">
        <v>36</v>
      </c>
      <c r="F112" s="8" t="s">
        <v>48</v>
      </c>
      <c r="G112" s="8" t="s">
        <v>32</v>
      </c>
      <c r="H112" s="8" t="s">
        <v>30</v>
      </c>
      <c r="I112" s="8" t="n">
        <f aca="false">IF(EXACT(G112,H112),1,0)</f>
        <v>0</v>
      </c>
      <c r="J112" s="8" t="n">
        <v>2</v>
      </c>
      <c r="K112" s="8" t="s">
        <v>92</v>
      </c>
      <c r="L112" s="8" t="n">
        <v>0</v>
      </c>
      <c r="M112" s="8" t="n">
        <v>1</v>
      </c>
      <c r="N112" s="8" t="s">
        <v>93</v>
      </c>
      <c r="O112" s="8" t="n">
        <v>1</v>
      </c>
      <c r="P112" s="10" t="n">
        <v>3.51</v>
      </c>
      <c r="Q112" s="8"/>
      <c r="R112" s="8"/>
      <c r="S112" s="8" t="s">
        <v>94</v>
      </c>
      <c r="T112" s="8" t="s">
        <v>243</v>
      </c>
      <c r="U112" s="8" t="s">
        <v>244</v>
      </c>
      <c r="V112" s="8"/>
      <c r="W112" s="8" t="s">
        <v>245</v>
      </c>
      <c r="X112" s="8" t="s">
        <v>246</v>
      </c>
      <c r="Y112" s="8" t="s">
        <v>99</v>
      </c>
      <c r="Z112" s="8"/>
    </row>
    <row r="113" customFormat="false" ht="15" hidden="false" customHeight="false" outlineLevel="0" collapsed="false">
      <c r="A113" s="8" t="s">
        <v>247</v>
      </c>
      <c r="B113" s="8" t="s">
        <v>13</v>
      </c>
      <c r="C113" s="8" t="s">
        <v>14</v>
      </c>
      <c r="D113" s="8" t="s">
        <v>91</v>
      </c>
      <c r="E113" s="8" t="s">
        <v>36</v>
      </c>
      <c r="F113" s="8" t="s">
        <v>48</v>
      </c>
      <c r="G113" s="8" t="s">
        <v>30</v>
      </c>
      <c r="H113" s="8" t="s">
        <v>30</v>
      </c>
      <c r="I113" s="8" t="n">
        <f aca="false">IF(EXACT(G113,H113),1,0)</f>
        <v>1</v>
      </c>
      <c r="J113" s="8" t="n">
        <v>0</v>
      </c>
      <c r="K113" s="8" t="s">
        <v>92</v>
      </c>
      <c r="L113" s="8" t="n">
        <v>0</v>
      </c>
      <c r="M113" s="8" t="n">
        <v>1</v>
      </c>
      <c r="N113" s="8" t="s">
        <v>93</v>
      </c>
      <c r="O113" s="8" t="n">
        <v>1</v>
      </c>
      <c r="P113" s="10" t="n">
        <v>3.64</v>
      </c>
      <c r="Q113" s="8"/>
      <c r="R113" s="8"/>
      <c r="S113" s="8" t="s">
        <v>216</v>
      </c>
      <c r="T113" s="8" t="s">
        <v>243</v>
      </c>
      <c r="U113" s="8" t="s">
        <v>244</v>
      </c>
      <c r="V113" s="8"/>
      <c r="W113" s="8" t="s">
        <v>248</v>
      </c>
      <c r="X113" s="8" t="s">
        <v>249</v>
      </c>
      <c r="Y113" s="8" t="s">
        <v>108</v>
      </c>
      <c r="Z113" s="8"/>
    </row>
    <row r="114" customFormat="false" ht="15" hidden="false" customHeight="false" outlineLevel="0" collapsed="false">
      <c r="A114" s="8" t="s">
        <v>247</v>
      </c>
      <c r="B114" s="8" t="s">
        <v>13</v>
      </c>
      <c r="C114" s="8" t="s">
        <v>14</v>
      </c>
      <c r="D114" s="8" t="s">
        <v>91</v>
      </c>
      <c r="E114" s="8" t="s">
        <v>36</v>
      </c>
      <c r="F114" s="8" t="s">
        <v>48</v>
      </c>
      <c r="G114" s="8" t="s">
        <v>30</v>
      </c>
      <c r="H114" s="8" t="s">
        <v>30</v>
      </c>
      <c r="I114" s="8" t="n">
        <f aca="false">IF(EXACT(G114,H114),1,0)</f>
        <v>1</v>
      </c>
      <c r="J114" s="8" t="n">
        <v>1</v>
      </c>
      <c r="K114" s="8" t="s">
        <v>92</v>
      </c>
      <c r="L114" s="8" t="n">
        <v>0</v>
      </c>
      <c r="M114" s="8" t="n">
        <v>1</v>
      </c>
      <c r="N114" s="8" t="s">
        <v>93</v>
      </c>
      <c r="O114" s="8" t="n">
        <v>1</v>
      </c>
      <c r="P114" s="10" t="n">
        <v>3.58</v>
      </c>
      <c r="Q114" s="8"/>
      <c r="R114" s="8"/>
      <c r="S114" s="8" t="s">
        <v>216</v>
      </c>
      <c r="T114" s="8" t="s">
        <v>243</v>
      </c>
      <c r="U114" s="8" t="s">
        <v>244</v>
      </c>
      <c r="V114" s="8"/>
      <c r="W114" s="8" t="s">
        <v>248</v>
      </c>
      <c r="X114" s="8" t="s">
        <v>249</v>
      </c>
      <c r="Y114" s="8" t="s">
        <v>108</v>
      </c>
      <c r="Z114" s="8"/>
    </row>
    <row r="115" customFormat="false" ht="15" hidden="false" customHeight="false" outlineLevel="0" collapsed="false">
      <c r="A115" s="8" t="s">
        <v>247</v>
      </c>
      <c r="B115" s="8" t="s">
        <v>13</v>
      </c>
      <c r="C115" s="8" t="s">
        <v>14</v>
      </c>
      <c r="D115" s="8" t="s">
        <v>91</v>
      </c>
      <c r="E115" s="8" t="s">
        <v>36</v>
      </c>
      <c r="F115" s="8" t="s">
        <v>48</v>
      </c>
      <c r="G115" s="8" t="s">
        <v>30</v>
      </c>
      <c r="H115" s="8" t="s">
        <v>30</v>
      </c>
      <c r="I115" s="8" t="n">
        <f aca="false">IF(EXACT(G115,H115),1,0)</f>
        <v>1</v>
      </c>
      <c r="J115" s="8" t="n">
        <v>2</v>
      </c>
      <c r="K115" s="8" t="s">
        <v>92</v>
      </c>
      <c r="L115" s="8" t="n">
        <v>0</v>
      </c>
      <c r="M115" s="8" t="n">
        <v>1</v>
      </c>
      <c r="N115" s="8" t="s">
        <v>93</v>
      </c>
      <c r="O115" s="8" t="n">
        <v>1</v>
      </c>
      <c r="P115" s="10" t="n">
        <v>3.57</v>
      </c>
      <c r="Q115" s="8"/>
      <c r="R115" s="8"/>
      <c r="S115" s="8" t="s">
        <v>216</v>
      </c>
      <c r="T115" s="8" t="s">
        <v>243</v>
      </c>
      <c r="U115" s="8" t="s">
        <v>244</v>
      </c>
      <c r="V115" s="8"/>
      <c r="W115" s="8" t="s">
        <v>248</v>
      </c>
      <c r="X115" s="8" t="s">
        <v>249</v>
      </c>
      <c r="Y115" s="8" t="s">
        <v>108</v>
      </c>
      <c r="Z115" s="8"/>
    </row>
    <row r="116" customFormat="false" ht="15" hidden="false" customHeight="false" outlineLevel="0" collapsed="false">
      <c r="A116" s="8" t="s">
        <v>250</v>
      </c>
      <c r="B116" s="8" t="s">
        <v>13</v>
      </c>
      <c r="C116" s="8" t="s">
        <v>14</v>
      </c>
      <c r="D116" s="8" t="s">
        <v>91</v>
      </c>
      <c r="E116" s="8" t="s">
        <v>36</v>
      </c>
      <c r="F116" s="8" t="s">
        <v>48</v>
      </c>
      <c r="G116" s="8" t="s">
        <v>32</v>
      </c>
      <c r="H116" s="8" t="s">
        <v>30</v>
      </c>
      <c r="I116" s="8" t="n">
        <f aca="false">IF(EXACT(G116,H116),1,0)</f>
        <v>0</v>
      </c>
      <c r="J116" s="8" t="n">
        <v>0</v>
      </c>
      <c r="K116" s="8" t="s">
        <v>92</v>
      </c>
      <c r="L116" s="8" t="n">
        <v>0</v>
      </c>
      <c r="M116" s="8" t="n">
        <v>1</v>
      </c>
      <c r="N116" s="8" t="s">
        <v>93</v>
      </c>
      <c r="O116" s="8" t="n">
        <v>1</v>
      </c>
      <c r="P116" s="10" t="n">
        <v>3.58</v>
      </c>
      <c r="Q116" s="8"/>
      <c r="R116" s="8"/>
      <c r="S116" s="8" t="s">
        <v>251</v>
      </c>
      <c r="T116" s="8" t="s">
        <v>243</v>
      </c>
      <c r="U116" s="8" t="s">
        <v>244</v>
      </c>
      <c r="V116" s="8"/>
      <c r="W116" s="8" t="s">
        <v>252</v>
      </c>
      <c r="X116" s="8" t="s">
        <v>253</v>
      </c>
      <c r="Y116" s="8" t="s">
        <v>108</v>
      </c>
      <c r="Z116" s="8"/>
    </row>
    <row r="117" customFormat="false" ht="15" hidden="false" customHeight="false" outlineLevel="0" collapsed="false">
      <c r="A117" s="8" t="s">
        <v>250</v>
      </c>
      <c r="B117" s="8" t="s">
        <v>13</v>
      </c>
      <c r="C117" s="8" t="s">
        <v>14</v>
      </c>
      <c r="D117" s="8" t="s">
        <v>91</v>
      </c>
      <c r="E117" s="8" t="s">
        <v>36</v>
      </c>
      <c r="F117" s="8" t="s">
        <v>48</v>
      </c>
      <c r="G117" s="8" t="s">
        <v>32</v>
      </c>
      <c r="H117" s="8" t="s">
        <v>30</v>
      </c>
      <c r="I117" s="8" t="n">
        <f aca="false">IF(EXACT(G117,H117),1,0)</f>
        <v>0</v>
      </c>
      <c r="J117" s="8" t="n">
        <v>1</v>
      </c>
      <c r="K117" s="8" t="s">
        <v>92</v>
      </c>
      <c r="L117" s="8" t="n">
        <v>0</v>
      </c>
      <c r="M117" s="8" t="n">
        <v>1</v>
      </c>
      <c r="N117" s="8" t="s">
        <v>93</v>
      </c>
      <c r="O117" s="8" t="n">
        <v>1</v>
      </c>
      <c r="P117" s="10" t="n">
        <v>3.56</v>
      </c>
      <c r="Q117" s="8"/>
      <c r="R117" s="8"/>
      <c r="S117" s="8" t="s">
        <v>251</v>
      </c>
      <c r="T117" s="8" t="s">
        <v>243</v>
      </c>
      <c r="U117" s="8" t="s">
        <v>244</v>
      </c>
      <c r="V117" s="8"/>
      <c r="W117" s="8" t="s">
        <v>252</v>
      </c>
      <c r="X117" s="8" t="s">
        <v>253</v>
      </c>
      <c r="Y117" s="8" t="s">
        <v>108</v>
      </c>
      <c r="Z117" s="8"/>
    </row>
    <row r="118" customFormat="false" ht="15" hidden="false" customHeight="false" outlineLevel="0" collapsed="false">
      <c r="A118" s="8" t="s">
        <v>250</v>
      </c>
      <c r="B118" s="8" t="s">
        <v>13</v>
      </c>
      <c r="C118" s="8" t="s">
        <v>14</v>
      </c>
      <c r="D118" s="8" t="s">
        <v>91</v>
      </c>
      <c r="E118" s="8" t="s">
        <v>36</v>
      </c>
      <c r="F118" s="8" t="s">
        <v>48</v>
      </c>
      <c r="G118" s="8" t="s">
        <v>32</v>
      </c>
      <c r="H118" s="8" t="s">
        <v>30</v>
      </c>
      <c r="I118" s="8" t="n">
        <f aca="false">IF(EXACT(G118,H118),1,0)</f>
        <v>0</v>
      </c>
      <c r="J118" s="8" t="n">
        <v>2</v>
      </c>
      <c r="K118" s="8" t="s">
        <v>92</v>
      </c>
      <c r="L118" s="8" t="n">
        <v>0</v>
      </c>
      <c r="M118" s="8" t="n">
        <v>1</v>
      </c>
      <c r="N118" s="8" t="s">
        <v>93</v>
      </c>
      <c r="O118" s="8" t="n">
        <v>1</v>
      </c>
      <c r="P118" s="10" t="n">
        <v>3.61</v>
      </c>
      <c r="Q118" s="8"/>
      <c r="R118" s="8"/>
      <c r="S118" s="8" t="s">
        <v>251</v>
      </c>
      <c r="T118" s="8" t="s">
        <v>243</v>
      </c>
      <c r="U118" s="8" t="s">
        <v>244</v>
      </c>
      <c r="V118" s="8"/>
      <c r="W118" s="8" t="s">
        <v>252</v>
      </c>
      <c r="X118" s="8" t="s">
        <v>253</v>
      </c>
      <c r="Y118" s="8" t="s">
        <v>108</v>
      </c>
      <c r="Z118" s="8"/>
    </row>
    <row r="119" customFormat="false" ht="15" hidden="false" customHeight="false" outlineLevel="0" collapsed="false">
      <c r="A119" s="8" t="s">
        <v>254</v>
      </c>
      <c r="B119" s="8" t="s">
        <v>13</v>
      </c>
      <c r="C119" s="8" t="s">
        <v>14</v>
      </c>
      <c r="D119" s="8" t="s">
        <v>91</v>
      </c>
      <c r="E119" s="8" t="s">
        <v>36</v>
      </c>
      <c r="F119" s="8" t="s">
        <v>48</v>
      </c>
      <c r="G119" s="8" t="s">
        <v>31</v>
      </c>
      <c r="H119" s="8" t="s">
        <v>31</v>
      </c>
      <c r="I119" s="8" t="n">
        <f aca="false">IF(EXACT(G119,H119),1,0)</f>
        <v>1</v>
      </c>
      <c r="J119" s="8" t="n">
        <v>0</v>
      </c>
      <c r="K119" s="8" t="s">
        <v>116</v>
      </c>
      <c r="L119" s="8" t="n">
        <v>1</v>
      </c>
      <c r="M119" s="8" t="n">
        <v>1</v>
      </c>
      <c r="N119" s="8" t="s">
        <v>93</v>
      </c>
      <c r="O119" s="8" t="n">
        <v>1</v>
      </c>
      <c r="P119" s="10" t="n">
        <v>3.66</v>
      </c>
      <c r="Q119" s="8"/>
      <c r="R119" s="8"/>
      <c r="S119" s="8" t="s">
        <v>255</v>
      </c>
      <c r="T119" s="8" t="s">
        <v>256</v>
      </c>
      <c r="U119" s="8" t="s">
        <v>257</v>
      </c>
      <c r="V119" s="8"/>
      <c r="W119" s="8" t="s">
        <v>258</v>
      </c>
      <c r="X119" s="8" t="s">
        <v>259</v>
      </c>
      <c r="Y119" s="8" t="s">
        <v>130</v>
      </c>
      <c r="Z119" s="8" t="s">
        <v>260</v>
      </c>
    </row>
    <row r="120" customFormat="false" ht="15" hidden="false" customHeight="false" outlineLevel="0" collapsed="false">
      <c r="A120" s="8" t="s">
        <v>254</v>
      </c>
      <c r="B120" s="8" t="s">
        <v>13</v>
      </c>
      <c r="C120" s="8" t="s">
        <v>14</v>
      </c>
      <c r="D120" s="8" t="s">
        <v>91</v>
      </c>
      <c r="E120" s="8" t="s">
        <v>36</v>
      </c>
      <c r="F120" s="8" t="s">
        <v>48</v>
      </c>
      <c r="G120" s="8" t="s">
        <v>31</v>
      </c>
      <c r="H120" s="8" t="s">
        <v>31</v>
      </c>
      <c r="I120" s="8" t="n">
        <f aca="false">IF(EXACT(G120,H120),1,0)</f>
        <v>1</v>
      </c>
      <c r="J120" s="8" t="n">
        <v>1</v>
      </c>
      <c r="K120" s="8" t="s">
        <v>116</v>
      </c>
      <c r="L120" s="8" t="n">
        <v>1</v>
      </c>
      <c r="M120" s="8" t="n">
        <v>1</v>
      </c>
      <c r="N120" s="8" t="s">
        <v>93</v>
      </c>
      <c r="O120" s="8" t="n">
        <v>1</v>
      </c>
      <c r="P120" s="10" t="n">
        <v>3.67</v>
      </c>
      <c r="Q120" s="8"/>
      <c r="R120" s="8"/>
      <c r="S120" s="8" t="s">
        <v>255</v>
      </c>
      <c r="T120" s="8" t="s">
        <v>256</v>
      </c>
      <c r="U120" s="8" t="s">
        <v>257</v>
      </c>
      <c r="V120" s="8"/>
      <c r="W120" s="8" t="s">
        <v>258</v>
      </c>
      <c r="X120" s="8" t="s">
        <v>259</v>
      </c>
      <c r="Y120" s="8" t="s">
        <v>130</v>
      </c>
      <c r="Z120" s="8" t="s">
        <v>260</v>
      </c>
    </row>
    <row r="121" customFormat="false" ht="15" hidden="false" customHeight="false" outlineLevel="0" collapsed="false">
      <c r="A121" s="8" t="s">
        <v>254</v>
      </c>
      <c r="B121" s="8" t="s">
        <v>13</v>
      </c>
      <c r="C121" s="8" t="s">
        <v>14</v>
      </c>
      <c r="D121" s="8" t="s">
        <v>91</v>
      </c>
      <c r="E121" s="8" t="s">
        <v>36</v>
      </c>
      <c r="F121" s="8" t="s">
        <v>48</v>
      </c>
      <c r="G121" s="8" t="s">
        <v>31</v>
      </c>
      <c r="H121" s="8" t="s">
        <v>31</v>
      </c>
      <c r="I121" s="8" t="n">
        <f aca="false">IF(EXACT(G121,H121),1,0)</f>
        <v>1</v>
      </c>
      <c r="J121" s="8" t="n">
        <v>2</v>
      </c>
      <c r="K121" s="8" t="s">
        <v>116</v>
      </c>
      <c r="L121" s="8" t="n">
        <v>1</v>
      </c>
      <c r="M121" s="8" t="n">
        <v>1</v>
      </c>
      <c r="N121" s="8" t="s">
        <v>93</v>
      </c>
      <c r="O121" s="8" t="n">
        <v>1</v>
      </c>
      <c r="P121" s="10" t="n">
        <v>3.66</v>
      </c>
      <c r="Q121" s="8"/>
      <c r="R121" s="8"/>
      <c r="S121" s="8" t="s">
        <v>255</v>
      </c>
      <c r="T121" s="8" t="s">
        <v>256</v>
      </c>
      <c r="U121" s="8" t="s">
        <v>257</v>
      </c>
      <c r="V121" s="8"/>
      <c r="W121" s="8" t="s">
        <v>258</v>
      </c>
      <c r="X121" s="8" t="s">
        <v>259</v>
      </c>
      <c r="Y121" s="8" t="s">
        <v>130</v>
      </c>
      <c r="Z121" s="8" t="s">
        <v>260</v>
      </c>
    </row>
    <row r="122" customFormat="false" ht="15" hidden="false" customHeight="false" outlineLevel="0" collapsed="false">
      <c r="A122" s="8" t="s">
        <v>261</v>
      </c>
      <c r="B122" s="8" t="s">
        <v>13</v>
      </c>
      <c r="C122" s="8" t="s">
        <v>14</v>
      </c>
      <c r="D122" s="8" t="s">
        <v>91</v>
      </c>
      <c r="E122" s="8" t="s">
        <v>36</v>
      </c>
      <c r="F122" s="8" t="s">
        <v>48</v>
      </c>
      <c r="G122" s="8" t="s">
        <v>30</v>
      </c>
      <c r="H122" s="8" t="s">
        <v>31</v>
      </c>
      <c r="I122" s="8" t="n">
        <f aca="false">IF(EXACT(G122,H122),1,0)</f>
        <v>0</v>
      </c>
      <c r="J122" s="8" t="n">
        <v>0</v>
      </c>
      <c r="K122" s="8" t="s">
        <v>116</v>
      </c>
      <c r="L122" s="8" t="n">
        <v>1</v>
      </c>
      <c r="M122" s="8" t="n">
        <v>1</v>
      </c>
      <c r="N122" s="8" t="s">
        <v>93</v>
      </c>
      <c r="O122" s="8" t="n">
        <v>1</v>
      </c>
      <c r="P122" s="10" t="n">
        <v>3.91</v>
      </c>
      <c r="Q122" s="8"/>
      <c r="R122" s="8"/>
      <c r="S122" s="8" t="s">
        <v>262</v>
      </c>
      <c r="T122" s="8" t="s">
        <v>256</v>
      </c>
      <c r="U122" s="8" t="s">
        <v>257</v>
      </c>
      <c r="V122" s="8"/>
      <c r="W122" s="8" t="s">
        <v>263</v>
      </c>
      <c r="X122" s="8" t="s">
        <v>264</v>
      </c>
      <c r="Y122" s="8" t="s">
        <v>130</v>
      </c>
      <c r="Z122" s="8" t="s">
        <v>260</v>
      </c>
    </row>
    <row r="123" customFormat="false" ht="15" hidden="false" customHeight="false" outlineLevel="0" collapsed="false">
      <c r="A123" s="8" t="s">
        <v>261</v>
      </c>
      <c r="B123" s="8" t="s">
        <v>13</v>
      </c>
      <c r="C123" s="8" t="s">
        <v>14</v>
      </c>
      <c r="D123" s="8" t="s">
        <v>91</v>
      </c>
      <c r="E123" s="8" t="s">
        <v>36</v>
      </c>
      <c r="F123" s="8" t="s">
        <v>48</v>
      </c>
      <c r="G123" s="8" t="s">
        <v>30</v>
      </c>
      <c r="H123" s="8" t="s">
        <v>31</v>
      </c>
      <c r="I123" s="8" t="n">
        <f aca="false">IF(EXACT(G123,H123),1,0)</f>
        <v>0</v>
      </c>
      <c r="J123" s="8" t="n">
        <v>1</v>
      </c>
      <c r="K123" s="8" t="s">
        <v>116</v>
      </c>
      <c r="L123" s="8" t="n">
        <v>1</v>
      </c>
      <c r="M123" s="8" t="n">
        <v>1</v>
      </c>
      <c r="N123" s="8" t="s">
        <v>93</v>
      </c>
      <c r="O123" s="8" t="n">
        <v>1</v>
      </c>
      <c r="P123" s="10" t="n">
        <v>3.67</v>
      </c>
      <c r="Q123" s="8"/>
      <c r="R123" s="8"/>
      <c r="S123" s="8" t="s">
        <v>262</v>
      </c>
      <c r="T123" s="8" t="s">
        <v>256</v>
      </c>
      <c r="U123" s="8" t="s">
        <v>257</v>
      </c>
      <c r="V123" s="8"/>
      <c r="W123" s="8" t="s">
        <v>263</v>
      </c>
      <c r="X123" s="8" t="s">
        <v>264</v>
      </c>
      <c r="Y123" s="8" t="s">
        <v>130</v>
      </c>
      <c r="Z123" s="8" t="s">
        <v>260</v>
      </c>
    </row>
    <row r="124" customFormat="false" ht="15" hidden="false" customHeight="false" outlineLevel="0" collapsed="false">
      <c r="A124" s="8" t="s">
        <v>261</v>
      </c>
      <c r="B124" s="8" t="s">
        <v>13</v>
      </c>
      <c r="C124" s="8" t="s">
        <v>14</v>
      </c>
      <c r="D124" s="8" t="s">
        <v>91</v>
      </c>
      <c r="E124" s="8" t="s">
        <v>36</v>
      </c>
      <c r="F124" s="8" t="s">
        <v>48</v>
      </c>
      <c r="G124" s="8" t="s">
        <v>30</v>
      </c>
      <c r="H124" s="8" t="s">
        <v>31</v>
      </c>
      <c r="I124" s="8" t="n">
        <f aca="false">IF(EXACT(G124,H124),1,0)</f>
        <v>0</v>
      </c>
      <c r="J124" s="8" t="n">
        <v>2</v>
      </c>
      <c r="K124" s="8" t="s">
        <v>116</v>
      </c>
      <c r="L124" s="8" t="n">
        <v>1</v>
      </c>
      <c r="M124" s="8" t="n">
        <v>1</v>
      </c>
      <c r="N124" s="8" t="s">
        <v>93</v>
      </c>
      <c r="O124" s="8" t="n">
        <v>1</v>
      </c>
      <c r="P124" s="10" t="n">
        <v>3.67</v>
      </c>
      <c r="Q124" s="8"/>
      <c r="R124" s="8"/>
      <c r="S124" s="8" t="s">
        <v>262</v>
      </c>
      <c r="T124" s="8" t="s">
        <v>256</v>
      </c>
      <c r="U124" s="8" t="s">
        <v>257</v>
      </c>
      <c r="V124" s="8"/>
      <c r="W124" s="8" t="s">
        <v>263</v>
      </c>
      <c r="X124" s="8" t="s">
        <v>264</v>
      </c>
      <c r="Y124" s="8" t="s">
        <v>130</v>
      </c>
      <c r="Z124" s="8" t="s">
        <v>260</v>
      </c>
    </row>
    <row r="125" customFormat="false" ht="15" hidden="false" customHeight="false" outlineLevel="0" collapsed="false">
      <c r="A125" s="8" t="s">
        <v>265</v>
      </c>
      <c r="B125" s="8" t="s">
        <v>13</v>
      </c>
      <c r="C125" s="8" t="s">
        <v>14</v>
      </c>
      <c r="D125" s="8" t="s">
        <v>91</v>
      </c>
      <c r="E125" s="8" t="s">
        <v>36</v>
      </c>
      <c r="F125" s="8" t="s">
        <v>48</v>
      </c>
      <c r="G125" s="8" t="s">
        <v>31</v>
      </c>
      <c r="H125" s="8" t="s">
        <v>31</v>
      </c>
      <c r="I125" s="8" t="n">
        <f aca="false">IF(EXACT(G125,H125),1,0)</f>
        <v>1</v>
      </c>
      <c r="J125" s="8" t="n">
        <v>0</v>
      </c>
      <c r="K125" s="8" t="s">
        <v>116</v>
      </c>
      <c r="L125" s="8" t="n">
        <v>1</v>
      </c>
      <c r="M125" s="8" t="n">
        <v>1</v>
      </c>
      <c r="N125" s="8" t="s">
        <v>93</v>
      </c>
      <c r="O125" s="8" t="n">
        <v>1</v>
      </c>
      <c r="P125" s="10" t="n">
        <v>3.78</v>
      </c>
      <c r="Q125" s="8"/>
      <c r="R125" s="8"/>
      <c r="S125" s="8" t="s">
        <v>117</v>
      </c>
      <c r="T125" s="8" t="s">
        <v>256</v>
      </c>
      <c r="U125" s="8" t="s">
        <v>257</v>
      </c>
      <c r="V125" s="8"/>
      <c r="W125" s="8" t="s">
        <v>266</v>
      </c>
      <c r="X125" s="8" t="s">
        <v>267</v>
      </c>
      <c r="Y125" s="8" t="s">
        <v>130</v>
      </c>
      <c r="Z125" s="8" t="s">
        <v>260</v>
      </c>
    </row>
    <row r="126" customFormat="false" ht="15" hidden="false" customHeight="false" outlineLevel="0" collapsed="false">
      <c r="A126" s="8" t="s">
        <v>265</v>
      </c>
      <c r="B126" s="8" t="s">
        <v>13</v>
      </c>
      <c r="C126" s="8" t="s">
        <v>14</v>
      </c>
      <c r="D126" s="8" t="s">
        <v>91</v>
      </c>
      <c r="E126" s="8" t="s">
        <v>36</v>
      </c>
      <c r="F126" s="8" t="s">
        <v>48</v>
      </c>
      <c r="G126" s="8" t="s">
        <v>31</v>
      </c>
      <c r="H126" s="8" t="s">
        <v>31</v>
      </c>
      <c r="I126" s="8" t="n">
        <f aca="false">IF(EXACT(G126,H126),1,0)</f>
        <v>1</v>
      </c>
      <c r="J126" s="8" t="n">
        <v>1</v>
      </c>
      <c r="K126" s="8" t="s">
        <v>116</v>
      </c>
      <c r="L126" s="8" t="n">
        <v>1</v>
      </c>
      <c r="M126" s="8" t="n">
        <v>1</v>
      </c>
      <c r="N126" s="8" t="s">
        <v>93</v>
      </c>
      <c r="O126" s="8" t="n">
        <v>1</v>
      </c>
      <c r="P126" s="10" t="n">
        <v>3.56</v>
      </c>
      <c r="Q126" s="8"/>
      <c r="R126" s="8"/>
      <c r="S126" s="8" t="s">
        <v>117</v>
      </c>
      <c r="T126" s="8" t="s">
        <v>256</v>
      </c>
      <c r="U126" s="8" t="s">
        <v>257</v>
      </c>
      <c r="V126" s="8"/>
      <c r="W126" s="8" t="s">
        <v>266</v>
      </c>
      <c r="X126" s="8" t="s">
        <v>267</v>
      </c>
      <c r="Y126" s="8" t="s">
        <v>130</v>
      </c>
      <c r="Z126" s="8" t="s">
        <v>260</v>
      </c>
    </row>
    <row r="127" customFormat="false" ht="15" hidden="false" customHeight="false" outlineLevel="0" collapsed="false">
      <c r="A127" s="8" t="s">
        <v>265</v>
      </c>
      <c r="B127" s="8" t="s">
        <v>13</v>
      </c>
      <c r="C127" s="8" t="s">
        <v>14</v>
      </c>
      <c r="D127" s="8" t="s">
        <v>91</v>
      </c>
      <c r="E127" s="8" t="s">
        <v>36</v>
      </c>
      <c r="F127" s="8" t="s">
        <v>48</v>
      </c>
      <c r="G127" s="8" t="s">
        <v>31</v>
      </c>
      <c r="H127" s="8" t="s">
        <v>31</v>
      </c>
      <c r="I127" s="8" t="n">
        <f aca="false">IF(EXACT(G127,H127),1,0)</f>
        <v>1</v>
      </c>
      <c r="J127" s="8" t="n">
        <v>2</v>
      </c>
      <c r="K127" s="8" t="s">
        <v>116</v>
      </c>
      <c r="L127" s="8" t="n">
        <v>1</v>
      </c>
      <c r="M127" s="8" t="n">
        <v>1</v>
      </c>
      <c r="N127" s="8" t="s">
        <v>93</v>
      </c>
      <c r="O127" s="8" t="n">
        <v>1</v>
      </c>
      <c r="P127" s="10" t="n">
        <v>3.57</v>
      </c>
      <c r="Q127" s="8"/>
      <c r="R127" s="8"/>
      <c r="S127" s="8" t="s">
        <v>117</v>
      </c>
      <c r="T127" s="8" t="s">
        <v>256</v>
      </c>
      <c r="U127" s="8" t="s">
        <v>257</v>
      </c>
      <c r="V127" s="8"/>
      <c r="W127" s="8" t="s">
        <v>266</v>
      </c>
      <c r="X127" s="8" t="s">
        <v>267</v>
      </c>
      <c r="Y127" s="8" t="s">
        <v>130</v>
      </c>
      <c r="Z127" s="8" t="s">
        <v>260</v>
      </c>
    </row>
    <row r="128" customFormat="false" ht="15" hidden="false" customHeight="false" outlineLevel="0" collapsed="false">
      <c r="A128" s="8" t="s">
        <v>268</v>
      </c>
      <c r="B128" s="8" t="s">
        <v>13</v>
      </c>
      <c r="C128" s="8" t="s">
        <v>14</v>
      </c>
      <c r="D128" s="8" t="s">
        <v>91</v>
      </c>
      <c r="E128" s="8" t="s">
        <v>36</v>
      </c>
      <c r="F128" s="8" t="s">
        <v>47</v>
      </c>
      <c r="G128" s="8" t="s">
        <v>30</v>
      </c>
      <c r="H128" s="8" t="s">
        <v>30</v>
      </c>
      <c r="I128" s="8" t="n">
        <f aca="false">IF(EXACT(G128,H128),1,0)</f>
        <v>1</v>
      </c>
      <c r="J128" s="8" t="n">
        <v>0</v>
      </c>
      <c r="K128" s="8" t="s">
        <v>92</v>
      </c>
      <c r="L128" s="8" t="n">
        <v>0</v>
      </c>
      <c r="M128" s="8" t="n">
        <v>1</v>
      </c>
      <c r="N128" s="8" t="s">
        <v>93</v>
      </c>
      <c r="O128" s="8" t="n">
        <v>1</v>
      </c>
      <c r="P128" s="10" t="n">
        <v>3.55</v>
      </c>
      <c r="Q128" s="8"/>
      <c r="R128" s="8"/>
      <c r="S128" s="8" t="s">
        <v>262</v>
      </c>
      <c r="T128" s="8" t="s">
        <v>269</v>
      </c>
      <c r="U128" s="8" t="s">
        <v>270</v>
      </c>
      <c r="V128" s="8"/>
      <c r="W128" s="8" t="s">
        <v>271</v>
      </c>
      <c r="X128" s="8" t="s">
        <v>272</v>
      </c>
      <c r="Y128" s="8" t="s">
        <v>99</v>
      </c>
      <c r="Z128" s="8"/>
    </row>
    <row r="129" customFormat="false" ht="15" hidden="false" customHeight="false" outlineLevel="0" collapsed="false">
      <c r="A129" s="8" t="s">
        <v>268</v>
      </c>
      <c r="B129" s="8" t="s">
        <v>13</v>
      </c>
      <c r="C129" s="8" t="s">
        <v>14</v>
      </c>
      <c r="D129" s="8" t="s">
        <v>91</v>
      </c>
      <c r="E129" s="8" t="s">
        <v>36</v>
      </c>
      <c r="F129" s="8" t="s">
        <v>47</v>
      </c>
      <c r="G129" s="8" t="s">
        <v>30</v>
      </c>
      <c r="H129" s="8" t="s">
        <v>30</v>
      </c>
      <c r="I129" s="8" t="n">
        <f aca="false">IF(EXACT(G129,H129),1,0)</f>
        <v>1</v>
      </c>
      <c r="J129" s="8" t="n">
        <v>1</v>
      </c>
      <c r="K129" s="8" t="s">
        <v>92</v>
      </c>
      <c r="L129" s="8" t="n">
        <v>0</v>
      </c>
      <c r="M129" s="8" t="n">
        <v>1</v>
      </c>
      <c r="N129" s="8" t="s">
        <v>93</v>
      </c>
      <c r="O129" s="8" t="n">
        <v>1</v>
      </c>
      <c r="P129" s="10" t="n">
        <v>3.53</v>
      </c>
      <c r="Q129" s="8"/>
      <c r="R129" s="8"/>
      <c r="S129" s="8" t="s">
        <v>262</v>
      </c>
      <c r="T129" s="8" t="s">
        <v>269</v>
      </c>
      <c r="U129" s="8" t="s">
        <v>270</v>
      </c>
      <c r="V129" s="8"/>
      <c r="W129" s="8" t="s">
        <v>271</v>
      </c>
      <c r="X129" s="8" t="s">
        <v>272</v>
      </c>
      <c r="Y129" s="8" t="s">
        <v>99</v>
      </c>
      <c r="Z129" s="8"/>
    </row>
    <row r="130" customFormat="false" ht="15" hidden="false" customHeight="false" outlineLevel="0" collapsed="false">
      <c r="A130" s="8" t="s">
        <v>268</v>
      </c>
      <c r="B130" s="8" t="s">
        <v>13</v>
      </c>
      <c r="C130" s="8" t="s">
        <v>14</v>
      </c>
      <c r="D130" s="8" t="s">
        <v>91</v>
      </c>
      <c r="E130" s="8" t="s">
        <v>36</v>
      </c>
      <c r="F130" s="8" t="s">
        <v>47</v>
      </c>
      <c r="G130" s="8" t="s">
        <v>30</v>
      </c>
      <c r="H130" s="8" t="s">
        <v>30</v>
      </c>
      <c r="I130" s="8" t="n">
        <f aca="false">IF(EXACT(G130,H130),1,0)</f>
        <v>1</v>
      </c>
      <c r="J130" s="8" t="n">
        <v>2</v>
      </c>
      <c r="K130" s="8" t="s">
        <v>92</v>
      </c>
      <c r="L130" s="8" t="n">
        <v>0</v>
      </c>
      <c r="M130" s="8" t="n">
        <v>1</v>
      </c>
      <c r="N130" s="8" t="s">
        <v>93</v>
      </c>
      <c r="O130" s="8" t="n">
        <v>1</v>
      </c>
      <c r="P130" s="10" t="n">
        <v>3.5</v>
      </c>
      <c r="Q130" s="8"/>
      <c r="R130" s="8"/>
      <c r="S130" s="8" t="s">
        <v>262</v>
      </c>
      <c r="T130" s="8" t="s">
        <v>269</v>
      </c>
      <c r="U130" s="8" t="s">
        <v>270</v>
      </c>
      <c r="V130" s="8"/>
      <c r="W130" s="8" t="s">
        <v>271</v>
      </c>
      <c r="X130" s="8" t="s">
        <v>272</v>
      </c>
      <c r="Y130" s="8" t="s">
        <v>99</v>
      </c>
      <c r="Z130" s="8"/>
    </row>
    <row r="131" customFormat="false" ht="15" hidden="false" customHeight="false" outlineLevel="0" collapsed="false">
      <c r="A131" s="8" t="s">
        <v>273</v>
      </c>
      <c r="B131" s="8" t="s">
        <v>13</v>
      </c>
      <c r="C131" s="8" t="s">
        <v>14</v>
      </c>
      <c r="D131" s="8" t="s">
        <v>91</v>
      </c>
      <c r="E131" s="8" t="s">
        <v>36</v>
      </c>
      <c r="F131" s="8" t="s">
        <v>47</v>
      </c>
      <c r="G131" s="8" t="s">
        <v>30</v>
      </c>
      <c r="H131" s="8" t="s">
        <v>30</v>
      </c>
      <c r="I131" s="8" t="n">
        <f aca="false">IF(EXACT(G131,H131),1,0)</f>
        <v>1</v>
      </c>
      <c r="J131" s="8" t="n">
        <v>0</v>
      </c>
      <c r="K131" s="8" t="s">
        <v>92</v>
      </c>
      <c r="L131" s="8" t="n">
        <v>0</v>
      </c>
      <c r="M131" s="8" t="n">
        <v>1</v>
      </c>
      <c r="N131" s="8" t="s">
        <v>93</v>
      </c>
      <c r="O131" s="8" t="n">
        <v>1</v>
      </c>
      <c r="P131" s="10" t="n">
        <v>3.55</v>
      </c>
      <c r="Q131" s="8"/>
      <c r="R131" s="8"/>
      <c r="S131" s="8" t="s">
        <v>274</v>
      </c>
      <c r="T131" s="8" t="s">
        <v>269</v>
      </c>
      <c r="U131" s="8" t="s">
        <v>270</v>
      </c>
      <c r="V131" s="8"/>
      <c r="W131" s="8" t="s">
        <v>275</v>
      </c>
      <c r="X131" s="8" t="s">
        <v>276</v>
      </c>
      <c r="Y131" s="8" t="s">
        <v>108</v>
      </c>
      <c r="Z131" s="8"/>
    </row>
    <row r="132" customFormat="false" ht="15" hidden="false" customHeight="false" outlineLevel="0" collapsed="false">
      <c r="A132" s="8" t="s">
        <v>273</v>
      </c>
      <c r="B132" s="8" t="s">
        <v>13</v>
      </c>
      <c r="C132" s="8" t="s">
        <v>14</v>
      </c>
      <c r="D132" s="8" t="s">
        <v>91</v>
      </c>
      <c r="E132" s="8" t="s">
        <v>36</v>
      </c>
      <c r="F132" s="8" t="s">
        <v>47</v>
      </c>
      <c r="G132" s="8" t="s">
        <v>30</v>
      </c>
      <c r="H132" s="8" t="s">
        <v>30</v>
      </c>
      <c r="I132" s="8" t="n">
        <f aca="false">IF(EXACT(G132,H132),1,0)</f>
        <v>1</v>
      </c>
      <c r="J132" s="8" t="n">
        <v>1</v>
      </c>
      <c r="K132" s="8" t="s">
        <v>92</v>
      </c>
      <c r="L132" s="8" t="n">
        <v>0</v>
      </c>
      <c r="M132" s="8" t="n">
        <v>1</v>
      </c>
      <c r="N132" s="8" t="s">
        <v>93</v>
      </c>
      <c r="O132" s="8" t="n">
        <v>1</v>
      </c>
      <c r="P132" s="10" t="n">
        <v>3.5</v>
      </c>
      <c r="Q132" s="8"/>
      <c r="R132" s="8"/>
      <c r="S132" s="8" t="s">
        <v>274</v>
      </c>
      <c r="T132" s="8" t="s">
        <v>269</v>
      </c>
      <c r="U132" s="8" t="s">
        <v>270</v>
      </c>
      <c r="V132" s="8"/>
      <c r="W132" s="8" t="s">
        <v>275</v>
      </c>
      <c r="X132" s="8" t="s">
        <v>276</v>
      </c>
      <c r="Y132" s="8" t="s">
        <v>108</v>
      </c>
      <c r="Z132" s="8"/>
    </row>
    <row r="133" customFormat="false" ht="15" hidden="false" customHeight="false" outlineLevel="0" collapsed="false">
      <c r="A133" s="8" t="s">
        <v>273</v>
      </c>
      <c r="B133" s="8" t="s">
        <v>13</v>
      </c>
      <c r="C133" s="8" t="s">
        <v>14</v>
      </c>
      <c r="D133" s="8" t="s">
        <v>91</v>
      </c>
      <c r="E133" s="8" t="s">
        <v>36</v>
      </c>
      <c r="F133" s="8" t="s">
        <v>47</v>
      </c>
      <c r="G133" s="8" t="s">
        <v>30</v>
      </c>
      <c r="H133" s="8" t="s">
        <v>30</v>
      </c>
      <c r="I133" s="8" t="n">
        <f aca="false">IF(EXACT(G133,H133),1,0)</f>
        <v>1</v>
      </c>
      <c r="J133" s="8" t="n">
        <v>2</v>
      </c>
      <c r="K133" s="8" t="s">
        <v>92</v>
      </c>
      <c r="L133" s="8" t="n">
        <v>0</v>
      </c>
      <c r="M133" s="8" t="n">
        <v>1</v>
      </c>
      <c r="N133" s="8" t="s">
        <v>93</v>
      </c>
      <c r="O133" s="8" t="n">
        <v>1</v>
      </c>
      <c r="P133" s="10" t="n">
        <v>3.55</v>
      </c>
      <c r="Q133" s="8"/>
      <c r="R133" s="8"/>
      <c r="S133" s="8" t="s">
        <v>274</v>
      </c>
      <c r="T133" s="8" t="s">
        <v>269</v>
      </c>
      <c r="U133" s="8" t="s">
        <v>270</v>
      </c>
      <c r="V133" s="8"/>
      <c r="W133" s="8" t="s">
        <v>275</v>
      </c>
      <c r="X133" s="8" t="s">
        <v>276</v>
      </c>
      <c r="Y133" s="8" t="s">
        <v>108</v>
      </c>
      <c r="Z133" s="8"/>
    </row>
    <row r="134" customFormat="false" ht="15" hidden="false" customHeight="false" outlineLevel="0" collapsed="false">
      <c r="A134" s="8" t="s">
        <v>277</v>
      </c>
      <c r="B134" s="8" t="s">
        <v>13</v>
      </c>
      <c r="C134" s="8" t="s">
        <v>14</v>
      </c>
      <c r="D134" s="8" t="s">
        <v>91</v>
      </c>
      <c r="E134" s="8" t="s">
        <v>36</v>
      </c>
      <c r="F134" s="8" t="s">
        <v>47</v>
      </c>
      <c r="G134" s="8" t="s">
        <v>31</v>
      </c>
      <c r="H134" s="8" t="s">
        <v>30</v>
      </c>
      <c r="I134" s="8" t="n">
        <f aca="false">IF(EXACT(G134,H134),1,0)</f>
        <v>0</v>
      </c>
      <c r="J134" s="8" t="n">
        <v>0</v>
      </c>
      <c r="K134" s="8" t="s">
        <v>92</v>
      </c>
      <c r="L134" s="8" t="n">
        <v>0</v>
      </c>
      <c r="M134" s="8" t="n">
        <v>1</v>
      </c>
      <c r="N134" s="8" t="s">
        <v>93</v>
      </c>
      <c r="O134" s="8" t="n">
        <v>1</v>
      </c>
      <c r="P134" s="10" t="n">
        <v>3.67</v>
      </c>
      <c r="Q134" s="8"/>
      <c r="R134" s="8"/>
      <c r="S134" s="8" t="s">
        <v>278</v>
      </c>
      <c r="T134" s="8" t="s">
        <v>269</v>
      </c>
      <c r="U134" s="8" t="s">
        <v>270</v>
      </c>
      <c r="V134" s="8"/>
      <c r="W134" s="8" t="s">
        <v>279</v>
      </c>
      <c r="X134" s="8" t="s">
        <v>280</v>
      </c>
      <c r="Y134" s="8" t="s">
        <v>99</v>
      </c>
      <c r="Z134" s="8"/>
    </row>
    <row r="135" customFormat="false" ht="15" hidden="false" customHeight="false" outlineLevel="0" collapsed="false">
      <c r="A135" s="8" t="s">
        <v>277</v>
      </c>
      <c r="B135" s="8" t="s">
        <v>13</v>
      </c>
      <c r="C135" s="8" t="s">
        <v>14</v>
      </c>
      <c r="D135" s="8" t="s">
        <v>91</v>
      </c>
      <c r="E135" s="8" t="s">
        <v>36</v>
      </c>
      <c r="F135" s="8" t="s">
        <v>47</v>
      </c>
      <c r="G135" s="8" t="s">
        <v>31</v>
      </c>
      <c r="H135" s="8" t="s">
        <v>30</v>
      </c>
      <c r="I135" s="8" t="n">
        <f aca="false">IF(EXACT(G135,H135),1,0)</f>
        <v>0</v>
      </c>
      <c r="J135" s="8" t="n">
        <v>1</v>
      </c>
      <c r="K135" s="8" t="s">
        <v>92</v>
      </c>
      <c r="L135" s="8" t="n">
        <v>0</v>
      </c>
      <c r="M135" s="8" t="n">
        <v>1</v>
      </c>
      <c r="N135" s="8" t="s">
        <v>93</v>
      </c>
      <c r="O135" s="8" t="n">
        <v>1</v>
      </c>
      <c r="P135" s="10" t="n">
        <v>3.64</v>
      </c>
      <c r="Q135" s="8"/>
      <c r="R135" s="8"/>
      <c r="S135" s="8" t="s">
        <v>278</v>
      </c>
      <c r="T135" s="8" t="s">
        <v>269</v>
      </c>
      <c r="U135" s="8" t="s">
        <v>270</v>
      </c>
      <c r="V135" s="8"/>
      <c r="W135" s="8" t="s">
        <v>279</v>
      </c>
      <c r="X135" s="8" t="s">
        <v>280</v>
      </c>
      <c r="Y135" s="8" t="s">
        <v>99</v>
      </c>
      <c r="Z135" s="8"/>
    </row>
    <row r="136" customFormat="false" ht="15" hidden="false" customHeight="false" outlineLevel="0" collapsed="false">
      <c r="A136" s="8" t="s">
        <v>277</v>
      </c>
      <c r="B136" s="8" t="s">
        <v>13</v>
      </c>
      <c r="C136" s="8" t="s">
        <v>14</v>
      </c>
      <c r="D136" s="8" t="s">
        <v>91</v>
      </c>
      <c r="E136" s="8" t="s">
        <v>36</v>
      </c>
      <c r="F136" s="8" t="s">
        <v>47</v>
      </c>
      <c r="G136" s="8" t="s">
        <v>31</v>
      </c>
      <c r="H136" s="8" t="s">
        <v>30</v>
      </c>
      <c r="I136" s="8" t="n">
        <f aca="false">IF(EXACT(G136,H136),1,0)</f>
        <v>0</v>
      </c>
      <c r="J136" s="8" t="n">
        <v>2</v>
      </c>
      <c r="K136" s="8" t="s">
        <v>92</v>
      </c>
      <c r="L136" s="8" t="n">
        <v>0</v>
      </c>
      <c r="M136" s="8" t="n">
        <v>1</v>
      </c>
      <c r="N136" s="8" t="s">
        <v>93</v>
      </c>
      <c r="O136" s="8" t="n">
        <v>1</v>
      </c>
      <c r="P136" s="10" t="n">
        <v>3.63</v>
      </c>
      <c r="Q136" s="8"/>
      <c r="R136" s="8"/>
      <c r="S136" s="8" t="s">
        <v>278</v>
      </c>
      <c r="T136" s="8" t="s">
        <v>269</v>
      </c>
      <c r="U136" s="8" t="s">
        <v>270</v>
      </c>
      <c r="V136" s="8"/>
      <c r="W136" s="8" t="s">
        <v>279</v>
      </c>
      <c r="X136" s="8" t="s">
        <v>280</v>
      </c>
      <c r="Y136" s="8" t="s">
        <v>99</v>
      </c>
      <c r="Z136" s="8"/>
    </row>
    <row r="137" customFormat="false" ht="15" hidden="false" customHeight="false" outlineLevel="0" collapsed="false">
      <c r="A137" s="8" t="s">
        <v>281</v>
      </c>
      <c r="B137" s="8" t="s">
        <v>13</v>
      </c>
      <c r="C137" s="8" t="s">
        <v>14</v>
      </c>
      <c r="D137" s="8" t="s">
        <v>91</v>
      </c>
      <c r="E137" s="8" t="s">
        <v>36</v>
      </c>
      <c r="F137" s="8" t="s">
        <v>47</v>
      </c>
      <c r="G137" s="8" t="s">
        <v>32</v>
      </c>
      <c r="H137" s="8" t="s">
        <v>30</v>
      </c>
      <c r="I137" s="8" t="n">
        <f aca="false">IF(EXACT(G137,H137),1,0)</f>
        <v>0</v>
      </c>
      <c r="J137" s="8" t="n">
        <v>0</v>
      </c>
      <c r="K137" s="8" t="s">
        <v>92</v>
      </c>
      <c r="L137" s="8" t="n">
        <v>0</v>
      </c>
      <c r="M137" s="8" t="n">
        <v>1</v>
      </c>
      <c r="N137" s="8" t="s">
        <v>93</v>
      </c>
      <c r="O137" s="8" t="n">
        <v>1</v>
      </c>
      <c r="P137" s="10" t="n">
        <v>3.54</v>
      </c>
      <c r="Q137" s="8"/>
      <c r="R137" s="8"/>
      <c r="S137" s="8" t="s">
        <v>101</v>
      </c>
      <c r="T137" s="8" t="s">
        <v>269</v>
      </c>
      <c r="U137" s="8" t="s">
        <v>270</v>
      </c>
      <c r="V137" s="8"/>
      <c r="W137" s="8" t="s">
        <v>282</v>
      </c>
      <c r="X137" s="8" t="s">
        <v>283</v>
      </c>
      <c r="Y137" s="8" t="s">
        <v>108</v>
      </c>
      <c r="Z137" s="8"/>
    </row>
    <row r="138" customFormat="false" ht="15" hidden="false" customHeight="false" outlineLevel="0" collapsed="false">
      <c r="A138" s="8" t="s">
        <v>281</v>
      </c>
      <c r="B138" s="8" t="s">
        <v>13</v>
      </c>
      <c r="C138" s="8" t="s">
        <v>14</v>
      </c>
      <c r="D138" s="8" t="s">
        <v>91</v>
      </c>
      <c r="E138" s="8" t="s">
        <v>36</v>
      </c>
      <c r="F138" s="8" t="s">
        <v>47</v>
      </c>
      <c r="G138" s="8" t="s">
        <v>32</v>
      </c>
      <c r="H138" s="8" t="s">
        <v>30</v>
      </c>
      <c r="I138" s="8" t="n">
        <f aca="false">IF(EXACT(G138,H138),1,0)</f>
        <v>0</v>
      </c>
      <c r="J138" s="8" t="n">
        <v>1</v>
      </c>
      <c r="K138" s="8" t="s">
        <v>92</v>
      </c>
      <c r="L138" s="8" t="n">
        <v>0</v>
      </c>
      <c r="M138" s="8" t="n">
        <v>1</v>
      </c>
      <c r="N138" s="8" t="s">
        <v>93</v>
      </c>
      <c r="O138" s="8" t="n">
        <v>1</v>
      </c>
      <c r="P138" s="10" t="n">
        <v>3.52</v>
      </c>
      <c r="Q138" s="8"/>
      <c r="R138" s="8"/>
      <c r="S138" s="8" t="s">
        <v>101</v>
      </c>
      <c r="T138" s="8" t="s">
        <v>269</v>
      </c>
      <c r="U138" s="8" t="s">
        <v>270</v>
      </c>
      <c r="V138" s="8"/>
      <c r="W138" s="8" t="s">
        <v>282</v>
      </c>
      <c r="X138" s="8" t="s">
        <v>283</v>
      </c>
      <c r="Y138" s="8" t="s">
        <v>108</v>
      </c>
      <c r="Z138" s="8"/>
    </row>
    <row r="139" customFormat="false" ht="15" hidden="false" customHeight="false" outlineLevel="0" collapsed="false">
      <c r="A139" s="8" t="s">
        <v>281</v>
      </c>
      <c r="B139" s="8" t="s">
        <v>13</v>
      </c>
      <c r="C139" s="8" t="s">
        <v>14</v>
      </c>
      <c r="D139" s="8" t="s">
        <v>91</v>
      </c>
      <c r="E139" s="8" t="s">
        <v>36</v>
      </c>
      <c r="F139" s="8" t="s">
        <v>47</v>
      </c>
      <c r="G139" s="8" t="s">
        <v>32</v>
      </c>
      <c r="H139" s="8" t="s">
        <v>30</v>
      </c>
      <c r="I139" s="8" t="n">
        <f aca="false">IF(EXACT(G139,H139),1,0)</f>
        <v>0</v>
      </c>
      <c r="J139" s="8" t="n">
        <v>2</v>
      </c>
      <c r="K139" s="8" t="s">
        <v>92</v>
      </c>
      <c r="L139" s="8" t="n">
        <v>0</v>
      </c>
      <c r="M139" s="8" t="n">
        <v>1</v>
      </c>
      <c r="N139" s="8" t="s">
        <v>93</v>
      </c>
      <c r="O139" s="8" t="n">
        <v>1</v>
      </c>
      <c r="P139" s="10" t="n">
        <v>3.58</v>
      </c>
      <c r="Q139" s="8"/>
      <c r="R139" s="8"/>
      <c r="S139" s="8" t="s">
        <v>101</v>
      </c>
      <c r="T139" s="8" t="s">
        <v>269</v>
      </c>
      <c r="U139" s="8" t="s">
        <v>270</v>
      </c>
      <c r="V139" s="8"/>
      <c r="W139" s="8" t="s">
        <v>282</v>
      </c>
      <c r="X139" s="8" t="s">
        <v>283</v>
      </c>
      <c r="Y139" s="8" t="s">
        <v>108</v>
      </c>
      <c r="Z139" s="8"/>
    </row>
    <row r="140" customFormat="false" ht="15" hidden="false" customHeight="false" outlineLevel="0" collapsed="false">
      <c r="A140" s="8" t="s">
        <v>284</v>
      </c>
      <c r="B140" s="8" t="s">
        <v>13</v>
      </c>
      <c r="C140" s="8" t="s">
        <v>14</v>
      </c>
      <c r="D140" s="8" t="s">
        <v>91</v>
      </c>
      <c r="E140" s="8" t="s">
        <v>36</v>
      </c>
      <c r="F140" s="8" t="s">
        <v>47</v>
      </c>
      <c r="G140" s="8" t="s">
        <v>32</v>
      </c>
      <c r="H140" s="8" t="s">
        <v>30</v>
      </c>
      <c r="I140" s="8" t="n">
        <f aca="false">IF(EXACT(G140,H140),1,0)</f>
        <v>0</v>
      </c>
      <c r="J140" s="8" t="n">
        <v>0</v>
      </c>
      <c r="K140" s="8" t="s">
        <v>92</v>
      </c>
      <c r="L140" s="8" t="n">
        <v>0</v>
      </c>
      <c r="M140" s="8" t="n">
        <v>1</v>
      </c>
      <c r="N140" s="8" t="s">
        <v>93</v>
      </c>
      <c r="O140" s="8" t="n">
        <v>1</v>
      </c>
      <c r="P140" s="10" t="n">
        <v>3.62</v>
      </c>
      <c r="Q140" s="8"/>
      <c r="R140" s="8"/>
      <c r="S140" s="8" t="s">
        <v>132</v>
      </c>
      <c r="T140" s="8" t="s">
        <v>269</v>
      </c>
      <c r="U140" s="8" t="s">
        <v>270</v>
      </c>
      <c r="V140" s="8"/>
      <c r="W140" s="8" t="s">
        <v>285</v>
      </c>
      <c r="X140" s="8" t="s">
        <v>286</v>
      </c>
      <c r="Y140" s="8" t="s">
        <v>99</v>
      </c>
      <c r="Z140" s="8"/>
    </row>
    <row r="141" customFormat="false" ht="15" hidden="false" customHeight="false" outlineLevel="0" collapsed="false">
      <c r="A141" s="8" t="s">
        <v>284</v>
      </c>
      <c r="B141" s="8" t="s">
        <v>13</v>
      </c>
      <c r="C141" s="8" t="s">
        <v>14</v>
      </c>
      <c r="D141" s="8" t="s">
        <v>91</v>
      </c>
      <c r="E141" s="8" t="s">
        <v>36</v>
      </c>
      <c r="F141" s="8" t="s">
        <v>47</v>
      </c>
      <c r="G141" s="8" t="s">
        <v>32</v>
      </c>
      <c r="H141" s="8" t="s">
        <v>30</v>
      </c>
      <c r="I141" s="8" t="n">
        <f aca="false">IF(EXACT(G141,H141),1,0)</f>
        <v>0</v>
      </c>
      <c r="J141" s="8" t="n">
        <v>1</v>
      </c>
      <c r="K141" s="8" t="s">
        <v>92</v>
      </c>
      <c r="L141" s="8" t="n">
        <v>0</v>
      </c>
      <c r="M141" s="8" t="n">
        <v>1</v>
      </c>
      <c r="N141" s="8" t="s">
        <v>93</v>
      </c>
      <c r="O141" s="8" t="n">
        <v>1</v>
      </c>
      <c r="P141" s="10" t="n">
        <v>3.51</v>
      </c>
      <c r="Q141" s="8"/>
      <c r="R141" s="8"/>
      <c r="S141" s="8" t="s">
        <v>132</v>
      </c>
      <c r="T141" s="8" t="s">
        <v>269</v>
      </c>
      <c r="U141" s="8" t="s">
        <v>270</v>
      </c>
      <c r="V141" s="8"/>
      <c r="W141" s="8" t="s">
        <v>285</v>
      </c>
      <c r="X141" s="8" t="s">
        <v>286</v>
      </c>
      <c r="Y141" s="8" t="s">
        <v>99</v>
      </c>
      <c r="Z141" s="8"/>
    </row>
    <row r="142" customFormat="false" ht="15" hidden="false" customHeight="false" outlineLevel="0" collapsed="false">
      <c r="A142" s="8" t="s">
        <v>284</v>
      </c>
      <c r="B142" s="8" t="s">
        <v>13</v>
      </c>
      <c r="C142" s="8" t="s">
        <v>14</v>
      </c>
      <c r="D142" s="8" t="s">
        <v>91</v>
      </c>
      <c r="E142" s="8" t="s">
        <v>36</v>
      </c>
      <c r="F142" s="8" t="s">
        <v>47</v>
      </c>
      <c r="G142" s="8" t="s">
        <v>32</v>
      </c>
      <c r="H142" s="8" t="s">
        <v>30</v>
      </c>
      <c r="I142" s="8" t="n">
        <f aca="false">IF(EXACT(G142,H142),1,0)</f>
        <v>0</v>
      </c>
      <c r="J142" s="8" t="n">
        <v>2</v>
      </c>
      <c r="K142" s="8" t="s">
        <v>92</v>
      </c>
      <c r="L142" s="8" t="n">
        <v>0</v>
      </c>
      <c r="M142" s="8" t="n">
        <v>1</v>
      </c>
      <c r="N142" s="8" t="s">
        <v>93</v>
      </c>
      <c r="O142" s="8" t="n">
        <v>1</v>
      </c>
      <c r="P142" s="10" t="n">
        <v>3.53</v>
      </c>
      <c r="Q142" s="8"/>
      <c r="R142" s="8"/>
      <c r="S142" s="8" t="s">
        <v>132</v>
      </c>
      <c r="T142" s="8" t="s">
        <v>269</v>
      </c>
      <c r="U142" s="8" t="s">
        <v>270</v>
      </c>
      <c r="V142" s="8"/>
      <c r="W142" s="8" t="s">
        <v>285</v>
      </c>
      <c r="X142" s="8" t="s">
        <v>286</v>
      </c>
      <c r="Y142" s="8" t="s">
        <v>99</v>
      </c>
      <c r="Z142" s="8"/>
    </row>
    <row r="143" customFormat="false" ht="15" hidden="false" customHeight="false" outlineLevel="0" collapsed="false">
      <c r="A143" s="8" t="s">
        <v>287</v>
      </c>
      <c r="B143" s="8" t="s">
        <v>13</v>
      </c>
      <c r="C143" s="8" t="s">
        <v>14</v>
      </c>
      <c r="D143" s="8" t="s">
        <v>91</v>
      </c>
      <c r="E143" s="8" t="s">
        <v>36</v>
      </c>
      <c r="F143" s="8" t="s">
        <v>47</v>
      </c>
      <c r="G143" s="8" t="s">
        <v>31</v>
      </c>
      <c r="H143" s="8" t="s">
        <v>30</v>
      </c>
      <c r="I143" s="8" t="n">
        <f aca="false">IF(EXACT(G143,H143),1,0)</f>
        <v>0</v>
      </c>
      <c r="J143" s="8" t="n">
        <v>0</v>
      </c>
      <c r="K143" s="8" t="s">
        <v>92</v>
      </c>
      <c r="L143" s="8" t="n">
        <v>0</v>
      </c>
      <c r="M143" s="8" t="n">
        <v>1</v>
      </c>
      <c r="N143" s="8" t="s">
        <v>93</v>
      </c>
      <c r="O143" s="8" t="n">
        <v>1</v>
      </c>
      <c r="P143" s="10" t="n">
        <v>3.59</v>
      </c>
      <c r="Q143" s="8"/>
      <c r="R143" s="8"/>
      <c r="S143" s="8" t="s">
        <v>222</v>
      </c>
      <c r="T143" s="8" t="s">
        <v>269</v>
      </c>
      <c r="U143" s="8" t="s">
        <v>270</v>
      </c>
      <c r="V143" s="8"/>
      <c r="W143" s="8" t="s">
        <v>288</v>
      </c>
      <c r="X143" s="8" t="s">
        <v>289</v>
      </c>
      <c r="Y143" s="8" t="s">
        <v>99</v>
      </c>
      <c r="Z143" s="8"/>
    </row>
    <row r="144" customFormat="false" ht="15" hidden="false" customHeight="false" outlineLevel="0" collapsed="false">
      <c r="A144" s="8" t="s">
        <v>287</v>
      </c>
      <c r="B144" s="8" t="s">
        <v>13</v>
      </c>
      <c r="C144" s="8" t="s">
        <v>14</v>
      </c>
      <c r="D144" s="8" t="s">
        <v>91</v>
      </c>
      <c r="E144" s="8" t="s">
        <v>36</v>
      </c>
      <c r="F144" s="8" t="s">
        <v>47</v>
      </c>
      <c r="G144" s="8" t="s">
        <v>31</v>
      </c>
      <c r="H144" s="8" t="s">
        <v>30</v>
      </c>
      <c r="I144" s="8" t="n">
        <f aca="false">IF(EXACT(G144,H144),1,0)</f>
        <v>0</v>
      </c>
      <c r="J144" s="8" t="n">
        <v>1</v>
      </c>
      <c r="K144" s="8" t="s">
        <v>92</v>
      </c>
      <c r="L144" s="8" t="n">
        <v>0</v>
      </c>
      <c r="M144" s="8" t="n">
        <v>1</v>
      </c>
      <c r="N144" s="8" t="s">
        <v>93</v>
      </c>
      <c r="O144" s="8" t="n">
        <v>1</v>
      </c>
      <c r="P144" s="10" t="n">
        <v>3.51</v>
      </c>
      <c r="Q144" s="8"/>
      <c r="R144" s="8"/>
      <c r="S144" s="8" t="s">
        <v>222</v>
      </c>
      <c r="T144" s="8" t="s">
        <v>269</v>
      </c>
      <c r="U144" s="8" t="s">
        <v>270</v>
      </c>
      <c r="V144" s="8"/>
      <c r="W144" s="8" t="s">
        <v>288</v>
      </c>
      <c r="X144" s="8" t="s">
        <v>289</v>
      </c>
      <c r="Y144" s="8" t="s">
        <v>99</v>
      </c>
      <c r="Z144" s="8"/>
    </row>
    <row r="145" customFormat="false" ht="15" hidden="false" customHeight="false" outlineLevel="0" collapsed="false">
      <c r="A145" s="8" t="s">
        <v>287</v>
      </c>
      <c r="B145" s="8" t="s">
        <v>13</v>
      </c>
      <c r="C145" s="8" t="s">
        <v>14</v>
      </c>
      <c r="D145" s="8" t="s">
        <v>91</v>
      </c>
      <c r="E145" s="8" t="s">
        <v>36</v>
      </c>
      <c r="F145" s="8" t="s">
        <v>47</v>
      </c>
      <c r="G145" s="8" t="s">
        <v>31</v>
      </c>
      <c r="H145" s="8" t="s">
        <v>30</v>
      </c>
      <c r="I145" s="8" t="n">
        <f aca="false">IF(EXACT(G145,H145),1,0)</f>
        <v>0</v>
      </c>
      <c r="J145" s="8" t="n">
        <v>2</v>
      </c>
      <c r="K145" s="8" t="s">
        <v>92</v>
      </c>
      <c r="L145" s="8" t="n">
        <v>0</v>
      </c>
      <c r="M145" s="8" t="n">
        <v>1</v>
      </c>
      <c r="N145" s="8" t="s">
        <v>93</v>
      </c>
      <c r="O145" s="8" t="n">
        <v>1</v>
      </c>
      <c r="P145" s="10" t="n">
        <v>3.53</v>
      </c>
      <c r="Q145" s="8"/>
      <c r="R145" s="8"/>
      <c r="S145" s="8" t="s">
        <v>222</v>
      </c>
      <c r="T145" s="8" t="s">
        <v>269</v>
      </c>
      <c r="U145" s="8" t="s">
        <v>270</v>
      </c>
      <c r="V145" s="8"/>
      <c r="W145" s="8" t="s">
        <v>288</v>
      </c>
      <c r="X145" s="8" t="s">
        <v>289</v>
      </c>
      <c r="Y145" s="8" t="s">
        <v>99</v>
      </c>
      <c r="Z145" s="8"/>
    </row>
    <row r="146" customFormat="false" ht="15" hidden="false" customHeight="false" outlineLevel="0" collapsed="false">
      <c r="A146" s="8" t="s">
        <v>290</v>
      </c>
      <c r="B146" s="8" t="s">
        <v>13</v>
      </c>
      <c r="C146" s="8" t="s">
        <v>14</v>
      </c>
      <c r="D146" s="8" t="s">
        <v>91</v>
      </c>
      <c r="E146" s="8" t="s">
        <v>36</v>
      </c>
      <c r="F146" s="8" t="s">
        <v>51</v>
      </c>
      <c r="G146" s="8" t="s">
        <v>32</v>
      </c>
      <c r="H146" s="8" t="s">
        <v>30</v>
      </c>
      <c r="I146" s="8" t="n">
        <f aca="false">IF(EXACT(G146,H146),1,0)</f>
        <v>0</v>
      </c>
      <c r="J146" s="8" t="n">
        <v>0</v>
      </c>
      <c r="K146" s="8" t="s">
        <v>92</v>
      </c>
      <c r="L146" s="8" t="n">
        <v>0</v>
      </c>
      <c r="M146" s="8" t="n">
        <v>1</v>
      </c>
      <c r="N146" s="8" t="s">
        <v>93</v>
      </c>
      <c r="O146" s="8" t="n">
        <v>1</v>
      </c>
      <c r="P146" s="10" t="n">
        <v>3.67</v>
      </c>
      <c r="Q146" s="8"/>
      <c r="R146" s="8"/>
      <c r="S146" s="8" t="s">
        <v>101</v>
      </c>
      <c r="T146" s="8" t="s">
        <v>291</v>
      </c>
      <c r="U146" s="8" t="s">
        <v>292</v>
      </c>
      <c r="V146" s="8"/>
      <c r="W146" s="8" t="s">
        <v>293</v>
      </c>
      <c r="X146" s="8" t="s">
        <v>294</v>
      </c>
      <c r="Y146" s="8" t="s">
        <v>108</v>
      </c>
      <c r="Z146" s="8"/>
    </row>
    <row r="147" customFormat="false" ht="15" hidden="false" customHeight="false" outlineLevel="0" collapsed="false">
      <c r="A147" s="8" t="s">
        <v>290</v>
      </c>
      <c r="B147" s="8" t="s">
        <v>13</v>
      </c>
      <c r="C147" s="8" t="s">
        <v>14</v>
      </c>
      <c r="D147" s="8" t="s">
        <v>91</v>
      </c>
      <c r="E147" s="8" t="s">
        <v>36</v>
      </c>
      <c r="F147" s="8" t="s">
        <v>51</v>
      </c>
      <c r="G147" s="8" t="s">
        <v>32</v>
      </c>
      <c r="H147" s="8" t="s">
        <v>30</v>
      </c>
      <c r="I147" s="8" t="n">
        <f aca="false">IF(EXACT(G147,H147),1,0)</f>
        <v>0</v>
      </c>
      <c r="J147" s="8" t="n">
        <v>1</v>
      </c>
      <c r="K147" s="8" t="s">
        <v>92</v>
      </c>
      <c r="L147" s="8" t="n">
        <v>0</v>
      </c>
      <c r="M147" s="8" t="n">
        <v>1</v>
      </c>
      <c r="N147" s="8" t="s">
        <v>93</v>
      </c>
      <c r="O147" s="8" t="n">
        <v>1</v>
      </c>
      <c r="P147" s="10" t="n">
        <v>3.84</v>
      </c>
      <c r="Q147" s="8"/>
      <c r="R147" s="8"/>
      <c r="S147" s="8" t="s">
        <v>101</v>
      </c>
      <c r="T147" s="8" t="s">
        <v>291</v>
      </c>
      <c r="U147" s="8" t="s">
        <v>292</v>
      </c>
      <c r="V147" s="8"/>
      <c r="W147" s="8" t="s">
        <v>293</v>
      </c>
      <c r="X147" s="8" t="s">
        <v>294</v>
      </c>
      <c r="Y147" s="8" t="s">
        <v>108</v>
      </c>
      <c r="Z147" s="8"/>
    </row>
    <row r="148" customFormat="false" ht="15" hidden="false" customHeight="false" outlineLevel="0" collapsed="false">
      <c r="A148" s="8" t="s">
        <v>290</v>
      </c>
      <c r="B148" s="8" t="s">
        <v>13</v>
      </c>
      <c r="C148" s="8" t="s">
        <v>14</v>
      </c>
      <c r="D148" s="8" t="s">
        <v>91</v>
      </c>
      <c r="E148" s="8" t="s">
        <v>36</v>
      </c>
      <c r="F148" s="8" t="s">
        <v>51</v>
      </c>
      <c r="G148" s="8" t="s">
        <v>32</v>
      </c>
      <c r="H148" s="8" t="s">
        <v>30</v>
      </c>
      <c r="I148" s="8" t="n">
        <f aca="false">IF(EXACT(G148,H148),1,0)</f>
        <v>0</v>
      </c>
      <c r="J148" s="8" t="n">
        <v>2</v>
      </c>
      <c r="K148" s="8" t="s">
        <v>92</v>
      </c>
      <c r="L148" s="8" t="n">
        <v>0</v>
      </c>
      <c r="M148" s="8" t="n">
        <v>1</v>
      </c>
      <c r="N148" s="8" t="s">
        <v>93</v>
      </c>
      <c r="O148" s="8" t="n">
        <v>1</v>
      </c>
      <c r="P148" s="10" t="n">
        <v>3.54</v>
      </c>
      <c r="Q148" s="8"/>
      <c r="R148" s="8"/>
      <c r="S148" s="8" t="s">
        <v>101</v>
      </c>
      <c r="T148" s="8" t="s">
        <v>291</v>
      </c>
      <c r="U148" s="8" t="s">
        <v>292</v>
      </c>
      <c r="V148" s="8"/>
      <c r="W148" s="8" t="s">
        <v>293</v>
      </c>
      <c r="X148" s="8" t="s">
        <v>294</v>
      </c>
      <c r="Y148" s="8" t="s">
        <v>108</v>
      </c>
      <c r="Z148" s="8"/>
    </row>
    <row r="149" customFormat="false" ht="15" hidden="false" customHeight="false" outlineLevel="0" collapsed="false">
      <c r="A149" s="8" t="s">
        <v>295</v>
      </c>
      <c r="B149" s="8" t="s">
        <v>13</v>
      </c>
      <c r="C149" s="8" t="s">
        <v>14</v>
      </c>
      <c r="D149" s="8" t="s">
        <v>91</v>
      </c>
      <c r="E149" s="8" t="s">
        <v>36</v>
      </c>
      <c r="F149" s="8" t="s">
        <v>51</v>
      </c>
      <c r="G149" s="8" t="s">
        <v>30</v>
      </c>
      <c r="H149" s="8" t="s">
        <v>30</v>
      </c>
      <c r="I149" s="8" t="n">
        <f aca="false">IF(EXACT(G149,H149),1,0)</f>
        <v>1</v>
      </c>
      <c r="J149" s="8" t="n">
        <v>0</v>
      </c>
      <c r="K149" s="8" t="s">
        <v>92</v>
      </c>
      <c r="L149" s="8" t="n">
        <v>0</v>
      </c>
      <c r="M149" s="8" t="n">
        <v>1</v>
      </c>
      <c r="N149" s="8" t="s">
        <v>93</v>
      </c>
      <c r="O149" s="8" t="n">
        <v>1</v>
      </c>
      <c r="P149" s="10" t="n">
        <v>3.65</v>
      </c>
      <c r="Q149" s="8"/>
      <c r="R149" s="8"/>
      <c r="S149" s="8" t="s">
        <v>110</v>
      </c>
      <c r="T149" s="8" t="s">
        <v>291</v>
      </c>
      <c r="U149" s="8" t="s">
        <v>292</v>
      </c>
      <c r="V149" s="8"/>
      <c r="W149" s="8" t="s">
        <v>296</v>
      </c>
      <c r="X149" s="8" t="s">
        <v>297</v>
      </c>
      <c r="Y149" s="8" t="s">
        <v>190</v>
      </c>
      <c r="Z149" s="8"/>
    </row>
    <row r="150" customFormat="false" ht="15" hidden="false" customHeight="false" outlineLevel="0" collapsed="false">
      <c r="A150" s="8" t="s">
        <v>295</v>
      </c>
      <c r="B150" s="8" t="s">
        <v>13</v>
      </c>
      <c r="C150" s="8" t="s">
        <v>14</v>
      </c>
      <c r="D150" s="8" t="s">
        <v>91</v>
      </c>
      <c r="E150" s="8" t="s">
        <v>36</v>
      </c>
      <c r="F150" s="8" t="s">
        <v>51</v>
      </c>
      <c r="G150" s="8" t="s">
        <v>30</v>
      </c>
      <c r="H150" s="8" t="s">
        <v>30</v>
      </c>
      <c r="I150" s="8" t="n">
        <f aca="false">IF(EXACT(G150,H150),1,0)</f>
        <v>1</v>
      </c>
      <c r="J150" s="8" t="n">
        <v>1</v>
      </c>
      <c r="K150" s="8" t="s">
        <v>92</v>
      </c>
      <c r="L150" s="8" t="n">
        <v>0</v>
      </c>
      <c r="M150" s="8" t="n">
        <v>1</v>
      </c>
      <c r="N150" s="8" t="s">
        <v>93</v>
      </c>
      <c r="O150" s="8" t="n">
        <v>1</v>
      </c>
      <c r="P150" s="10" t="n">
        <v>3.61</v>
      </c>
      <c r="Q150" s="8"/>
      <c r="R150" s="8"/>
      <c r="S150" s="8" t="s">
        <v>110</v>
      </c>
      <c r="T150" s="8" t="s">
        <v>291</v>
      </c>
      <c r="U150" s="8" t="s">
        <v>292</v>
      </c>
      <c r="V150" s="8"/>
      <c r="W150" s="8" t="s">
        <v>296</v>
      </c>
      <c r="X150" s="8" t="s">
        <v>297</v>
      </c>
      <c r="Y150" s="8" t="s">
        <v>190</v>
      </c>
      <c r="Z150" s="8"/>
    </row>
    <row r="151" customFormat="false" ht="15" hidden="false" customHeight="false" outlineLevel="0" collapsed="false">
      <c r="A151" s="8" t="s">
        <v>295</v>
      </c>
      <c r="B151" s="8" t="s">
        <v>13</v>
      </c>
      <c r="C151" s="8" t="s">
        <v>14</v>
      </c>
      <c r="D151" s="8" t="s">
        <v>91</v>
      </c>
      <c r="E151" s="8" t="s">
        <v>36</v>
      </c>
      <c r="F151" s="8" t="s">
        <v>51</v>
      </c>
      <c r="G151" s="8" t="s">
        <v>30</v>
      </c>
      <c r="H151" s="8" t="s">
        <v>30</v>
      </c>
      <c r="I151" s="8" t="n">
        <f aca="false">IF(EXACT(G151,H151),1,0)</f>
        <v>1</v>
      </c>
      <c r="J151" s="8" t="n">
        <v>2</v>
      </c>
      <c r="K151" s="8" t="s">
        <v>92</v>
      </c>
      <c r="L151" s="8" t="n">
        <v>0</v>
      </c>
      <c r="M151" s="8" t="n">
        <v>1</v>
      </c>
      <c r="N151" s="8" t="s">
        <v>93</v>
      </c>
      <c r="O151" s="8" t="n">
        <v>1</v>
      </c>
      <c r="P151" s="10" t="n">
        <v>4.13</v>
      </c>
      <c r="Q151" s="8"/>
      <c r="R151" s="8"/>
      <c r="S151" s="8" t="s">
        <v>110</v>
      </c>
      <c r="T151" s="8" t="s">
        <v>291</v>
      </c>
      <c r="U151" s="8" t="s">
        <v>292</v>
      </c>
      <c r="V151" s="8"/>
      <c r="W151" s="8" t="s">
        <v>296</v>
      </c>
      <c r="X151" s="8" t="s">
        <v>297</v>
      </c>
      <c r="Y151" s="8" t="s">
        <v>190</v>
      </c>
      <c r="Z151" s="8"/>
    </row>
    <row r="152" customFormat="false" ht="15" hidden="false" customHeight="false" outlineLevel="0" collapsed="false">
      <c r="A152" s="8" t="s">
        <v>298</v>
      </c>
      <c r="B152" s="8" t="s">
        <v>13</v>
      </c>
      <c r="C152" s="8" t="s">
        <v>14</v>
      </c>
      <c r="D152" s="8" t="s">
        <v>91</v>
      </c>
      <c r="E152" s="8" t="s">
        <v>36</v>
      </c>
      <c r="F152" s="8" t="s">
        <v>51</v>
      </c>
      <c r="G152" s="8" t="s">
        <v>30</v>
      </c>
      <c r="H152" s="8" t="s">
        <v>30</v>
      </c>
      <c r="I152" s="8" t="n">
        <f aca="false">IF(EXACT(G152,H152),1,0)</f>
        <v>1</v>
      </c>
      <c r="J152" s="8" t="n">
        <v>0</v>
      </c>
      <c r="K152" s="8" t="s">
        <v>92</v>
      </c>
      <c r="L152" s="8" t="n">
        <v>0</v>
      </c>
      <c r="M152" s="8" t="n">
        <v>1</v>
      </c>
      <c r="N152" s="8" t="s">
        <v>93</v>
      </c>
      <c r="O152" s="8" t="n">
        <v>1</v>
      </c>
      <c r="P152" s="10" t="n">
        <v>3.57</v>
      </c>
      <c r="Q152" s="8"/>
      <c r="R152" s="8"/>
      <c r="S152" s="8" t="s">
        <v>150</v>
      </c>
      <c r="T152" s="8" t="s">
        <v>291</v>
      </c>
      <c r="U152" s="8" t="s">
        <v>292</v>
      </c>
      <c r="V152" s="8"/>
      <c r="W152" s="8" t="s">
        <v>299</v>
      </c>
      <c r="X152" s="8" t="s">
        <v>300</v>
      </c>
      <c r="Y152" s="8" t="s">
        <v>190</v>
      </c>
      <c r="Z152" s="8"/>
    </row>
    <row r="153" customFormat="false" ht="15" hidden="false" customHeight="false" outlineLevel="0" collapsed="false">
      <c r="A153" s="8" t="s">
        <v>298</v>
      </c>
      <c r="B153" s="8" t="s">
        <v>13</v>
      </c>
      <c r="C153" s="8" t="s">
        <v>14</v>
      </c>
      <c r="D153" s="8" t="s">
        <v>91</v>
      </c>
      <c r="E153" s="8" t="s">
        <v>36</v>
      </c>
      <c r="F153" s="8" t="s">
        <v>51</v>
      </c>
      <c r="G153" s="8" t="s">
        <v>30</v>
      </c>
      <c r="H153" s="8" t="s">
        <v>30</v>
      </c>
      <c r="I153" s="8" t="n">
        <f aca="false">IF(EXACT(G153,H153),1,0)</f>
        <v>1</v>
      </c>
      <c r="J153" s="8" t="n">
        <v>1</v>
      </c>
      <c r="K153" s="8" t="s">
        <v>92</v>
      </c>
      <c r="L153" s="8" t="n">
        <v>0</v>
      </c>
      <c r="M153" s="8" t="n">
        <v>1</v>
      </c>
      <c r="N153" s="8" t="s">
        <v>93</v>
      </c>
      <c r="O153" s="8" t="n">
        <v>1</v>
      </c>
      <c r="P153" s="10" t="n">
        <v>3.69</v>
      </c>
      <c r="Q153" s="8"/>
      <c r="R153" s="8"/>
      <c r="S153" s="8" t="s">
        <v>150</v>
      </c>
      <c r="T153" s="8" t="s">
        <v>291</v>
      </c>
      <c r="U153" s="8" t="s">
        <v>292</v>
      </c>
      <c r="V153" s="8"/>
      <c r="W153" s="8" t="s">
        <v>299</v>
      </c>
      <c r="X153" s="8" t="s">
        <v>300</v>
      </c>
      <c r="Y153" s="8" t="s">
        <v>190</v>
      </c>
      <c r="Z153" s="8"/>
    </row>
    <row r="154" customFormat="false" ht="15" hidden="false" customHeight="false" outlineLevel="0" collapsed="false">
      <c r="A154" s="8" t="s">
        <v>298</v>
      </c>
      <c r="B154" s="8" t="s">
        <v>13</v>
      </c>
      <c r="C154" s="8" t="s">
        <v>14</v>
      </c>
      <c r="D154" s="8" t="s">
        <v>91</v>
      </c>
      <c r="E154" s="8" t="s">
        <v>36</v>
      </c>
      <c r="F154" s="8" t="s">
        <v>51</v>
      </c>
      <c r="G154" s="8" t="s">
        <v>30</v>
      </c>
      <c r="H154" s="8" t="s">
        <v>30</v>
      </c>
      <c r="I154" s="8" t="n">
        <f aca="false">IF(EXACT(G154,H154),1,0)</f>
        <v>1</v>
      </c>
      <c r="J154" s="8" t="n">
        <v>2</v>
      </c>
      <c r="K154" s="8" t="s">
        <v>92</v>
      </c>
      <c r="L154" s="8" t="n">
        <v>0</v>
      </c>
      <c r="M154" s="8" t="n">
        <v>1</v>
      </c>
      <c r="N154" s="8" t="s">
        <v>93</v>
      </c>
      <c r="O154" s="8" t="n">
        <v>1</v>
      </c>
      <c r="P154" s="10" t="n">
        <v>3.67</v>
      </c>
      <c r="Q154" s="8"/>
      <c r="R154" s="8"/>
      <c r="S154" s="8" t="s">
        <v>150</v>
      </c>
      <c r="T154" s="8" t="s">
        <v>291</v>
      </c>
      <c r="U154" s="8" t="s">
        <v>292</v>
      </c>
      <c r="V154" s="8"/>
      <c r="W154" s="8" t="s">
        <v>299</v>
      </c>
      <c r="X154" s="8" t="s">
        <v>300</v>
      </c>
      <c r="Y154" s="8" t="s">
        <v>190</v>
      </c>
      <c r="Z154" s="8"/>
    </row>
    <row r="155" customFormat="false" ht="15" hidden="false" customHeight="false" outlineLevel="0" collapsed="false">
      <c r="A155" s="8" t="s">
        <v>301</v>
      </c>
      <c r="B155" s="8" t="s">
        <v>13</v>
      </c>
      <c r="C155" s="8" t="s">
        <v>14</v>
      </c>
      <c r="D155" s="8" t="s">
        <v>91</v>
      </c>
      <c r="E155" s="8" t="s">
        <v>36</v>
      </c>
      <c r="F155" s="8" t="s">
        <v>51</v>
      </c>
      <c r="G155" s="8" t="s">
        <v>32</v>
      </c>
      <c r="H155" s="8" t="s">
        <v>30</v>
      </c>
      <c r="I155" s="8" t="n">
        <f aca="false">IF(EXACT(G155,H155),1,0)</f>
        <v>0</v>
      </c>
      <c r="J155" s="8" t="n">
        <v>0</v>
      </c>
      <c r="K155" s="8" t="s">
        <v>92</v>
      </c>
      <c r="L155" s="8" t="n">
        <v>0</v>
      </c>
      <c r="M155" s="8" t="n">
        <v>1</v>
      </c>
      <c r="N155" s="8" t="s">
        <v>93</v>
      </c>
      <c r="O155" s="8" t="n">
        <v>1</v>
      </c>
      <c r="P155" s="10" t="n">
        <v>4.03</v>
      </c>
      <c r="Q155" s="8"/>
      <c r="R155" s="8"/>
      <c r="S155" s="8" t="s">
        <v>132</v>
      </c>
      <c r="T155" s="8" t="s">
        <v>291</v>
      </c>
      <c r="U155" s="8" t="s">
        <v>292</v>
      </c>
      <c r="V155" s="8"/>
      <c r="W155" s="8" t="s">
        <v>302</v>
      </c>
      <c r="X155" s="8" t="s">
        <v>303</v>
      </c>
      <c r="Y155" s="8" t="s">
        <v>108</v>
      </c>
      <c r="Z155" s="8"/>
    </row>
    <row r="156" customFormat="false" ht="15" hidden="false" customHeight="false" outlineLevel="0" collapsed="false">
      <c r="A156" s="8" t="s">
        <v>301</v>
      </c>
      <c r="B156" s="8" t="s">
        <v>13</v>
      </c>
      <c r="C156" s="8" t="s">
        <v>14</v>
      </c>
      <c r="D156" s="8" t="s">
        <v>91</v>
      </c>
      <c r="E156" s="8" t="s">
        <v>36</v>
      </c>
      <c r="F156" s="8" t="s">
        <v>51</v>
      </c>
      <c r="G156" s="8" t="s">
        <v>32</v>
      </c>
      <c r="H156" s="8" t="s">
        <v>30</v>
      </c>
      <c r="I156" s="8" t="n">
        <f aca="false">IF(EXACT(G156,H156),1,0)</f>
        <v>0</v>
      </c>
      <c r="J156" s="8" t="n">
        <v>1</v>
      </c>
      <c r="K156" s="8" t="s">
        <v>92</v>
      </c>
      <c r="L156" s="8" t="n">
        <v>0</v>
      </c>
      <c r="M156" s="8" t="n">
        <v>1</v>
      </c>
      <c r="N156" s="8" t="s">
        <v>93</v>
      </c>
      <c r="O156" s="8" t="n">
        <v>1</v>
      </c>
      <c r="P156" s="10" t="n">
        <v>3.54</v>
      </c>
      <c r="Q156" s="8"/>
      <c r="R156" s="8"/>
      <c r="S156" s="8" t="s">
        <v>132</v>
      </c>
      <c r="T156" s="8" t="s">
        <v>291</v>
      </c>
      <c r="U156" s="8" t="s">
        <v>292</v>
      </c>
      <c r="V156" s="8"/>
      <c r="W156" s="8" t="s">
        <v>302</v>
      </c>
      <c r="X156" s="8" t="s">
        <v>303</v>
      </c>
      <c r="Y156" s="8" t="s">
        <v>108</v>
      </c>
      <c r="Z156" s="8"/>
    </row>
    <row r="157" customFormat="false" ht="15" hidden="false" customHeight="false" outlineLevel="0" collapsed="false">
      <c r="A157" s="8" t="s">
        <v>301</v>
      </c>
      <c r="B157" s="8" t="s">
        <v>13</v>
      </c>
      <c r="C157" s="8" t="s">
        <v>14</v>
      </c>
      <c r="D157" s="8" t="s">
        <v>91</v>
      </c>
      <c r="E157" s="8" t="s">
        <v>36</v>
      </c>
      <c r="F157" s="8" t="s">
        <v>51</v>
      </c>
      <c r="G157" s="8" t="s">
        <v>32</v>
      </c>
      <c r="H157" s="8" t="s">
        <v>30</v>
      </c>
      <c r="I157" s="8" t="n">
        <f aca="false">IF(EXACT(G157,H157),1,0)</f>
        <v>0</v>
      </c>
      <c r="J157" s="8" t="n">
        <v>2</v>
      </c>
      <c r="K157" s="8" t="s">
        <v>92</v>
      </c>
      <c r="L157" s="8" t="n">
        <v>0</v>
      </c>
      <c r="M157" s="8" t="n">
        <v>1</v>
      </c>
      <c r="N157" s="8" t="s">
        <v>93</v>
      </c>
      <c r="O157" s="8" t="n">
        <v>1</v>
      </c>
      <c r="P157" s="10" t="n">
        <v>3.57</v>
      </c>
      <c r="Q157" s="8"/>
      <c r="R157" s="8"/>
      <c r="S157" s="8" t="s">
        <v>132</v>
      </c>
      <c r="T157" s="8" t="s">
        <v>291</v>
      </c>
      <c r="U157" s="8" t="s">
        <v>292</v>
      </c>
      <c r="V157" s="8"/>
      <c r="W157" s="8" t="s">
        <v>302</v>
      </c>
      <c r="X157" s="8" t="s">
        <v>303</v>
      </c>
      <c r="Y157" s="8" t="s">
        <v>108</v>
      </c>
      <c r="Z157" s="8"/>
    </row>
    <row r="158" customFormat="false" ht="15" hidden="false" customHeight="false" outlineLevel="0" collapsed="false">
      <c r="A158" s="8" t="s">
        <v>304</v>
      </c>
      <c r="B158" s="8" t="s">
        <v>13</v>
      </c>
      <c r="C158" s="8" t="s">
        <v>14</v>
      </c>
      <c r="D158" s="8" t="s">
        <v>91</v>
      </c>
      <c r="E158" s="8" t="s">
        <v>36</v>
      </c>
      <c r="F158" s="8" t="s">
        <v>51</v>
      </c>
      <c r="G158" s="8" t="s">
        <v>31</v>
      </c>
      <c r="H158" s="8" t="s">
        <v>30</v>
      </c>
      <c r="I158" s="8" t="n">
        <f aca="false">IF(EXACT(G158,H158),1,0)</f>
        <v>0</v>
      </c>
      <c r="J158" s="8" t="n">
        <v>0</v>
      </c>
      <c r="K158" s="8" t="s">
        <v>92</v>
      </c>
      <c r="L158" s="8" t="n">
        <v>0</v>
      </c>
      <c r="M158" s="8" t="n">
        <v>1</v>
      </c>
      <c r="N158" s="8" t="s">
        <v>93</v>
      </c>
      <c r="O158" s="8" t="n">
        <v>1</v>
      </c>
      <c r="P158" s="10" t="n">
        <v>3.81</v>
      </c>
      <c r="Q158" s="8"/>
      <c r="R158" s="8"/>
      <c r="S158" s="8" t="s">
        <v>117</v>
      </c>
      <c r="T158" s="8" t="s">
        <v>291</v>
      </c>
      <c r="U158" s="8" t="s">
        <v>292</v>
      </c>
      <c r="V158" s="8"/>
      <c r="W158" s="8" t="s">
        <v>305</v>
      </c>
      <c r="X158" s="8" t="s">
        <v>306</v>
      </c>
      <c r="Y158" s="8" t="s">
        <v>190</v>
      </c>
      <c r="Z158" s="8"/>
    </row>
    <row r="159" customFormat="false" ht="15" hidden="false" customHeight="false" outlineLevel="0" collapsed="false">
      <c r="A159" s="8" t="s">
        <v>304</v>
      </c>
      <c r="B159" s="8" t="s">
        <v>13</v>
      </c>
      <c r="C159" s="8" t="s">
        <v>14</v>
      </c>
      <c r="D159" s="8" t="s">
        <v>91</v>
      </c>
      <c r="E159" s="8" t="s">
        <v>36</v>
      </c>
      <c r="F159" s="8" t="s">
        <v>51</v>
      </c>
      <c r="G159" s="8" t="s">
        <v>31</v>
      </c>
      <c r="H159" s="8" t="s">
        <v>30</v>
      </c>
      <c r="I159" s="8" t="n">
        <f aca="false">IF(EXACT(G159,H159),1,0)</f>
        <v>0</v>
      </c>
      <c r="J159" s="8" t="n">
        <v>1</v>
      </c>
      <c r="K159" s="8" t="s">
        <v>92</v>
      </c>
      <c r="L159" s="8" t="n">
        <v>0</v>
      </c>
      <c r="M159" s="8" t="n">
        <v>1</v>
      </c>
      <c r="N159" s="8" t="s">
        <v>93</v>
      </c>
      <c r="O159" s="8" t="n">
        <v>1</v>
      </c>
      <c r="P159" s="10" t="n">
        <v>3.6</v>
      </c>
      <c r="Q159" s="8"/>
      <c r="R159" s="8"/>
      <c r="S159" s="8" t="s">
        <v>117</v>
      </c>
      <c r="T159" s="8" t="s">
        <v>291</v>
      </c>
      <c r="U159" s="8" t="s">
        <v>292</v>
      </c>
      <c r="V159" s="8"/>
      <c r="W159" s="8" t="s">
        <v>305</v>
      </c>
      <c r="X159" s="8" t="s">
        <v>306</v>
      </c>
      <c r="Y159" s="8" t="s">
        <v>190</v>
      </c>
      <c r="Z159" s="8"/>
    </row>
    <row r="160" customFormat="false" ht="15" hidden="false" customHeight="false" outlineLevel="0" collapsed="false">
      <c r="A160" s="8" t="s">
        <v>304</v>
      </c>
      <c r="B160" s="8" t="s">
        <v>13</v>
      </c>
      <c r="C160" s="8" t="s">
        <v>14</v>
      </c>
      <c r="D160" s="8" t="s">
        <v>91</v>
      </c>
      <c r="E160" s="8" t="s">
        <v>36</v>
      </c>
      <c r="F160" s="8" t="s">
        <v>51</v>
      </c>
      <c r="G160" s="8" t="s">
        <v>31</v>
      </c>
      <c r="H160" s="8" t="s">
        <v>30</v>
      </c>
      <c r="I160" s="8" t="n">
        <f aca="false">IF(EXACT(G160,H160),1,0)</f>
        <v>0</v>
      </c>
      <c r="J160" s="8" t="n">
        <v>2</v>
      </c>
      <c r="K160" s="8" t="s">
        <v>92</v>
      </c>
      <c r="L160" s="8" t="n">
        <v>0</v>
      </c>
      <c r="M160" s="8" t="n">
        <v>1</v>
      </c>
      <c r="N160" s="8" t="s">
        <v>93</v>
      </c>
      <c r="O160" s="8" t="n">
        <v>1</v>
      </c>
      <c r="P160" s="10" t="n">
        <v>3.6</v>
      </c>
      <c r="Q160" s="8"/>
      <c r="R160" s="8"/>
      <c r="S160" s="8" t="s">
        <v>117</v>
      </c>
      <c r="T160" s="8" t="s">
        <v>291</v>
      </c>
      <c r="U160" s="8" t="s">
        <v>292</v>
      </c>
      <c r="V160" s="8"/>
      <c r="W160" s="8" t="s">
        <v>305</v>
      </c>
      <c r="X160" s="8" t="s">
        <v>306</v>
      </c>
      <c r="Y160" s="8" t="s">
        <v>190</v>
      </c>
      <c r="Z160" s="8"/>
    </row>
    <row r="161" customFormat="false" ht="15" hidden="false" customHeight="false" outlineLevel="0" collapsed="false">
      <c r="A161" s="8" t="s">
        <v>307</v>
      </c>
      <c r="B161" s="8" t="s">
        <v>13</v>
      </c>
      <c r="C161" s="8" t="s">
        <v>14</v>
      </c>
      <c r="D161" s="8" t="s">
        <v>91</v>
      </c>
      <c r="E161" s="8" t="s">
        <v>36</v>
      </c>
      <c r="F161" s="8" t="s">
        <v>51</v>
      </c>
      <c r="G161" s="8" t="s">
        <v>31</v>
      </c>
      <c r="H161" s="8" t="s">
        <v>31</v>
      </c>
      <c r="I161" s="8" t="n">
        <f aca="false">IF(EXACT(G161,H161),1,0)</f>
        <v>1</v>
      </c>
      <c r="J161" s="8" t="n">
        <v>0</v>
      </c>
      <c r="K161" s="8" t="s">
        <v>116</v>
      </c>
      <c r="L161" s="8" t="n">
        <v>1</v>
      </c>
      <c r="M161" s="8" t="n">
        <v>1</v>
      </c>
      <c r="N161" s="8" t="s">
        <v>93</v>
      </c>
      <c r="O161" s="8" t="n">
        <v>1</v>
      </c>
      <c r="P161" s="10" t="n">
        <v>3.53</v>
      </c>
      <c r="Q161" s="8"/>
      <c r="R161" s="8"/>
      <c r="S161" s="8" t="s">
        <v>308</v>
      </c>
      <c r="T161" s="8"/>
      <c r="U161" s="8"/>
      <c r="V161" s="8" t="s">
        <v>309</v>
      </c>
      <c r="W161" s="8"/>
      <c r="X161" s="8" t="s">
        <v>310</v>
      </c>
      <c r="Y161" s="8" t="s">
        <v>190</v>
      </c>
      <c r="Z161" s="8" t="s">
        <v>311</v>
      </c>
    </row>
    <row r="162" customFormat="false" ht="15" hidden="false" customHeight="false" outlineLevel="0" collapsed="false">
      <c r="A162" s="8" t="s">
        <v>307</v>
      </c>
      <c r="B162" s="8" t="s">
        <v>13</v>
      </c>
      <c r="C162" s="8" t="s">
        <v>14</v>
      </c>
      <c r="D162" s="8" t="s">
        <v>91</v>
      </c>
      <c r="E162" s="8" t="s">
        <v>36</v>
      </c>
      <c r="F162" s="8" t="s">
        <v>51</v>
      </c>
      <c r="G162" s="8" t="s">
        <v>31</v>
      </c>
      <c r="H162" s="8" t="s">
        <v>31</v>
      </c>
      <c r="I162" s="8" t="n">
        <f aca="false">IF(EXACT(G162,H162),1,0)</f>
        <v>1</v>
      </c>
      <c r="J162" s="8" t="n">
        <v>1</v>
      </c>
      <c r="K162" s="8" t="s">
        <v>116</v>
      </c>
      <c r="L162" s="8" t="n">
        <v>1</v>
      </c>
      <c r="M162" s="8" t="n">
        <v>1</v>
      </c>
      <c r="N162" s="8" t="s">
        <v>93</v>
      </c>
      <c r="O162" s="8" t="n">
        <v>1</v>
      </c>
      <c r="P162" s="10" t="n">
        <v>3.55</v>
      </c>
      <c r="Q162" s="8"/>
      <c r="R162" s="8"/>
      <c r="S162" s="8" t="s">
        <v>308</v>
      </c>
      <c r="T162" s="8"/>
      <c r="U162" s="8"/>
      <c r="V162" s="8" t="s">
        <v>309</v>
      </c>
      <c r="W162" s="8"/>
      <c r="X162" s="8" t="s">
        <v>310</v>
      </c>
      <c r="Y162" s="8" t="s">
        <v>190</v>
      </c>
      <c r="Z162" s="8" t="s">
        <v>311</v>
      </c>
    </row>
    <row r="163" customFormat="false" ht="15" hidden="false" customHeight="false" outlineLevel="0" collapsed="false">
      <c r="A163" s="8" t="s">
        <v>307</v>
      </c>
      <c r="B163" s="8" t="s">
        <v>13</v>
      </c>
      <c r="C163" s="8" t="s">
        <v>14</v>
      </c>
      <c r="D163" s="8" t="s">
        <v>91</v>
      </c>
      <c r="E163" s="8" t="s">
        <v>36</v>
      </c>
      <c r="F163" s="8" t="s">
        <v>51</v>
      </c>
      <c r="G163" s="8" t="s">
        <v>31</v>
      </c>
      <c r="H163" s="8" t="s">
        <v>31</v>
      </c>
      <c r="I163" s="8" t="n">
        <f aca="false">IF(EXACT(G163,H163),1,0)</f>
        <v>1</v>
      </c>
      <c r="J163" s="8" t="n">
        <v>2</v>
      </c>
      <c r="K163" s="8" t="s">
        <v>116</v>
      </c>
      <c r="L163" s="8" t="n">
        <v>1</v>
      </c>
      <c r="M163" s="8" t="n">
        <v>1</v>
      </c>
      <c r="N163" s="8" t="s">
        <v>93</v>
      </c>
      <c r="O163" s="8" t="n">
        <v>1</v>
      </c>
      <c r="P163" s="10" t="n">
        <v>3.57</v>
      </c>
      <c r="Q163" s="8"/>
      <c r="R163" s="8"/>
      <c r="S163" s="8" t="s">
        <v>308</v>
      </c>
      <c r="T163" s="8"/>
      <c r="U163" s="8"/>
      <c r="V163" s="8" t="s">
        <v>309</v>
      </c>
      <c r="W163" s="8"/>
      <c r="X163" s="8" t="s">
        <v>310</v>
      </c>
      <c r="Y163" s="8" t="s">
        <v>190</v>
      </c>
      <c r="Z163" s="8" t="s">
        <v>311</v>
      </c>
    </row>
    <row r="164" customFormat="false" ht="15" hidden="false" customHeight="false" outlineLevel="0" collapsed="false">
      <c r="A164" s="8" t="s">
        <v>312</v>
      </c>
      <c r="B164" s="8" t="s">
        <v>13</v>
      </c>
      <c r="C164" s="8" t="s">
        <v>14</v>
      </c>
      <c r="D164" s="8" t="s">
        <v>91</v>
      </c>
      <c r="E164" s="8" t="s">
        <v>36</v>
      </c>
      <c r="F164" s="8" t="s">
        <v>57</v>
      </c>
      <c r="G164" s="8" t="s">
        <v>31</v>
      </c>
      <c r="H164" s="8" t="s">
        <v>30</v>
      </c>
      <c r="I164" s="8" t="n">
        <f aca="false">IF(EXACT(G164,H164),1,0)</f>
        <v>0</v>
      </c>
      <c r="J164" s="8" t="n">
        <v>0</v>
      </c>
      <c r="K164" s="8" t="s">
        <v>92</v>
      </c>
      <c r="L164" s="8" t="n">
        <v>0</v>
      </c>
      <c r="M164" s="8" t="n">
        <v>1</v>
      </c>
      <c r="N164" s="8" t="s">
        <v>93</v>
      </c>
      <c r="O164" s="8" t="n">
        <v>1</v>
      </c>
      <c r="P164" s="10" t="n">
        <v>4.31</v>
      </c>
      <c r="Q164" s="8"/>
      <c r="R164" s="8"/>
      <c r="S164" s="8" t="s">
        <v>313</v>
      </c>
      <c r="T164" s="8"/>
      <c r="U164" s="8"/>
      <c r="V164" s="8" t="s">
        <v>155</v>
      </c>
      <c r="W164" s="8"/>
      <c r="X164" s="8" t="s">
        <v>314</v>
      </c>
      <c r="Y164" s="8" t="s">
        <v>161</v>
      </c>
      <c r="Z164" s="8"/>
    </row>
    <row r="165" customFormat="false" ht="15" hidden="false" customHeight="false" outlineLevel="0" collapsed="false">
      <c r="A165" s="8" t="s">
        <v>312</v>
      </c>
      <c r="B165" s="8" t="s">
        <v>13</v>
      </c>
      <c r="C165" s="8" t="s">
        <v>14</v>
      </c>
      <c r="D165" s="8" t="s">
        <v>91</v>
      </c>
      <c r="E165" s="8" t="s">
        <v>36</v>
      </c>
      <c r="F165" s="8" t="s">
        <v>57</v>
      </c>
      <c r="G165" s="8" t="s">
        <v>31</v>
      </c>
      <c r="H165" s="8" t="s">
        <v>30</v>
      </c>
      <c r="I165" s="8" t="n">
        <f aca="false">IF(EXACT(G165,H165),1,0)</f>
        <v>0</v>
      </c>
      <c r="J165" s="8" t="n">
        <v>1</v>
      </c>
      <c r="K165" s="8" t="s">
        <v>92</v>
      </c>
      <c r="L165" s="8" t="n">
        <v>0</v>
      </c>
      <c r="M165" s="8" t="n">
        <v>1</v>
      </c>
      <c r="N165" s="8" t="s">
        <v>93</v>
      </c>
      <c r="O165" s="8" t="n">
        <v>1</v>
      </c>
      <c r="P165" s="10" t="n">
        <v>4.43</v>
      </c>
      <c r="Q165" s="8"/>
      <c r="R165" s="8"/>
      <c r="S165" s="8" t="s">
        <v>313</v>
      </c>
      <c r="T165" s="8"/>
      <c r="U165" s="8"/>
      <c r="V165" s="8" t="s">
        <v>155</v>
      </c>
      <c r="W165" s="8"/>
      <c r="X165" s="8" t="s">
        <v>314</v>
      </c>
      <c r="Y165" s="8" t="s">
        <v>161</v>
      </c>
      <c r="Z165" s="8"/>
    </row>
    <row r="166" customFormat="false" ht="15" hidden="false" customHeight="false" outlineLevel="0" collapsed="false">
      <c r="A166" s="8" t="s">
        <v>312</v>
      </c>
      <c r="B166" s="8" t="s">
        <v>13</v>
      </c>
      <c r="C166" s="8" t="s">
        <v>14</v>
      </c>
      <c r="D166" s="8" t="s">
        <v>91</v>
      </c>
      <c r="E166" s="8" t="s">
        <v>36</v>
      </c>
      <c r="F166" s="8" t="s">
        <v>57</v>
      </c>
      <c r="G166" s="8" t="s">
        <v>31</v>
      </c>
      <c r="H166" s="8" t="s">
        <v>30</v>
      </c>
      <c r="I166" s="8" t="n">
        <f aca="false">IF(EXACT(G166,H166),1,0)</f>
        <v>0</v>
      </c>
      <c r="J166" s="8" t="n">
        <v>2</v>
      </c>
      <c r="K166" s="8" t="s">
        <v>92</v>
      </c>
      <c r="L166" s="8" t="n">
        <v>0</v>
      </c>
      <c r="M166" s="8" t="n">
        <v>1</v>
      </c>
      <c r="N166" s="8" t="s">
        <v>93</v>
      </c>
      <c r="O166" s="8" t="n">
        <v>1</v>
      </c>
      <c r="P166" s="10" t="n">
        <v>4.4</v>
      </c>
      <c r="Q166" s="8"/>
      <c r="R166" s="8"/>
      <c r="S166" s="8" t="s">
        <v>313</v>
      </c>
      <c r="T166" s="8"/>
      <c r="U166" s="8"/>
      <c r="V166" s="8" t="s">
        <v>155</v>
      </c>
      <c r="W166" s="8"/>
      <c r="X166" s="8" t="s">
        <v>314</v>
      </c>
      <c r="Y166" s="8" t="s">
        <v>161</v>
      </c>
      <c r="Z166" s="8"/>
    </row>
    <row r="167" customFormat="false" ht="15" hidden="false" customHeight="false" outlineLevel="0" collapsed="false">
      <c r="A167" s="8" t="s">
        <v>315</v>
      </c>
      <c r="B167" s="8" t="s">
        <v>13</v>
      </c>
      <c r="C167" s="8" t="s">
        <v>14</v>
      </c>
      <c r="D167" s="8" t="s">
        <v>91</v>
      </c>
      <c r="E167" s="8" t="s">
        <v>36</v>
      </c>
      <c r="F167" s="8" t="s">
        <v>57</v>
      </c>
      <c r="G167" s="8" t="s">
        <v>31</v>
      </c>
      <c r="H167" s="8" t="s">
        <v>30</v>
      </c>
      <c r="I167" s="8" t="n">
        <f aca="false">IF(EXACT(G167,H167),1,0)</f>
        <v>0</v>
      </c>
      <c r="J167" s="8" t="n">
        <v>0</v>
      </c>
      <c r="K167" s="8" t="s">
        <v>92</v>
      </c>
      <c r="L167" s="8" t="n">
        <v>0</v>
      </c>
      <c r="M167" s="8" t="n">
        <v>1</v>
      </c>
      <c r="N167" s="8" t="s">
        <v>93</v>
      </c>
      <c r="O167" s="8" t="n">
        <v>1</v>
      </c>
      <c r="P167" s="10" t="n">
        <v>4.41</v>
      </c>
      <c r="Q167" s="8"/>
      <c r="R167" s="8"/>
      <c r="S167" s="8" t="s">
        <v>316</v>
      </c>
      <c r="T167" s="8"/>
      <c r="U167" s="8"/>
      <c r="V167" s="8" t="s">
        <v>155</v>
      </c>
      <c r="W167" s="8"/>
      <c r="X167" s="8" t="s">
        <v>317</v>
      </c>
      <c r="Y167" s="8" t="s">
        <v>161</v>
      </c>
      <c r="Z167" s="8"/>
    </row>
    <row r="168" customFormat="false" ht="15" hidden="false" customHeight="false" outlineLevel="0" collapsed="false">
      <c r="A168" s="8" t="s">
        <v>315</v>
      </c>
      <c r="B168" s="8" t="s">
        <v>13</v>
      </c>
      <c r="C168" s="8" t="s">
        <v>14</v>
      </c>
      <c r="D168" s="8" t="s">
        <v>91</v>
      </c>
      <c r="E168" s="8" t="s">
        <v>36</v>
      </c>
      <c r="F168" s="8" t="s">
        <v>57</v>
      </c>
      <c r="G168" s="8" t="s">
        <v>31</v>
      </c>
      <c r="H168" s="8" t="s">
        <v>30</v>
      </c>
      <c r="I168" s="8" t="n">
        <f aca="false">IF(EXACT(G168,H168),1,0)</f>
        <v>0</v>
      </c>
      <c r="J168" s="8" t="n">
        <v>1</v>
      </c>
      <c r="K168" s="8" t="s">
        <v>92</v>
      </c>
      <c r="L168" s="8" t="n">
        <v>0</v>
      </c>
      <c r="M168" s="8" t="n">
        <v>1</v>
      </c>
      <c r="N168" s="8" t="s">
        <v>93</v>
      </c>
      <c r="O168" s="8" t="n">
        <v>1</v>
      </c>
      <c r="P168" s="10" t="n">
        <v>4.37</v>
      </c>
      <c r="Q168" s="8"/>
      <c r="R168" s="8"/>
      <c r="S168" s="8" t="s">
        <v>316</v>
      </c>
      <c r="T168" s="8"/>
      <c r="U168" s="8"/>
      <c r="V168" s="8" t="s">
        <v>155</v>
      </c>
      <c r="W168" s="8"/>
      <c r="X168" s="8" t="s">
        <v>317</v>
      </c>
      <c r="Y168" s="8" t="s">
        <v>161</v>
      </c>
      <c r="Z168" s="8"/>
    </row>
    <row r="169" customFormat="false" ht="15" hidden="false" customHeight="false" outlineLevel="0" collapsed="false">
      <c r="A169" s="8" t="s">
        <v>315</v>
      </c>
      <c r="B169" s="8" t="s">
        <v>13</v>
      </c>
      <c r="C169" s="8" t="s">
        <v>14</v>
      </c>
      <c r="D169" s="8" t="s">
        <v>91</v>
      </c>
      <c r="E169" s="8" t="s">
        <v>36</v>
      </c>
      <c r="F169" s="8" t="s">
        <v>57</v>
      </c>
      <c r="G169" s="8" t="s">
        <v>31</v>
      </c>
      <c r="H169" s="8" t="s">
        <v>30</v>
      </c>
      <c r="I169" s="8" t="n">
        <f aca="false">IF(EXACT(G169,H169),1,0)</f>
        <v>0</v>
      </c>
      <c r="J169" s="8" t="n">
        <v>2</v>
      </c>
      <c r="K169" s="8" t="s">
        <v>92</v>
      </c>
      <c r="L169" s="8" t="n">
        <v>0</v>
      </c>
      <c r="M169" s="8" t="n">
        <v>1</v>
      </c>
      <c r="N169" s="8" t="s">
        <v>93</v>
      </c>
      <c r="O169" s="8" t="n">
        <v>1</v>
      </c>
      <c r="P169" s="10" t="n">
        <v>4.33</v>
      </c>
      <c r="Q169" s="8"/>
      <c r="R169" s="8"/>
      <c r="S169" s="8" t="s">
        <v>316</v>
      </c>
      <c r="T169" s="8"/>
      <c r="U169" s="8"/>
      <c r="V169" s="8" t="s">
        <v>155</v>
      </c>
      <c r="W169" s="8"/>
      <c r="X169" s="8" t="s">
        <v>317</v>
      </c>
      <c r="Y169" s="8" t="s">
        <v>161</v>
      </c>
      <c r="Z169" s="8"/>
    </row>
    <row r="170" customFormat="false" ht="15" hidden="false" customHeight="false" outlineLevel="0" collapsed="false">
      <c r="A170" s="8" t="s">
        <v>318</v>
      </c>
      <c r="B170" s="8" t="s">
        <v>13</v>
      </c>
      <c r="C170" s="8" t="s">
        <v>14</v>
      </c>
      <c r="D170" s="8" t="s">
        <v>91</v>
      </c>
      <c r="E170" s="8" t="s">
        <v>36</v>
      </c>
      <c r="F170" s="8" t="s">
        <v>57</v>
      </c>
      <c r="G170" s="8" t="s">
        <v>32</v>
      </c>
      <c r="H170" s="8" t="s">
        <v>30</v>
      </c>
      <c r="I170" s="8" t="n">
        <f aca="false">IF(EXACT(G170,H170),1,0)</f>
        <v>0</v>
      </c>
      <c r="J170" s="8" t="n">
        <v>0</v>
      </c>
      <c r="K170" s="8" t="s">
        <v>92</v>
      </c>
      <c r="L170" s="8" t="n">
        <v>0</v>
      </c>
      <c r="M170" s="8" t="n">
        <v>1</v>
      </c>
      <c r="N170" s="8" t="s">
        <v>93</v>
      </c>
      <c r="O170" s="8" t="n">
        <v>1</v>
      </c>
      <c r="P170" s="10" t="n">
        <v>4.36</v>
      </c>
      <c r="Q170" s="8"/>
      <c r="R170" s="8"/>
      <c r="S170" s="8" t="s">
        <v>319</v>
      </c>
      <c r="T170" s="8"/>
      <c r="U170" s="8"/>
      <c r="V170" s="8" t="s">
        <v>155</v>
      </c>
      <c r="W170" s="8"/>
      <c r="X170" s="8" t="s">
        <v>320</v>
      </c>
      <c r="Y170" s="8" t="s">
        <v>161</v>
      </c>
      <c r="Z170" s="8"/>
    </row>
    <row r="171" customFormat="false" ht="15" hidden="false" customHeight="false" outlineLevel="0" collapsed="false">
      <c r="A171" s="8" t="s">
        <v>318</v>
      </c>
      <c r="B171" s="8" t="s">
        <v>13</v>
      </c>
      <c r="C171" s="8" t="s">
        <v>14</v>
      </c>
      <c r="D171" s="8" t="s">
        <v>91</v>
      </c>
      <c r="E171" s="8" t="s">
        <v>36</v>
      </c>
      <c r="F171" s="8" t="s">
        <v>57</v>
      </c>
      <c r="G171" s="8" t="s">
        <v>32</v>
      </c>
      <c r="H171" s="8" t="s">
        <v>30</v>
      </c>
      <c r="I171" s="8" t="n">
        <f aca="false">IF(EXACT(G171,H171),1,0)</f>
        <v>0</v>
      </c>
      <c r="J171" s="8" t="n">
        <v>1</v>
      </c>
      <c r="K171" s="8" t="s">
        <v>92</v>
      </c>
      <c r="L171" s="8" t="n">
        <v>0</v>
      </c>
      <c r="M171" s="8" t="n">
        <v>1</v>
      </c>
      <c r="N171" s="8" t="s">
        <v>93</v>
      </c>
      <c r="O171" s="8" t="n">
        <v>1</v>
      </c>
      <c r="P171" s="10" t="n">
        <v>4.3</v>
      </c>
      <c r="Q171" s="8"/>
      <c r="R171" s="8"/>
      <c r="S171" s="8" t="s">
        <v>319</v>
      </c>
      <c r="T171" s="8"/>
      <c r="U171" s="8"/>
      <c r="V171" s="8" t="s">
        <v>155</v>
      </c>
      <c r="W171" s="8"/>
      <c r="X171" s="8" t="s">
        <v>320</v>
      </c>
      <c r="Y171" s="8" t="s">
        <v>161</v>
      </c>
      <c r="Z171" s="8"/>
    </row>
    <row r="172" customFormat="false" ht="15" hidden="false" customHeight="false" outlineLevel="0" collapsed="false">
      <c r="A172" s="8" t="s">
        <v>318</v>
      </c>
      <c r="B172" s="8" t="s">
        <v>13</v>
      </c>
      <c r="C172" s="8" t="s">
        <v>14</v>
      </c>
      <c r="D172" s="8" t="s">
        <v>91</v>
      </c>
      <c r="E172" s="8" t="s">
        <v>36</v>
      </c>
      <c r="F172" s="8" t="s">
        <v>57</v>
      </c>
      <c r="G172" s="8" t="s">
        <v>32</v>
      </c>
      <c r="H172" s="8" t="s">
        <v>30</v>
      </c>
      <c r="I172" s="8" t="n">
        <f aca="false">IF(EXACT(G172,H172),1,0)</f>
        <v>0</v>
      </c>
      <c r="J172" s="8" t="n">
        <v>2</v>
      </c>
      <c r="K172" s="8" t="s">
        <v>92</v>
      </c>
      <c r="L172" s="8" t="n">
        <v>0</v>
      </c>
      <c r="M172" s="8" t="n">
        <v>1</v>
      </c>
      <c r="N172" s="8" t="s">
        <v>93</v>
      </c>
      <c r="O172" s="8" t="n">
        <v>1</v>
      </c>
      <c r="P172" s="10" t="n">
        <v>4.44</v>
      </c>
      <c r="Q172" s="8"/>
      <c r="R172" s="8"/>
      <c r="S172" s="8" t="s">
        <v>319</v>
      </c>
      <c r="T172" s="8"/>
      <c r="U172" s="8"/>
      <c r="V172" s="8" t="s">
        <v>155</v>
      </c>
      <c r="W172" s="8"/>
      <c r="X172" s="8" t="s">
        <v>320</v>
      </c>
      <c r="Y172" s="8" t="s">
        <v>161</v>
      </c>
      <c r="Z172" s="8"/>
    </row>
    <row r="173" customFormat="false" ht="15" hidden="false" customHeight="false" outlineLevel="0" collapsed="false">
      <c r="A173" s="8" t="s">
        <v>321</v>
      </c>
      <c r="B173" s="8" t="s">
        <v>13</v>
      </c>
      <c r="C173" s="8" t="s">
        <v>14</v>
      </c>
      <c r="D173" s="8" t="s">
        <v>91</v>
      </c>
      <c r="E173" s="8" t="s">
        <v>36</v>
      </c>
      <c r="F173" s="8" t="s">
        <v>57</v>
      </c>
      <c r="G173" s="8" t="s">
        <v>32</v>
      </c>
      <c r="H173" s="8" t="s">
        <v>30</v>
      </c>
      <c r="I173" s="8" t="n">
        <f aca="false">IF(EXACT(G173,H173),1,0)</f>
        <v>0</v>
      </c>
      <c r="J173" s="8" t="n">
        <v>0</v>
      </c>
      <c r="K173" s="8" t="s">
        <v>92</v>
      </c>
      <c r="L173" s="8" t="n">
        <v>0</v>
      </c>
      <c r="M173" s="8" t="n">
        <v>1</v>
      </c>
      <c r="N173" s="8" t="s">
        <v>93</v>
      </c>
      <c r="O173" s="8" t="n">
        <v>1</v>
      </c>
      <c r="P173" s="10" t="n">
        <v>4.49</v>
      </c>
      <c r="Q173" s="8"/>
      <c r="R173" s="8"/>
      <c r="S173" s="8" t="s">
        <v>322</v>
      </c>
      <c r="T173" s="8"/>
      <c r="U173" s="8"/>
      <c r="V173" s="8" t="s">
        <v>155</v>
      </c>
      <c r="W173" s="8"/>
      <c r="X173" s="8" t="s">
        <v>323</v>
      </c>
      <c r="Y173" s="8" t="s">
        <v>161</v>
      </c>
      <c r="Z173" s="8"/>
    </row>
    <row r="174" customFormat="false" ht="15" hidden="false" customHeight="false" outlineLevel="0" collapsed="false">
      <c r="A174" s="8" t="s">
        <v>321</v>
      </c>
      <c r="B174" s="8" t="s">
        <v>13</v>
      </c>
      <c r="C174" s="8" t="s">
        <v>14</v>
      </c>
      <c r="D174" s="8" t="s">
        <v>91</v>
      </c>
      <c r="E174" s="8" t="s">
        <v>36</v>
      </c>
      <c r="F174" s="8" t="s">
        <v>57</v>
      </c>
      <c r="G174" s="8" t="s">
        <v>32</v>
      </c>
      <c r="H174" s="8" t="s">
        <v>30</v>
      </c>
      <c r="I174" s="8" t="n">
        <f aca="false">IF(EXACT(G174,H174),1,0)</f>
        <v>0</v>
      </c>
      <c r="J174" s="8" t="n">
        <v>1</v>
      </c>
      <c r="K174" s="8" t="s">
        <v>92</v>
      </c>
      <c r="L174" s="8" t="n">
        <v>0</v>
      </c>
      <c r="M174" s="8" t="n">
        <v>1</v>
      </c>
      <c r="N174" s="8" t="s">
        <v>93</v>
      </c>
      <c r="O174" s="8" t="n">
        <v>1</v>
      </c>
      <c r="P174" s="10" t="n">
        <v>4.48</v>
      </c>
      <c r="Q174" s="8"/>
      <c r="R174" s="8"/>
      <c r="S174" s="8" t="s">
        <v>322</v>
      </c>
      <c r="T174" s="8"/>
      <c r="U174" s="8"/>
      <c r="V174" s="8" t="s">
        <v>155</v>
      </c>
      <c r="W174" s="8"/>
      <c r="X174" s="8" t="s">
        <v>323</v>
      </c>
      <c r="Y174" s="8" t="s">
        <v>161</v>
      </c>
      <c r="Z174" s="8"/>
    </row>
    <row r="175" customFormat="false" ht="15" hidden="false" customHeight="false" outlineLevel="0" collapsed="false">
      <c r="A175" s="8" t="s">
        <v>321</v>
      </c>
      <c r="B175" s="8" t="s">
        <v>13</v>
      </c>
      <c r="C175" s="8" t="s">
        <v>14</v>
      </c>
      <c r="D175" s="8" t="s">
        <v>91</v>
      </c>
      <c r="E175" s="8" t="s">
        <v>36</v>
      </c>
      <c r="F175" s="8" t="s">
        <v>57</v>
      </c>
      <c r="G175" s="8" t="s">
        <v>32</v>
      </c>
      <c r="H175" s="8" t="s">
        <v>30</v>
      </c>
      <c r="I175" s="8" t="n">
        <f aca="false">IF(EXACT(G175,H175),1,0)</f>
        <v>0</v>
      </c>
      <c r="J175" s="8" t="n">
        <v>2</v>
      </c>
      <c r="K175" s="8" t="s">
        <v>92</v>
      </c>
      <c r="L175" s="8" t="n">
        <v>0</v>
      </c>
      <c r="M175" s="8" t="n">
        <v>1</v>
      </c>
      <c r="N175" s="8" t="s">
        <v>93</v>
      </c>
      <c r="O175" s="8" t="n">
        <v>1</v>
      </c>
      <c r="P175" s="10" t="n">
        <v>4.35</v>
      </c>
      <c r="Q175" s="8"/>
      <c r="R175" s="8"/>
      <c r="S175" s="8" t="s">
        <v>322</v>
      </c>
      <c r="T175" s="8"/>
      <c r="U175" s="8"/>
      <c r="V175" s="8" t="s">
        <v>155</v>
      </c>
      <c r="W175" s="8"/>
      <c r="X175" s="8" t="s">
        <v>323</v>
      </c>
      <c r="Y175" s="8" t="s">
        <v>161</v>
      </c>
      <c r="Z175" s="8"/>
    </row>
    <row r="176" customFormat="false" ht="15" hidden="false" customHeight="false" outlineLevel="0" collapsed="false">
      <c r="A176" s="8" t="s">
        <v>324</v>
      </c>
      <c r="B176" s="8" t="s">
        <v>13</v>
      </c>
      <c r="C176" s="8" t="s">
        <v>14</v>
      </c>
      <c r="D176" s="8" t="s">
        <v>91</v>
      </c>
      <c r="E176" s="8" t="s">
        <v>36</v>
      </c>
      <c r="F176" s="8" t="s">
        <v>57</v>
      </c>
      <c r="G176" s="8" t="s">
        <v>30</v>
      </c>
      <c r="H176" s="8" t="s">
        <v>30</v>
      </c>
      <c r="I176" s="8" t="n">
        <f aca="false">IF(EXACT(G176,H176),1,0)</f>
        <v>1</v>
      </c>
      <c r="J176" s="8" t="n">
        <v>0</v>
      </c>
      <c r="K176" s="8" t="s">
        <v>92</v>
      </c>
      <c r="L176" s="8" t="n">
        <v>0</v>
      </c>
      <c r="M176" s="8" t="n">
        <v>1</v>
      </c>
      <c r="N176" s="8" t="s">
        <v>93</v>
      </c>
      <c r="O176" s="8" t="n">
        <v>1</v>
      </c>
      <c r="P176" s="10" t="n">
        <v>3.6</v>
      </c>
      <c r="Q176" s="8"/>
      <c r="R176" s="8"/>
      <c r="S176" s="8" t="s">
        <v>325</v>
      </c>
      <c r="T176" s="8"/>
      <c r="U176" s="8"/>
      <c r="V176" s="8" t="s">
        <v>155</v>
      </c>
      <c r="W176" s="8"/>
      <c r="X176" s="8" t="s">
        <v>326</v>
      </c>
      <c r="Y176" s="8" t="s">
        <v>161</v>
      </c>
      <c r="Z176" s="8"/>
    </row>
    <row r="177" customFormat="false" ht="15" hidden="false" customHeight="false" outlineLevel="0" collapsed="false">
      <c r="A177" s="8" t="s">
        <v>324</v>
      </c>
      <c r="B177" s="8" t="s">
        <v>13</v>
      </c>
      <c r="C177" s="8" t="s">
        <v>14</v>
      </c>
      <c r="D177" s="8" t="s">
        <v>91</v>
      </c>
      <c r="E177" s="8" t="s">
        <v>36</v>
      </c>
      <c r="F177" s="8" t="s">
        <v>57</v>
      </c>
      <c r="G177" s="8" t="s">
        <v>30</v>
      </c>
      <c r="H177" s="8" t="s">
        <v>30</v>
      </c>
      <c r="I177" s="8" t="n">
        <f aca="false">IF(EXACT(G177,H177),1,0)</f>
        <v>1</v>
      </c>
      <c r="J177" s="8" t="n">
        <v>1</v>
      </c>
      <c r="K177" s="8" t="s">
        <v>92</v>
      </c>
      <c r="L177" s="8" t="n">
        <v>0</v>
      </c>
      <c r="M177" s="8" t="n">
        <v>1</v>
      </c>
      <c r="N177" s="8" t="s">
        <v>93</v>
      </c>
      <c r="O177" s="8" t="n">
        <v>1</v>
      </c>
      <c r="P177" s="10" t="n">
        <v>3.54</v>
      </c>
      <c r="Q177" s="8"/>
      <c r="R177" s="8"/>
      <c r="S177" s="8" t="s">
        <v>325</v>
      </c>
      <c r="T177" s="8"/>
      <c r="U177" s="8"/>
      <c r="V177" s="8" t="s">
        <v>155</v>
      </c>
      <c r="W177" s="8"/>
      <c r="X177" s="8" t="s">
        <v>326</v>
      </c>
      <c r="Y177" s="8" t="s">
        <v>161</v>
      </c>
      <c r="Z177" s="8"/>
    </row>
    <row r="178" customFormat="false" ht="15" hidden="false" customHeight="false" outlineLevel="0" collapsed="false">
      <c r="A178" s="8" t="s">
        <v>324</v>
      </c>
      <c r="B178" s="8" t="s">
        <v>13</v>
      </c>
      <c r="C178" s="8" t="s">
        <v>14</v>
      </c>
      <c r="D178" s="8" t="s">
        <v>91</v>
      </c>
      <c r="E178" s="8" t="s">
        <v>36</v>
      </c>
      <c r="F178" s="8" t="s">
        <v>57</v>
      </c>
      <c r="G178" s="8" t="s">
        <v>30</v>
      </c>
      <c r="H178" s="8" t="s">
        <v>30</v>
      </c>
      <c r="I178" s="8" t="n">
        <f aca="false">IF(EXACT(G178,H178),1,0)</f>
        <v>1</v>
      </c>
      <c r="J178" s="8" t="n">
        <v>2</v>
      </c>
      <c r="K178" s="8" t="s">
        <v>92</v>
      </c>
      <c r="L178" s="8" t="n">
        <v>0</v>
      </c>
      <c r="M178" s="8" t="n">
        <v>1</v>
      </c>
      <c r="N178" s="8" t="s">
        <v>93</v>
      </c>
      <c r="O178" s="8" t="n">
        <v>1</v>
      </c>
      <c r="P178" s="10" t="n">
        <v>3.61</v>
      </c>
      <c r="Q178" s="8"/>
      <c r="R178" s="8"/>
      <c r="S178" s="8" t="s">
        <v>325</v>
      </c>
      <c r="T178" s="8"/>
      <c r="U178" s="8"/>
      <c r="V178" s="8" t="s">
        <v>155</v>
      </c>
      <c r="W178" s="8"/>
      <c r="X178" s="8" t="s">
        <v>326</v>
      </c>
      <c r="Y178" s="8" t="s">
        <v>161</v>
      </c>
      <c r="Z178" s="8"/>
    </row>
    <row r="179" customFormat="false" ht="15" hidden="false" customHeight="false" outlineLevel="0" collapsed="false">
      <c r="A179" s="8" t="s">
        <v>327</v>
      </c>
      <c r="B179" s="8" t="s">
        <v>13</v>
      </c>
      <c r="C179" s="8" t="s">
        <v>14</v>
      </c>
      <c r="D179" s="8" t="s">
        <v>91</v>
      </c>
      <c r="E179" s="8" t="s">
        <v>36</v>
      </c>
      <c r="F179" s="8" t="s">
        <v>57</v>
      </c>
      <c r="G179" s="8" t="s">
        <v>30</v>
      </c>
      <c r="H179" s="8" t="s">
        <v>30</v>
      </c>
      <c r="I179" s="8" t="n">
        <f aca="false">IF(EXACT(G179,H179),1,0)</f>
        <v>1</v>
      </c>
      <c r="J179" s="8" t="n">
        <v>0</v>
      </c>
      <c r="K179" s="8" t="s">
        <v>92</v>
      </c>
      <c r="L179" s="8" t="n">
        <v>0</v>
      </c>
      <c r="M179" s="8" t="n">
        <v>1</v>
      </c>
      <c r="N179" s="8" t="s">
        <v>93</v>
      </c>
      <c r="O179" s="8" t="n">
        <v>1</v>
      </c>
      <c r="P179" s="10" t="n">
        <v>4.22</v>
      </c>
      <c r="Q179" s="8"/>
      <c r="R179" s="8"/>
      <c r="S179" s="8" t="s">
        <v>328</v>
      </c>
      <c r="T179" s="8"/>
      <c r="U179" s="8"/>
      <c r="V179" s="8" t="s">
        <v>155</v>
      </c>
      <c r="W179" s="8"/>
      <c r="X179" s="8" t="s">
        <v>329</v>
      </c>
      <c r="Y179" s="8" t="s">
        <v>161</v>
      </c>
      <c r="Z179" s="8"/>
    </row>
    <row r="180" customFormat="false" ht="15" hidden="false" customHeight="false" outlineLevel="0" collapsed="false">
      <c r="A180" s="8" t="s">
        <v>327</v>
      </c>
      <c r="B180" s="8" t="s">
        <v>13</v>
      </c>
      <c r="C180" s="8" t="s">
        <v>14</v>
      </c>
      <c r="D180" s="8" t="s">
        <v>91</v>
      </c>
      <c r="E180" s="8" t="s">
        <v>36</v>
      </c>
      <c r="F180" s="8" t="s">
        <v>57</v>
      </c>
      <c r="G180" s="8" t="s">
        <v>30</v>
      </c>
      <c r="H180" s="8" t="s">
        <v>30</v>
      </c>
      <c r="I180" s="8" t="n">
        <f aca="false">IF(EXACT(G180,H180),1,0)</f>
        <v>1</v>
      </c>
      <c r="J180" s="8" t="n">
        <v>1</v>
      </c>
      <c r="K180" s="8" t="s">
        <v>92</v>
      </c>
      <c r="L180" s="8" t="n">
        <v>0</v>
      </c>
      <c r="M180" s="8" t="n">
        <v>1</v>
      </c>
      <c r="N180" s="8" t="s">
        <v>93</v>
      </c>
      <c r="O180" s="8" t="n">
        <v>1</v>
      </c>
      <c r="P180" s="10" t="n">
        <v>4.18</v>
      </c>
      <c r="Q180" s="8"/>
      <c r="R180" s="8"/>
      <c r="S180" s="8" t="s">
        <v>328</v>
      </c>
      <c r="T180" s="8"/>
      <c r="U180" s="8"/>
      <c r="V180" s="8" t="s">
        <v>155</v>
      </c>
      <c r="W180" s="8"/>
      <c r="X180" s="8" t="s">
        <v>329</v>
      </c>
      <c r="Y180" s="8" t="s">
        <v>161</v>
      </c>
      <c r="Z180" s="8"/>
    </row>
    <row r="181" customFormat="false" ht="15" hidden="false" customHeight="false" outlineLevel="0" collapsed="false">
      <c r="A181" s="8" t="s">
        <v>327</v>
      </c>
      <c r="B181" s="8" t="s">
        <v>13</v>
      </c>
      <c r="C181" s="8" t="s">
        <v>14</v>
      </c>
      <c r="D181" s="8" t="s">
        <v>91</v>
      </c>
      <c r="E181" s="8" t="s">
        <v>36</v>
      </c>
      <c r="F181" s="8" t="s">
        <v>57</v>
      </c>
      <c r="G181" s="8" t="s">
        <v>30</v>
      </c>
      <c r="H181" s="8" t="s">
        <v>30</v>
      </c>
      <c r="I181" s="8" t="n">
        <f aca="false">IF(EXACT(G181,H181),1,0)</f>
        <v>1</v>
      </c>
      <c r="J181" s="8" t="n">
        <v>2</v>
      </c>
      <c r="K181" s="8" t="s">
        <v>92</v>
      </c>
      <c r="L181" s="8" t="n">
        <v>0</v>
      </c>
      <c r="M181" s="8" t="n">
        <v>1</v>
      </c>
      <c r="N181" s="8" t="s">
        <v>93</v>
      </c>
      <c r="O181" s="8" t="n">
        <v>1</v>
      </c>
      <c r="P181" s="10" t="n">
        <v>4.38</v>
      </c>
      <c r="Q181" s="8"/>
      <c r="R181" s="8"/>
      <c r="S181" s="8" t="s">
        <v>328</v>
      </c>
      <c r="T181" s="8"/>
      <c r="U181" s="8"/>
      <c r="V181" s="8" t="s">
        <v>155</v>
      </c>
      <c r="W181" s="8"/>
      <c r="X181" s="8" t="s">
        <v>329</v>
      </c>
      <c r="Y181" s="8" t="s">
        <v>161</v>
      </c>
      <c r="Z181" s="8"/>
    </row>
    <row r="182" customFormat="false" ht="15" hidden="false" customHeight="false" outlineLevel="0" collapsed="false">
      <c r="A182" s="8" t="s">
        <v>330</v>
      </c>
      <c r="B182" s="8" t="s">
        <v>13</v>
      </c>
      <c r="C182" s="8" t="s">
        <v>14</v>
      </c>
      <c r="D182" s="8" t="s">
        <v>91</v>
      </c>
      <c r="E182" s="8" t="s">
        <v>37</v>
      </c>
      <c r="F182" s="8" t="s">
        <v>45</v>
      </c>
      <c r="G182" s="8" t="s">
        <v>31</v>
      </c>
      <c r="H182" s="8" t="s">
        <v>31</v>
      </c>
      <c r="I182" s="8" t="n">
        <f aca="false">IF(EXACT(G182,H182),1,0)</f>
        <v>1</v>
      </c>
      <c r="J182" s="8" t="n">
        <v>0</v>
      </c>
      <c r="K182" s="8" t="s">
        <v>140</v>
      </c>
      <c r="L182" s="8" t="n">
        <v>2</v>
      </c>
      <c r="M182" s="8" t="n">
        <v>1</v>
      </c>
      <c r="N182" s="8" t="s">
        <v>93</v>
      </c>
      <c r="O182" s="8" t="n">
        <v>1</v>
      </c>
      <c r="P182" s="10" t="n">
        <v>4.37</v>
      </c>
      <c r="Q182" s="8"/>
      <c r="R182" s="8"/>
      <c r="S182" s="8" t="s">
        <v>255</v>
      </c>
      <c r="T182" s="8" t="s">
        <v>331</v>
      </c>
      <c r="U182" s="8" t="s">
        <v>332</v>
      </c>
      <c r="V182" s="8"/>
      <c r="W182" s="8" t="s">
        <v>333</v>
      </c>
      <c r="X182" s="8" t="s">
        <v>334</v>
      </c>
      <c r="Y182" s="8" t="s">
        <v>143</v>
      </c>
      <c r="Z182" s="8" t="s">
        <v>335</v>
      </c>
    </row>
    <row r="183" customFormat="false" ht="15" hidden="false" customHeight="false" outlineLevel="0" collapsed="false">
      <c r="A183" s="8" t="s">
        <v>330</v>
      </c>
      <c r="B183" s="8" t="s">
        <v>13</v>
      </c>
      <c r="C183" s="8" t="s">
        <v>14</v>
      </c>
      <c r="D183" s="8" t="s">
        <v>91</v>
      </c>
      <c r="E183" s="8" t="s">
        <v>37</v>
      </c>
      <c r="F183" s="8" t="s">
        <v>45</v>
      </c>
      <c r="G183" s="8" t="s">
        <v>31</v>
      </c>
      <c r="H183" s="8" t="s">
        <v>31</v>
      </c>
      <c r="I183" s="8" t="n">
        <f aca="false">IF(EXACT(G183,H183),1,0)</f>
        <v>1</v>
      </c>
      <c r="J183" s="8" t="n">
        <v>1</v>
      </c>
      <c r="K183" s="8" t="s">
        <v>140</v>
      </c>
      <c r="L183" s="8" t="n">
        <v>2</v>
      </c>
      <c r="M183" s="8" t="n">
        <v>1</v>
      </c>
      <c r="N183" s="8" t="s">
        <v>93</v>
      </c>
      <c r="O183" s="8" t="n">
        <v>1</v>
      </c>
      <c r="P183" s="10" t="n">
        <v>4.29</v>
      </c>
      <c r="Q183" s="8"/>
      <c r="R183" s="8"/>
      <c r="S183" s="8" t="s">
        <v>255</v>
      </c>
      <c r="T183" s="8" t="s">
        <v>331</v>
      </c>
      <c r="U183" s="8" t="s">
        <v>332</v>
      </c>
      <c r="V183" s="8"/>
      <c r="W183" s="8" t="s">
        <v>333</v>
      </c>
      <c r="X183" s="8" t="s">
        <v>334</v>
      </c>
      <c r="Y183" s="8" t="s">
        <v>143</v>
      </c>
      <c r="Z183" s="8" t="s">
        <v>335</v>
      </c>
    </row>
    <row r="184" customFormat="false" ht="15" hidden="false" customHeight="false" outlineLevel="0" collapsed="false">
      <c r="A184" s="8" t="s">
        <v>330</v>
      </c>
      <c r="B184" s="8" t="s">
        <v>13</v>
      </c>
      <c r="C184" s="8" t="s">
        <v>14</v>
      </c>
      <c r="D184" s="8" t="s">
        <v>91</v>
      </c>
      <c r="E184" s="8" t="s">
        <v>37</v>
      </c>
      <c r="F184" s="8" t="s">
        <v>45</v>
      </c>
      <c r="G184" s="8" t="s">
        <v>31</v>
      </c>
      <c r="H184" s="8" t="s">
        <v>31</v>
      </c>
      <c r="I184" s="8" t="n">
        <f aca="false">IF(EXACT(G184,H184),1,0)</f>
        <v>1</v>
      </c>
      <c r="J184" s="8" t="n">
        <v>2</v>
      </c>
      <c r="K184" s="8" t="s">
        <v>140</v>
      </c>
      <c r="L184" s="8" t="n">
        <v>2</v>
      </c>
      <c r="M184" s="8" t="n">
        <v>1</v>
      </c>
      <c r="N184" s="8" t="s">
        <v>93</v>
      </c>
      <c r="O184" s="8" t="n">
        <v>1</v>
      </c>
      <c r="P184" s="10" t="n">
        <v>4.34</v>
      </c>
      <c r="Q184" s="8"/>
      <c r="R184" s="8"/>
      <c r="S184" s="8" t="s">
        <v>255</v>
      </c>
      <c r="T184" s="8" t="s">
        <v>331</v>
      </c>
      <c r="U184" s="8" t="s">
        <v>332</v>
      </c>
      <c r="V184" s="8"/>
      <c r="W184" s="8" t="s">
        <v>333</v>
      </c>
      <c r="X184" s="8" t="s">
        <v>334</v>
      </c>
      <c r="Y184" s="8" t="s">
        <v>143</v>
      </c>
      <c r="Z184" s="8" t="s">
        <v>335</v>
      </c>
    </row>
    <row r="185" customFormat="false" ht="15" hidden="false" customHeight="false" outlineLevel="0" collapsed="false">
      <c r="A185" s="8" t="s">
        <v>336</v>
      </c>
      <c r="B185" s="8" t="s">
        <v>13</v>
      </c>
      <c r="C185" s="8" t="s">
        <v>14</v>
      </c>
      <c r="D185" s="8" t="s">
        <v>91</v>
      </c>
      <c r="E185" s="8" t="s">
        <v>37</v>
      </c>
      <c r="F185" s="8" t="s">
        <v>45</v>
      </c>
      <c r="G185" s="8" t="s">
        <v>32</v>
      </c>
      <c r="H185" s="8" t="s">
        <v>30</v>
      </c>
      <c r="I185" s="8" t="n">
        <f aca="false">IF(EXACT(G185,H185),1,0)</f>
        <v>0</v>
      </c>
      <c r="J185" s="8" t="n">
        <v>0</v>
      </c>
      <c r="K185" s="8" t="s">
        <v>92</v>
      </c>
      <c r="L185" s="8" t="n">
        <v>0</v>
      </c>
      <c r="M185" s="8" t="n">
        <v>1</v>
      </c>
      <c r="N185" s="8" t="s">
        <v>93</v>
      </c>
      <c r="O185" s="8" t="n">
        <v>1</v>
      </c>
      <c r="P185" s="10" t="n">
        <v>3.86</v>
      </c>
      <c r="Q185" s="8"/>
      <c r="R185" s="8"/>
      <c r="S185" s="8" t="s">
        <v>94</v>
      </c>
      <c r="T185" s="8" t="s">
        <v>337</v>
      </c>
      <c r="U185" s="8" t="s">
        <v>338</v>
      </c>
      <c r="V185" s="8"/>
      <c r="W185" s="8" t="s">
        <v>339</v>
      </c>
      <c r="X185" s="8" t="s">
        <v>340</v>
      </c>
      <c r="Y185" s="8" t="s">
        <v>108</v>
      </c>
      <c r="Z185" s="8"/>
    </row>
    <row r="186" customFormat="false" ht="15" hidden="false" customHeight="false" outlineLevel="0" collapsed="false">
      <c r="A186" s="8" t="s">
        <v>336</v>
      </c>
      <c r="B186" s="8" t="s">
        <v>13</v>
      </c>
      <c r="C186" s="8" t="s">
        <v>14</v>
      </c>
      <c r="D186" s="8" t="s">
        <v>91</v>
      </c>
      <c r="E186" s="8" t="s">
        <v>37</v>
      </c>
      <c r="F186" s="8" t="s">
        <v>45</v>
      </c>
      <c r="G186" s="8" t="s">
        <v>32</v>
      </c>
      <c r="H186" s="8" t="s">
        <v>30</v>
      </c>
      <c r="I186" s="8" t="n">
        <f aca="false">IF(EXACT(G186,H186),1,0)</f>
        <v>0</v>
      </c>
      <c r="J186" s="8" t="n">
        <v>1</v>
      </c>
      <c r="K186" s="8" t="s">
        <v>92</v>
      </c>
      <c r="L186" s="8" t="n">
        <v>0</v>
      </c>
      <c r="M186" s="8" t="n">
        <v>1</v>
      </c>
      <c r="N186" s="8" t="s">
        <v>93</v>
      </c>
      <c r="O186" s="8" t="n">
        <v>1</v>
      </c>
      <c r="P186" s="10" t="n">
        <v>3.79</v>
      </c>
      <c r="Q186" s="8"/>
      <c r="R186" s="8"/>
      <c r="S186" s="8" t="s">
        <v>94</v>
      </c>
      <c r="T186" s="8" t="s">
        <v>337</v>
      </c>
      <c r="U186" s="8" t="s">
        <v>338</v>
      </c>
      <c r="V186" s="8"/>
      <c r="W186" s="8" t="s">
        <v>339</v>
      </c>
      <c r="X186" s="8" t="s">
        <v>340</v>
      </c>
      <c r="Y186" s="8" t="s">
        <v>108</v>
      </c>
      <c r="Z186" s="8"/>
    </row>
    <row r="187" customFormat="false" ht="15" hidden="false" customHeight="false" outlineLevel="0" collapsed="false">
      <c r="A187" s="8" t="s">
        <v>336</v>
      </c>
      <c r="B187" s="8" t="s">
        <v>13</v>
      </c>
      <c r="C187" s="8" t="s">
        <v>14</v>
      </c>
      <c r="D187" s="8" t="s">
        <v>91</v>
      </c>
      <c r="E187" s="8" t="s">
        <v>37</v>
      </c>
      <c r="F187" s="8" t="s">
        <v>45</v>
      </c>
      <c r="G187" s="8" t="s">
        <v>32</v>
      </c>
      <c r="H187" s="8" t="s">
        <v>30</v>
      </c>
      <c r="I187" s="8" t="n">
        <f aca="false">IF(EXACT(G187,H187),1,0)</f>
        <v>0</v>
      </c>
      <c r="J187" s="8" t="n">
        <v>2</v>
      </c>
      <c r="K187" s="8" t="s">
        <v>92</v>
      </c>
      <c r="L187" s="8" t="n">
        <v>0</v>
      </c>
      <c r="M187" s="8" t="n">
        <v>1</v>
      </c>
      <c r="N187" s="8" t="s">
        <v>93</v>
      </c>
      <c r="O187" s="8" t="n">
        <v>1</v>
      </c>
      <c r="P187" s="10" t="n">
        <v>3.84</v>
      </c>
      <c r="Q187" s="8"/>
      <c r="R187" s="8"/>
      <c r="S187" s="8" t="s">
        <v>94</v>
      </c>
      <c r="T187" s="8" t="s">
        <v>337</v>
      </c>
      <c r="U187" s="8" t="s">
        <v>338</v>
      </c>
      <c r="V187" s="8"/>
      <c r="W187" s="8" t="s">
        <v>339</v>
      </c>
      <c r="X187" s="8" t="s">
        <v>340</v>
      </c>
      <c r="Y187" s="8" t="s">
        <v>108</v>
      </c>
      <c r="Z187" s="8"/>
    </row>
    <row r="188" customFormat="false" ht="15" hidden="false" customHeight="false" outlineLevel="0" collapsed="false">
      <c r="A188" s="8" t="s">
        <v>341</v>
      </c>
      <c r="B188" s="8" t="s">
        <v>13</v>
      </c>
      <c r="C188" s="8" t="s">
        <v>14</v>
      </c>
      <c r="D188" s="8" t="s">
        <v>91</v>
      </c>
      <c r="E188" s="8" t="s">
        <v>37</v>
      </c>
      <c r="F188" s="8" t="s">
        <v>45</v>
      </c>
      <c r="G188" s="8" t="s">
        <v>32</v>
      </c>
      <c r="H188" s="8" t="s">
        <v>30</v>
      </c>
      <c r="I188" s="8" t="n">
        <f aca="false">IF(EXACT(G188,H188),1,0)</f>
        <v>0</v>
      </c>
      <c r="J188" s="8" t="n">
        <v>0</v>
      </c>
      <c r="K188" s="8" t="s">
        <v>92</v>
      </c>
      <c r="L188" s="8" t="n">
        <v>0</v>
      </c>
      <c r="M188" s="8" t="n">
        <v>1</v>
      </c>
      <c r="N188" s="8" t="s">
        <v>93</v>
      </c>
      <c r="O188" s="8" t="n">
        <v>1</v>
      </c>
      <c r="P188" s="10" t="n">
        <v>3.83</v>
      </c>
      <c r="Q188" s="8"/>
      <c r="R188" s="8"/>
      <c r="S188" s="8" t="s">
        <v>125</v>
      </c>
      <c r="T188" s="8" t="s">
        <v>342</v>
      </c>
      <c r="U188" s="8" t="s">
        <v>343</v>
      </c>
      <c r="V188" s="8"/>
      <c r="W188" s="8" t="s">
        <v>344</v>
      </c>
      <c r="X188" s="8" t="s">
        <v>345</v>
      </c>
      <c r="Y188" s="8" t="s">
        <v>108</v>
      </c>
      <c r="Z188" s="8"/>
    </row>
    <row r="189" customFormat="false" ht="15" hidden="false" customHeight="false" outlineLevel="0" collapsed="false">
      <c r="A189" s="8" t="s">
        <v>341</v>
      </c>
      <c r="B189" s="8" t="s">
        <v>13</v>
      </c>
      <c r="C189" s="8" t="s">
        <v>14</v>
      </c>
      <c r="D189" s="8" t="s">
        <v>91</v>
      </c>
      <c r="E189" s="8" t="s">
        <v>37</v>
      </c>
      <c r="F189" s="8" t="s">
        <v>45</v>
      </c>
      <c r="G189" s="8" t="s">
        <v>32</v>
      </c>
      <c r="H189" s="8" t="s">
        <v>30</v>
      </c>
      <c r="I189" s="8" t="n">
        <f aca="false">IF(EXACT(G189,H189),1,0)</f>
        <v>0</v>
      </c>
      <c r="J189" s="8" t="n">
        <v>1</v>
      </c>
      <c r="K189" s="8" t="s">
        <v>92</v>
      </c>
      <c r="L189" s="8" t="n">
        <v>0</v>
      </c>
      <c r="M189" s="8" t="n">
        <v>1</v>
      </c>
      <c r="N189" s="8" t="s">
        <v>93</v>
      </c>
      <c r="O189" s="8" t="n">
        <v>1</v>
      </c>
      <c r="P189" s="10" t="n">
        <v>3.8</v>
      </c>
      <c r="Q189" s="8"/>
      <c r="R189" s="8"/>
      <c r="S189" s="8" t="s">
        <v>125</v>
      </c>
      <c r="T189" s="8" t="s">
        <v>342</v>
      </c>
      <c r="U189" s="8" t="s">
        <v>343</v>
      </c>
      <c r="V189" s="8"/>
      <c r="W189" s="8" t="s">
        <v>344</v>
      </c>
      <c r="X189" s="8" t="s">
        <v>345</v>
      </c>
      <c r="Y189" s="8" t="s">
        <v>108</v>
      </c>
      <c r="Z189" s="8"/>
    </row>
    <row r="190" customFormat="false" ht="15" hidden="false" customHeight="false" outlineLevel="0" collapsed="false">
      <c r="A190" s="8" t="s">
        <v>341</v>
      </c>
      <c r="B190" s="8" t="s">
        <v>13</v>
      </c>
      <c r="C190" s="8" t="s">
        <v>14</v>
      </c>
      <c r="D190" s="8" t="s">
        <v>91</v>
      </c>
      <c r="E190" s="8" t="s">
        <v>37</v>
      </c>
      <c r="F190" s="8" t="s">
        <v>45</v>
      </c>
      <c r="G190" s="8" t="s">
        <v>32</v>
      </c>
      <c r="H190" s="8" t="s">
        <v>30</v>
      </c>
      <c r="I190" s="8" t="n">
        <f aca="false">IF(EXACT(G190,H190),1,0)</f>
        <v>0</v>
      </c>
      <c r="J190" s="8" t="n">
        <v>2</v>
      </c>
      <c r="K190" s="8" t="s">
        <v>92</v>
      </c>
      <c r="L190" s="8" t="n">
        <v>0</v>
      </c>
      <c r="M190" s="8" t="n">
        <v>1</v>
      </c>
      <c r="N190" s="8" t="s">
        <v>93</v>
      </c>
      <c r="O190" s="8" t="n">
        <v>1</v>
      </c>
      <c r="P190" s="10" t="n">
        <v>3.87</v>
      </c>
      <c r="Q190" s="8"/>
      <c r="R190" s="8"/>
      <c r="S190" s="8" t="s">
        <v>125</v>
      </c>
      <c r="T190" s="8" t="s">
        <v>342</v>
      </c>
      <c r="U190" s="8" t="s">
        <v>343</v>
      </c>
      <c r="V190" s="8"/>
      <c r="W190" s="8" t="s">
        <v>344</v>
      </c>
      <c r="X190" s="8" t="s">
        <v>345</v>
      </c>
      <c r="Y190" s="8" t="s">
        <v>108</v>
      </c>
      <c r="Z190" s="8"/>
    </row>
    <row r="191" customFormat="false" ht="15" hidden="false" customHeight="false" outlineLevel="0" collapsed="false">
      <c r="A191" s="8" t="s">
        <v>346</v>
      </c>
      <c r="B191" s="8" t="s">
        <v>13</v>
      </c>
      <c r="C191" s="8" t="s">
        <v>14</v>
      </c>
      <c r="D191" s="8" t="s">
        <v>91</v>
      </c>
      <c r="E191" s="8" t="s">
        <v>37</v>
      </c>
      <c r="F191" s="8" t="s">
        <v>45</v>
      </c>
      <c r="G191" s="8" t="s">
        <v>31</v>
      </c>
      <c r="H191" s="8" t="s">
        <v>31</v>
      </c>
      <c r="I191" s="8" t="n">
        <f aca="false">IF(EXACT(G191,H191),1,0)</f>
        <v>1</v>
      </c>
      <c r="J191" s="8" t="n">
        <v>0</v>
      </c>
      <c r="K191" s="8" t="s">
        <v>140</v>
      </c>
      <c r="L191" s="8" t="n">
        <v>1</v>
      </c>
      <c r="M191" s="8" t="n">
        <v>1</v>
      </c>
      <c r="N191" s="8" t="s">
        <v>93</v>
      </c>
      <c r="O191" s="8" t="n">
        <v>1</v>
      </c>
      <c r="P191" s="10" t="n">
        <v>4.29</v>
      </c>
      <c r="Q191" s="8"/>
      <c r="R191" s="8"/>
      <c r="S191" s="8" t="s">
        <v>347</v>
      </c>
      <c r="T191" s="8" t="s">
        <v>331</v>
      </c>
      <c r="U191" s="8" t="s">
        <v>332</v>
      </c>
      <c r="V191" s="8"/>
      <c r="W191" s="8" t="s">
        <v>348</v>
      </c>
      <c r="X191" s="8" t="s">
        <v>349</v>
      </c>
      <c r="Y191" s="8" t="s">
        <v>130</v>
      </c>
      <c r="Z191" s="8" t="s">
        <v>350</v>
      </c>
    </row>
    <row r="192" customFormat="false" ht="15" hidden="false" customHeight="false" outlineLevel="0" collapsed="false">
      <c r="A192" s="8" t="s">
        <v>346</v>
      </c>
      <c r="B192" s="8" t="s">
        <v>13</v>
      </c>
      <c r="C192" s="8" t="s">
        <v>14</v>
      </c>
      <c r="D192" s="8" t="s">
        <v>91</v>
      </c>
      <c r="E192" s="8" t="s">
        <v>37</v>
      </c>
      <c r="F192" s="8" t="s">
        <v>45</v>
      </c>
      <c r="G192" s="8" t="s">
        <v>31</v>
      </c>
      <c r="H192" s="8" t="s">
        <v>31</v>
      </c>
      <c r="I192" s="8" t="n">
        <f aca="false">IF(EXACT(G192,H192),1,0)</f>
        <v>1</v>
      </c>
      <c r="J192" s="8" t="n">
        <v>1</v>
      </c>
      <c r="K192" s="8" t="s">
        <v>140</v>
      </c>
      <c r="L192" s="8" t="n">
        <v>1</v>
      </c>
      <c r="M192" s="8" t="n">
        <v>1</v>
      </c>
      <c r="N192" s="8" t="s">
        <v>93</v>
      </c>
      <c r="O192" s="8" t="n">
        <v>1</v>
      </c>
      <c r="P192" s="10" t="n">
        <v>4.28</v>
      </c>
      <c r="Q192" s="8"/>
      <c r="R192" s="8"/>
      <c r="S192" s="8" t="s">
        <v>347</v>
      </c>
      <c r="T192" s="8" t="s">
        <v>331</v>
      </c>
      <c r="U192" s="8" t="s">
        <v>332</v>
      </c>
      <c r="V192" s="8"/>
      <c r="W192" s="8" t="s">
        <v>348</v>
      </c>
      <c r="X192" s="8" t="s">
        <v>349</v>
      </c>
      <c r="Y192" s="8" t="s">
        <v>130</v>
      </c>
      <c r="Z192" s="8" t="s">
        <v>350</v>
      </c>
    </row>
    <row r="193" customFormat="false" ht="15" hidden="false" customHeight="false" outlineLevel="0" collapsed="false">
      <c r="A193" s="8" t="s">
        <v>346</v>
      </c>
      <c r="B193" s="8" t="s">
        <v>13</v>
      </c>
      <c r="C193" s="8" t="s">
        <v>14</v>
      </c>
      <c r="D193" s="8" t="s">
        <v>91</v>
      </c>
      <c r="E193" s="8" t="s">
        <v>37</v>
      </c>
      <c r="F193" s="8" t="s">
        <v>45</v>
      </c>
      <c r="G193" s="8" t="s">
        <v>31</v>
      </c>
      <c r="H193" s="8" t="s">
        <v>31</v>
      </c>
      <c r="I193" s="8" t="n">
        <f aca="false">IF(EXACT(G193,H193),1,0)</f>
        <v>1</v>
      </c>
      <c r="J193" s="8" t="n">
        <v>2</v>
      </c>
      <c r="K193" s="8" t="s">
        <v>140</v>
      </c>
      <c r="L193" s="8" t="n">
        <v>1</v>
      </c>
      <c r="M193" s="8" t="n">
        <v>1</v>
      </c>
      <c r="N193" s="8" t="s">
        <v>93</v>
      </c>
      <c r="O193" s="8" t="n">
        <v>1</v>
      </c>
      <c r="P193" s="10" t="n">
        <v>4.34</v>
      </c>
      <c r="Q193" s="8"/>
      <c r="R193" s="8"/>
      <c r="S193" s="8" t="s">
        <v>347</v>
      </c>
      <c r="T193" s="8" t="s">
        <v>331</v>
      </c>
      <c r="U193" s="8" t="s">
        <v>332</v>
      </c>
      <c r="V193" s="8"/>
      <c r="W193" s="8" t="s">
        <v>348</v>
      </c>
      <c r="X193" s="8" t="s">
        <v>349</v>
      </c>
      <c r="Y193" s="8" t="s">
        <v>130</v>
      </c>
      <c r="Z193" s="8" t="s">
        <v>350</v>
      </c>
    </row>
    <row r="194" customFormat="false" ht="15" hidden="false" customHeight="false" outlineLevel="0" collapsed="false">
      <c r="A194" s="8" t="s">
        <v>351</v>
      </c>
      <c r="B194" s="8" t="s">
        <v>13</v>
      </c>
      <c r="C194" s="8" t="s">
        <v>14</v>
      </c>
      <c r="D194" s="8" t="s">
        <v>91</v>
      </c>
      <c r="E194" s="8" t="s">
        <v>37</v>
      </c>
      <c r="F194" s="8" t="s">
        <v>45</v>
      </c>
      <c r="G194" s="8" t="s">
        <v>30</v>
      </c>
      <c r="H194" s="8" t="s">
        <v>30</v>
      </c>
      <c r="I194" s="8" t="n">
        <f aca="false">IF(EXACT(G194,H194),1,0)</f>
        <v>1</v>
      </c>
      <c r="J194" s="8" t="n">
        <v>0</v>
      </c>
      <c r="K194" s="8" t="s">
        <v>92</v>
      </c>
      <c r="L194" s="8" t="n">
        <v>0</v>
      </c>
      <c r="M194" s="8" t="n">
        <v>1</v>
      </c>
      <c r="N194" s="8" t="s">
        <v>93</v>
      </c>
      <c r="O194" s="8" t="n">
        <v>1</v>
      </c>
      <c r="P194" s="10" t="n">
        <v>4.39</v>
      </c>
      <c r="Q194" s="8"/>
      <c r="R194" s="8"/>
      <c r="S194" s="8" t="s">
        <v>110</v>
      </c>
      <c r="T194" s="8" t="s">
        <v>337</v>
      </c>
      <c r="U194" s="8" t="s">
        <v>338</v>
      </c>
      <c r="V194" s="8"/>
      <c r="W194" s="8" t="s">
        <v>352</v>
      </c>
      <c r="X194" s="8" t="s">
        <v>353</v>
      </c>
      <c r="Y194" s="8" t="s">
        <v>108</v>
      </c>
      <c r="Z194" s="8"/>
    </row>
    <row r="195" customFormat="false" ht="15" hidden="false" customHeight="false" outlineLevel="0" collapsed="false">
      <c r="A195" s="8" t="s">
        <v>351</v>
      </c>
      <c r="B195" s="8" t="s">
        <v>13</v>
      </c>
      <c r="C195" s="8" t="s">
        <v>14</v>
      </c>
      <c r="D195" s="8" t="s">
        <v>91</v>
      </c>
      <c r="E195" s="8" t="s">
        <v>37</v>
      </c>
      <c r="F195" s="8" t="s">
        <v>45</v>
      </c>
      <c r="G195" s="8" t="s">
        <v>30</v>
      </c>
      <c r="H195" s="8" t="s">
        <v>30</v>
      </c>
      <c r="I195" s="8" t="n">
        <f aca="false">IF(EXACT(G195,H195),1,0)</f>
        <v>1</v>
      </c>
      <c r="J195" s="8" t="n">
        <v>1</v>
      </c>
      <c r="K195" s="8" t="s">
        <v>92</v>
      </c>
      <c r="L195" s="8" t="n">
        <v>0</v>
      </c>
      <c r="M195" s="8" t="n">
        <v>1</v>
      </c>
      <c r="N195" s="8" t="s">
        <v>93</v>
      </c>
      <c r="O195" s="8" t="n">
        <v>1</v>
      </c>
      <c r="P195" s="10" t="n">
        <v>4.34</v>
      </c>
      <c r="Q195" s="8"/>
      <c r="R195" s="8"/>
      <c r="S195" s="8" t="s">
        <v>110</v>
      </c>
      <c r="T195" s="8" t="s">
        <v>337</v>
      </c>
      <c r="U195" s="8" t="s">
        <v>338</v>
      </c>
      <c r="V195" s="8"/>
      <c r="W195" s="8" t="s">
        <v>352</v>
      </c>
      <c r="X195" s="8" t="s">
        <v>353</v>
      </c>
      <c r="Y195" s="8" t="s">
        <v>108</v>
      </c>
      <c r="Z195" s="8"/>
    </row>
    <row r="196" customFormat="false" ht="15" hidden="false" customHeight="false" outlineLevel="0" collapsed="false">
      <c r="A196" s="8" t="s">
        <v>351</v>
      </c>
      <c r="B196" s="8" t="s">
        <v>13</v>
      </c>
      <c r="C196" s="8" t="s">
        <v>14</v>
      </c>
      <c r="D196" s="8" t="s">
        <v>91</v>
      </c>
      <c r="E196" s="8" t="s">
        <v>37</v>
      </c>
      <c r="F196" s="8" t="s">
        <v>45</v>
      </c>
      <c r="G196" s="8" t="s">
        <v>30</v>
      </c>
      <c r="H196" s="8" t="s">
        <v>30</v>
      </c>
      <c r="I196" s="8" t="n">
        <f aca="false">IF(EXACT(G196,H196),1,0)</f>
        <v>1</v>
      </c>
      <c r="J196" s="8" t="n">
        <v>2</v>
      </c>
      <c r="K196" s="8" t="s">
        <v>92</v>
      </c>
      <c r="L196" s="8" t="n">
        <v>0</v>
      </c>
      <c r="M196" s="8" t="n">
        <v>1</v>
      </c>
      <c r="N196" s="8" t="s">
        <v>93</v>
      </c>
      <c r="O196" s="8" t="n">
        <v>1</v>
      </c>
      <c r="P196" s="10" t="n">
        <v>4.33</v>
      </c>
      <c r="Q196" s="8"/>
      <c r="R196" s="8"/>
      <c r="S196" s="8" t="s">
        <v>110</v>
      </c>
      <c r="T196" s="8" t="s">
        <v>337</v>
      </c>
      <c r="U196" s="8" t="s">
        <v>338</v>
      </c>
      <c r="V196" s="8"/>
      <c r="W196" s="8" t="s">
        <v>352</v>
      </c>
      <c r="X196" s="8" t="s">
        <v>353</v>
      </c>
      <c r="Y196" s="8" t="s">
        <v>108</v>
      </c>
      <c r="Z196" s="8"/>
    </row>
    <row r="197" customFormat="false" ht="15" hidden="false" customHeight="false" outlineLevel="0" collapsed="false">
      <c r="A197" s="8" t="s">
        <v>354</v>
      </c>
      <c r="B197" s="8" t="s">
        <v>13</v>
      </c>
      <c r="C197" s="8" t="s">
        <v>14</v>
      </c>
      <c r="D197" s="8" t="s">
        <v>91</v>
      </c>
      <c r="E197" s="8" t="s">
        <v>37</v>
      </c>
      <c r="F197" s="8" t="s">
        <v>45</v>
      </c>
      <c r="G197" s="8" t="s">
        <v>30</v>
      </c>
      <c r="H197" s="8" t="s">
        <v>30</v>
      </c>
      <c r="I197" s="8" t="n">
        <f aca="false">IF(EXACT(G197,H197),1,0)</f>
        <v>1</v>
      </c>
      <c r="J197" s="8" t="n">
        <v>0</v>
      </c>
      <c r="K197" s="8" t="s">
        <v>92</v>
      </c>
      <c r="L197" s="8" t="n">
        <v>0</v>
      </c>
      <c r="M197" s="8" t="n">
        <v>1</v>
      </c>
      <c r="N197" s="8" t="s">
        <v>93</v>
      </c>
      <c r="O197" s="8" t="n">
        <v>1</v>
      </c>
      <c r="P197" s="10" t="n">
        <v>4.36</v>
      </c>
      <c r="Q197" s="8"/>
      <c r="R197" s="8"/>
      <c r="S197" s="8" t="s">
        <v>216</v>
      </c>
      <c r="T197" s="8" t="s">
        <v>355</v>
      </c>
      <c r="U197" s="8" t="s">
        <v>356</v>
      </c>
      <c r="V197" s="8"/>
      <c r="W197" s="8" t="s">
        <v>357</v>
      </c>
      <c r="X197" s="8" t="s">
        <v>358</v>
      </c>
      <c r="Y197" s="8" t="s">
        <v>99</v>
      </c>
      <c r="Z197" s="8"/>
    </row>
    <row r="198" customFormat="false" ht="15" hidden="false" customHeight="false" outlineLevel="0" collapsed="false">
      <c r="A198" s="8" t="s">
        <v>354</v>
      </c>
      <c r="B198" s="8" t="s">
        <v>13</v>
      </c>
      <c r="C198" s="8" t="s">
        <v>14</v>
      </c>
      <c r="D198" s="8" t="s">
        <v>91</v>
      </c>
      <c r="E198" s="8" t="s">
        <v>37</v>
      </c>
      <c r="F198" s="8" t="s">
        <v>45</v>
      </c>
      <c r="G198" s="8" t="s">
        <v>30</v>
      </c>
      <c r="H198" s="8" t="s">
        <v>30</v>
      </c>
      <c r="I198" s="8" t="n">
        <f aca="false">IF(EXACT(G198,H198),1,0)</f>
        <v>1</v>
      </c>
      <c r="J198" s="8" t="n">
        <v>1</v>
      </c>
      <c r="K198" s="8" t="s">
        <v>92</v>
      </c>
      <c r="L198" s="8" t="n">
        <v>0</v>
      </c>
      <c r="M198" s="8" t="n">
        <v>1</v>
      </c>
      <c r="N198" s="8" t="s">
        <v>93</v>
      </c>
      <c r="O198" s="8" t="n">
        <v>1</v>
      </c>
      <c r="P198" s="10" t="n">
        <v>4.23</v>
      </c>
      <c r="Q198" s="8"/>
      <c r="R198" s="8"/>
      <c r="S198" s="8" t="s">
        <v>216</v>
      </c>
      <c r="T198" s="8" t="s">
        <v>355</v>
      </c>
      <c r="U198" s="8" t="s">
        <v>356</v>
      </c>
      <c r="V198" s="8"/>
      <c r="W198" s="8" t="s">
        <v>357</v>
      </c>
      <c r="X198" s="8" t="s">
        <v>358</v>
      </c>
      <c r="Y198" s="8" t="s">
        <v>99</v>
      </c>
      <c r="Z198" s="8"/>
    </row>
    <row r="199" customFormat="false" ht="15" hidden="false" customHeight="false" outlineLevel="0" collapsed="false">
      <c r="A199" s="8" t="s">
        <v>354</v>
      </c>
      <c r="B199" s="8" t="s">
        <v>13</v>
      </c>
      <c r="C199" s="8" t="s">
        <v>14</v>
      </c>
      <c r="D199" s="8" t="s">
        <v>91</v>
      </c>
      <c r="E199" s="8" t="s">
        <v>37</v>
      </c>
      <c r="F199" s="8" t="s">
        <v>45</v>
      </c>
      <c r="G199" s="8" t="s">
        <v>30</v>
      </c>
      <c r="H199" s="8" t="s">
        <v>30</v>
      </c>
      <c r="I199" s="8" t="n">
        <f aca="false">IF(EXACT(G199,H199),1,0)</f>
        <v>1</v>
      </c>
      <c r="J199" s="8" t="n">
        <v>2</v>
      </c>
      <c r="K199" s="8" t="s">
        <v>92</v>
      </c>
      <c r="L199" s="8" t="n">
        <v>0</v>
      </c>
      <c r="M199" s="8" t="n">
        <v>1</v>
      </c>
      <c r="N199" s="8" t="s">
        <v>93</v>
      </c>
      <c r="O199" s="8" t="n">
        <v>1</v>
      </c>
      <c r="P199" s="10" t="n">
        <v>4.35</v>
      </c>
      <c r="Q199" s="8"/>
      <c r="R199" s="8"/>
      <c r="S199" s="8" t="s">
        <v>216</v>
      </c>
      <c r="T199" s="8" t="s">
        <v>355</v>
      </c>
      <c r="U199" s="8" t="s">
        <v>356</v>
      </c>
      <c r="V199" s="8"/>
      <c r="W199" s="8" t="s">
        <v>357</v>
      </c>
      <c r="X199" s="8" t="s">
        <v>358</v>
      </c>
      <c r="Y199" s="8" t="s">
        <v>99</v>
      </c>
      <c r="Z199" s="8"/>
    </row>
    <row r="200" customFormat="false" ht="15" hidden="false" customHeight="false" outlineLevel="0" collapsed="false">
      <c r="A200" s="8" t="s">
        <v>290</v>
      </c>
      <c r="B200" s="8" t="s">
        <v>13</v>
      </c>
      <c r="C200" s="8" t="s">
        <v>14</v>
      </c>
      <c r="D200" s="8" t="s">
        <v>91</v>
      </c>
      <c r="E200" s="8" t="s">
        <v>37</v>
      </c>
      <c r="F200" s="8" t="s">
        <v>51</v>
      </c>
      <c r="G200" s="8" t="s">
        <v>32</v>
      </c>
      <c r="H200" s="8" t="s">
        <v>30</v>
      </c>
      <c r="I200" s="8" t="n">
        <f aca="false">IF(EXACT(G200,H200),1,0)</f>
        <v>0</v>
      </c>
      <c r="J200" s="8" t="n">
        <v>0</v>
      </c>
      <c r="K200" s="8" t="s">
        <v>92</v>
      </c>
      <c r="L200" s="8" t="n">
        <v>0</v>
      </c>
      <c r="M200" s="8" t="n">
        <v>1</v>
      </c>
      <c r="N200" s="8" t="s">
        <v>93</v>
      </c>
      <c r="O200" s="8" t="n">
        <v>1</v>
      </c>
      <c r="P200" s="10" t="n">
        <v>4.36</v>
      </c>
      <c r="Q200" s="8"/>
      <c r="R200" s="8"/>
      <c r="S200" s="8" t="s">
        <v>101</v>
      </c>
      <c r="T200" s="8" t="s">
        <v>291</v>
      </c>
      <c r="U200" s="8" t="s">
        <v>292</v>
      </c>
      <c r="V200" s="8"/>
      <c r="W200" s="8" t="s">
        <v>293</v>
      </c>
      <c r="X200" s="8" t="s">
        <v>359</v>
      </c>
      <c r="Y200" s="8" t="s">
        <v>108</v>
      </c>
      <c r="Z200" s="8"/>
    </row>
    <row r="201" customFormat="false" ht="15" hidden="false" customHeight="false" outlineLevel="0" collapsed="false">
      <c r="A201" s="8" t="s">
        <v>290</v>
      </c>
      <c r="B201" s="8" t="s">
        <v>13</v>
      </c>
      <c r="C201" s="8" t="s">
        <v>14</v>
      </c>
      <c r="D201" s="8" t="s">
        <v>91</v>
      </c>
      <c r="E201" s="8" t="s">
        <v>37</v>
      </c>
      <c r="F201" s="8" t="s">
        <v>51</v>
      </c>
      <c r="G201" s="8" t="s">
        <v>32</v>
      </c>
      <c r="H201" s="8" t="s">
        <v>30</v>
      </c>
      <c r="I201" s="8" t="n">
        <f aca="false">IF(EXACT(G201,H201),1,0)</f>
        <v>0</v>
      </c>
      <c r="J201" s="8" t="n">
        <v>1</v>
      </c>
      <c r="K201" s="8" t="s">
        <v>92</v>
      </c>
      <c r="L201" s="8" t="n">
        <v>0</v>
      </c>
      <c r="M201" s="8" t="n">
        <v>1</v>
      </c>
      <c r="N201" s="8" t="s">
        <v>93</v>
      </c>
      <c r="O201" s="8" t="n">
        <v>1</v>
      </c>
      <c r="P201" s="10" t="n">
        <v>4.29</v>
      </c>
      <c r="Q201" s="8"/>
      <c r="R201" s="8"/>
      <c r="S201" s="8" t="s">
        <v>101</v>
      </c>
      <c r="T201" s="8" t="s">
        <v>291</v>
      </c>
      <c r="U201" s="8" t="s">
        <v>292</v>
      </c>
      <c r="V201" s="8"/>
      <c r="W201" s="8" t="s">
        <v>293</v>
      </c>
      <c r="X201" s="8" t="s">
        <v>359</v>
      </c>
      <c r="Y201" s="8" t="s">
        <v>108</v>
      </c>
      <c r="Z201" s="8"/>
    </row>
    <row r="202" customFormat="false" ht="15" hidden="false" customHeight="false" outlineLevel="0" collapsed="false">
      <c r="A202" s="8" t="s">
        <v>290</v>
      </c>
      <c r="B202" s="8" t="s">
        <v>13</v>
      </c>
      <c r="C202" s="8" t="s">
        <v>14</v>
      </c>
      <c r="D202" s="8" t="s">
        <v>91</v>
      </c>
      <c r="E202" s="8" t="s">
        <v>37</v>
      </c>
      <c r="F202" s="8" t="s">
        <v>51</v>
      </c>
      <c r="G202" s="8" t="s">
        <v>32</v>
      </c>
      <c r="H202" s="8" t="s">
        <v>30</v>
      </c>
      <c r="I202" s="8" t="n">
        <f aca="false">IF(EXACT(G202,H202),1,0)</f>
        <v>0</v>
      </c>
      <c r="J202" s="8" t="n">
        <v>2</v>
      </c>
      <c r="K202" s="8" t="s">
        <v>92</v>
      </c>
      <c r="L202" s="8" t="n">
        <v>0</v>
      </c>
      <c r="M202" s="8" t="n">
        <v>1</v>
      </c>
      <c r="N202" s="8" t="s">
        <v>93</v>
      </c>
      <c r="O202" s="8" t="n">
        <v>1</v>
      </c>
      <c r="P202" s="10" t="n">
        <v>4.31</v>
      </c>
      <c r="Q202" s="8"/>
      <c r="R202" s="8"/>
      <c r="S202" s="8" t="s">
        <v>101</v>
      </c>
      <c r="T202" s="8" t="s">
        <v>291</v>
      </c>
      <c r="U202" s="8" t="s">
        <v>292</v>
      </c>
      <c r="V202" s="8"/>
      <c r="W202" s="8" t="s">
        <v>293</v>
      </c>
      <c r="X202" s="8" t="s">
        <v>359</v>
      </c>
      <c r="Y202" s="8" t="s">
        <v>108</v>
      </c>
      <c r="Z202" s="8"/>
    </row>
    <row r="203" customFormat="false" ht="15" hidden="false" customHeight="false" outlineLevel="0" collapsed="false">
      <c r="A203" s="8" t="s">
        <v>295</v>
      </c>
      <c r="B203" s="8" t="s">
        <v>13</v>
      </c>
      <c r="C203" s="8" t="s">
        <v>14</v>
      </c>
      <c r="D203" s="8" t="s">
        <v>91</v>
      </c>
      <c r="E203" s="8" t="s">
        <v>37</v>
      </c>
      <c r="F203" s="8" t="s">
        <v>51</v>
      </c>
      <c r="G203" s="8" t="s">
        <v>30</v>
      </c>
      <c r="H203" s="8" t="s">
        <v>30</v>
      </c>
      <c r="I203" s="8" t="n">
        <f aca="false">IF(EXACT(G203,H203),1,0)</f>
        <v>1</v>
      </c>
      <c r="J203" s="8" t="n">
        <v>0</v>
      </c>
      <c r="K203" s="8" t="s">
        <v>92</v>
      </c>
      <c r="L203" s="8" t="n">
        <v>0</v>
      </c>
      <c r="M203" s="8" t="n">
        <v>1</v>
      </c>
      <c r="N203" s="8" t="s">
        <v>93</v>
      </c>
      <c r="O203" s="8" t="n">
        <v>1</v>
      </c>
      <c r="P203" s="10" t="n">
        <v>5.09</v>
      </c>
      <c r="Q203" s="8"/>
      <c r="R203" s="8"/>
      <c r="S203" s="8" t="s">
        <v>110</v>
      </c>
      <c r="T203" s="8" t="s">
        <v>291</v>
      </c>
      <c r="U203" s="8" t="s">
        <v>292</v>
      </c>
      <c r="V203" s="8"/>
      <c r="W203" s="8" t="s">
        <v>296</v>
      </c>
      <c r="X203" s="8" t="s">
        <v>360</v>
      </c>
      <c r="Y203" s="8" t="s">
        <v>190</v>
      </c>
      <c r="Z203" s="8"/>
    </row>
    <row r="204" customFormat="false" ht="15" hidden="false" customHeight="false" outlineLevel="0" collapsed="false">
      <c r="A204" s="8" t="s">
        <v>295</v>
      </c>
      <c r="B204" s="8" t="s">
        <v>13</v>
      </c>
      <c r="C204" s="8" t="s">
        <v>14</v>
      </c>
      <c r="D204" s="8" t="s">
        <v>91</v>
      </c>
      <c r="E204" s="8" t="s">
        <v>37</v>
      </c>
      <c r="F204" s="8" t="s">
        <v>51</v>
      </c>
      <c r="G204" s="8" t="s">
        <v>30</v>
      </c>
      <c r="H204" s="8" t="s">
        <v>30</v>
      </c>
      <c r="I204" s="8" t="n">
        <f aca="false">IF(EXACT(G204,H204),1,0)</f>
        <v>1</v>
      </c>
      <c r="J204" s="8" t="n">
        <v>1</v>
      </c>
      <c r="K204" s="8" t="s">
        <v>92</v>
      </c>
      <c r="L204" s="8" t="n">
        <v>0</v>
      </c>
      <c r="M204" s="8" t="n">
        <v>1</v>
      </c>
      <c r="N204" s="8" t="s">
        <v>93</v>
      </c>
      <c r="O204" s="8" t="n">
        <v>1</v>
      </c>
      <c r="P204" s="10" t="n">
        <v>4.29</v>
      </c>
      <c r="Q204" s="8"/>
      <c r="R204" s="8"/>
      <c r="S204" s="8" t="s">
        <v>110</v>
      </c>
      <c r="T204" s="8" t="s">
        <v>291</v>
      </c>
      <c r="U204" s="8" t="s">
        <v>292</v>
      </c>
      <c r="V204" s="8"/>
      <c r="W204" s="8" t="s">
        <v>296</v>
      </c>
      <c r="X204" s="8" t="s">
        <v>360</v>
      </c>
      <c r="Y204" s="8" t="s">
        <v>190</v>
      </c>
      <c r="Z204" s="8"/>
    </row>
    <row r="205" customFormat="false" ht="15" hidden="false" customHeight="false" outlineLevel="0" collapsed="false">
      <c r="A205" s="8" t="s">
        <v>295</v>
      </c>
      <c r="B205" s="8" t="s">
        <v>13</v>
      </c>
      <c r="C205" s="8" t="s">
        <v>14</v>
      </c>
      <c r="D205" s="8" t="s">
        <v>91</v>
      </c>
      <c r="E205" s="8" t="s">
        <v>37</v>
      </c>
      <c r="F205" s="8" t="s">
        <v>51</v>
      </c>
      <c r="G205" s="8" t="s">
        <v>30</v>
      </c>
      <c r="H205" s="8" t="s">
        <v>30</v>
      </c>
      <c r="I205" s="8" t="n">
        <f aca="false">IF(EXACT(G205,H205),1,0)</f>
        <v>1</v>
      </c>
      <c r="J205" s="8" t="n">
        <v>2</v>
      </c>
      <c r="K205" s="8" t="s">
        <v>92</v>
      </c>
      <c r="L205" s="8" t="n">
        <v>0</v>
      </c>
      <c r="M205" s="8" t="n">
        <v>1</v>
      </c>
      <c r="N205" s="8" t="s">
        <v>93</v>
      </c>
      <c r="O205" s="8" t="n">
        <v>1</v>
      </c>
      <c r="P205" s="10" t="n">
        <v>4.44</v>
      </c>
      <c r="Q205" s="8"/>
      <c r="R205" s="8"/>
      <c r="S205" s="8" t="s">
        <v>110</v>
      </c>
      <c r="T205" s="8" t="s">
        <v>291</v>
      </c>
      <c r="U205" s="8" t="s">
        <v>292</v>
      </c>
      <c r="V205" s="8"/>
      <c r="W205" s="8" t="s">
        <v>296</v>
      </c>
      <c r="X205" s="8" t="s">
        <v>360</v>
      </c>
      <c r="Y205" s="8" t="s">
        <v>190</v>
      </c>
      <c r="Z205" s="8"/>
    </row>
    <row r="206" customFormat="false" ht="15" hidden="false" customHeight="false" outlineLevel="0" collapsed="false">
      <c r="A206" s="8" t="s">
        <v>298</v>
      </c>
      <c r="B206" s="8" t="s">
        <v>13</v>
      </c>
      <c r="C206" s="8" t="s">
        <v>14</v>
      </c>
      <c r="D206" s="8" t="s">
        <v>91</v>
      </c>
      <c r="E206" s="8" t="s">
        <v>37</v>
      </c>
      <c r="F206" s="8" t="s">
        <v>51</v>
      </c>
      <c r="G206" s="8" t="s">
        <v>30</v>
      </c>
      <c r="H206" s="8" t="s">
        <v>30</v>
      </c>
      <c r="I206" s="8" t="n">
        <f aca="false">IF(EXACT(G206,H206),1,0)</f>
        <v>1</v>
      </c>
      <c r="J206" s="8" t="n">
        <v>0</v>
      </c>
      <c r="K206" s="8" t="s">
        <v>92</v>
      </c>
      <c r="L206" s="8" t="n">
        <v>0</v>
      </c>
      <c r="M206" s="8" t="n">
        <v>1</v>
      </c>
      <c r="N206" s="8" t="s">
        <v>93</v>
      </c>
      <c r="O206" s="8" t="n">
        <v>1</v>
      </c>
      <c r="P206" s="10" t="n">
        <v>4.35</v>
      </c>
      <c r="Q206" s="8"/>
      <c r="R206" s="8"/>
      <c r="S206" s="8" t="s">
        <v>150</v>
      </c>
      <c r="T206" s="8" t="s">
        <v>291</v>
      </c>
      <c r="U206" s="8" t="s">
        <v>292</v>
      </c>
      <c r="V206" s="8"/>
      <c r="W206" s="8" t="s">
        <v>299</v>
      </c>
      <c r="X206" s="8" t="s">
        <v>361</v>
      </c>
      <c r="Y206" s="8" t="s">
        <v>190</v>
      </c>
      <c r="Z206" s="8"/>
    </row>
    <row r="207" customFormat="false" ht="15" hidden="false" customHeight="false" outlineLevel="0" collapsed="false">
      <c r="A207" s="8" t="s">
        <v>298</v>
      </c>
      <c r="B207" s="8" t="s">
        <v>13</v>
      </c>
      <c r="C207" s="8" t="s">
        <v>14</v>
      </c>
      <c r="D207" s="8" t="s">
        <v>91</v>
      </c>
      <c r="E207" s="8" t="s">
        <v>37</v>
      </c>
      <c r="F207" s="8" t="s">
        <v>51</v>
      </c>
      <c r="G207" s="8" t="s">
        <v>30</v>
      </c>
      <c r="H207" s="8" t="s">
        <v>30</v>
      </c>
      <c r="I207" s="8" t="n">
        <f aca="false">IF(EXACT(G207,H207),1,0)</f>
        <v>1</v>
      </c>
      <c r="J207" s="8" t="n">
        <v>1</v>
      </c>
      <c r="K207" s="8" t="s">
        <v>92</v>
      </c>
      <c r="L207" s="8" t="n">
        <v>0</v>
      </c>
      <c r="M207" s="8" t="n">
        <v>1</v>
      </c>
      <c r="N207" s="8" t="s">
        <v>93</v>
      </c>
      <c r="O207" s="8" t="n">
        <v>1</v>
      </c>
      <c r="P207" s="10" t="n">
        <v>4.39</v>
      </c>
      <c r="Q207" s="8"/>
      <c r="R207" s="8"/>
      <c r="S207" s="8" t="s">
        <v>150</v>
      </c>
      <c r="T207" s="8" t="s">
        <v>291</v>
      </c>
      <c r="U207" s="8" t="s">
        <v>292</v>
      </c>
      <c r="V207" s="8"/>
      <c r="W207" s="8" t="s">
        <v>299</v>
      </c>
      <c r="X207" s="8" t="s">
        <v>361</v>
      </c>
      <c r="Y207" s="8" t="s">
        <v>190</v>
      </c>
      <c r="Z207" s="8"/>
    </row>
    <row r="208" customFormat="false" ht="15" hidden="false" customHeight="false" outlineLevel="0" collapsed="false">
      <c r="A208" s="8" t="s">
        <v>298</v>
      </c>
      <c r="B208" s="8" t="s">
        <v>13</v>
      </c>
      <c r="C208" s="8" t="s">
        <v>14</v>
      </c>
      <c r="D208" s="8" t="s">
        <v>91</v>
      </c>
      <c r="E208" s="8" t="s">
        <v>37</v>
      </c>
      <c r="F208" s="8" t="s">
        <v>51</v>
      </c>
      <c r="G208" s="8" t="s">
        <v>30</v>
      </c>
      <c r="H208" s="8" t="s">
        <v>30</v>
      </c>
      <c r="I208" s="8" t="n">
        <f aca="false">IF(EXACT(G208,H208),1,0)</f>
        <v>1</v>
      </c>
      <c r="J208" s="8" t="n">
        <v>2</v>
      </c>
      <c r="K208" s="8" t="s">
        <v>92</v>
      </c>
      <c r="L208" s="8" t="n">
        <v>0</v>
      </c>
      <c r="M208" s="8" t="n">
        <v>1</v>
      </c>
      <c r="N208" s="8" t="s">
        <v>93</v>
      </c>
      <c r="O208" s="8" t="n">
        <v>1</v>
      </c>
      <c r="P208" s="10" t="n">
        <v>4.4</v>
      </c>
      <c r="Q208" s="8"/>
      <c r="R208" s="8"/>
      <c r="S208" s="8" t="s">
        <v>150</v>
      </c>
      <c r="T208" s="8" t="s">
        <v>291</v>
      </c>
      <c r="U208" s="8" t="s">
        <v>292</v>
      </c>
      <c r="V208" s="8"/>
      <c r="W208" s="8" t="s">
        <v>299</v>
      </c>
      <c r="X208" s="8" t="s">
        <v>361</v>
      </c>
      <c r="Y208" s="8" t="s">
        <v>190</v>
      </c>
      <c r="Z208" s="8"/>
    </row>
    <row r="209" customFormat="false" ht="15" hidden="false" customHeight="false" outlineLevel="0" collapsed="false">
      <c r="A209" s="8" t="s">
        <v>301</v>
      </c>
      <c r="B209" s="8" t="s">
        <v>13</v>
      </c>
      <c r="C209" s="8" t="s">
        <v>14</v>
      </c>
      <c r="D209" s="8" t="s">
        <v>91</v>
      </c>
      <c r="E209" s="8" t="s">
        <v>37</v>
      </c>
      <c r="F209" s="8" t="s">
        <v>51</v>
      </c>
      <c r="G209" s="8" t="s">
        <v>32</v>
      </c>
      <c r="H209" s="8" t="s">
        <v>30</v>
      </c>
      <c r="I209" s="8" t="n">
        <f aca="false">IF(EXACT(G209,H209),1,0)</f>
        <v>0</v>
      </c>
      <c r="J209" s="8" t="n">
        <v>0</v>
      </c>
      <c r="K209" s="8" t="s">
        <v>92</v>
      </c>
      <c r="L209" s="8" t="n">
        <v>0</v>
      </c>
      <c r="M209" s="8" t="n">
        <v>1</v>
      </c>
      <c r="N209" s="8" t="s">
        <v>93</v>
      </c>
      <c r="O209" s="8" t="n">
        <v>1</v>
      </c>
      <c r="P209" s="10" t="n">
        <v>4.39</v>
      </c>
      <c r="Q209" s="8"/>
      <c r="R209" s="8"/>
      <c r="S209" s="8" t="s">
        <v>132</v>
      </c>
      <c r="T209" s="8" t="s">
        <v>291</v>
      </c>
      <c r="U209" s="8" t="s">
        <v>292</v>
      </c>
      <c r="V209" s="8"/>
      <c r="W209" s="8" t="s">
        <v>302</v>
      </c>
      <c r="X209" s="8" t="s">
        <v>362</v>
      </c>
      <c r="Y209" s="8" t="s">
        <v>108</v>
      </c>
      <c r="Z209" s="8"/>
    </row>
    <row r="210" customFormat="false" ht="15" hidden="false" customHeight="false" outlineLevel="0" collapsed="false">
      <c r="A210" s="8" t="s">
        <v>301</v>
      </c>
      <c r="B210" s="8" t="s">
        <v>13</v>
      </c>
      <c r="C210" s="8" t="s">
        <v>14</v>
      </c>
      <c r="D210" s="8" t="s">
        <v>91</v>
      </c>
      <c r="E210" s="8" t="s">
        <v>37</v>
      </c>
      <c r="F210" s="8" t="s">
        <v>51</v>
      </c>
      <c r="G210" s="8" t="s">
        <v>32</v>
      </c>
      <c r="H210" s="8" t="s">
        <v>30</v>
      </c>
      <c r="I210" s="8" t="n">
        <f aca="false">IF(EXACT(G210,H210),1,0)</f>
        <v>0</v>
      </c>
      <c r="J210" s="8" t="n">
        <v>1</v>
      </c>
      <c r="K210" s="8" t="s">
        <v>92</v>
      </c>
      <c r="L210" s="8" t="n">
        <v>0</v>
      </c>
      <c r="M210" s="8" t="n">
        <v>1</v>
      </c>
      <c r="N210" s="8" t="s">
        <v>93</v>
      </c>
      <c r="O210" s="8" t="n">
        <v>1</v>
      </c>
      <c r="P210" s="10" t="n">
        <v>4.27</v>
      </c>
      <c r="Q210" s="8"/>
      <c r="R210" s="8"/>
      <c r="S210" s="8" t="s">
        <v>132</v>
      </c>
      <c r="T210" s="8" t="s">
        <v>291</v>
      </c>
      <c r="U210" s="8" t="s">
        <v>292</v>
      </c>
      <c r="V210" s="8"/>
      <c r="W210" s="8" t="s">
        <v>302</v>
      </c>
      <c r="X210" s="8" t="s">
        <v>362</v>
      </c>
      <c r="Y210" s="8" t="s">
        <v>108</v>
      </c>
      <c r="Z210" s="8"/>
    </row>
    <row r="211" customFormat="false" ht="15" hidden="false" customHeight="false" outlineLevel="0" collapsed="false">
      <c r="A211" s="8" t="s">
        <v>301</v>
      </c>
      <c r="B211" s="8" t="s">
        <v>13</v>
      </c>
      <c r="C211" s="8" t="s">
        <v>14</v>
      </c>
      <c r="D211" s="8" t="s">
        <v>91</v>
      </c>
      <c r="E211" s="8" t="s">
        <v>37</v>
      </c>
      <c r="F211" s="8" t="s">
        <v>51</v>
      </c>
      <c r="G211" s="8" t="s">
        <v>32</v>
      </c>
      <c r="H211" s="8" t="s">
        <v>30</v>
      </c>
      <c r="I211" s="8" t="n">
        <f aca="false">IF(EXACT(G211,H211),1,0)</f>
        <v>0</v>
      </c>
      <c r="J211" s="8" t="n">
        <v>2</v>
      </c>
      <c r="K211" s="8" t="s">
        <v>92</v>
      </c>
      <c r="L211" s="8" t="n">
        <v>0</v>
      </c>
      <c r="M211" s="8" t="n">
        <v>1</v>
      </c>
      <c r="N211" s="8" t="s">
        <v>93</v>
      </c>
      <c r="O211" s="8" t="n">
        <v>1</v>
      </c>
      <c r="P211" s="10" t="n">
        <v>4.28</v>
      </c>
      <c r="Q211" s="8"/>
      <c r="R211" s="8"/>
      <c r="S211" s="8" t="s">
        <v>132</v>
      </c>
      <c r="T211" s="8" t="s">
        <v>291</v>
      </c>
      <c r="U211" s="8" t="s">
        <v>292</v>
      </c>
      <c r="V211" s="8"/>
      <c r="W211" s="8" t="s">
        <v>302</v>
      </c>
      <c r="X211" s="8" t="s">
        <v>362</v>
      </c>
      <c r="Y211" s="8" t="s">
        <v>108</v>
      </c>
      <c r="Z211" s="8"/>
    </row>
    <row r="212" customFormat="false" ht="15" hidden="false" customHeight="false" outlineLevel="0" collapsed="false">
      <c r="A212" s="8" t="s">
        <v>304</v>
      </c>
      <c r="B212" s="8" t="s">
        <v>13</v>
      </c>
      <c r="C212" s="8" t="s">
        <v>14</v>
      </c>
      <c r="D212" s="8" t="s">
        <v>91</v>
      </c>
      <c r="E212" s="8" t="s">
        <v>37</v>
      </c>
      <c r="F212" s="8" t="s">
        <v>51</v>
      </c>
      <c r="G212" s="8" t="s">
        <v>31</v>
      </c>
      <c r="H212" s="8" t="s">
        <v>30</v>
      </c>
      <c r="I212" s="8" t="n">
        <f aca="false">IF(EXACT(G212,H212),1,0)</f>
        <v>0</v>
      </c>
      <c r="J212" s="8" t="n">
        <v>0</v>
      </c>
      <c r="K212" s="8" t="s">
        <v>92</v>
      </c>
      <c r="L212" s="8" t="n">
        <v>0</v>
      </c>
      <c r="M212" s="8" t="n">
        <v>1</v>
      </c>
      <c r="N212" s="8" t="s">
        <v>93</v>
      </c>
      <c r="O212" s="8" t="n">
        <v>1</v>
      </c>
      <c r="P212" s="10" t="n">
        <v>4.29</v>
      </c>
      <c r="Q212" s="8"/>
      <c r="R212" s="8"/>
      <c r="S212" s="8" t="s">
        <v>117</v>
      </c>
      <c r="T212" s="8" t="s">
        <v>291</v>
      </c>
      <c r="U212" s="8" t="s">
        <v>292</v>
      </c>
      <c r="V212" s="8"/>
      <c r="W212" s="8" t="s">
        <v>305</v>
      </c>
      <c r="X212" s="8" t="s">
        <v>363</v>
      </c>
      <c r="Y212" s="8" t="s">
        <v>190</v>
      </c>
      <c r="Z212" s="8"/>
    </row>
    <row r="213" customFormat="false" ht="15" hidden="false" customHeight="false" outlineLevel="0" collapsed="false">
      <c r="A213" s="8" t="s">
        <v>304</v>
      </c>
      <c r="B213" s="8" t="s">
        <v>13</v>
      </c>
      <c r="C213" s="8" t="s">
        <v>14</v>
      </c>
      <c r="D213" s="8" t="s">
        <v>91</v>
      </c>
      <c r="E213" s="8" t="s">
        <v>37</v>
      </c>
      <c r="F213" s="8" t="s">
        <v>51</v>
      </c>
      <c r="G213" s="8" t="s">
        <v>31</v>
      </c>
      <c r="H213" s="8" t="s">
        <v>30</v>
      </c>
      <c r="I213" s="8" t="n">
        <f aca="false">IF(EXACT(G213,H213),1,0)</f>
        <v>0</v>
      </c>
      <c r="J213" s="8" t="n">
        <v>1</v>
      </c>
      <c r="K213" s="8" t="s">
        <v>92</v>
      </c>
      <c r="L213" s="8" t="n">
        <v>0</v>
      </c>
      <c r="M213" s="8" t="n">
        <v>1</v>
      </c>
      <c r="N213" s="8" t="s">
        <v>93</v>
      </c>
      <c r="O213" s="8" t="n">
        <v>1</v>
      </c>
      <c r="P213" s="10" t="n">
        <v>4.27</v>
      </c>
      <c r="Q213" s="8"/>
      <c r="R213" s="8"/>
      <c r="S213" s="8" t="s">
        <v>117</v>
      </c>
      <c r="T213" s="8" t="s">
        <v>291</v>
      </c>
      <c r="U213" s="8" t="s">
        <v>292</v>
      </c>
      <c r="V213" s="8"/>
      <c r="W213" s="8" t="s">
        <v>305</v>
      </c>
      <c r="X213" s="8" t="s">
        <v>363</v>
      </c>
      <c r="Y213" s="8" t="s">
        <v>190</v>
      </c>
      <c r="Z213" s="8"/>
    </row>
    <row r="214" customFormat="false" ht="15" hidden="false" customHeight="false" outlineLevel="0" collapsed="false">
      <c r="A214" s="8" t="s">
        <v>304</v>
      </c>
      <c r="B214" s="8" t="s">
        <v>13</v>
      </c>
      <c r="C214" s="8" t="s">
        <v>14</v>
      </c>
      <c r="D214" s="8" t="s">
        <v>91</v>
      </c>
      <c r="E214" s="8" t="s">
        <v>37</v>
      </c>
      <c r="F214" s="8" t="s">
        <v>51</v>
      </c>
      <c r="G214" s="8" t="s">
        <v>31</v>
      </c>
      <c r="H214" s="8" t="s">
        <v>30</v>
      </c>
      <c r="I214" s="8" t="n">
        <f aca="false">IF(EXACT(G214,H214),1,0)</f>
        <v>0</v>
      </c>
      <c r="J214" s="8" t="n">
        <v>2</v>
      </c>
      <c r="K214" s="8" t="s">
        <v>92</v>
      </c>
      <c r="L214" s="8" t="n">
        <v>0</v>
      </c>
      <c r="M214" s="8" t="n">
        <v>1</v>
      </c>
      <c r="N214" s="8" t="s">
        <v>93</v>
      </c>
      <c r="O214" s="8" t="n">
        <v>1</v>
      </c>
      <c r="P214" s="10" t="n">
        <v>4.26</v>
      </c>
      <c r="Q214" s="8"/>
      <c r="R214" s="8"/>
      <c r="S214" s="8" t="s">
        <v>117</v>
      </c>
      <c r="T214" s="8" t="s">
        <v>291</v>
      </c>
      <c r="U214" s="8" t="s">
        <v>292</v>
      </c>
      <c r="V214" s="8"/>
      <c r="W214" s="8" t="s">
        <v>305</v>
      </c>
      <c r="X214" s="8" t="s">
        <v>363</v>
      </c>
      <c r="Y214" s="8" t="s">
        <v>190</v>
      </c>
      <c r="Z214" s="8"/>
    </row>
    <row r="215" customFormat="false" ht="15" hidden="false" customHeight="false" outlineLevel="0" collapsed="false">
      <c r="A215" s="8" t="s">
        <v>307</v>
      </c>
      <c r="B215" s="8" t="s">
        <v>13</v>
      </c>
      <c r="C215" s="8" t="s">
        <v>14</v>
      </c>
      <c r="D215" s="8" t="s">
        <v>91</v>
      </c>
      <c r="E215" s="8" t="s">
        <v>37</v>
      </c>
      <c r="F215" s="8" t="s">
        <v>51</v>
      </c>
      <c r="G215" s="8" t="s">
        <v>31</v>
      </c>
      <c r="H215" s="8" t="s">
        <v>31</v>
      </c>
      <c r="I215" s="8" t="n">
        <f aca="false">IF(EXACT(G215,H215),1,0)</f>
        <v>1</v>
      </c>
      <c r="J215" s="8" t="n">
        <v>0</v>
      </c>
      <c r="K215" s="8" t="s">
        <v>116</v>
      </c>
      <c r="L215" s="8" t="n">
        <v>1</v>
      </c>
      <c r="M215" s="8" t="n">
        <v>1</v>
      </c>
      <c r="N215" s="8" t="s">
        <v>93</v>
      </c>
      <c r="O215" s="8" t="n">
        <v>1</v>
      </c>
      <c r="P215" s="10" t="n">
        <v>4.34</v>
      </c>
      <c r="Q215" s="8"/>
      <c r="R215" s="8"/>
      <c r="S215" s="8" t="s">
        <v>308</v>
      </c>
      <c r="T215" s="8"/>
      <c r="U215" s="8"/>
      <c r="V215" s="8" t="s">
        <v>309</v>
      </c>
      <c r="W215" s="8"/>
      <c r="X215" s="8" t="s">
        <v>364</v>
      </c>
      <c r="Y215" s="8" t="s">
        <v>190</v>
      </c>
      <c r="Z215" s="8" t="s">
        <v>311</v>
      </c>
    </row>
    <row r="216" customFormat="false" ht="15" hidden="false" customHeight="false" outlineLevel="0" collapsed="false">
      <c r="A216" s="8" t="s">
        <v>307</v>
      </c>
      <c r="B216" s="8" t="s">
        <v>13</v>
      </c>
      <c r="C216" s="8" t="s">
        <v>14</v>
      </c>
      <c r="D216" s="8" t="s">
        <v>91</v>
      </c>
      <c r="E216" s="8" t="s">
        <v>37</v>
      </c>
      <c r="F216" s="8" t="s">
        <v>51</v>
      </c>
      <c r="G216" s="8" t="s">
        <v>31</v>
      </c>
      <c r="H216" s="8" t="s">
        <v>31</v>
      </c>
      <c r="I216" s="8" t="n">
        <f aca="false">IF(EXACT(G216,H216),1,0)</f>
        <v>1</v>
      </c>
      <c r="J216" s="8" t="n">
        <v>1</v>
      </c>
      <c r="K216" s="8" t="s">
        <v>116</v>
      </c>
      <c r="L216" s="8" t="n">
        <v>1</v>
      </c>
      <c r="M216" s="8" t="n">
        <v>1</v>
      </c>
      <c r="N216" s="8" t="s">
        <v>93</v>
      </c>
      <c r="O216" s="8" t="n">
        <v>1</v>
      </c>
      <c r="P216" s="10" t="n">
        <v>4.33</v>
      </c>
      <c r="Q216" s="8"/>
      <c r="R216" s="8"/>
      <c r="S216" s="8" t="s">
        <v>308</v>
      </c>
      <c r="T216" s="8"/>
      <c r="U216" s="8"/>
      <c r="V216" s="8" t="s">
        <v>309</v>
      </c>
      <c r="W216" s="8"/>
      <c r="X216" s="8" t="s">
        <v>364</v>
      </c>
      <c r="Y216" s="8" t="s">
        <v>190</v>
      </c>
      <c r="Z216" s="8" t="s">
        <v>311</v>
      </c>
    </row>
    <row r="217" customFormat="false" ht="15" hidden="false" customHeight="false" outlineLevel="0" collapsed="false">
      <c r="A217" s="8" t="s">
        <v>307</v>
      </c>
      <c r="B217" s="8" t="s">
        <v>13</v>
      </c>
      <c r="C217" s="8" t="s">
        <v>14</v>
      </c>
      <c r="D217" s="8" t="s">
        <v>91</v>
      </c>
      <c r="E217" s="8" t="s">
        <v>37</v>
      </c>
      <c r="F217" s="8" t="s">
        <v>51</v>
      </c>
      <c r="G217" s="8" t="s">
        <v>31</v>
      </c>
      <c r="H217" s="8" t="s">
        <v>31</v>
      </c>
      <c r="I217" s="8" t="n">
        <f aca="false">IF(EXACT(G217,H217),1,0)</f>
        <v>1</v>
      </c>
      <c r="J217" s="8" t="n">
        <v>2</v>
      </c>
      <c r="K217" s="8" t="s">
        <v>116</v>
      </c>
      <c r="L217" s="8" t="n">
        <v>1</v>
      </c>
      <c r="M217" s="8" t="n">
        <v>1</v>
      </c>
      <c r="N217" s="8" t="s">
        <v>93</v>
      </c>
      <c r="O217" s="8" t="n">
        <v>1</v>
      </c>
      <c r="P217" s="10" t="n">
        <v>4.27</v>
      </c>
      <c r="Q217" s="8"/>
      <c r="R217" s="8"/>
      <c r="S217" s="8" t="s">
        <v>308</v>
      </c>
      <c r="T217" s="8"/>
      <c r="U217" s="8"/>
      <c r="V217" s="8" t="s">
        <v>309</v>
      </c>
      <c r="W217" s="8"/>
      <c r="X217" s="8" t="s">
        <v>364</v>
      </c>
      <c r="Y217" s="8" t="s">
        <v>190</v>
      </c>
      <c r="Z217" s="8" t="s">
        <v>311</v>
      </c>
    </row>
    <row r="218" customFormat="false" ht="15" hidden="false" customHeight="false" outlineLevel="0" collapsed="false">
      <c r="A218" s="8" t="s">
        <v>365</v>
      </c>
      <c r="B218" s="8" t="s">
        <v>13</v>
      </c>
      <c r="C218" s="8" t="s">
        <v>14</v>
      </c>
      <c r="D218" s="8" t="s">
        <v>91</v>
      </c>
      <c r="E218" s="8" t="s">
        <v>37</v>
      </c>
      <c r="F218" s="8" t="s">
        <v>55</v>
      </c>
      <c r="G218" s="8" t="s">
        <v>30</v>
      </c>
      <c r="H218" s="8" t="s">
        <v>30</v>
      </c>
      <c r="I218" s="8" t="n">
        <f aca="false">IF(EXACT(G218,H218),1,0)</f>
        <v>1</v>
      </c>
      <c r="J218" s="8" t="n">
        <v>0</v>
      </c>
      <c r="K218" s="8" t="s">
        <v>92</v>
      </c>
      <c r="L218" s="8" t="n">
        <v>0</v>
      </c>
      <c r="M218" s="8" t="n">
        <v>1</v>
      </c>
      <c r="N218" s="8" t="s">
        <v>93</v>
      </c>
      <c r="O218" s="8" t="n">
        <v>1</v>
      </c>
      <c r="P218" s="10" t="n">
        <v>4.26</v>
      </c>
      <c r="Q218" s="8"/>
      <c r="R218" s="8"/>
      <c r="S218" s="8" t="s">
        <v>366</v>
      </c>
      <c r="T218" s="8" t="s">
        <v>367</v>
      </c>
      <c r="U218" s="8" t="s">
        <v>368</v>
      </c>
      <c r="V218" s="8"/>
      <c r="W218" s="8" t="s">
        <v>369</v>
      </c>
      <c r="X218" s="8" t="s">
        <v>370</v>
      </c>
      <c r="Y218" s="8" t="s">
        <v>130</v>
      </c>
      <c r="Z218" s="8"/>
    </row>
    <row r="219" customFormat="false" ht="15" hidden="false" customHeight="false" outlineLevel="0" collapsed="false">
      <c r="A219" s="8" t="s">
        <v>365</v>
      </c>
      <c r="B219" s="8" t="s">
        <v>13</v>
      </c>
      <c r="C219" s="8" t="s">
        <v>14</v>
      </c>
      <c r="D219" s="8" t="s">
        <v>91</v>
      </c>
      <c r="E219" s="8" t="s">
        <v>37</v>
      </c>
      <c r="F219" s="8" t="s">
        <v>55</v>
      </c>
      <c r="G219" s="8" t="s">
        <v>30</v>
      </c>
      <c r="H219" s="8" t="s">
        <v>30</v>
      </c>
      <c r="I219" s="8" t="n">
        <f aca="false">IF(EXACT(G219,H219),1,0)</f>
        <v>1</v>
      </c>
      <c r="J219" s="8" t="n">
        <v>1</v>
      </c>
      <c r="K219" s="8" t="s">
        <v>92</v>
      </c>
      <c r="L219" s="8" t="n">
        <v>0</v>
      </c>
      <c r="M219" s="8" t="n">
        <v>1</v>
      </c>
      <c r="N219" s="8" t="s">
        <v>93</v>
      </c>
      <c r="O219" s="8" t="n">
        <v>1</v>
      </c>
      <c r="P219" s="10" t="n">
        <v>4.5</v>
      </c>
      <c r="Q219" s="8"/>
      <c r="R219" s="8"/>
      <c r="S219" s="8" t="s">
        <v>366</v>
      </c>
      <c r="T219" s="8" t="s">
        <v>367</v>
      </c>
      <c r="U219" s="8" t="s">
        <v>368</v>
      </c>
      <c r="V219" s="8"/>
      <c r="W219" s="8" t="s">
        <v>369</v>
      </c>
      <c r="X219" s="8" t="s">
        <v>370</v>
      </c>
      <c r="Y219" s="8" t="s">
        <v>130</v>
      </c>
      <c r="Z219" s="8"/>
    </row>
    <row r="220" customFormat="false" ht="15" hidden="false" customHeight="false" outlineLevel="0" collapsed="false">
      <c r="A220" s="8" t="s">
        <v>365</v>
      </c>
      <c r="B220" s="8" t="s">
        <v>13</v>
      </c>
      <c r="C220" s="8" t="s">
        <v>14</v>
      </c>
      <c r="D220" s="8" t="s">
        <v>91</v>
      </c>
      <c r="E220" s="8" t="s">
        <v>37</v>
      </c>
      <c r="F220" s="8" t="s">
        <v>55</v>
      </c>
      <c r="G220" s="8" t="s">
        <v>30</v>
      </c>
      <c r="H220" s="8" t="s">
        <v>30</v>
      </c>
      <c r="I220" s="8" t="n">
        <f aca="false">IF(EXACT(G220,H220),1,0)</f>
        <v>1</v>
      </c>
      <c r="J220" s="8" t="n">
        <v>2</v>
      </c>
      <c r="K220" s="8" t="s">
        <v>92</v>
      </c>
      <c r="L220" s="8" t="n">
        <v>0</v>
      </c>
      <c r="M220" s="8" t="n">
        <v>1</v>
      </c>
      <c r="N220" s="8" t="s">
        <v>93</v>
      </c>
      <c r="O220" s="8" t="n">
        <v>1</v>
      </c>
      <c r="P220" s="10" t="n">
        <v>4.45</v>
      </c>
      <c r="Q220" s="8"/>
      <c r="R220" s="8"/>
      <c r="S220" s="8" t="s">
        <v>366</v>
      </c>
      <c r="T220" s="8" t="s">
        <v>367</v>
      </c>
      <c r="U220" s="8" t="s">
        <v>368</v>
      </c>
      <c r="V220" s="8"/>
      <c r="W220" s="8" t="s">
        <v>369</v>
      </c>
      <c r="X220" s="8" t="s">
        <v>370</v>
      </c>
      <c r="Y220" s="8" t="s">
        <v>130</v>
      </c>
      <c r="Z220" s="8"/>
    </row>
    <row r="221" customFormat="false" ht="15" hidden="false" customHeight="false" outlineLevel="0" collapsed="false">
      <c r="A221" s="8" t="s">
        <v>371</v>
      </c>
      <c r="B221" s="8" t="s">
        <v>13</v>
      </c>
      <c r="C221" s="8" t="s">
        <v>14</v>
      </c>
      <c r="D221" s="8" t="s">
        <v>91</v>
      </c>
      <c r="E221" s="8" t="s">
        <v>37</v>
      </c>
      <c r="F221" s="8" t="s">
        <v>55</v>
      </c>
      <c r="G221" s="8" t="s">
        <v>30</v>
      </c>
      <c r="H221" s="8" t="s">
        <v>30</v>
      </c>
      <c r="I221" s="8" t="n">
        <f aca="false">IF(EXACT(G221,H221),1,0)</f>
        <v>1</v>
      </c>
      <c r="J221" s="8" t="n">
        <v>0</v>
      </c>
      <c r="K221" s="8" t="s">
        <v>92</v>
      </c>
      <c r="L221" s="8" t="n">
        <v>0</v>
      </c>
      <c r="M221" s="8" t="n">
        <v>1</v>
      </c>
      <c r="N221" s="8" t="s">
        <v>93</v>
      </c>
      <c r="O221" s="8" t="n">
        <v>1</v>
      </c>
      <c r="P221" s="10" t="n">
        <v>4.4</v>
      </c>
      <c r="Q221" s="8"/>
      <c r="R221" s="8"/>
      <c r="S221" s="8" t="s">
        <v>180</v>
      </c>
      <c r="T221" s="8" t="s">
        <v>372</v>
      </c>
      <c r="U221" s="8" t="s">
        <v>373</v>
      </c>
      <c r="V221" s="8"/>
      <c r="W221" s="8" t="s">
        <v>374</v>
      </c>
      <c r="X221" s="8" t="s">
        <v>375</v>
      </c>
      <c r="Y221" s="8" t="s">
        <v>190</v>
      </c>
      <c r="Z221" s="8"/>
    </row>
    <row r="222" customFormat="false" ht="15" hidden="false" customHeight="false" outlineLevel="0" collapsed="false">
      <c r="A222" s="8" t="s">
        <v>371</v>
      </c>
      <c r="B222" s="8" t="s">
        <v>13</v>
      </c>
      <c r="C222" s="8" t="s">
        <v>14</v>
      </c>
      <c r="D222" s="8" t="s">
        <v>91</v>
      </c>
      <c r="E222" s="8" t="s">
        <v>37</v>
      </c>
      <c r="F222" s="8" t="s">
        <v>55</v>
      </c>
      <c r="G222" s="8" t="s">
        <v>30</v>
      </c>
      <c r="H222" s="8" t="s">
        <v>30</v>
      </c>
      <c r="I222" s="8" t="n">
        <f aca="false">IF(EXACT(G222,H222),1,0)</f>
        <v>1</v>
      </c>
      <c r="J222" s="8" t="n">
        <v>1</v>
      </c>
      <c r="K222" s="8" t="s">
        <v>92</v>
      </c>
      <c r="L222" s="8" t="n">
        <v>0</v>
      </c>
      <c r="M222" s="8" t="n">
        <v>1</v>
      </c>
      <c r="N222" s="8" t="s">
        <v>93</v>
      </c>
      <c r="O222" s="8" t="n">
        <v>1</v>
      </c>
      <c r="P222" s="10" t="n">
        <v>4.42</v>
      </c>
      <c r="Q222" s="8"/>
      <c r="R222" s="8"/>
      <c r="S222" s="8" t="s">
        <v>180</v>
      </c>
      <c r="T222" s="8" t="s">
        <v>372</v>
      </c>
      <c r="U222" s="8" t="s">
        <v>373</v>
      </c>
      <c r="V222" s="8"/>
      <c r="W222" s="8" t="s">
        <v>374</v>
      </c>
      <c r="X222" s="8" t="s">
        <v>375</v>
      </c>
      <c r="Y222" s="8" t="s">
        <v>190</v>
      </c>
      <c r="Z222" s="8"/>
    </row>
    <row r="223" customFormat="false" ht="15" hidden="false" customHeight="false" outlineLevel="0" collapsed="false">
      <c r="A223" s="8" t="s">
        <v>371</v>
      </c>
      <c r="B223" s="8" t="s">
        <v>13</v>
      </c>
      <c r="C223" s="8" t="s">
        <v>14</v>
      </c>
      <c r="D223" s="8" t="s">
        <v>91</v>
      </c>
      <c r="E223" s="8" t="s">
        <v>37</v>
      </c>
      <c r="F223" s="8" t="s">
        <v>55</v>
      </c>
      <c r="G223" s="8" t="s">
        <v>30</v>
      </c>
      <c r="H223" s="8" t="s">
        <v>30</v>
      </c>
      <c r="I223" s="8" t="n">
        <f aca="false">IF(EXACT(G223,H223),1,0)</f>
        <v>1</v>
      </c>
      <c r="J223" s="8" t="n">
        <v>2</v>
      </c>
      <c r="K223" s="8" t="s">
        <v>92</v>
      </c>
      <c r="L223" s="8" t="n">
        <v>0</v>
      </c>
      <c r="M223" s="8" t="n">
        <v>1</v>
      </c>
      <c r="N223" s="8" t="s">
        <v>93</v>
      </c>
      <c r="O223" s="8" t="n">
        <v>1</v>
      </c>
      <c r="P223" s="10" t="n">
        <v>4.39</v>
      </c>
      <c r="Q223" s="8"/>
      <c r="R223" s="8"/>
      <c r="S223" s="8" t="s">
        <v>180</v>
      </c>
      <c r="T223" s="8" t="s">
        <v>372</v>
      </c>
      <c r="U223" s="8" t="s">
        <v>373</v>
      </c>
      <c r="V223" s="8"/>
      <c r="W223" s="8" t="s">
        <v>374</v>
      </c>
      <c r="X223" s="8" t="s">
        <v>375</v>
      </c>
      <c r="Y223" s="8" t="s">
        <v>190</v>
      </c>
      <c r="Z223" s="8"/>
    </row>
    <row r="224" customFormat="false" ht="15" hidden="false" customHeight="false" outlineLevel="0" collapsed="false">
      <c r="A224" s="8" t="s">
        <v>376</v>
      </c>
      <c r="B224" s="8" t="s">
        <v>13</v>
      </c>
      <c r="C224" s="8" t="s">
        <v>14</v>
      </c>
      <c r="D224" s="8" t="s">
        <v>91</v>
      </c>
      <c r="E224" s="8" t="s">
        <v>37</v>
      </c>
      <c r="F224" s="8" t="s">
        <v>55</v>
      </c>
      <c r="G224" s="8" t="s">
        <v>32</v>
      </c>
      <c r="H224" s="8" t="s">
        <v>30</v>
      </c>
      <c r="I224" s="8" t="n">
        <f aca="false">IF(EXACT(G224,H224),1,0)</f>
        <v>0</v>
      </c>
      <c r="J224" s="8" t="n">
        <v>0</v>
      </c>
      <c r="K224" s="8" t="s">
        <v>92</v>
      </c>
      <c r="L224" s="8" t="n">
        <v>0</v>
      </c>
      <c r="M224" s="8" t="n">
        <v>1</v>
      </c>
      <c r="N224" s="8" t="s">
        <v>93</v>
      </c>
      <c r="O224" s="8" t="n">
        <v>1</v>
      </c>
      <c r="P224" s="10" t="n">
        <v>4.31</v>
      </c>
      <c r="Q224" s="8"/>
      <c r="R224" s="8"/>
      <c r="S224" s="8" t="s">
        <v>132</v>
      </c>
      <c r="T224" s="8" t="s">
        <v>367</v>
      </c>
      <c r="U224" s="8" t="s">
        <v>368</v>
      </c>
      <c r="V224" s="8"/>
      <c r="W224" s="8" t="s">
        <v>377</v>
      </c>
      <c r="X224" s="8" t="s">
        <v>378</v>
      </c>
      <c r="Y224" s="8" t="s">
        <v>130</v>
      </c>
      <c r="Z224" s="8"/>
    </row>
    <row r="225" customFormat="false" ht="15" hidden="false" customHeight="false" outlineLevel="0" collapsed="false">
      <c r="A225" s="8" t="s">
        <v>376</v>
      </c>
      <c r="B225" s="8" t="s">
        <v>13</v>
      </c>
      <c r="C225" s="8" t="s">
        <v>14</v>
      </c>
      <c r="D225" s="8" t="s">
        <v>91</v>
      </c>
      <c r="E225" s="8" t="s">
        <v>37</v>
      </c>
      <c r="F225" s="8" t="s">
        <v>55</v>
      </c>
      <c r="G225" s="8" t="s">
        <v>32</v>
      </c>
      <c r="H225" s="8" t="s">
        <v>30</v>
      </c>
      <c r="I225" s="8" t="n">
        <f aca="false">IF(EXACT(G225,H225),1,0)</f>
        <v>0</v>
      </c>
      <c r="J225" s="8" t="n">
        <v>1</v>
      </c>
      <c r="K225" s="8" t="s">
        <v>92</v>
      </c>
      <c r="L225" s="8" t="n">
        <v>0</v>
      </c>
      <c r="M225" s="8" t="n">
        <v>1</v>
      </c>
      <c r="N225" s="8" t="s">
        <v>93</v>
      </c>
      <c r="O225" s="8" t="n">
        <v>1</v>
      </c>
      <c r="P225" s="10" t="n">
        <v>4.24</v>
      </c>
      <c r="Q225" s="8"/>
      <c r="R225" s="8"/>
      <c r="S225" s="8" t="s">
        <v>132</v>
      </c>
      <c r="T225" s="8" t="s">
        <v>367</v>
      </c>
      <c r="U225" s="8" t="s">
        <v>368</v>
      </c>
      <c r="V225" s="8"/>
      <c r="W225" s="8" t="s">
        <v>377</v>
      </c>
      <c r="X225" s="8" t="s">
        <v>378</v>
      </c>
      <c r="Y225" s="8" t="s">
        <v>130</v>
      </c>
      <c r="Z225" s="8"/>
    </row>
    <row r="226" customFormat="false" ht="15" hidden="false" customHeight="false" outlineLevel="0" collapsed="false">
      <c r="A226" s="8" t="s">
        <v>376</v>
      </c>
      <c r="B226" s="8" t="s">
        <v>13</v>
      </c>
      <c r="C226" s="8" t="s">
        <v>14</v>
      </c>
      <c r="D226" s="8" t="s">
        <v>91</v>
      </c>
      <c r="E226" s="8" t="s">
        <v>37</v>
      </c>
      <c r="F226" s="8" t="s">
        <v>55</v>
      </c>
      <c r="G226" s="8" t="s">
        <v>32</v>
      </c>
      <c r="H226" s="8" t="s">
        <v>30</v>
      </c>
      <c r="I226" s="8" t="n">
        <f aca="false">IF(EXACT(G226,H226),1,0)</f>
        <v>0</v>
      </c>
      <c r="J226" s="8" t="n">
        <v>2</v>
      </c>
      <c r="K226" s="8" t="s">
        <v>92</v>
      </c>
      <c r="L226" s="8" t="n">
        <v>0</v>
      </c>
      <c r="M226" s="8" t="n">
        <v>1</v>
      </c>
      <c r="N226" s="8" t="s">
        <v>93</v>
      </c>
      <c r="O226" s="8" t="n">
        <v>1</v>
      </c>
      <c r="P226" s="10" t="n">
        <v>4.26</v>
      </c>
      <c r="Q226" s="8"/>
      <c r="R226" s="8"/>
      <c r="S226" s="8" t="s">
        <v>132</v>
      </c>
      <c r="T226" s="8" t="s">
        <v>367</v>
      </c>
      <c r="U226" s="8" t="s">
        <v>368</v>
      </c>
      <c r="V226" s="8"/>
      <c r="W226" s="8" t="s">
        <v>377</v>
      </c>
      <c r="X226" s="8" t="s">
        <v>378</v>
      </c>
      <c r="Y226" s="8" t="s">
        <v>130</v>
      </c>
      <c r="Z226" s="8"/>
    </row>
    <row r="227" customFormat="false" ht="15" hidden="false" customHeight="false" outlineLevel="0" collapsed="false">
      <c r="A227" s="8" t="s">
        <v>379</v>
      </c>
      <c r="B227" s="8" t="s">
        <v>13</v>
      </c>
      <c r="C227" s="8" t="s">
        <v>14</v>
      </c>
      <c r="D227" s="8" t="s">
        <v>91</v>
      </c>
      <c r="E227" s="8" t="s">
        <v>37</v>
      </c>
      <c r="F227" s="8" t="s">
        <v>55</v>
      </c>
      <c r="G227" s="8" t="s">
        <v>31</v>
      </c>
      <c r="H227" s="8" t="s">
        <v>30</v>
      </c>
      <c r="I227" s="8" t="n">
        <f aca="false">IF(EXACT(G227,H227),1,0)</f>
        <v>0</v>
      </c>
      <c r="J227" s="8" t="n">
        <v>0</v>
      </c>
      <c r="K227" s="8" t="s">
        <v>92</v>
      </c>
      <c r="L227" s="8" t="n">
        <v>0</v>
      </c>
      <c r="M227" s="8" t="n">
        <v>1</v>
      </c>
      <c r="N227" s="8" t="s">
        <v>93</v>
      </c>
      <c r="O227" s="8" t="n">
        <v>1</v>
      </c>
      <c r="P227" s="10" t="n">
        <v>4.38</v>
      </c>
      <c r="Q227" s="8"/>
      <c r="R227" s="8"/>
      <c r="S227" s="8" t="s">
        <v>255</v>
      </c>
      <c r="T227" s="8" t="s">
        <v>367</v>
      </c>
      <c r="U227" s="8" t="s">
        <v>368</v>
      </c>
      <c r="V227" s="8"/>
      <c r="W227" s="8" t="s">
        <v>380</v>
      </c>
      <c r="X227" s="8" t="s">
        <v>381</v>
      </c>
      <c r="Y227" s="8" t="s">
        <v>382</v>
      </c>
      <c r="Z227" s="8"/>
    </row>
    <row r="228" customFormat="false" ht="15" hidden="false" customHeight="false" outlineLevel="0" collapsed="false">
      <c r="A228" s="8" t="s">
        <v>379</v>
      </c>
      <c r="B228" s="8" t="s">
        <v>13</v>
      </c>
      <c r="C228" s="8" t="s">
        <v>14</v>
      </c>
      <c r="D228" s="8" t="s">
        <v>91</v>
      </c>
      <c r="E228" s="8" t="s">
        <v>37</v>
      </c>
      <c r="F228" s="8" t="s">
        <v>55</v>
      </c>
      <c r="G228" s="8" t="s">
        <v>31</v>
      </c>
      <c r="H228" s="8" t="s">
        <v>30</v>
      </c>
      <c r="I228" s="8" t="n">
        <f aca="false">IF(EXACT(G228,H228),1,0)</f>
        <v>0</v>
      </c>
      <c r="J228" s="8" t="n">
        <v>1</v>
      </c>
      <c r="K228" s="8" t="s">
        <v>92</v>
      </c>
      <c r="L228" s="8" t="n">
        <v>0</v>
      </c>
      <c r="M228" s="8" t="n">
        <v>1</v>
      </c>
      <c r="N228" s="8" t="s">
        <v>93</v>
      </c>
      <c r="O228" s="8" t="n">
        <v>1</v>
      </c>
      <c r="P228" s="10" t="n">
        <v>4.31</v>
      </c>
      <c r="Q228" s="8"/>
      <c r="R228" s="8"/>
      <c r="S228" s="8" t="s">
        <v>255</v>
      </c>
      <c r="T228" s="8" t="s">
        <v>367</v>
      </c>
      <c r="U228" s="8" t="s">
        <v>368</v>
      </c>
      <c r="V228" s="8"/>
      <c r="W228" s="8" t="s">
        <v>380</v>
      </c>
      <c r="X228" s="8" t="s">
        <v>381</v>
      </c>
      <c r="Y228" s="8" t="s">
        <v>382</v>
      </c>
      <c r="Z228" s="8"/>
    </row>
    <row r="229" customFormat="false" ht="15" hidden="false" customHeight="false" outlineLevel="0" collapsed="false">
      <c r="A229" s="8" t="s">
        <v>379</v>
      </c>
      <c r="B229" s="8" t="s">
        <v>13</v>
      </c>
      <c r="C229" s="8" t="s">
        <v>14</v>
      </c>
      <c r="D229" s="8" t="s">
        <v>91</v>
      </c>
      <c r="E229" s="8" t="s">
        <v>37</v>
      </c>
      <c r="F229" s="8" t="s">
        <v>55</v>
      </c>
      <c r="G229" s="8" t="s">
        <v>31</v>
      </c>
      <c r="H229" s="8" t="s">
        <v>30</v>
      </c>
      <c r="I229" s="8" t="n">
        <f aca="false">IF(EXACT(G229,H229),1,0)</f>
        <v>0</v>
      </c>
      <c r="J229" s="8" t="n">
        <v>2</v>
      </c>
      <c r="K229" s="8" t="s">
        <v>92</v>
      </c>
      <c r="L229" s="8" t="n">
        <v>0</v>
      </c>
      <c r="M229" s="8" t="n">
        <v>1</v>
      </c>
      <c r="N229" s="8" t="s">
        <v>93</v>
      </c>
      <c r="O229" s="8" t="n">
        <v>1</v>
      </c>
      <c r="P229" s="10" t="n">
        <v>4.28</v>
      </c>
      <c r="Q229" s="8"/>
      <c r="R229" s="8"/>
      <c r="S229" s="8" t="s">
        <v>255</v>
      </c>
      <c r="T229" s="8" t="s">
        <v>367</v>
      </c>
      <c r="U229" s="8" t="s">
        <v>368</v>
      </c>
      <c r="V229" s="8"/>
      <c r="W229" s="8" t="s">
        <v>380</v>
      </c>
      <c r="X229" s="8" t="s">
        <v>381</v>
      </c>
      <c r="Y229" s="8" t="s">
        <v>382</v>
      </c>
      <c r="Z229" s="8"/>
    </row>
    <row r="230" customFormat="false" ht="15" hidden="false" customHeight="false" outlineLevel="0" collapsed="false">
      <c r="A230" s="8" t="s">
        <v>383</v>
      </c>
      <c r="B230" s="8" t="s">
        <v>13</v>
      </c>
      <c r="C230" s="8" t="s">
        <v>14</v>
      </c>
      <c r="D230" s="8" t="s">
        <v>91</v>
      </c>
      <c r="E230" s="8" t="s">
        <v>37</v>
      </c>
      <c r="F230" s="8" t="s">
        <v>55</v>
      </c>
      <c r="G230" s="8" t="s">
        <v>32</v>
      </c>
      <c r="H230" s="8" t="s">
        <v>30</v>
      </c>
      <c r="I230" s="8" t="n">
        <f aca="false">IF(EXACT(G230,H230),1,0)</f>
        <v>0</v>
      </c>
      <c r="J230" s="8" t="n">
        <v>0</v>
      </c>
      <c r="K230" s="8" t="s">
        <v>92</v>
      </c>
      <c r="L230" s="8" t="n">
        <v>0</v>
      </c>
      <c r="M230" s="8" t="n">
        <v>1</v>
      </c>
      <c r="N230" s="8" t="s">
        <v>93</v>
      </c>
      <c r="O230" s="8" t="n">
        <v>1</v>
      </c>
      <c r="P230" s="10" t="n">
        <v>4.25</v>
      </c>
      <c r="Q230" s="8"/>
      <c r="R230" s="8"/>
      <c r="S230" s="8" t="s">
        <v>384</v>
      </c>
      <c r="T230" s="8" t="s">
        <v>372</v>
      </c>
      <c r="U230" s="8" t="s">
        <v>373</v>
      </c>
      <c r="V230" s="8"/>
      <c r="W230" s="8" t="s">
        <v>385</v>
      </c>
      <c r="X230" s="8" t="s">
        <v>386</v>
      </c>
      <c r="Y230" s="8" t="s">
        <v>108</v>
      </c>
      <c r="Z230" s="8"/>
    </row>
    <row r="231" customFormat="false" ht="15" hidden="false" customHeight="false" outlineLevel="0" collapsed="false">
      <c r="A231" s="8" t="s">
        <v>383</v>
      </c>
      <c r="B231" s="8" t="s">
        <v>13</v>
      </c>
      <c r="C231" s="8" t="s">
        <v>14</v>
      </c>
      <c r="D231" s="8" t="s">
        <v>91</v>
      </c>
      <c r="E231" s="8" t="s">
        <v>37</v>
      </c>
      <c r="F231" s="8" t="s">
        <v>55</v>
      </c>
      <c r="G231" s="8" t="s">
        <v>32</v>
      </c>
      <c r="H231" s="8" t="s">
        <v>30</v>
      </c>
      <c r="I231" s="8" t="n">
        <f aca="false">IF(EXACT(G231,H231),1,0)</f>
        <v>0</v>
      </c>
      <c r="J231" s="8" t="n">
        <v>1</v>
      </c>
      <c r="K231" s="8" t="s">
        <v>92</v>
      </c>
      <c r="L231" s="8" t="n">
        <v>0</v>
      </c>
      <c r="M231" s="8" t="n">
        <v>1</v>
      </c>
      <c r="N231" s="8" t="s">
        <v>93</v>
      </c>
      <c r="O231" s="8" t="n">
        <v>1</v>
      </c>
      <c r="P231" s="10" t="n">
        <v>4.17</v>
      </c>
      <c r="Q231" s="8"/>
      <c r="R231" s="8"/>
      <c r="S231" s="8" t="s">
        <v>384</v>
      </c>
      <c r="T231" s="8" t="s">
        <v>372</v>
      </c>
      <c r="U231" s="8" t="s">
        <v>373</v>
      </c>
      <c r="V231" s="8"/>
      <c r="W231" s="8" t="s">
        <v>385</v>
      </c>
      <c r="X231" s="8" t="s">
        <v>386</v>
      </c>
      <c r="Y231" s="8" t="s">
        <v>108</v>
      </c>
      <c r="Z231" s="8"/>
    </row>
    <row r="232" customFormat="false" ht="15" hidden="false" customHeight="false" outlineLevel="0" collapsed="false">
      <c r="A232" s="8" t="s">
        <v>383</v>
      </c>
      <c r="B232" s="8" t="s">
        <v>13</v>
      </c>
      <c r="C232" s="8" t="s">
        <v>14</v>
      </c>
      <c r="D232" s="8" t="s">
        <v>91</v>
      </c>
      <c r="E232" s="8" t="s">
        <v>37</v>
      </c>
      <c r="F232" s="8" t="s">
        <v>55</v>
      </c>
      <c r="G232" s="8" t="s">
        <v>32</v>
      </c>
      <c r="H232" s="8" t="s">
        <v>30</v>
      </c>
      <c r="I232" s="8" t="n">
        <f aca="false">IF(EXACT(G232,H232),1,0)</f>
        <v>0</v>
      </c>
      <c r="J232" s="8" t="n">
        <v>2</v>
      </c>
      <c r="K232" s="8" t="s">
        <v>92</v>
      </c>
      <c r="L232" s="8" t="n">
        <v>0</v>
      </c>
      <c r="M232" s="8" t="n">
        <v>1</v>
      </c>
      <c r="N232" s="8" t="s">
        <v>93</v>
      </c>
      <c r="O232" s="8" t="n">
        <v>1</v>
      </c>
      <c r="P232" s="10" t="n">
        <v>4.27</v>
      </c>
      <c r="Q232" s="8"/>
      <c r="R232" s="8"/>
      <c r="S232" s="8" t="s">
        <v>384</v>
      </c>
      <c r="T232" s="8" t="s">
        <v>372</v>
      </c>
      <c r="U232" s="8" t="s">
        <v>373</v>
      </c>
      <c r="V232" s="8"/>
      <c r="W232" s="8" t="s">
        <v>385</v>
      </c>
      <c r="X232" s="8" t="s">
        <v>386</v>
      </c>
      <c r="Y232" s="8" t="s">
        <v>108</v>
      </c>
      <c r="Z232" s="8"/>
    </row>
    <row r="233" customFormat="false" ht="15" hidden="false" customHeight="false" outlineLevel="0" collapsed="false">
      <c r="A233" s="8" t="s">
        <v>387</v>
      </c>
      <c r="B233" s="8" t="s">
        <v>13</v>
      </c>
      <c r="C233" s="8" t="s">
        <v>14</v>
      </c>
      <c r="D233" s="8" t="s">
        <v>91</v>
      </c>
      <c r="E233" s="8" t="s">
        <v>37</v>
      </c>
      <c r="F233" s="8" t="s">
        <v>55</v>
      </c>
      <c r="G233" s="8" t="s">
        <v>31</v>
      </c>
      <c r="H233" s="8" t="s">
        <v>30</v>
      </c>
      <c r="I233" s="8" t="n">
        <f aca="false">IF(EXACT(G233,H233),1,0)</f>
        <v>0</v>
      </c>
      <c r="J233" s="8" t="n">
        <v>0</v>
      </c>
      <c r="K233" s="8" t="s">
        <v>92</v>
      </c>
      <c r="L233" s="8" t="n">
        <v>0</v>
      </c>
      <c r="M233" s="8" t="n">
        <v>1</v>
      </c>
      <c r="N233" s="8" t="s">
        <v>93</v>
      </c>
      <c r="O233" s="8" t="n">
        <v>1</v>
      </c>
      <c r="P233" s="10" t="n">
        <v>4.34</v>
      </c>
      <c r="Q233" s="8"/>
      <c r="R233" s="8"/>
      <c r="S233" s="8" t="s">
        <v>388</v>
      </c>
      <c r="T233" s="8" t="s">
        <v>367</v>
      </c>
      <c r="U233" s="8" t="s">
        <v>368</v>
      </c>
      <c r="V233" s="8"/>
      <c r="W233" s="8" t="s">
        <v>389</v>
      </c>
      <c r="X233" s="8" t="s">
        <v>390</v>
      </c>
      <c r="Y233" s="8" t="s">
        <v>130</v>
      </c>
      <c r="Z233" s="8"/>
    </row>
    <row r="234" customFormat="false" ht="15" hidden="false" customHeight="false" outlineLevel="0" collapsed="false">
      <c r="A234" s="8" t="s">
        <v>387</v>
      </c>
      <c r="B234" s="8" t="s">
        <v>13</v>
      </c>
      <c r="C234" s="8" t="s">
        <v>14</v>
      </c>
      <c r="D234" s="8" t="s">
        <v>91</v>
      </c>
      <c r="E234" s="8" t="s">
        <v>37</v>
      </c>
      <c r="F234" s="8" t="s">
        <v>55</v>
      </c>
      <c r="G234" s="8" t="s">
        <v>31</v>
      </c>
      <c r="H234" s="8" t="s">
        <v>30</v>
      </c>
      <c r="I234" s="8" t="n">
        <f aca="false">IF(EXACT(G234,H234),1,0)</f>
        <v>0</v>
      </c>
      <c r="J234" s="8" t="n">
        <v>1</v>
      </c>
      <c r="K234" s="8" t="s">
        <v>92</v>
      </c>
      <c r="L234" s="8" t="n">
        <v>0</v>
      </c>
      <c r="M234" s="8" t="n">
        <v>1</v>
      </c>
      <c r="N234" s="8" t="s">
        <v>93</v>
      </c>
      <c r="O234" s="8" t="n">
        <v>1</v>
      </c>
      <c r="P234" s="10" t="n">
        <v>4.32</v>
      </c>
      <c r="Q234" s="8"/>
      <c r="R234" s="8"/>
      <c r="S234" s="8" t="s">
        <v>388</v>
      </c>
      <c r="T234" s="8" t="s">
        <v>367</v>
      </c>
      <c r="U234" s="8" t="s">
        <v>368</v>
      </c>
      <c r="V234" s="8"/>
      <c r="W234" s="8" t="s">
        <v>389</v>
      </c>
      <c r="X234" s="8" t="s">
        <v>390</v>
      </c>
      <c r="Y234" s="8" t="s">
        <v>130</v>
      </c>
      <c r="Z234" s="8"/>
    </row>
    <row r="235" customFormat="false" ht="15" hidden="false" customHeight="false" outlineLevel="0" collapsed="false">
      <c r="A235" s="8" t="s">
        <v>387</v>
      </c>
      <c r="B235" s="8" t="s">
        <v>13</v>
      </c>
      <c r="C235" s="8" t="s">
        <v>14</v>
      </c>
      <c r="D235" s="8" t="s">
        <v>91</v>
      </c>
      <c r="E235" s="8" t="s">
        <v>37</v>
      </c>
      <c r="F235" s="8" t="s">
        <v>55</v>
      </c>
      <c r="G235" s="8" t="s">
        <v>31</v>
      </c>
      <c r="H235" s="8" t="s">
        <v>30</v>
      </c>
      <c r="I235" s="8" t="n">
        <f aca="false">IF(EXACT(G235,H235),1,0)</f>
        <v>0</v>
      </c>
      <c r="J235" s="8" t="n">
        <v>2</v>
      </c>
      <c r="K235" s="8" t="s">
        <v>92</v>
      </c>
      <c r="L235" s="8" t="n">
        <v>0</v>
      </c>
      <c r="M235" s="8" t="n">
        <v>1</v>
      </c>
      <c r="N235" s="8" t="s">
        <v>93</v>
      </c>
      <c r="O235" s="8" t="n">
        <v>1</v>
      </c>
      <c r="P235" s="10" t="n">
        <v>4.36</v>
      </c>
      <c r="Q235" s="8"/>
      <c r="R235" s="8"/>
      <c r="S235" s="8" t="s">
        <v>388</v>
      </c>
      <c r="T235" s="8" t="s">
        <v>367</v>
      </c>
      <c r="U235" s="8" t="s">
        <v>368</v>
      </c>
      <c r="V235" s="8"/>
      <c r="W235" s="8" t="s">
        <v>389</v>
      </c>
      <c r="X235" s="8" t="s">
        <v>390</v>
      </c>
      <c r="Y235" s="8" t="s">
        <v>130</v>
      </c>
      <c r="Z235" s="8"/>
    </row>
    <row r="236" customFormat="false" ht="15" hidden="false" customHeight="false" outlineLevel="0" collapsed="false">
      <c r="A236" s="8" t="s">
        <v>391</v>
      </c>
      <c r="B236" s="8" t="s">
        <v>13</v>
      </c>
      <c r="C236" s="8" t="s">
        <v>14</v>
      </c>
      <c r="D236" s="8" t="s">
        <v>91</v>
      </c>
      <c r="E236" s="8" t="s">
        <v>37</v>
      </c>
      <c r="F236" s="8" t="s">
        <v>59</v>
      </c>
      <c r="G236" s="8" t="s">
        <v>31</v>
      </c>
      <c r="H236" s="8" t="s">
        <v>30</v>
      </c>
      <c r="I236" s="8" t="n">
        <f aca="false">IF(EXACT(G236,H236),1,0)</f>
        <v>0</v>
      </c>
      <c r="J236" s="8" t="n">
        <v>0</v>
      </c>
      <c r="K236" s="8" t="s">
        <v>92</v>
      </c>
      <c r="L236" s="8" t="n">
        <v>0</v>
      </c>
      <c r="M236" s="8" t="n">
        <v>1</v>
      </c>
      <c r="N236" s="8" t="s">
        <v>93</v>
      </c>
      <c r="O236" s="8" t="n">
        <v>1</v>
      </c>
      <c r="P236" s="10" t="n">
        <v>4.3</v>
      </c>
      <c r="Q236" s="8"/>
      <c r="R236" s="8"/>
      <c r="S236" s="8" t="s">
        <v>392</v>
      </c>
      <c r="T236" s="8"/>
      <c r="U236" s="8"/>
      <c r="V236" s="8" t="s">
        <v>155</v>
      </c>
      <c r="W236" s="8"/>
      <c r="X236" s="8" t="s">
        <v>393</v>
      </c>
      <c r="Y236" s="8" t="s">
        <v>394</v>
      </c>
      <c r="Z236" s="8"/>
    </row>
    <row r="237" customFormat="false" ht="15" hidden="false" customHeight="false" outlineLevel="0" collapsed="false">
      <c r="A237" s="8" t="s">
        <v>391</v>
      </c>
      <c r="B237" s="8" t="s">
        <v>13</v>
      </c>
      <c r="C237" s="8" t="s">
        <v>14</v>
      </c>
      <c r="D237" s="8" t="s">
        <v>91</v>
      </c>
      <c r="E237" s="8" t="s">
        <v>37</v>
      </c>
      <c r="F237" s="8" t="s">
        <v>59</v>
      </c>
      <c r="G237" s="8" t="s">
        <v>31</v>
      </c>
      <c r="H237" s="8" t="s">
        <v>30</v>
      </c>
      <c r="I237" s="8" t="n">
        <f aca="false">IF(EXACT(G237,H237),1,0)</f>
        <v>0</v>
      </c>
      <c r="J237" s="8" t="n">
        <v>1</v>
      </c>
      <c r="K237" s="8" t="s">
        <v>92</v>
      </c>
      <c r="L237" s="8" t="n">
        <v>0</v>
      </c>
      <c r="M237" s="8" t="n">
        <v>1</v>
      </c>
      <c r="N237" s="8" t="s">
        <v>93</v>
      </c>
      <c r="O237" s="8" t="n">
        <v>1</v>
      </c>
      <c r="P237" s="10" t="n">
        <v>4.3</v>
      </c>
      <c r="Q237" s="8"/>
      <c r="R237" s="8"/>
      <c r="S237" s="8" t="s">
        <v>392</v>
      </c>
      <c r="T237" s="8"/>
      <c r="U237" s="8"/>
      <c r="V237" s="8" t="s">
        <v>155</v>
      </c>
      <c r="W237" s="8"/>
      <c r="X237" s="8" t="s">
        <v>393</v>
      </c>
      <c r="Y237" s="8" t="s">
        <v>394</v>
      </c>
      <c r="Z237" s="8"/>
    </row>
    <row r="238" customFormat="false" ht="15" hidden="false" customHeight="false" outlineLevel="0" collapsed="false">
      <c r="A238" s="8" t="s">
        <v>391</v>
      </c>
      <c r="B238" s="8" t="s">
        <v>13</v>
      </c>
      <c r="C238" s="8" t="s">
        <v>14</v>
      </c>
      <c r="D238" s="8" t="s">
        <v>91</v>
      </c>
      <c r="E238" s="8" t="s">
        <v>37</v>
      </c>
      <c r="F238" s="8" t="s">
        <v>59</v>
      </c>
      <c r="G238" s="8" t="s">
        <v>31</v>
      </c>
      <c r="H238" s="8" t="s">
        <v>30</v>
      </c>
      <c r="I238" s="8" t="n">
        <f aca="false">IF(EXACT(G238,H238),1,0)</f>
        <v>0</v>
      </c>
      <c r="J238" s="8" t="n">
        <v>2</v>
      </c>
      <c r="K238" s="8" t="s">
        <v>92</v>
      </c>
      <c r="L238" s="8" t="n">
        <v>0</v>
      </c>
      <c r="M238" s="8" t="n">
        <v>1</v>
      </c>
      <c r="N238" s="8" t="s">
        <v>93</v>
      </c>
      <c r="O238" s="8" t="n">
        <v>1</v>
      </c>
      <c r="P238" s="10" t="n">
        <v>4.36</v>
      </c>
      <c r="Q238" s="8"/>
      <c r="R238" s="8"/>
      <c r="S238" s="8" t="s">
        <v>392</v>
      </c>
      <c r="T238" s="8"/>
      <c r="U238" s="8"/>
      <c r="V238" s="8" t="s">
        <v>155</v>
      </c>
      <c r="W238" s="8"/>
      <c r="X238" s="8" t="s">
        <v>393</v>
      </c>
      <c r="Y238" s="8" t="s">
        <v>394</v>
      </c>
      <c r="Z238" s="8"/>
    </row>
    <row r="239" customFormat="false" ht="15" hidden="false" customHeight="false" outlineLevel="0" collapsed="false">
      <c r="A239" s="8" t="s">
        <v>395</v>
      </c>
      <c r="B239" s="8" t="s">
        <v>13</v>
      </c>
      <c r="C239" s="8" t="s">
        <v>14</v>
      </c>
      <c r="D239" s="8" t="s">
        <v>91</v>
      </c>
      <c r="E239" s="8" t="s">
        <v>37</v>
      </c>
      <c r="F239" s="8" t="s">
        <v>59</v>
      </c>
      <c r="G239" s="8" t="s">
        <v>31</v>
      </c>
      <c r="H239" s="8" t="s">
        <v>30</v>
      </c>
      <c r="I239" s="8" t="n">
        <f aca="false">IF(EXACT(G239,H239),1,0)</f>
        <v>0</v>
      </c>
      <c r="J239" s="8" t="n">
        <v>0</v>
      </c>
      <c r="K239" s="8" t="s">
        <v>92</v>
      </c>
      <c r="L239" s="8" t="n">
        <v>0</v>
      </c>
      <c r="M239" s="8" t="n">
        <v>1</v>
      </c>
      <c r="N239" s="8" t="s">
        <v>93</v>
      </c>
      <c r="O239" s="8" t="n">
        <v>1</v>
      </c>
      <c r="P239" s="10" t="n">
        <v>4.31</v>
      </c>
      <c r="Q239" s="8"/>
      <c r="R239" s="8"/>
      <c r="S239" s="8" t="s">
        <v>396</v>
      </c>
      <c r="T239" s="8"/>
      <c r="U239" s="8"/>
      <c r="V239" s="8" t="s">
        <v>155</v>
      </c>
      <c r="W239" s="8"/>
      <c r="X239" s="8" t="s">
        <v>397</v>
      </c>
      <c r="Y239" s="8" t="s">
        <v>398</v>
      </c>
      <c r="Z239" s="8"/>
    </row>
    <row r="240" customFormat="false" ht="15" hidden="false" customHeight="false" outlineLevel="0" collapsed="false">
      <c r="A240" s="8" t="s">
        <v>395</v>
      </c>
      <c r="B240" s="8" t="s">
        <v>13</v>
      </c>
      <c r="C240" s="8" t="s">
        <v>14</v>
      </c>
      <c r="D240" s="8" t="s">
        <v>91</v>
      </c>
      <c r="E240" s="8" t="s">
        <v>37</v>
      </c>
      <c r="F240" s="8" t="s">
        <v>59</v>
      </c>
      <c r="G240" s="8" t="s">
        <v>31</v>
      </c>
      <c r="H240" s="8" t="s">
        <v>30</v>
      </c>
      <c r="I240" s="8" t="n">
        <f aca="false">IF(EXACT(G240,H240),1,0)</f>
        <v>0</v>
      </c>
      <c r="J240" s="8" t="n">
        <v>1</v>
      </c>
      <c r="K240" s="8" t="s">
        <v>92</v>
      </c>
      <c r="L240" s="8" t="n">
        <v>0</v>
      </c>
      <c r="M240" s="8" t="n">
        <v>1</v>
      </c>
      <c r="N240" s="8" t="s">
        <v>93</v>
      </c>
      <c r="O240" s="8" t="n">
        <v>1</v>
      </c>
      <c r="P240" s="10" t="n">
        <v>4.33</v>
      </c>
      <c r="Q240" s="8"/>
      <c r="R240" s="8"/>
      <c r="S240" s="8" t="s">
        <v>396</v>
      </c>
      <c r="T240" s="8"/>
      <c r="U240" s="8"/>
      <c r="V240" s="8" t="s">
        <v>155</v>
      </c>
      <c r="W240" s="8"/>
      <c r="X240" s="8" t="s">
        <v>397</v>
      </c>
      <c r="Y240" s="8" t="s">
        <v>398</v>
      </c>
      <c r="Z240" s="8"/>
    </row>
    <row r="241" customFormat="false" ht="15" hidden="false" customHeight="false" outlineLevel="0" collapsed="false">
      <c r="A241" s="8" t="s">
        <v>395</v>
      </c>
      <c r="B241" s="8" t="s">
        <v>13</v>
      </c>
      <c r="C241" s="8" t="s">
        <v>14</v>
      </c>
      <c r="D241" s="8" t="s">
        <v>91</v>
      </c>
      <c r="E241" s="8" t="s">
        <v>37</v>
      </c>
      <c r="F241" s="8" t="s">
        <v>59</v>
      </c>
      <c r="G241" s="8" t="s">
        <v>31</v>
      </c>
      <c r="H241" s="8" t="s">
        <v>30</v>
      </c>
      <c r="I241" s="8" t="n">
        <f aca="false">IF(EXACT(G241,H241),1,0)</f>
        <v>0</v>
      </c>
      <c r="J241" s="8" t="n">
        <v>2</v>
      </c>
      <c r="K241" s="8" t="s">
        <v>92</v>
      </c>
      <c r="L241" s="8" t="n">
        <v>0</v>
      </c>
      <c r="M241" s="8" t="n">
        <v>1</v>
      </c>
      <c r="N241" s="8" t="s">
        <v>93</v>
      </c>
      <c r="O241" s="8" t="n">
        <v>1</v>
      </c>
      <c r="P241" s="10" t="n">
        <v>4.22</v>
      </c>
      <c r="Q241" s="8"/>
      <c r="R241" s="8"/>
      <c r="S241" s="8" t="s">
        <v>396</v>
      </c>
      <c r="T241" s="8"/>
      <c r="U241" s="8"/>
      <c r="V241" s="8" t="s">
        <v>155</v>
      </c>
      <c r="W241" s="8"/>
      <c r="X241" s="8" t="s">
        <v>397</v>
      </c>
      <c r="Y241" s="8" t="s">
        <v>398</v>
      </c>
      <c r="Z241" s="8"/>
    </row>
    <row r="242" customFormat="false" ht="15" hidden="false" customHeight="false" outlineLevel="0" collapsed="false">
      <c r="A242" s="8" t="s">
        <v>399</v>
      </c>
      <c r="B242" s="8" t="s">
        <v>13</v>
      </c>
      <c r="C242" s="8" t="s">
        <v>14</v>
      </c>
      <c r="D242" s="8" t="s">
        <v>91</v>
      </c>
      <c r="E242" s="8" t="s">
        <v>37</v>
      </c>
      <c r="F242" s="8" t="s">
        <v>59</v>
      </c>
      <c r="G242" s="8" t="s">
        <v>32</v>
      </c>
      <c r="H242" s="8" t="s">
        <v>30</v>
      </c>
      <c r="I242" s="8" t="n">
        <f aca="false">IF(EXACT(G242,H242),1,0)</f>
        <v>0</v>
      </c>
      <c r="J242" s="8" t="n">
        <v>0</v>
      </c>
      <c r="K242" s="8" t="s">
        <v>92</v>
      </c>
      <c r="L242" s="8" t="n">
        <v>0</v>
      </c>
      <c r="M242" s="8" t="n">
        <v>1</v>
      </c>
      <c r="N242" s="8" t="s">
        <v>93</v>
      </c>
      <c r="O242" s="8" t="n">
        <v>1</v>
      </c>
      <c r="P242" s="10" t="n">
        <v>4.26</v>
      </c>
      <c r="Q242" s="8"/>
      <c r="R242" s="8"/>
      <c r="S242" s="8" t="s">
        <v>400</v>
      </c>
      <c r="T242" s="8"/>
      <c r="U242" s="8"/>
      <c r="V242" s="8" t="s">
        <v>155</v>
      </c>
      <c r="W242" s="8"/>
      <c r="X242" s="8" t="s">
        <v>401</v>
      </c>
      <c r="Y242" s="8" t="s">
        <v>394</v>
      </c>
      <c r="Z242" s="8"/>
    </row>
    <row r="243" customFormat="false" ht="15" hidden="false" customHeight="false" outlineLevel="0" collapsed="false">
      <c r="A243" s="8" t="s">
        <v>399</v>
      </c>
      <c r="B243" s="8" t="s">
        <v>13</v>
      </c>
      <c r="C243" s="8" t="s">
        <v>14</v>
      </c>
      <c r="D243" s="8" t="s">
        <v>91</v>
      </c>
      <c r="E243" s="8" t="s">
        <v>37</v>
      </c>
      <c r="F243" s="8" t="s">
        <v>59</v>
      </c>
      <c r="G243" s="8" t="s">
        <v>32</v>
      </c>
      <c r="H243" s="8" t="s">
        <v>30</v>
      </c>
      <c r="I243" s="8" t="n">
        <f aca="false">IF(EXACT(G243,H243),1,0)</f>
        <v>0</v>
      </c>
      <c r="J243" s="8" t="n">
        <v>1</v>
      </c>
      <c r="K243" s="8" t="s">
        <v>92</v>
      </c>
      <c r="L243" s="8" t="n">
        <v>0</v>
      </c>
      <c r="M243" s="8" t="n">
        <v>1</v>
      </c>
      <c r="N243" s="8" t="s">
        <v>93</v>
      </c>
      <c r="O243" s="8" t="n">
        <v>1</v>
      </c>
      <c r="P243" s="10" t="n">
        <v>4.31</v>
      </c>
      <c r="Q243" s="8"/>
      <c r="R243" s="8"/>
      <c r="S243" s="8" t="s">
        <v>400</v>
      </c>
      <c r="T243" s="8"/>
      <c r="U243" s="8"/>
      <c r="V243" s="8" t="s">
        <v>155</v>
      </c>
      <c r="W243" s="8"/>
      <c r="X243" s="8" t="s">
        <v>401</v>
      </c>
      <c r="Y243" s="8" t="s">
        <v>394</v>
      </c>
      <c r="Z243" s="8"/>
    </row>
    <row r="244" customFormat="false" ht="15" hidden="false" customHeight="false" outlineLevel="0" collapsed="false">
      <c r="A244" s="8" t="s">
        <v>399</v>
      </c>
      <c r="B244" s="8" t="s">
        <v>13</v>
      </c>
      <c r="C244" s="8" t="s">
        <v>14</v>
      </c>
      <c r="D244" s="8" t="s">
        <v>91</v>
      </c>
      <c r="E244" s="8" t="s">
        <v>37</v>
      </c>
      <c r="F244" s="8" t="s">
        <v>59</v>
      </c>
      <c r="G244" s="8" t="s">
        <v>32</v>
      </c>
      <c r="H244" s="8" t="s">
        <v>30</v>
      </c>
      <c r="I244" s="8" t="n">
        <f aca="false">IF(EXACT(G244,H244),1,0)</f>
        <v>0</v>
      </c>
      <c r="J244" s="8" t="n">
        <v>2</v>
      </c>
      <c r="K244" s="8" t="s">
        <v>92</v>
      </c>
      <c r="L244" s="8" t="n">
        <v>0</v>
      </c>
      <c r="M244" s="8" t="n">
        <v>1</v>
      </c>
      <c r="N244" s="8" t="s">
        <v>93</v>
      </c>
      <c r="O244" s="8" t="n">
        <v>1</v>
      </c>
      <c r="P244" s="10" t="n">
        <v>4.28</v>
      </c>
      <c r="Q244" s="8"/>
      <c r="R244" s="8"/>
      <c r="S244" s="8" t="s">
        <v>400</v>
      </c>
      <c r="T244" s="8"/>
      <c r="U244" s="8"/>
      <c r="V244" s="8" t="s">
        <v>155</v>
      </c>
      <c r="W244" s="8"/>
      <c r="X244" s="8" t="s">
        <v>401</v>
      </c>
      <c r="Y244" s="8" t="s">
        <v>394</v>
      </c>
      <c r="Z244" s="8"/>
    </row>
    <row r="245" customFormat="false" ht="15" hidden="false" customHeight="false" outlineLevel="0" collapsed="false">
      <c r="A245" s="8" t="s">
        <v>402</v>
      </c>
      <c r="B245" s="8" t="s">
        <v>13</v>
      </c>
      <c r="C245" s="8" t="s">
        <v>14</v>
      </c>
      <c r="D245" s="8" t="s">
        <v>91</v>
      </c>
      <c r="E245" s="8" t="s">
        <v>37</v>
      </c>
      <c r="F245" s="8" t="s">
        <v>59</v>
      </c>
      <c r="G245" s="8" t="s">
        <v>32</v>
      </c>
      <c r="H245" s="8" t="s">
        <v>30</v>
      </c>
      <c r="I245" s="8" t="n">
        <f aca="false">IF(EXACT(G245,H245),1,0)</f>
        <v>0</v>
      </c>
      <c r="J245" s="8" t="n">
        <v>0</v>
      </c>
      <c r="K245" s="8" t="s">
        <v>92</v>
      </c>
      <c r="L245" s="8" t="n">
        <v>0</v>
      </c>
      <c r="M245" s="8" t="n">
        <v>1</v>
      </c>
      <c r="N245" s="8" t="s">
        <v>93</v>
      </c>
      <c r="O245" s="8" t="n">
        <v>1</v>
      </c>
      <c r="P245" s="10" t="n">
        <v>4.85</v>
      </c>
      <c r="Q245" s="8"/>
      <c r="R245" s="8"/>
      <c r="S245" s="8" t="s">
        <v>403</v>
      </c>
      <c r="T245" s="8"/>
      <c r="U245" s="8"/>
      <c r="V245" s="8" t="s">
        <v>155</v>
      </c>
      <c r="W245" s="8"/>
      <c r="X245" s="8" t="s">
        <v>404</v>
      </c>
      <c r="Y245" s="8" t="s">
        <v>398</v>
      </c>
      <c r="Z245" s="8"/>
    </row>
    <row r="246" customFormat="false" ht="15" hidden="false" customHeight="false" outlineLevel="0" collapsed="false">
      <c r="A246" s="8" t="s">
        <v>402</v>
      </c>
      <c r="B246" s="8" t="s">
        <v>13</v>
      </c>
      <c r="C246" s="8" t="s">
        <v>14</v>
      </c>
      <c r="D246" s="8" t="s">
        <v>91</v>
      </c>
      <c r="E246" s="8" t="s">
        <v>37</v>
      </c>
      <c r="F246" s="8" t="s">
        <v>59</v>
      </c>
      <c r="G246" s="8" t="s">
        <v>32</v>
      </c>
      <c r="H246" s="8" t="s">
        <v>30</v>
      </c>
      <c r="I246" s="8" t="n">
        <f aca="false">IF(EXACT(G246,H246),1,0)</f>
        <v>0</v>
      </c>
      <c r="J246" s="8" t="n">
        <v>1</v>
      </c>
      <c r="K246" s="8" t="s">
        <v>92</v>
      </c>
      <c r="L246" s="8" t="n">
        <v>0</v>
      </c>
      <c r="M246" s="8" t="n">
        <v>1</v>
      </c>
      <c r="N246" s="8" t="s">
        <v>93</v>
      </c>
      <c r="O246" s="8" t="n">
        <v>1</v>
      </c>
      <c r="P246" s="10" t="n">
        <v>4.24</v>
      </c>
      <c r="Q246" s="8"/>
      <c r="R246" s="8"/>
      <c r="S246" s="8" t="s">
        <v>403</v>
      </c>
      <c r="T246" s="8"/>
      <c r="U246" s="8"/>
      <c r="V246" s="8" t="s">
        <v>155</v>
      </c>
      <c r="W246" s="8"/>
      <c r="X246" s="8" t="s">
        <v>404</v>
      </c>
      <c r="Y246" s="8" t="s">
        <v>398</v>
      </c>
      <c r="Z246" s="8"/>
    </row>
    <row r="247" customFormat="false" ht="15" hidden="false" customHeight="false" outlineLevel="0" collapsed="false">
      <c r="A247" s="8" t="s">
        <v>402</v>
      </c>
      <c r="B247" s="8" t="s">
        <v>13</v>
      </c>
      <c r="C247" s="8" t="s">
        <v>14</v>
      </c>
      <c r="D247" s="8" t="s">
        <v>91</v>
      </c>
      <c r="E247" s="8" t="s">
        <v>37</v>
      </c>
      <c r="F247" s="8" t="s">
        <v>59</v>
      </c>
      <c r="G247" s="8" t="s">
        <v>32</v>
      </c>
      <c r="H247" s="8" t="s">
        <v>30</v>
      </c>
      <c r="I247" s="8" t="n">
        <f aca="false">IF(EXACT(G247,H247),1,0)</f>
        <v>0</v>
      </c>
      <c r="J247" s="8" t="n">
        <v>2</v>
      </c>
      <c r="K247" s="8" t="s">
        <v>92</v>
      </c>
      <c r="L247" s="8" t="n">
        <v>0</v>
      </c>
      <c r="M247" s="8" t="n">
        <v>1</v>
      </c>
      <c r="N247" s="8" t="s">
        <v>93</v>
      </c>
      <c r="O247" s="8" t="n">
        <v>1</v>
      </c>
      <c r="P247" s="10" t="n">
        <v>4.28</v>
      </c>
      <c r="Q247" s="8"/>
      <c r="R247" s="8"/>
      <c r="S247" s="8" t="s">
        <v>403</v>
      </c>
      <c r="T247" s="8"/>
      <c r="U247" s="8"/>
      <c r="V247" s="8" t="s">
        <v>155</v>
      </c>
      <c r="W247" s="8"/>
      <c r="X247" s="8" t="s">
        <v>404</v>
      </c>
      <c r="Y247" s="8" t="s">
        <v>398</v>
      </c>
      <c r="Z247" s="8"/>
    </row>
    <row r="248" customFormat="false" ht="15" hidden="false" customHeight="false" outlineLevel="0" collapsed="false">
      <c r="A248" s="8" t="s">
        <v>405</v>
      </c>
      <c r="B248" s="8" t="s">
        <v>13</v>
      </c>
      <c r="C248" s="8" t="s">
        <v>14</v>
      </c>
      <c r="D248" s="8" t="s">
        <v>91</v>
      </c>
      <c r="E248" s="8" t="s">
        <v>37</v>
      </c>
      <c r="F248" s="8" t="s">
        <v>59</v>
      </c>
      <c r="G248" s="8" t="s">
        <v>30</v>
      </c>
      <c r="H248" s="8" t="s">
        <v>30</v>
      </c>
      <c r="I248" s="8" t="n">
        <f aca="false">IF(EXACT(G248,H248),1,0)</f>
        <v>1</v>
      </c>
      <c r="J248" s="8" t="n">
        <v>0</v>
      </c>
      <c r="K248" s="8" t="s">
        <v>92</v>
      </c>
      <c r="L248" s="8" t="n">
        <v>0</v>
      </c>
      <c r="M248" s="8" t="n">
        <v>1</v>
      </c>
      <c r="N248" s="8" t="s">
        <v>93</v>
      </c>
      <c r="O248" s="8" t="n">
        <v>1</v>
      </c>
      <c r="P248" s="10" t="n">
        <v>4.32</v>
      </c>
      <c r="Q248" s="8"/>
      <c r="R248" s="8"/>
      <c r="S248" s="8" t="s">
        <v>406</v>
      </c>
      <c r="T248" s="8"/>
      <c r="U248" s="8"/>
      <c r="V248" s="8" t="s">
        <v>155</v>
      </c>
      <c r="W248" s="8"/>
      <c r="X248" s="8" t="s">
        <v>407</v>
      </c>
      <c r="Y248" s="8" t="s">
        <v>398</v>
      </c>
      <c r="Z248" s="8"/>
    </row>
    <row r="249" customFormat="false" ht="15" hidden="false" customHeight="false" outlineLevel="0" collapsed="false">
      <c r="A249" s="8" t="s">
        <v>405</v>
      </c>
      <c r="B249" s="8" t="s">
        <v>13</v>
      </c>
      <c r="C249" s="8" t="s">
        <v>14</v>
      </c>
      <c r="D249" s="8" t="s">
        <v>91</v>
      </c>
      <c r="E249" s="8" t="s">
        <v>37</v>
      </c>
      <c r="F249" s="8" t="s">
        <v>59</v>
      </c>
      <c r="G249" s="8" t="s">
        <v>30</v>
      </c>
      <c r="H249" s="8" t="s">
        <v>30</v>
      </c>
      <c r="I249" s="8" t="n">
        <f aca="false">IF(EXACT(G249,H249),1,0)</f>
        <v>1</v>
      </c>
      <c r="J249" s="8" t="n">
        <v>1</v>
      </c>
      <c r="K249" s="8" t="s">
        <v>92</v>
      </c>
      <c r="L249" s="8" t="n">
        <v>0</v>
      </c>
      <c r="M249" s="8" t="n">
        <v>1</v>
      </c>
      <c r="N249" s="8" t="s">
        <v>93</v>
      </c>
      <c r="O249" s="8" t="n">
        <v>1</v>
      </c>
      <c r="P249" s="10" t="n">
        <v>4.23</v>
      </c>
      <c r="Q249" s="8"/>
      <c r="R249" s="8"/>
      <c r="S249" s="8" t="s">
        <v>406</v>
      </c>
      <c r="T249" s="8"/>
      <c r="U249" s="8"/>
      <c r="V249" s="8" t="s">
        <v>155</v>
      </c>
      <c r="W249" s="8"/>
      <c r="X249" s="8" t="s">
        <v>407</v>
      </c>
      <c r="Y249" s="8" t="s">
        <v>398</v>
      </c>
      <c r="Z249" s="8"/>
    </row>
    <row r="250" customFormat="false" ht="15" hidden="false" customHeight="false" outlineLevel="0" collapsed="false">
      <c r="A250" s="8" t="s">
        <v>405</v>
      </c>
      <c r="B250" s="8" t="s">
        <v>13</v>
      </c>
      <c r="C250" s="8" t="s">
        <v>14</v>
      </c>
      <c r="D250" s="8" t="s">
        <v>91</v>
      </c>
      <c r="E250" s="8" t="s">
        <v>37</v>
      </c>
      <c r="F250" s="8" t="s">
        <v>59</v>
      </c>
      <c r="G250" s="8" t="s">
        <v>30</v>
      </c>
      <c r="H250" s="8" t="s">
        <v>30</v>
      </c>
      <c r="I250" s="8" t="n">
        <f aca="false">IF(EXACT(G250,H250),1,0)</f>
        <v>1</v>
      </c>
      <c r="J250" s="8" t="n">
        <v>2</v>
      </c>
      <c r="K250" s="8" t="s">
        <v>92</v>
      </c>
      <c r="L250" s="8" t="n">
        <v>0</v>
      </c>
      <c r="M250" s="8" t="n">
        <v>1</v>
      </c>
      <c r="N250" s="8" t="s">
        <v>93</v>
      </c>
      <c r="O250" s="8" t="n">
        <v>1</v>
      </c>
      <c r="P250" s="10" t="n">
        <v>4.23</v>
      </c>
      <c r="Q250" s="8"/>
      <c r="R250" s="8"/>
      <c r="S250" s="8" t="s">
        <v>406</v>
      </c>
      <c r="T250" s="8"/>
      <c r="U250" s="8"/>
      <c r="V250" s="8" t="s">
        <v>155</v>
      </c>
      <c r="W250" s="8"/>
      <c r="X250" s="8" t="s">
        <v>407</v>
      </c>
      <c r="Y250" s="8" t="s">
        <v>398</v>
      </c>
      <c r="Z250" s="8"/>
    </row>
    <row r="251" customFormat="false" ht="15" hidden="false" customHeight="false" outlineLevel="0" collapsed="false">
      <c r="A251" s="8" t="s">
        <v>408</v>
      </c>
      <c r="B251" s="8" t="s">
        <v>13</v>
      </c>
      <c r="C251" s="8" t="s">
        <v>14</v>
      </c>
      <c r="D251" s="8" t="s">
        <v>91</v>
      </c>
      <c r="E251" s="8" t="s">
        <v>37</v>
      </c>
      <c r="F251" s="8" t="s">
        <v>59</v>
      </c>
      <c r="G251" s="8" t="s">
        <v>30</v>
      </c>
      <c r="H251" s="8" t="s">
        <v>30</v>
      </c>
      <c r="I251" s="8" t="n">
        <f aca="false">IF(EXACT(G251,H251),1,0)</f>
        <v>1</v>
      </c>
      <c r="J251" s="8" t="n">
        <v>0</v>
      </c>
      <c r="K251" s="8" t="s">
        <v>92</v>
      </c>
      <c r="L251" s="8" t="n">
        <v>0</v>
      </c>
      <c r="M251" s="8" t="n">
        <v>1</v>
      </c>
      <c r="N251" s="8" t="s">
        <v>93</v>
      </c>
      <c r="O251" s="8" t="n">
        <v>1</v>
      </c>
      <c r="P251" s="10" t="n">
        <v>4.33</v>
      </c>
      <c r="Q251" s="8"/>
      <c r="R251" s="8"/>
      <c r="S251" s="8" t="s">
        <v>409</v>
      </c>
      <c r="T251" s="8"/>
      <c r="U251" s="8"/>
      <c r="V251" s="8" t="s">
        <v>155</v>
      </c>
      <c r="W251" s="8"/>
      <c r="X251" s="8" t="s">
        <v>410</v>
      </c>
      <c r="Y251" s="8" t="s">
        <v>394</v>
      </c>
      <c r="Z251" s="8"/>
    </row>
    <row r="252" customFormat="false" ht="15" hidden="false" customHeight="false" outlineLevel="0" collapsed="false">
      <c r="A252" s="8" t="s">
        <v>408</v>
      </c>
      <c r="B252" s="8" t="s">
        <v>13</v>
      </c>
      <c r="C252" s="8" t="s">
        <v>14</v>
      </c>
      <c r="D252" s="8" t="s">
        <v>91</v>
      </c>
      <c r="E252" s="8" t="s">
        <v>37</v>
      </c>
      <c r="F252" s="8" t="s">
        <v>59</v>
      </c>
      <c r="G252" s="8" t="s">
        <v>30</v>
      </c>
      <c r="H252" s="8" t="s">
        <v>30</v>
      </c>
      <c r="I252" s="8" t="n">
        <f aca="false">IF(EXACT(G252,H252),1,0)</f>
        <v>1</v>
      </c>
      <c r="J252" s="8" t="n">
        <v>1</v>
      </c>
      <c r="K252" s="8" t="s">
        <v>92</v>
      </c>
      <c r="L252" s="8" t="n">
        <v>0</v>
      </c>
      <c r="M252" s="8" t="n">
        <v>1</v>
      </c>
      <c r="N252" s="8" t="s">
        <v>93</v>
      </c>
      <c r="O252" s="8" t="n">
        <v>1</v>
      </c>
      <c r="P252" s="10" t="n">
        <v>4.32</v>
      </c>
      <c r="Q252" s="8"/>
      <c r="R252" s="8"/>
      <c r="S252" s="8" t="s">
        <v>409</v>
      </c>
      <c r="T252" s="8"/>
      <c r="U252" s="8"/>
      <c r="V252" s="8" t="s">
        <v>155</v>
      </c>
      <c r="W252" s="8"/>
      <c r="X252" s="8" t="s">
        <v>410</v>
      </c>
      <c r="Y252" s="8" t="s">
        <v>394</v>
      </c>
      <c r="Z252" s="8"/>
    </row>
    <row r="253" customFormat="false" ht="15" hidden="false" customHeight="false" outlineLevel="0" collapsed="false">
      <c r="A253" s="8" t="s">
        <v>408</v>
      </c>
      <c r="B253" s="8" t="s">
        <v>13</v>
      </c>
      <c r="C253" s="8" t="s">
        <v>14</v>
      </c>
      <c r="D253" s="8" t="s">
        <v>91</v>
      </c>
      <c r="E253" s="8" t="s">
        <v>37</v>
      </c>
      <c r="F253" s="8" t="s">
        <v>59</v>
      </c>
      <c r="G253" s="8" t="s">
        <v>30</v>
      </c>
      <c r="H253" s="8" t="s">
        <v>30</v>
      </c>
      <c r="I253" s="8" t="n">
        <f aca="false">IF(EXACT(G253,H253),1,0)</f>
        <v>1</v>
      </c>
      <c r="J253" s="8" t="n">
        <v>2</v>
      </c>
      <c r="K253" s="8" t="s">
        <v>92</v>
      </c>
      <c r="L253" s="8" t="n">
        <v>0</v>
      </c>
      <c r="M253" s="8" t="n">
        <v>1</v>
      </c>
      <c r="N253" s="8" t="s">
        <v>93</v>
      </c>
      <c r="O253" s="8" t="n">
        <v>1</v>
      </c>
      <c r="P253" s="10" t="n">
        <v>4.34</v>
      </c>
      <c r="Q253" s="8"/>
      <c r="R253" s="8"/>
      <c r="S253" s="8" t="s">
        <v>409</v>
      </c>
      <c r="T253" s="8"/>
      <c r="U253" s="8"/>
      <c r="V253" s="8" t="s">
        <v>155</v>
      </c>
      <c r="W253" s="8"/>
      <c r="X253" s="8" t="s">
        <v>410</v>
      </c>
      <c r="Y253" s="8" t="s">
        <v>394</v>
      </c>
      <c r="Z253" s="8"/>
    </row>
    <row r="254" customFormat="false" ht="15" hidden="false" customHeight="false" outlineLevel="0" collapsed="false">
      <c r="A254" s="8" t="s">
        <v>411</v>
      </c>
      <c r="B254" s="8" t="s">
        <v>13</v>
      </c>
      <c r="C254" s="8" t="s">
        <v>14</v>
      </c>
      <c r="D254" s="8" t="s">
        <v>91</v>
      </c>
      <c r="E254" s="8" t="s">
        <v>37</v>
      </c>
      <c r="F254" s="8" t="s">
        <v>60</v>
      </c>
      <c r="G254" s="8" t="s">
        <v>31</v>
      </c>
      <c r="H254" s="8" t="s">
        <v>30</v>
      </c>
      <c r="I254" s="8" t="n">
        <f aca="false">IF(EXACT(G254,H254),1,0)</f>
        <v>0</v>
      </c>
      <c r="J254" s="8" t="n">
        <v>0</v>
      </c>
      <c r="K254" s="8" t="s">
        <v>92</v>
      </c>
      <c r="L254" s="8" t="n">
        <v>0</v>
      </c>
      <c r="M254" s="8" t="n">
        <v>1</v>
      </c>
      <c r="N254" s="8" t="s">
        <v>93</v>
      </c>
      <c r="O254" s="8" t="n">
        <v>1</v>
      </c>
      <c r="P254" s="10" t="n">
        <v>4.42</v>
      </c>
      <c r="Q254" s="8"/>
      <c r="R254" s="8"/>
      <c r="S254" s="8" t="s">
        <v>412</v>
      </c>
      <c r="T254" s="8"/>
      <c r="U254" s="8"/>
      <c r="V254" s="8" t="s">
        <v>155</v>
      </c>
      <c r="W254" s="8"/>
      <c r="X254" s="8" t="s">
        <v>413</v>
      </c>
      <c r="Y254" s="8" t="s">
        <v>394</v>
      </c>
      <c r="Z254" s="8"/>
    </row>
    <row r="255" customFormat="false" ht="15" hidden="false" customHeight="false" outlineLevel="0" collapsed="false">
      <c r="A255" s="8" t="s">
        <v>411</v>
      </c>
      <c r="B255" s="8" t="s">
        <v>13</v>
      </c>
      <c r="C255" s="8" t="s">
        <v>14</v>
      </c>
      <c r="D255" s="8" t="s">
        <v>91</v>
      </c>
      <c r="E255" s="8" t="s">
        <v>37</v>
      </c>
      <c r="F255" s="8" t="s">
        <v>60</v>
      </c>
      <c r="G255" s="8" t="s">
        <v>31</v>
      </c>
      <c r="H255" s="8" t="s">
        <v>30</v>
      </c>
      <c r="I255" s="8" t="n">
        <f aca="false">IF(EXACT(G255,H255),1,0)</f>
        <v>0</v>
      </c>
      <c r="J255" s="8" t="n">
        <v>1</v>
      </c>
      <c r="K255" s="8" t="s">
        <v>92</v>
      </c>
      <c r="L255" s="8" t="n">
        <v>0</v>
      </c>
      <c r="M255" s="8" t="n">
        <v>1</v>
      </c>
      <c r="N255" s="8" t="s">
        <v>93</v>
      </c>
      <c r="O255" s="8" t="n">
        <v>1</v>
      </c>
      <c r="P255" s="10" t="n">
        <v>4.4</v>
      </c>
      <c r="Q255" s="8"/>
      <c r="R255" s="8"/>
      <c r="S255" s="8" t="s">
        <v>412</v>
      </c>
      <c r="T255" s="8"/>
      <c r="U255" s="8"/>
      <c r="V255" s="8" t="s">
        <v>155</v>
      </c>
      <c r="W255" s="8"/>
      <c r="X255" s="8" t="s">
        <v>413</v>
      </c>
      <c r="Y255" s="8" t="s">
        <v>394</v>
      </c>
      <c r="Z255" s="8"/>
    </row>
    <row r="256" customFormat="false" ht="15" hidden="false" customHeight="false" outlineLevel="0" collapsed="false">
      <c r="A256" s="8" t="s">
        <v>411</v>
      </c>
      <c r="B256" s="8" t="s">
        <v>13</v>
      </c>
      <c r="C256" s="8" t="s">
        <v>14</v>
      </c>
      <c r="D256" s="8" t="s">
        <v>91</v>
      </c>
      <c r="E256" s="8" t="s">
        <v>37</v>
      </c>
      <c r="F256" s="8" t="s">
        <v>60</v>
      </c>
      <c r="G256" s="8" t="s">
        <v>31</v>
      </c>
      <c r="H256" s="8" t="s">
        <v>30</v>
      </c>
      <c r="I256" s="8" t="n">
        <f aca="false">IF(EXACT(G256,H256),1,0)</f>
        <v>0</v>
      </c>
      <c r="J256" s="8" t="n">
        <v>2</v>
      </c>
      <c r="K256" s="8" t="s">
        <v>92</v>
      </c>
      <c r="L256" s="8" t="n">
        <v>0</v>
      </c>
      <c r="M256" s="8" t="n">
        <v>1</v>
      </c>
      <c r="N256" s="8" t="s">
        <v>93</v>
      </c>
      <c r="O256" s="8" t="n">
        <v>1</v>
      </c>
      <c r="P256" s="10" t="n">
        <v>4.35</v>
      </c>
      <c r="Q256" s="8"/>
      <c r="R256" s="8"/>
      <c r="S256" s="8" t="s">
        <v>412</v>
      </c>
      <c r="T256" s="8"/>
      <c r="U256" s="8"/>
      <c r="V256" s="8" t="s">
        <v>155</v>
      </c>
      <c r="W256" s="8"/>
      <c r="X256" s="8" t="s">
        <v>413</v>
      </c>
      <c r="Y256" s="8" t="s">
        <v>394</v>
      </c>
      <c r="Z256" s="8"/>
    </row>
    <row r="257" customFormat="false" ht="15" hidden="false" customHeight="false" outlineLevel="0" collapsed="false">
      <c r="A257" s="8" t="s">
        <v>414</v>
      </c>
      <c r="B257" s="8" t="s">
        <v>13</v>
      </c>
      <c r="C257" s="8" t="s">
        <v>14</v>
      </c>
      <c r="D257" s="8" t="s">
        <v>91</v>
      </c>
      <c r="E257" s="8" t="s">
        <v>37</v>
      </c>
      <c r="F257" s="8" t="s">
        <v>60</v>
      </c>
      <c r="G257" s="8" t="s">
        <v>31</v>
      </c>
      <c r="H257" s="8" t="s">
        <v>30</v>
      </c>
      <c r="I257" s="8" t="n">
        <f aca="false">IF(EXACT(G257,H257),1,0)</f>
        <v>0</v>
      </c>
      <c r="J257" s="8" t="n">
        <v>0</v>
      </c>
      <c r="K257" s="8" t="s">
        <v>92</v>
      </c>
      <c r="L257" s="8" t="n">
        <v>0</v>
      </c>
      <c r="M257" s="8" t="n">
        <v>1</v>
      </c>
      <c r="N257" s="8" t="s">
        <v>93</v>
      </c>
      <c r="O257" s="8" t="n">
        <v>1</v>
      </c>
      <c r="P257" s="10" t="n">
        <v>4.31</v>
      </c>
      <c r="Q257" s="8"/>
      <c r="R257" s="8"/>
      <c r="S257" s="8" t="s">
        <v>415</v>
      </c>
      <c r="T257" s="8"/>
      <c r="U257" s="8"/>
      <c r="V257" s="8" t="s">
        <v>155</v>
      </c>
      <c r="W257" s="8"/>
      <c r="X257" s="8" t="s">
        <v>416</v>
      </c>
      <c r="Y257" s="8" t="s">
        <v>398</v>
      </c>
      <c r="Z257" s="8"/>
    </row>
    <row r="258" customFormat="false" ht="15" hidden="false" customHeight="false" outlineLevel="0" collapsed="false">
      <c r="A258" s="8" t="s">
        <v>414</v>
      </c>
      <c r="B258" s="8" t="s">
        <v>13</v>
      </c>
      <c r="C258" s="8" t="s">
        <v>14</v>
      </c>
      <c r="D258" s="8" t="s">
        <v>91</v>
      </c>
      <c r="E258" s="8" t="s">
        <v>37</v>
      </c>
      <c r="F258" s="8" t="s">
        <v>60</v>
      </c>
      <c r="G258" s="8" t="s">
        <v>31</v>
      </c>
      <c r="H258" s="8" t="s">
        <v>30</v>
      </c>
      <c r="I258" s="8" t="n">
        <f aca="false">IF(EXACT(G258,H258),1,0)</f>
        <v>0</v>
      </c>
      <c r="J258" s="8" t="n">
        <v>1</v>
      </c>
      <c r="K258" s="8" t="s">
        <v>92</v>
      </c>
      <c r="L258" s="8" t="n">
        <v>0</v>
      </c>
      <c r="M258" s="8" t="n">
        <v>1</v>
      </c>
      <c r="N258" s="8" t="s">
        <v>93</v>
      </c>
      <c r="O258" s="8" t="n">
        <v>1</v>
      </c>
      <c r="P258" s="10" t="n">
        <v>4.33</v>
      </c>
      <c r="Q258" s="8"/>
      <c r="R258" s="8"/>
      <c r="S258" s="8" t="s">
        <v>415</v>
      </c>
      <c r="T258" s="8"/>
      <c r="U258" s="8"/>
      <c r="V258" s="8" t="s">
        <v>155</v>
      </c>
      <c r="W258" s="8"/>
      <c r="X258" s="8" t="s">
        <v>416</v>
      </c>
      <c r="Y258" s="8" t="s">
        <v>398</v>
      </c>
      <c r="Z258" s="8"/>
    </row>
    <row r="259" customFormat="false" ht="15" hidden="false" customHeight="false" outlineLevel="0" collapsed="false">
      <c r="A259" s="8" t="s">
        <v>414</v>
      </c>
      <c r="B259" s="8" t="s">
        <v>13</v>
      </c>
      <c r="C259" s="8" t="s">
        <v>14</v>
      </c>
      <c r="D259" s="8" t="s">
        <v>91</v>
      </c>
      <c r="E259" s="8" t="s">
        <v>37</v>
      </c>
      <c r="F259" s="8" t="s">
        <v>60</v>
      </c>
      <c r="G259" s="8" t="s">
        <v>31</v>
      </c>
      <c r="H259" s="8" t="s">
        <v>30</v>
      </c>
      <c r="I259" s="8" t="n">
        <f aca="false">IF(EXACT(G259,H259),1,0)</f>
        <v>0</v>
      </c>
      <c r="J259" s="8" t="n">
        <v>2</v>
      </c>
      <c r="K259" s="8" t="s">
        <v>92</v>
      </c>
      <c r="L259" s="8" t="n">
        <v>0</v>
      </c>
      <c r="M259" s="8" t="n">
        <v>1</v>
      </c>
      <c r="N259" s="8" t="s">
        <v>93</v>
      </c>
      <c r="O259" s="8" t="n">
        <v>1</v>
      </c>
      <c r="P259" s="10" t="n">
        <v>4.38</v>
      </c>
      <c r="Q259" s="8"/>
      <c r="R259" s="8"/>
      <c r="S259" s="8" t="s">
        <v>415</v>
      </c>
      <c r="T259" s="8"/>
      <c r="U259" s="8"/>
      <c r="V259" s="8" t="s">
        <v>155</v>
      </c>
      <c r="W259" s="8"/>
      <c r="X259" s="8" t="s">
        <v>416</v>
      </c>
      <c r="Y259" s="8" t="s">
        <v>398</v>
      </c>
      <c r="Z259" s="8"/>
    </row>
    <row r="260" customFormat="false" ht="15" hidden="false" customHeight="false" outlineLevel="0" collapsed="false">
      <c r="A260" s="8" t="s">
        <v>417</v>
      </c>
      <c r="B260" s="8" t="s">
        <v>13</v>
      </c>
      <c r="C260" s="8" t="s">
        <v>14</v>
      </c>
      <c r="D260" s="8" t="s">
        <v>91</v>
      </c>
      <c r="E260" s="8" t="s">
        <v>37</v>
      </c>
      <c r="F260" s="8" t="s">
        <v>60</v>
      </c>
      <c r="G260" s="8" t="s">
        <v>32</v>
      </c>
      <c r="H260" s="8" t="s">
        <v>30</v>
      </c>
      <c r="I260" s="8" t="n">
        <f aca="false">IF(EXACT(G260,H260),1,0)</f>
        <v>0</v>
      </c>
      <c r="J260" s="8" t="n">
        <v>0</v>
      </c>
      <c r="K260" s="8" t="s">
        <v>92</v>
      </c>
      <c r="L260" s="8" t="n">
        <v>0</v>
      </c>
      <c r="M260" s="8" t="n">
        <v>1</v>
      </c>
      <c r="N260" s="8" t="s">
        <v>93</v>
      </c>
      <c r="O260" s="8" t="n">
        <v>1</v>
      </c>
      <c r="P260" s="10" t="n">
        <v>4.42</v>
      </c>
      <c r="Q260" s="8"/>
      <c r="R260" s="8"/>
      <c r="S260" s="8" t="s">
        <v>418</v>
      </c>
      <c r="T260" s="8"/>
      <c r="U260" s="8"/>
      <c r="V260" s="8" t="s">
        <v>155</v>
      </c>
      <c r="W260" s="8"/>
      <c r="X260" s="8" t="s">
        <v>419</v>
      </c>
      <c r="Y260" s="8" t="s">
        <v>420</v>
      </c>
      <c r="Z260" s="8"/>
    </row>
    <row r="261" customFormat="false" ht="15" hidden="false" customHeight="false" outlineLevel="0" collapsed="false">
      <c r="A261" s="8" t="s">
        <v>417</v>
      </c>
      <c r="B261" s="8" t="s">
        <v>13</v>
      </c>
      <c r="C261" s="8" t="s">
        <v>14</v>
      </c>
      <c r="D261" s="8" t="s">
        <v>91</v>
      </c>
      <c r="E261" s="8" t="s">
        <v>37</v>
      </c>
      <c r="F261" s="8" t="s">
        <v>60</v>
      </c>
      <c r="G261" s="8" t="s">
        <v>32</v>
      </c>
      <c r="H261" s="8" t="s">
        <v>30</v>
      </c>
      <c r="I261" s="8" t="n">
        <f aca="false">IF(EXACT(G261,H261),1,0)</f>
        <v>0</v>
      </c>
      <c r="J261" s="8" t="n">
        <v>1</v>
      </c>
      <c r="K261" s="8" t="s">
        <v>92</v>
      </c>
      <c r="L261" s="8" t="n">
        <v>0</v>
      </c>
      <c r="M261" s="8" t="n">
        <v>1</v>
      </c>
      <c r="N261" s="8" t="s">
        <v>93</v>
      </c>
      <c r="O261" s="8" t="n">
        <v>1</v>
      </c>
      <c r="P261" s="10" t="n">
        <v>4.31</v>
      </c>
      <c r="Q261" s="8"/>
      <c r="R261" s="8"/>
      <c r="S261" s="8" t="s">
        <v>418</v>
      </c>
      <c r="T261" s="8"/>
      <c r="U261" s="8"/>
      <c r="V261" s="8" t="s">
        <v>155</v>
      </c>
      <c r="W261" s="8"/>
      <c r="X261" s="8" t="s">
        <v>419</v>
      </c>
      <c r="Y261" s="8" t="s">
        <v>420</v>
      </c>
      <c r="Z261" s="8"/>
    </row>
    <row r="262" customFormat="false" ht="15" hidden="false" customHeight="false" outlineLevel="0" collapsed="false">
      <c r="A262" s="8" t="s">
        <v>417</v>
      </c>
      <c r="B262" s="8" t="s">
        <v>13</v>
      </c>
      <c r="C262" s="8" t="s">
        <v>14</v>
      </c>
      <c r="D262" s="8" t="s">
        <v>91</v>
      </c>
      <c r="E262" s="8" t="s">
        <v>37</v>
      </c>
      <c r="F262" s="8" t="s">
        <v>60</v>
      </c>
      <c r="G262" s="8" t="s">
        <v>32</v>
      </c>
      <c r="H262" s="8" t="s">
        <v>30</v>
      </c>
      <c r="I262" s="8" t="n">
        <f aca="false">IF(EXACT(G262,H262),1,0)</f>
        <v>0</v>
      </c>
      <c r="J262" s="8" t="n">
        <v>2</v>
      </c>
      <c r="K262" s="8" t="s">
        <v>92</v>
      </c>
      <c r="L262" s="8" t="n">
        <v>0</v>
      </c>
      <c r="M262" s="8" t="n">
        <v>1</v>
      </c>
      <c r="N262" s="8" t="s">
        <v>93</v>
      </c>
      <c r="O262" s="8" t="n">
        <v>1</v>
      </c>
      <c r="P262" s="10" t="n">
        <v>4.38</v>
      </c>
      <c r="Q262" s="8"/>
      <c r="R262" s="8"/>
      <c r="S262" s="8" t="s">
        <v>418</v>
      </c>
      <c r="T262" s="8"/>
      <c r="U262" s="8"/>
      <c r="V262" s="8" t="s">
        <v>155</v>
      </c>
      <c r="W262" s="8"/>
      <c r="X262" s="8" t="s">
        <v>419</v>
      </c>
      <c r="Y262" s="8" t="s">
        <v>420</v>
      </c>
      <c r="Z262" s="8"/>
    </row>
    <row r="263" customFormat="false" ht="15" hidden="false" customHeight="false" outlineLevel="0" collapsed="false">
      <c r="A263" s="8" t="s">
        <v>421</v>
      </c>
      <c r="B263" s="8" t="s">
        <v>13</v>
      </c>
      <c r="C263" s="8" t="s">
        <v>14</v>
      </c>
      <c r="D263" s="8" t="s">
        <v>91</v>
      </c>
      <c r="E263" s="8" t="s">
        <v>37</v>
      </c>
      <c r="F263" s="8" t="s">
        <v>60</v>
      </c>
      <c r="G263" s="8" t="s">
        <v>32</v>
      </c>
      <c r="H263" s="8" t="s">
        <v>30</v>
      </c>
      <c r="I263" s="8" t="n">
        <f aca="false">IF(EXACT(G263,H263),1,0)</f>
        <v>0</v>
      </c>
      <c r="J263" s="8" t="n">
        <v>0</v>
      </c>
      <c r="K263" s="8" t="s">
        <v>92</v>
      </c>
      <c r="L263" s="8" t="n">
        <v>0</v>
      </c>
      <c r="M263" s="8" t="n">
        <v>1</v>
      </c>
      <c r="N263" s="8" t="s">
        <v>93</v>
      </c>
      <c r="O263" s="8" t="n">
        <v>1</v>
      </c>
      <c r="P263" s="10" t="n">
        <v>4.28</v>
      </c>
      <c r="Q263" s="8"/>
      <c r="R263" s="8"/>
      <c r="S263" s="8" t="s">
        <v>422</v>
      </c>
      <c r="T263" s="8"/>
      <c r="U263" s="8"/>
      <c r="V263" s="8" t="s">
        <v>155</v>
      </c>
      <c r="W263" s="8"/>
      <c r="X263" s="8" t="s">
        <v>423</v>
      </c>
      <c r="Y263" s="8" t="s">
        <v>398</v>
      </c>
      <c r="Z263" s="8"/>
    </row>
    <row r="264" customFormat="false" ht="15" hidden="false" customHeight="false" outlineLevel="0" collapsed="false">
      <c r="A264" s="8" t="s">
        <v>421</v>
      </c>
      <c r="B264" s="8" t="s">
        <v>13</v>
      </c>
      <c r="C264" s="8" t="s">
        <v>14</v>
      </c>
      <c r="D264" s="8" t="s">
        <v>91</v>
      </c>
      <c r="E264" s="8" t="s">
        <v>37</v>
      </c>
      <c r="F264" s="8" t="s">
        <v>60</v>
      </c>
      <c r="G264" s="8" t="s">
        <v>32</v>
      </c>
      <c r="H264" s="8" t="s">
        <v>30</v>
      </c>
      <c r="I264" s="8" t="n">
        <f aca="false">IF(EXACT(G264,H264),1,0)</f>
        <v>0</v>
      </c>
      <c r="J264" s="8" t="n">
        <v>1</v>
      </c>
      <c r="K264" s="8" t="s">
        <v>92</v>
      </c>
      <c r="L264" s="8" t="n">
        <v>0</v>
      </c>
      <c r="M264" s="8" t="n">
        <v>1</v>
      </c>
      <c r="N264" s="8" t="s">
        <v>93</v>
      </c>
      <c r="O264" s="8" t="n">
        <v>1</v>
      </c>
      <c r="P264" s="10" t="n">
        <v>4.47</v>
      </c>
      <c r="Q264" s="8"/>
      <c r="R264" s="8"/>
      <c r="S264" s="8" t="s">
        <v>422</v>
      </c>
      <c r="T264" s="8"/>
      <c r="U264" s="8"/>
      <c r="V264" s="8" t="s">
        <v>155</v>
      </c>
      <c r="W264" s="8"/>
      <c r="X264" s="8" t="s">
        <v>423</v>
      </c>
      <c r="Y264" s="8" t="s">
        <v>398</v>
      </c>
      <c r="Z264" s="8"/>
    </row>
    <row r="265" customFormat="false" ht="15" hidden="false" customHeight="false" outlineLevel="0" collapsed="false">
      <c r="A265" s="8" t="s">
        <v>421</v>
      </c>
      <c r="B265" s="8" t="s">
        <v>13</v>
      </c>
      <c r="C265" s="8" t="s">
        <v>14</v>
      </c>
      <c r="D265" s="8" t="s">
        <v>91</v>
      </c>
      <c r="E265" s="8" t="s">
        <v>37</v>
      </c>
      <c r="F265" s="8" t="s">
        <v>60</v>
      </c>
      <c r="G265" s="8" t="s">
        <v>32</v>
      </c>
      <c r="H265" s="8" t="s">
        <v>30</v>
      </c>
      <c r="I265" s="8" t="n">
        <f aca="false">IF(EXACT(G265,H265),1,0)</f>
        <v>0</v>
      </c>
      <c r="J265" s="8" t="n">
        <v>2</v>
      </c>
      <c r="K265" s="8" t="s">
        <v>92</v>
      </c>
      <c r="L265" s="8" t="n">
        <v>0</v>
      </c>
      <c r="M265" s="8" t="n">
        <v>1</v>
      </c>
      <c r="N265" s="8" t="s">
        <v>93</v>
      </c>
      <c r="O265" s="8" t="n">
        <v>1</v>
      </c>
      <c r="P265" s="10" t="n">
        <v>4.33</v>
      </c>
      <c r="Q265" s="8"/>
      <c r="R265" s="8"/>
      <c r="S265" s="8" t="s">
        <v>422</v>
      </c>
      <c r="T265" s="8"/>
      <c r="U265" s="8"/>
      <c r="V265" s="8" t="s">
        <v>155</v>
      </c>
      <c r="W265" s="8"/>
      <c r="X265" s="8" t="s">
        <v>423</v>
      </c>
      <c r="Y265" s="8" t="s">
        <v>398</v>
      </c>
      <c r="Z265" s="8"/>
    </row>
    <row r="266" customFormat="false" ht="15" hidden="false" customHeight="false" outlineLevel="0" collapsed="false">
      <c r="A266" s="8" t="s">
        <v>424</v>
      </c>
      <c r="B266" s="8" t="s">
        <v>13</v>
      </c>
      <c r="C266" s="8" t="s">
        <v>14</v>
      </c>
      <c r="D266" s="8" t="s">
        <v>91</v>
      </c>
      <c r="E266" s="8" t="s">
        <v>37</v>
      </c>
      <c r="F266" s="8" t="s">
        <v>60</v>
      </c>
      <c r="G266" s="8" t="s">
        <v>30</v>
      </c>
      <c r="H266" s="8" t="s">
        <v>30</v>
      </c>
      <c r="I266" s="8" t="n">
        <f aca="false">IF(EXACT(G266,H266),1,0)</f>
        <v>1</v>
      </c>
      <c r="J266" s="8" t="n">
        <v>0</v>
      </c>
      <c r="K266" s="8" t="s">
        <v>92</v>
      </c>
      <c r="L266" s="8" t="n">
        <v>0</v>
      </c>
      <c r="M266" s="8" t="n">
        <v>1</v>
      </c>
      <c r="N266" s="8" t="s">
        <v>93</v>
      </c>
      <c r="O266" s="8" t="n">
        <v>1</v>
      </c>
      <c r="P266" s="10" t="n">
        <v>4.31</v>
      </c>
      <c r="Q266" s="8"/>
      <c r="R266" s="8"/>
      <c r="S266" s="8" t="s">
        <v>425</v>
      </c>
      <c r="T266" s="8"/>
      <c r="U266" s="8"/>
      <c r="V266" s="8" t="s">
        <v>155</v>
      </c>
      <c r="W266" s="8"/>
      <c r="X266" s="8" t="s">
        <v>426</v>
      </c>
      <c r="Y266" s="8" t="s">
        <v>398</v>
      </c>
      <c r="Z266" s="8"/>
    </row>
    <row r="267" customFormat="false" ht="15" hidden="false" customHeight="false" outlineLevel="0" collapsed="false">
      <c r="A267" s="8" t="s">
        <v>424</v>
      </c>
      <c r="B267" s="8" t="s">
        <v>13</v>
      </c>
      <c r="C267" s="8" t="s">
        <v>14</v>
      </c>
      <c r="D267" s="8" t="s">
        <v>91</v>
      </c>
      <c r="E267" s="8" t="s">
        <v>37</v>
      </c>
      <c r="F267" s="8" t="s">
        <v>60</v>
      </c>
      <c r="G267" s="8" t="s">
        <v>30</v>
      </c>
      <c r="H267" s="8" t="s">
        <v>30</v>
      </c>
      <c r="I267" s="8" t="n">
        <f aca="false">IF(EXACT(G267,H267),1,0)</f>
        <v>1</v>
      </c>
      <c r="J267" s="8" t="n">
        <v>1</v>
      </c>
      <c r="K267" s="8" t="s">
        <v>92</v>
      </c>
      <c r="L267" s="8" t="n">
        <v>0</v>
      </c>
      <c r="M267" s="8" t="n">
        <v>1</v>
      </c>
      <c r="N267" s="8" t="s">
        <v>93</v>
      </c>
      <c r="O267" s="8" t="n">
        <v>1</v>
      </c>
      <c r="P267" s="10" t="n">
        <v>4.41</v>
      </c>
      <c r="Q267" s="8"/>
      <c r="R267" s="8"/>
      <c r="S267" s="8" t="s">
        <v>425</v>
      </c>
      <c r="T267" s="8"/>
      <c r="U267" s="8"/>
      <c r="V267" s="8" t="s">
        <v>155</v>
      </c>
      <c r="W267" s="8"/>
      <c r="X267" s="8" t="s">
        <v>426</v>
      </c>
      <c r="Y267" s="8" t="s">
        <v>398</v>
      </c>
      <c r="Z267" s="8"/>
    </row>
    <row r="268" customFormat="false" ht="15" hidden="false" customHeight="false" outlineLevel="0" collapsed="false">
      <c r="A268" s="8" t="s">
        <v>424</v>
      </c>
      <c r="B268" s="8" t="s">
        <v>13</v>
      </c>
      <c r="C268" s="8" t="s">
        <v>14</v>
      </c>
      <c r="D268" s="8" t="s">
        <v>91</v>
      </c>
      <c r="E268" s="8" t="s">
        <v>37</v>
      </c>
      <c r="F268" s="8" t="s">
        <v>60</v>
      </c>
      <c r="G268" s="8" t="s">
        <v>30</v>
      </c>
      <c r="H268" s="8" t="s">
        <v>30</v>
      </c>
      <c r="I268" s="8" t="n">
        <f aca="false">IF(EXACT(G268,H268),1,0)</f>
        <v>1</v>
      </c>
      <c r="J268" s="8" t="n">
        <v>2</v>
      </c>
      <c r="K268" s="8" t="s">
        <v>92</v>
      </c>
      <c r="L268" s="8" t="n">
        <v>0</v>
      </c>
      <c r="M268" s="8" t="n">
        <v>1</v>
      </c>
      <c r="N268" s="8" t="s">
        <v>93</v>
      </c>
      <c r="O268" s="8" t="n">
        <v>1</v>
      </c>
      <c r="P268" s="10" t="n">
        <v>4.35</v>
      </c>
      <c r="Q268" s="8"/>
      <c r="R268" s="8"/>
      <c r="S268" s="8" t="s">
        <v>425</v>
      </c>
      <c r="T268" s="8"/>
      <c r="U268" s="8"/>
      <c r="V268" s="8" t="s">
        <v>155</v>
      </c>
      <c r="W268" s="8"/>
      <c r="X268" s="8" t="s">
        <v>426</v>
      </c>
      <c r="Y268" s="8" t="s">
        <v>398</v>
      </c>
      <c r="Z268" s="8"/>
    </row>
    <row r="269" customFormat="false" ht="15" hidden="false" customHeight="false" outlineLevel="0" collapsed="false">
      <c r="A269" s="8" t="s">
        <v>427</v>
      </c>
      <c r="B269" s="8" t="s">
        <v>13</v>
      </c>
      <c r="C269" s="8" t="s">
        <v>14</v>
      </c>
      <c r="D269" s="8" t="s">
        <v>91</v>
      </c>
      <c r="E269" s="8" t="s">
        <v>37</v>
      </c>
      <c r="F269" s="8" t="s">
        <v>60</v>
      </c>
      <c r="G269" s="8" t="s">
        <v>30</v>
      </c>
      <c r="H269" s="8" t="s">
        <v>30</v>
      </c>
      <c r="I269" s="8" t="n">
        <f aca="false">IF(EXACT(G269,H269),1,0)</f>
        <v>1</v>
      </c>
      <c r="J269" s="8" t="n">
        <v>0</v>
      </c>
      <c r="K269" s="8" t="s">
        <v>92</v>
      </c>
      <c r="L269" s="8" t="n">
        <v>0</v>
      </c>
      <c r="M269" s="8" t="n">
        <v>1</v>
      </c>
      <c r="N269" s="8" t="s">
        <v>93</v>
      </c>
      <c r="O269" s="8" t="n">
        <v>1</v>
      </c>
      <c r="P269" s="10" t="n">
        <v>4.35</v>
      </c>
      <c r="Q269" s="8"/>
      <c r="R269" s="8"/>
      <c r="S269" s="8" t="s">
        <v>428</v>
      </c>
      <c r="T269" s="8"/>
      <c r="U269" s="8"/>
      <c r="V269" s="8" t="s">
        <v>155</v>
      </c>
      <c r="W269" s="8"/>
      <c r="X269" s="8" t="s">
        <v>429</v>
      </c>
      <c r="Y269" s="8" t="s">
        <v>420</v>
      </c>
      <c r="Z269" s="8"/>
    </row>
    <row r="270" customFormat="false" ht="15" hidden="false" customHeight="false" outlineLevel="0" collapsed="false">
      <c r="A270" s="8" t="s">
        <v>427</v>
      </c>
      <c r="B270" s="8" t="s">
        <v>13</v>
      </c>
      <c r="C270" s="8" t="s">
        <v>14</v>
      </c>
      <c r="D270" s="8" t="s">
        <v>91</v>
      </c>
      <c r="E270" s="8" t="s">
        <v>37</v>
      </c>
      <c r="F270" s="8" t="s">
        <v>60</v>
      </c>
      <c r="G270" s="8" t="s">
        <v>30</v>
      </c>
      <c r="H270" s="8" t="s">
        <v>30</v>
      </c>
      <c r="I270" s="8" t="n">
        <f aca="false">IF(EXACT(G270,H270),1,0)</f>
        <v>1</v>
      </c>
      <c r="J270" s="8" t="n">
        <v>1</v>
      </c>
      <c r="K270" s="8" t="s">
        <v>92</v>
      </c>
      <c r="L270" s="8" t="n">
        <v>0</v>
      </c>
      <c r="M270" s="8" t="n">
        <v>1</v>
      </c>
      <c r="N270" s="8" t="s">
        <v>93</v>
      </c>
      <c r="O270" s="8" t="n">
        <v>1</v>
      </c>
      <c r="P270" s="10" t="n">
        <v>4.3</v>
      </c>
      <c r="Q270" s="8"/>
      <c r="R270" s="8"/>
      <c r="S270" s="8" t="s">
        <v>428</v>
      </c>
      <c r="T270" s="8"/>
      <c r="U270" s="8"/>
      <c r="V270" s="8" t="s">
        <v>155</v>
      </c>
      <c r="W270" s="8"/>
      <c r="X270" s="8" t="s">
        <v>429</v>
      </c>
      <c r="Y270" s="8" t="s">
        <v>420</v>
      </c>
      <c r="Z270" s="8"/>
    </row>
    <row r="271" customFormat="false" ht="15" hidden="false" customHeight="false" outlineLevel="0" collapsed="false">
      <c r="A271" s="8" t="s">
        <v>427</v>
      </c>
      <c r="B271" s="8" t="s">
        <v>13</v>
      </c>
      <c r="C271" s="8" t="s">
        <v>14</v>
      </c>
      <c r="D271" s="8" t="s">
        <v>91</v>
      </c>
      <c r="E271" s="8" t="s">
        <v>37</v>
      </c>
      <c r="F271" s="8" t="s">
        <v>60</v>
      </c>
      <c r="G271" s="8" t="s">
        <v>30</v>
      </c>
      <c r="H271" s="8" t="s">
        <v>30</v>
      </c>
      <c r="I271" s="8" t="n">
        <f aca="false">IF(EXACT(G271,H271),1,0)</f>
        <v>1</v>
      </c>
      <c r="J271" s="8" t="n">
        <v>2</v>
      </c>
      <c r="K271" s="8" t="s">
        <v>92</v>
      </c>
      <c r="L271" s="8" t="n">
        <v>0</v>
      </c>
      <c r="M271" s="8" t="n">
        <v>1</v>
      </c>
      <c r="N271" s="8" t="s">
        <v>93</v>
      </c>
      <c r="O271" s="8" t="n">
        <v>1</v>
      </c>
      <c r="P271" s="10" t="n">
        <v>4.31</v>
      </c>
      <c r="Q271" s="8"/>
      <c r="R271" s="8"/>
      <c r="S271" s="8" t="s">
        <v>428</v>
      </c>
      <c r="T271" s="8"/>
      <c r="U271" s="8"/>
      <c r="V271" s="8" t="s">
        <v>155</v>
      </c>
      <c r="W271" s="8"/>
      <c r="X271" s="8" t="s">
        <v>429</v>
      </c>
      <c r="Y271" s="8" t="s">
        <v>420</v>
      </c>
      <c r="Z271" s="8"/>
    </row>
    <row r="272" customFormat="false" ht="15" hidden="false" customHeight="false" outlineLevel="0" collapsed="false">
      <c r="A272" s="8" t="s">
        <v>430</v>
      </c>
      <c r="B272" s="8" t="s">
        <v>13</v>
      </c>
      <c r="C272" s="8" t="s">
        <v>14</v>
      </c>
      <c r="D272" s="8" t="s">
        <v>91</v>
      </c>
      <c r="E272" s="8" t="s">
        <v>38</v>
      </c>
      <c r="F272" s="8" t="s">
        <v>44</v>
      </c>
      <c r="G272" s="8" t="s">
        <v>31</v>
      </c>
      <c r="H272" s="8" t="s">
        <v>31</v>
      </c>
      <c r="I272" s="8" t="n">
        <f aca="false">IF(EXACT(G272,H272),1,0)</f>
        <v>1</v>
      </c>
      <c r="J272" s="8" t="n">
        <v>0</v>
      </c>
      <c r="K272" s="8" t="s">
        <v>140</v>
      </c>
      <c r="L272" s="8" t="n">
        <v>1</v>
      </c>
      <c r="M272" s="8" t="n">
        <v>1</v>
      </c>
      <c r="N272" s="8" t="s">
        <v>93</v>
      </c>
      <c r="O272" s="8" t="n">
        <v>1</v>
      </c>
      <c r="P272" s="10" t="n">
        <v>3.77</v>
      </c>
      <c r="Q272" s="8"/>
      <c r="R272" s="8"/>
      <c r="S272" s="8" t="s">
        <v>117</v>
      </c>
      <c r="T272" s="8" t="s">
        <v>431</v>
      </c>
      <c r="U272" s="8" t="s">
        <v>432</v>
      </c>
      <c r="V272" s="8"/>
      <c r="W272" s="8" t="s">
        <v>433</v>
      </c>
      <c r="X272" s="8" t="s">
        <v>434</v>
      </c>
      <c r="Y272" s="8" t="s">
        <v>108</v>
      </c>
      <c r="Z272" s="8" t="s">
        <v>435</v>
      </c>
    </row>
    <row r="273" customFormat="false" ht="15" hidden="false" customHeight="false" outlineLevel="0" collapsed="false">
      <c r="A273" s="8" t="s">
        <v>430</v>
      </c>
      <c r="B273" s="8" t="s">
        <v>13</v>
      </c>
      <c r="C273" s="8" t="s">
        <v>14</v>
      </c>
      <c r="D273" s="8" t="s">
        <v>91</v>
      </c>
      <c r="E273" s="8" t="s">
        <v>38</v>
      </c>
      <c r="F273" s="8" t="s">
        <v>44</v>
      </c>
      <c r="G273" s="8" t="s">
        <v>31</v>
      </c>
      <c r="H273" s="8" t="s">
        <v>31</v>
      </c>
      <c r="I273" s="8" t="n">
        <f aca="false">IF(EXACT(G273,H273),1,0)</f>
        <v>1</v>
      </c>
      <c r="J273" s="8" t="n">
        <v>1</v>
      </c>
      <c r="K273" s="8" t="s">
        <v>140</v>
      </c>
      <c r="L273" s="8" t="n">
        <v>1</v>
      </c>
      <c r="M273" s="8" t="n">
        <v>1</v>
      </c>
      <c r="N273" s="8" t="s">
        <v>93</v>
      </c>
      <c r="O273" s="8" t="n">
        <v>1</v>
      </c>
      <c r="P273" s="10" t="n">
        <v>3.78</v>
      </c>
      <c r="Q273" s="8"/>
      <c r="R273" s="8"/>
      <c r="S273" s="8" t="s">
        <v>117</v>
      </c>
      <c r="T273" s="8" t="s">
        <v>431</v>
      </c>
      <c r="U273" s="8" t="s">
        <v>432</v>
      </c>
      <c r="V273" s="8"/>
      <c r="W273" s="8" t="s">
        <v>433</v>
      </c>
      <c r="X273" s="8" t="s">
        <v>434</v>
      </c>
      <c r="Y273" s="8" t="s">
        <v>108</v>
      </c>
      <c r="Z273" s="8" t="s">
        <v>435</v>
      </c>
    </row>
    <row r="274" customFormat="false" ht="15" hidden="false" customHeight="false" outlineLevel="0" collapsed="false">
      <c r="A274" s="8" t="s">
        <v>430</v>
      </c>
      <c r="B274" s="8" t="s">
        <v>13</v>
      </c>
      <c r="C274" s="8" t="s">
        <v>14</v>
      </c>
      <c r="D274" s="8" t="s">
        <v>91</v>
      </c>
      <c r="E274" s="8" t="s">
        <v>38</v>
      </c>
      <c r="F274" s="8" t="s">
        <v>44</v>
      </c>
      <c r="G274" s="8" t="s">
        <v>31</v>
      </c>
      <c r="H274" s="8" t="s">
        <v>31</v>
      </c>
      <c r="I274" s="8" t="n">
        <f aca="false">IF(EXACT(G274,H274),1,0)</f>
        <v>1</v>
      </c>
      <c r="J274" s="8" t="n">
        <v>2</v>
      </c>
      <c r="K274" s="8" t="s">
        <v>140</v>
      </c>
      <c r="L274" s="8" t="n">
        <v>1</v>
      </c>
      <c r="M274" s="8" t="n">
        <v>1</v>
      </c>
      <c r="N274" s="8" t="s">
        <v>93</v>
      </c>
      <c r="O274" s="8" t="n">
        <v>1</v>
      </c>
      <c r="P274" s="10" t="n">
        <v>3.74</v>
      </c>
      <c r="Q274" s="8"/>
      <c r="R274" s="8"/>
      <c r="S274" s="8" t="s">
        <v>117</v>
      </c>
      <c r="T274" s="8" t="s">
        <v>431</v>
      </c>
      <c r="U274" s="8" t="s">
        <v>432</v>
      </c>
      <c r="V274" s="8"/>
      <c r="W274" s="8" t="s">
        <v>433</v>
      </c>
      <c r="X274" s="8" t="s">
        <v>434</v>
      </c>
      <c r="Y274" s="8" t="s">
        <v>108</v>
      </c>
      <c r="Z274" s="8" t="s">
        <v>435</v>
      </c>
    </row>
    <row r="275" customFormat="false" ht="15" hidden="false" customHeight="false" outlineLevel="0" collapsed="false">
      <c r="A275" s="8" t="s">
        <v>436</v>
      </c>
      <c r="B275" s="8" t="s">
        <v>13</v>
      </c>
      <c r="C275" s="8" t="s">
        <v>14</v>
      </c>
      <c r="D275" s="8" t="s">
        <v>91</v>
      </c>
      <c r="E275" s="8" t="s">
        <v>38</v>
      </c>
      <c r="F275" s="8" t="s">
        <v>44</v>
      </c>
      <c r="G275" s="8" t="s">
        <v>32</v>
      </c>
      <c r="H275" s="8" t="s">
        <v>30</v>
      </c>
      <c r="I275" s="8" t="n">
        <f aca="false">IF(EXACT(G275,H275),1,0)</f>
        <v>0</v>
      </c>
      <c r="J275" s="8" t="n">
        <v>0</v>
      </c>
      <c r="K275" s="8" t="s">
        <v>92</v>
      </c>
      <c r="L275" s="8" t="n">
        <v>0</v>
      </c>
      <c r="M275" s="8" t="n">
        <v>1</v>
      </c>
      <c r="N275" s="8" t="s">
        <v>93</v>
      </c>
      <c r="O275" s="8" t="n">
        <v>1</v>
      </c>
      <c r="P275" s="10" t="n">
        <v>3.85</v>
      </c>
      <c r="Q275" s="8"/>
      <c r="R275" s="8"/>
      <c r="S275" s="8" t="s">
        <v>132</v>
      </c>
      <c r="T275" s="8" t="s">
        <v>437</v>
      </c>
      <c r="U275" s="8" t="s">
        <v>438</v>
      </c>
      <c r="V275" s="8"/>
      <c r="W275" s="8" t="s">
        <v>439</v>
      </c>
      <c r="X275" s="8" t="s">
        <v>440</v>
      </c>
      <c r="Y275" s="8" t="s">
        <v>108</v>
      </c>
      <c r="Z275" s="8"/>
    </row>
    <row r="276" customFormat="false" ht="15" hidden="false" customHeight="false" outlineLevel="0" collapsed="false">
      <c r="A276" s="8" t="s">
        <v>436</v>
      </c>
      <c r="B276" s="8" t="s">
        <v>13</v>
      </c>
      <c r="C276" s="8" t="s">
        <v>14</v>
      </c>
      <c r="D276" s="8" t="s">
        <v>91</v>
      </c>
      <c r="E276" s="8" t="s">
        <v>38</v>
      </c>
      <c r="F276" s="8" t="s">
        <v>44</v>
      </c>
      <c r="G276" s="8" t="s">
        <v>32</v>
      </c>
      <c r="H276" s="8" t="s">
        <v>30</v>
      </c>
      <c r="I276" s="8" t="n">
        <f aca="false">IF(EXACT(G276,H276),1,0)</f>
        <v>0</v>
      </c>
      <c r="J276" s="8" t="n">
        <v>1</v>
      </c>
      <c r="K276" s="8" t="s">
        <v>92</v>
      </c>
      <c r="L276" s="8" t="n">
        <v>0</v>
      </c>
      <c r="M276" s="8" t="n">
        <v>1</v>
      </c>
      <c r="N276" s="8" t="s">
        <v>93</v>
      </c>
      <c r="O276" s="8" t="n">
        <v>1</v>
      </c>
      <c r="P276" s="10" t="n">
        <v>3.67</v>
      </c>
      <c r="Q276" s="8"/>
      <c r="R276" s="8"/>
      <c r="S276" s="8" t="s">
        <v>132</v>
      </c>
      <c r="T276" s="8" t="s">
        <v>437</v>
      </c>
      <c r="U276" s="8" t="s">
        <v>438</v>
      </c>
      <c r="V276" s="8"/>
      <c r="W276" s="8" t="s">
        <v>439</v>
      </c>
      <c r="X276" s="8" t="s">
        <v>440</v>
      </c>
      <c r="Y276" s="8" t="s">
        <v>108</v>
      </c>
      <c r="Z276" s="8"/>
    </row>
    <row r="277" customFormat="false" ht="15" hidden="false" customHeight="false" outlineLevel="0" collapsed="false">
      <c r="A277" s="8" t="s">
        <v>436</v>
      </c>
      <c r="B277" s="8" t="s">
        <v>13</v>
      </c>
      <c r="C277" s="8" t="s">
        <v>14</v>
      </c>
      <c r="D277" s="8" t="s">
        <v>91</v>
      </c>
      <c r="E277" s="8" t="s">
        <v>38</v>
      </c>
      <c r="F277" s="8" t="s">
        <v>44</v>
      </c>
      <c r="G277" s="8" t="s">
        <v>32</v>
      </c>
      <c r="H277" s="8" t="s">
        <v>30</v>
      </c>
      <c r="I277" s="8" t="n">
        <f aca="false">IF(EXACT(G277,H277),1,0)</f>
        <v>0</v>
      </c>
      <c r="J277" s="8" t="n">
        <v>2</v>
      </c>
      <c r="K277" s="8" t="s">
        <v>92</v>
      </c>
      <c r="L277" s="8" t="n">
        <v>0</v>
      </c>
      <c r="M277" s="8" t="n">
        <v>1</v>
      </c>
      <c r="N277" s="8" t="s">
        <v>93</v>
      </c>
      <c r="O277" s="8" t="n">
        <v>1</v>
      </c>
      <c r="P277" s="10" t="n">
        <v>3.67</v>
      </c>
      <c r="Q277" s="8"/>
      <c r="R277" s="8"/>
      <c r="S277" s="8" t="s">
        <v>132</v>
      </c>
      <c r="T277" s="8" t="s">
        <v>437</v>
      </c>
      <c r="U277" s="8" t="s">
        <v>438</v>
      </c>
      <c r="V277" s="8"/>
      <c r="W277" s="8" t="s">
        <v>439</v>
      </c>
      <c r="X277" s="8" t="s">
        <v>440</v>
      </c>
      <c r="Y277" s="8" t="s">
        <v>108</v>
      </c>
      <c r="Z277" s="8"/>
    </row>
    <row r="278" customFormat="false" ht="15" hidden="false" customHeight="false" outlineLevel="0" collapsed="false">
      <c r="A278" s="8" t="s">
        <v>441</v>
      </c>
      <c r="B278" s="8" t="s">
        <v>13</v>
      </c>
      <c r="C278" s="8" t="s">
        <v>14</v>
      </c>
      <c r="D278" s="8" t="s">
        <v>91</v>
      </c>
      <c r="E278" s="8" t="s">
        <v>38</v>
      </c>
      <c r="F278" s="8" t="s">
        <v>44</v>
      </c>
      <c r="G278" s="8" t="s">
        <v>31</v>
      </c>
      <c r="H278" s="8" t="s">
        <v>31</v>
      </c>
      <c r="I278" s="8" t="n">
        <f aca="false">IF(EXACT(G278,H278),1,0)</f>
        <v>1</v>
      </c>
      <c r="J278" s="8" t="n">
        <v>0</v>
      </c>
      <c r="K278" s="8" t="s">
        <v>140</v>
      </c>
      <c r="L278" s="8" t="n">
        <v>1</v>
      </c>
      <c r="M278" s="8" t="n">
        <v>1</v>
      </c>
      <c r="N278" s="8" t="s">
        <v>93</v>
      </c>
      <c r="O278" s="8" t="n">
        <v>1</v>
      </c>
      <c r="P278" s="10" t="n">
        <v>3.67</v>
      </c>
      <c r="Q278" s="8"/>
      <c r="R278" s="8"/>
      <c r="S278" s="8" t="s">
        <v>347</v>
      </c>
      <c r="T278" s="8" t="s">
        <v>431</v>
      </c>
      <c r="U278" s="8" t="s">
        <v>432</v>
      </c>
      <c r="V278" s="8"/>
      <c r="W278" s="8" t="s">
        <v>442</v>
      </c>
      <c r="X278" s="8" t="s">
        <v>443</v>
      </c>
      <c r="Y278" s="8" t="s">
        <v>108</v>
      </c>
      <c r="Z278" s="8" t="s">
        <v>435</v>
      </c>
    </row>
    <row r="279" customFormat="false" ht="15" hidden="false" customHeight="false" outlineLevel="0" collapsed="false">
      <c r="A279" s="8" t="s">
        <v>441</v>
      </c>
      <c r="B279" s="8" t="s">
        <v>13</v>
      </c>
      <c r="C279" s="8" t="s">
        <v>14</v>
      </c>
      <c r="D279" s="8" t="s">
        <v>91</v>
      </c>
      <c r="E279" s="8" t="s">
        <v>38</v>
      </c>
      <c r="F279" s="8" t="s">
        <v>44</v>
      </c>
      <c r="G279" s="8" t="s">
        <v>31</v>
      </c>
      <c r="H279" s="8" t="s">
        <v>31</v>
      </c>
      <c r="I279" s="8" t="n">
        <f aca="false">IF(EXACT(G279,H279),1,0)</f>
        <v>1</v>
      </c>
      <c r="J279" s="8" t="n">
        <v>1</v>
      </c>
      <c r="K279" s="8" t="s">
        <v>140</v>
      </c>
      <c r="L279" s="8" t="n">
        <v>1</v>
      </c>
      <c r="M279" s="8" t="n">
        <v>1</v>
      </c>
      <c r="N279" s="8" t="s">
        <v>93</v>
      </c>
      <c r="O279" s="8" t="n">
        <v>1</v>
      </c>
      <c r="P279" s="10" t="n">
        <v>3.71</v>
      </c>
      <c r="Q279" s="8"/>
      <c r="R279" s="8"/>
      <c r="S279" s="8" t="s">
        <v>347</v>
      </c>
      <c r="T279" s="8" t="s">
        <v>431</v>
      </c>
      <c r="U279" s="8" t="s">
        <v>432</v>
      </c>
      <c r="V279" s="8"/>
      <c r="W279" s="8" t="s">
        <v>442</v>
      </c>
      <c r="X279" s="8" t="s">
        <v>443</v>
      </c>
      <c r="Y279" s="8" t="s">
        <v>108</v>
      </c>
      <c r="Z279" s="8" t="s">
        <v>435</v>
      </c>
    </row>
    <row r="280" customFormat="false" ht="15" hidden="false" customHeight="false" outlineLevel="0" collapsed="false">
      <c r="A280" s="8" t="s">
        <v>441</v>
      </c>
      <c r="B280" s="8" t="s">
        <v>13</v>
      </c>
      <c r="C280" s="8" t="s">
        <v>14</v>
      </c>
      <c r="D280" s="8" t="s">
        <v>91</v>
      </c>
      <c r="E280" s="8" t="s">
        <v>38</v>
      </c>
      <c r="F280" s="8" t="s">
        <v>44</v>
      </c>
      <c r="G280" s="8" t="s">
        <v>31</v>
      </c>
      <c r="H280" s="8" t="s">
        <v>31</v>
      </c>
      <c r="I280" s="8" t="n">
        <f aca="false">IF(EXACT(G280,H280),1,0)</f>
        <v>1</v>
      </c>
      <c r="J280" s="8" t="n">
        <v>2</v>
      </c>
      <c r="K280" s="8" t="s">
        <v>140</v>
      </c>
      <c r="L280" s="8" t="n">
        <v>1</v>
      </c>
      <c r="M280" s="8" t="n">
        <v>1</v>
      </c>
      <c r="N280" s="8" t="s">
        <v>93</v>
      </c>
      <c r="O280" s="8" t="n">
        <v>1</v>
      </c>
      <c r="P280" s="10" t="n">
        <v>3.64</v>
      </c>
      <c r="Q280" s="8"/>
      <c r="R280" s="8"/>
      <c r="S280" s="8" t="s">
        <v>347</v>
      </c>
      <c r="T280" s="8" t="s">
        <v>431</v>
      </c>
      <c r="U280" s="8" t="s">
        <v>432</v>
      </c>
      <c r="V280" s="8"/>
      <c r="W280" s="8" t="s">
        <v>442</v>
      </c>
      <c r="X280" s="8" t="s">
        <v>443</v>
      </c>
      <c r="Y280" s="8" t="s">
        <v>108</v>
      </c>
      <c r="Z280" s="8" t="s">
        <v>435</v>
      </c>
    </row>
    <row r="281" customFormat="false" ht="15" hidden="false" customHeight="false" outlineLevel="0" collapsed="false">
      <c r="A281" s="8" t="s">
        <v>444</v>
      </c>
      <c r="B281" s="8" t="s">
        <v>13</v>
      </c>
      <c r="C281" s="8" t="s">
        <v>14</v>
      </c>
      <c r="D281" s="8" t="s">
        <v>91</v>
      </c>
      <c r="E281" s="8" t="s">
        <v>38</v>
      </c>
      <c r="F281" s="8" t="s">
        <v>44</v>
      </c>
      <c r="G281" s="8" t="s">
        <v>30</v>
      </c>
      <c r="H281" s="8" t="s">
        <v>30</v>
      </c>
      <c r="I281" s="8" t="n">
        <f aca="false">IF(EXACT(G281,H281),1,0)</f>
        <v>1</v>
      </c>
      <c r="J281" s="8" t="n">
        <v>0</v>
      </c>
      <c r="K281" s="8" t="s">
        <v>92</v>
      </c>
      <c r="L281" s="8" t="n">
        <v>0</v>
      </c>
      <c r="M281" s="8" t="n">
        <v>1</v>
      </c>
      <c r="N281" s="8" t="s">
        <v>93</v>
      </c>
      <c r="O281" s="8" t="n">
        <v>1</v>
      </c>
      <c r="P281" s="10" t="n">
        <v>4.25</v>
      </c>
      <c r="Q281" s="8"/>
      <c r="R281" s="8"/>
      <c r="S281" s="8" t="s">
        <v>366</v>
      </c>
      <c r="T281" s="8" t="s">
        <v>445</v>
      </c>
      <c r="U281" s="8" t="s">
        <v>446</v>
      </c>
      <c r="V281" s="8"/>
      <c r="W281" s="8" t="s">
        <v>447</v>
      </c>
      <c r="X281" s="8" t="s">
        <v>448</v>
      </c>
      <c r="Y281" s="8" t="s">
        <v>99</v>
      </c>
      <c r="Z281" s="8"/>
    </row>
    <row r="282" customFormat="false" ht="15" hidden="false" customHeight="false" outlineLevel="0" collapsed="false">
      <c r="A282" s="8" t="s">
        <v>444</v>
      </c>
      <c r="B282" s="8" t="s">
        <v>13</v>
      </c>
      <c r="C282" s="8" t="s">
        <v>14</v>
      </c>
      <c r="D282" s="8" t="s">
        <v>91</v>
      </c>
      <c r="E282" s="8" t="s">
        <v>38</v>
      </c>
      <c r="F282" s="8" t="s">
        <v>44</v>
      </c>
      <c r="G282" s="8" t="s">
        <v>30</v>
      </c>
      <c r="H282" s="8" t="s">
        <v>30</v>
      </c>
      <c r="I282" s="8" t="n">
        <f aca="false">IF(EXACT(G282,H282),1,0)</f>
        <v>1</v>
      </c>
      <c r="J282" s="8" t="n">
        <v>1</v>
      </c>
      <c r="K282" s="8" t="s">
        <v>92</v>
      </c>
      <c r="L282" s="8" t="n">
        <v>0</v>
      </c>
      <c r="M282" s="8" t="n">
        <v>1</v>
      </c>
      <c r="N282" s="8" t="s">
        <v>93</v>
      </c>
      <c r="O282" s="8" t="n">
        <v>1</v>
      </c>
      <c r="P282" s="10" t="n">
        <v>4.18</v>
      </c>
      <c r="Q282" s="8"/>
      <c r="R282" s="8"/>
      <c r="S282" s="8" t="s">
        <v>366</v>
      </c>
      <c r="T282" s="8" t="s">
        <v>445</v>
      </c>
      <c r="U282" s="8" t="s">
        <v>446</v>
      </c>
      <c r="V282" s="8"/>
      <c r="W282" s="8" t="s">
        <v>447</v>
      </c>
      <c r="X282" s="8" t="s">
        <v>448</v>
      </c>
      <c r="Y282" s="8" t="s">
        <v>99</v>
      </c>
      <c r="Z282" s="8"/>
    </row>
    <row r="283" customFormat="false" ht="15" hidden="false" customHeight="false" outlineLevel="0" collapsed="false">
      <c r="A283" s="8" t="s">
        <v>444</v>
      </c>
      <c r="B283" s="8" t="s">
        <v>13</v>
      </c>
      <c r="C283" s="8" t="s">
        <v>14</v>
      </c>
      <c r="D283" s="8" t="s">
        <v>91</v>
      </c>
      <c r="E283" s="8" t="s">
        <v>38</v>
      </c>
      <c r="F283" s="8" t="s">
        <v>44</v>
      </c>
      <c r="G283" s="8" t="s">
        <v>30</v>
      </c>
      <c r="H283" s="8" t="s">
        <v>30</v>
      </c>
      <c r="I283" s="8" t="n">
        <f aca="false">IF(EXACT(G283,H283),1,0)</f>
        <v>1</v>
      </c>
      <c r="J283" s="8" t="n">
        <v>2</v>
      </c>
      <c r="K283" s="8" t="s">
        <v>92</v>
      </c>
      <c r="L283" s="8" t="n">
        <v>0</v>
      </c>
      <c r="M283" s="8" t="n">
        <v>1</v>
      </c>
      <c r="N283" s="8" t="s">
        <v>93</v>
      </c>
      <c r="O283" s="8" t="n">
        <v>1</v>
      </c>
      <c r="P283" s="10" t="n">
        <v>4.25</v>
      </c>
      <c r="Q283" s="8"/>
      <c r="R283" s="8"/>
      <c r="S283" s="8" t="s">
        <v>366</v>
      </c>
      <c r="T283" s="8" t="s">
        <v>445</v>
      </c>
      <c r="U283" s="8" t="s">
        <v>446</v>
      </c>
      <c r="V283" s="8"/>
      <c r="W283" s="8" t="s">
        <v>447</v>
      </c>
      <c r="X283" s="8" t="s">
        <v>448</v>
      </c>
      <c r="Y283" s="8" t="s">
        <v>99</v>
      </c>
      <c r="Z283" s="8"/>
    </row>
    <row r="284" customFormat="false" ht="15" hidden="false" customHeight="false" outlineLevel="0" collapsed="false">
      <c r="A284" s="8" t="s">
        <v>449</v>
      </c>
      <c r="B284" s="8" t="s">
        <v>13</v>
      </c>
      <c r="C284" s="8" t="s">
        <v>14</v>
      </c>
      <c r="D284" s="8" t="s">
        <v>91</v>
      </c>
      <c r="E284" s="8" t="s">
        <v>38</v>
      </c>
      <c r="F284" s="8" t="s">
        <v>44</v>
      </c>
      <c r="G284" s="8" t="s">
        <v>30</v>
      </c>
      <c r="H284" s="8" t="s">
        <v>30</v>
      </c>
      <c r="I284" s="8" t="n">
        <f aca="false">IF(EXACT(G284,H284),1,0)</f>
        <v>1</v>
      </c>
      <c r="J284" s="8" t="n">
        <v>0</v>
      </c>
      <c r="K284" s="8" t="s">
        <v>92</v>
      </c>
      <c r="L284" s="8" t="n">
        <v>0</v>
      </c>
      <c r="M284" s="8" t="n">
        <v>1</v>
      </c>
      <c r="N284" s="8" t="s">
        <v>93</v>
      </c>
      <c r="O284" s="8" t="n">
        <v>1</v>
      </c>
      <c r="P284" s="10" t="n">
        <v>3.77</v>
      </c>
      <c r="Q284" s="8"/>
      <c r="R284" s="8"/>
      <c r="S284" s="8" t="s">
        <v>150</v>
      </c>
      <c r="T284" s="8" t="s">
        <v>450</v>
      </c>
      <c r="U284" s="8" t="s">
        <v>451</v>
      </c>
      <c r="V284" s="8"/>
      <c r="W284" s="8" t="s">
        <v>452</v>
      </c>
      <c r="X284" s="8" t="s">
        <v>453</v>
      </c>
      <c r="Y284" s="8" t="s">
        <v>190</v>
      </c>
      <c r="Z284" s="8"/>
    </row>
    <row r="285" customFormat="false" ht="15" hidden="false" customHeight="false" outlineLevel="0" collapsed="false">
      <c r="A285" s="8" t="s">
        <v>449</v>
      </c>
      <c r="B285" s="8" t="s">
        <v>13</v>
      </c>
      <c r="C285" s="8" t="s">
        <v>14</v>
      </c>
      <c r="D285" s="8" t="s">
        <v>91</v>
      </c>
      <c r="E285" s="8" t="s">
        <v>38</v>
      </c>
      <c r="F285" s="8" t="s">
        <v>44</v>
      </c>
      <c r="G285" s="8" t="s">
        <v>30</v>
      </c>
      <c r="H285" s="8" t="s">
        <v>30</v>
      </c>
      <c r="I285" s="8" t="n">
        <f aca="false">IF(EXACT(G285,H285),1,0)</f>
        <v>1</v>
      </c>
      <c r="J285" s="8" t="n">
        <v>1</v>
      </c>
      <c r="K285" s="8" t="s">
        <v>92</v>
      </c>
      <c r="L285" s="8" t="n">
        <v>0</v>
      </c>
      <c r="M285" s="8" t="n">
        <v>1</v>
      </c>
      <c r="N285" s="8" t="s">
        <v>93</v>
      </c>
      <c r="O285" s="8" t="n">
        <v>1</v>
      </c>
      <c r="P285" s="10" t="n">
        <v>3.77</v>
      </c>
      <c r="Q285" s="8"/>
      <c r="R285" s="8"/>
      <c r="S285" s="8" t="s">
        <v>150</v>
      </c>
      <c r="T285" s="8" t="s">
        <v>450</v>
      </c>
      <c r="U285" s="8" t="s">
        <v>451</v>
      </c>
      <c r="V285" s="8"/>
      <c r="W285" s="8" t="s">
        <v>452</v>
      </c>
      <c r="X285" s="8" t="s">
        <v>453</v>
      </c>
      <c r="Y285" s="8" t="s">
        <v>190</v>
      </c>
      <c r="Z285" s="8"/>
    </row>
    <row r="286" customFormat="false" ht="15" hidden="false" customHeight="false" outlineLevel="0" collapsed="false">
      <c r="A286" s="8" t="s">
        <v>449</v>
      </c>
      <c r="B286" s="8" t="s">
        <v>13</v>
      </c>
      <c r="C286" s="8" t="s">
        <v>14</v>
      </c>
      <c r="D286" s="8" t="s">
        <v>91</v>
      </c>
      <c r="E286" s="8" t="s">
        <v>38</v>
      </c>
      <c r="F286" s="8" t="s">
        <v>44</v>
      </c>
      <c r="G286" s="8" t="s">
        <v>30</v>
      </c>
      <c r="H286" s="8" t="s">
        <v>30</v>
      </c>
      <c r="I286" s="8" t="n">
        <f aca="false">IF(EXACT(G286,H286),1,0)</f>
        <v>1</v>
      </c>
      <c r="J286" s="8" t="n">
        <v>2</v>
      </c>
      <c r="K286" s="8" t="s">
        <v>92</v>
      </c>
      <c r="L286" s="8" t="n">
        <v>0</v>
      </c>
      <c r="M286" s="8" t="n">
        <v>1</v>
      </c>
      <c r="N286" s="8" t="s">
        <v>93</v>
      </c>
      <c r="O286" s="8" t="n">
        <v>1</v>
      </c>
      <c r="P286" s="10" t="n">
        <v>3.68</v>
      </c>
      <c r="Q286" s="8"/>
      <c r="R286" s="8"/>
      <c r="S286" s="8" t="s">
        <v>150</v>
      </c>
      <c r="T286" s="8" t="s">
        <v>450</v>
      </c>
      <c r="U286" s="8" t="s">
        <v>451</v>
      </c>
      <c r="V286" s="8"/>
      <c r="W286" s="8" t="s">
        <v>452</v>
      </c>
      <c r="X286" s="8" t="s">
        <v>453</v>
      </c>
      <c r="Y286" s="8" t="s">
        <v>190</v>
      </c>
      <c r="Z286" s="8"/>
    </row>
    <row r="287" customFormat="false" ht="15" hidden="false" customHeight="false" outlineLevel="0" collapsed="false">
      <c r="A287" s="8" t="s">
        <v>454</v>
      </c>
      <c r="B287" s="8" t="s">
        <v>13</v>
      </c>
      <c r="C287" s="8" t="s">
        <v>14</v>
      </c>
      <c r="D287" s="8" t="s">
        <v>91</v>
      </c>
      <c r="E287" s="8" t="s">
        <v>38</v>
      </c>
      <c r="F287" s="8" t="s">
        <v>44</v>
      </c>
      <c r="G287" s="8" t="s">
        <v>32</v>
      </c>
      <c r="H287" s="8" t="s">
        <v>30</v>
      </c>
      <c r="I287" s="8" t="n">
        <f aca="false">IF(EXACT(G287,H287),1,0)</f>
        <v>0</v>
      </c>
      <c r="J287" s="8" t="n">
        <v>0</v>
      </c>
      <c r="K287" s="8" t="s">
        <v>92</v>
      </c>
      <c r="L287" s="8" t="n">
        <v>0</v>
      </c>
      <c r="M287" s="8" t="n">
        <v>1</v>
      </c>
      <c r="N287" s="8" t="s">
        <v>93</v>
      </c>
      <c r="O287" s="8" t="n">
        <v>1</v>
      </c>
      <c r="P287" s="10" t="n">
        <v>3.78</v>
      </c>
      <c r="Q287" s="8"/>
      <c r="R287" s="8"/>
      <c r="S287" s="8" t="s">
        <v>132</v>
      </c>
      <c r="T287" s="8" t="s">
        <v>455</v>
      </c>
      <c r="U287" s="8" t="s">
        <v>456</v>
      </c>
      <c r="V287" s="8"/>
      <c r="W287" s="8" t="s">
        <v>457</v>
      </c>
      <c r="X287" s="8" t="s">
        <v>458</v>
      </c>
      <c r="Y287" s="8" t="s">
        <v>99</v>
      </c>
      <c r="Z287" s="8"/>
    </row>
    <row r="288" customFormat="false" ht="15" hidden="false" customHeight="false" outlineLevel="0" collapsed="false">
      <c r="A288" s="8" t="s">
        <v>454</v>
      </c>
      <c r="B288" s="8" t="s">
        <v>13</v>
      </c>
      <c r="C288" s="8" t="s">
        <v>14</v>
      </c>
      <c r="D288" s="8" t="s">
        <v>91</v>
      </c>
      <c r="E288" s="8" t="s">
        <v>38</v>
      </c>
      <c r="F288" s="8" t="s">
        <v>44</v>
      </c>
      <c r="G288" s="8" t="s">
        <v>32</v>
      </c>
      <c r="H288" s="8" t="s">
        <v>30</v>
      </c>
      <c r="I288" s="8" t="n">
        <f aca="false">IF(EXACT(G288,H288),1,0)</f>
        <v>0</v>
      </c>
      <c r="J288" s="8" t="n">
        <v>1</v>
      </c>
      <c r="K288" s="8" t="s">
        <v>92</v>
      </c>
      <c r="L288" s="8" t="n">
        <v>0</v>
      </c>
      <c r="M288" s="8" t="n">
        <v>1</v>
      </c>
      <c r="N288" s="8" t="s">
        <v>93</v>
      </c>
      <c r="O288" s="8" t="n">
        <v>1</v>
      </c>
      <c r="P288" s="10" t="n">
        <v>3.69</v>
      </c>
      <c r="Q288" s="8"/>
      <c r="R288" s="8"/>
      <c r="S288" s="8" t="s">
        <v>132</v>
      </c>
      <c r="T288" s="8" t="s">
        <v>455</v>
      </c>
      <c r="U288" s="8" t="s">
        <v>456</v>
      </c>
      <c r="V288" s="8"/>
      <c r="W288" s="8" t="s">
        <v>457</v>
      </c>
      <c r="X288" s="8" t="s">
        <v>458</v>
      </c>
      <c r="Y288" s="8" t="s">
        <v>99</v>
      </c>
      <c r="Z288" s="8"/>
    </row>
    <row r="289" customFormat="false" ht="15" hidden="false" customHeight="false" outlineLevel="0" collapsed="false">
      <c r="A289" s="8" t="s">
        <v>454</v>
      </c>
      <c r="B289" s="8" t="s">
        <v>13</v>
      </c>
      <c r="C289" s="8" t="s">
        <v>14</v>
      </c>
      <c r="D289" s="8" t="s">
        <v>91</v>
      </c>
      <c r="E289" s="8" t="s">
        <v>38</v>
      </c>
      <c r="F289" s="8" t="s">
        <v>44</v>
      </c>
      <c r="G289" s="8" t="s">
        <v>32</v>
      </c>
      <c r="H289" s="8" t="s">
        <v>30</v>
      </c>
      <c r="I289" s="8" t="n">
        <f aca="false">IF(EXACT(G289,H289),1,0)</f>
        <v>0</v>
      </c>
      <c r="J289" s="8" t="n">
        <v>2</v>
      </c>
      <c r="K289" s="8" t="s">
        <v>92</v>
      </c>
      <c r="L289" s="8" t="n">
        <v>0</v>
      </c>
      <c r="M289" s="8" t="n">
        <v>1</v>
      </c>
      <c r="N289" s="8" t="s">
        <v>93</v>
      </c>
      <c r="O289" s="8" t="n">
        <v>1</v>
      </c>
      <c r="P289" s="10" t="n">
        <v>3.74</v>
      </c>
      <c r="Q289" s="8"/>
      <c r="R289" s="8"/>
      <c r="S289" s="8" t="s">
        <v>132</v>
      </c>
      <c r="T289" s="8" t="s">
        <v>455</v>
      </c>
      <c r="U289" s="8" t="s">
        <v>456</v>
      </c>
      <c r="V289" s="8"/>
      <c r="W289" s="8" t="s">
        <v>457</v>
      </c>
      <c r="X289" s="8" t="s">
        <v>458</v>
      </c>
      <c r="Y289" s="8" t="s">
        <v>99</v>
      </c>
      <c r="Z289" s="8"/>
    </row>
    <row r="290" customFormat="false" ht="15" hidden="false" customHeight="false" outlineLevel="0" collapsed="false">
      <c r="A290" s="8" t="s">
        <v>330</v>
      </c>
      <c r="B290" s="8" t="s">
        <v>13</v>
      </c>
      <c r="C290" s="8" t="s">
        <v>14</v>
      </c>
      <c r="D290" s="8" t="s">
        <v>91</v>
      </c>
      <c r="E290" s="8" t="s">
        <v>38</v>
      </c>
      <c r="F290" s="8" t="s">
        <v>45</v>
      </c>
      <c r="G290" s="8" t="s">
        <v>31</v>
      </c>
      <c r="H290" s="8" t="s">
        <v>31</v>
      </c>
      <c r="I290" s="8" t="n">
        <f aca="false">IF(EXACT(G290,H290),1,0)</f>
        <v>1</v>
      </c>
      <c r="J290" s="8" t="n">
        <v>0</v>
      </c>
      <c r="K290" s="8" t="s">
        <v>140</v>
      </c>
      <c r="L290" s="8" t="n">
        <v>2</v>
      </c>
      <c r="M290" s="8" t="n">
        <v>1</v>
      </c>
      <c r="N290" s="8" t="s">
        <v>93</v>
      </c>
      <c r="O290" s="8" t="n">
        <v>1</v>
      </c>
      <c r="P290" s="10" t="n">
        <v>3.78</v>
      </c>
      <c r="Q290" s="8"/>
      <c r="R290" s="8"/>
      <c r="S290" s="8" t="s">
        <v>255</v>
      </c>
      <c r="T290" s="8" t="s">
        <v>331</v>
      </c>
      <c r="U290" s="8" t="s">
        <v>332</v>
      </c>
      <c r="V290" s="8"/>
      <c r="W290" s="8" t="s">
        <v>333</v>
      </c>
      <c r="X290" s="8" t="s">
        <v>459</v>
      </c>
      <c r="Y290" s="8" t="s">
        <v>143</v>
      </c>
      <c r="Z290" s="8" t="s">
        <v>335</v>
      </c>
    </row>
    <row r="291" customFormat="false" ht="15" hidden="false" customHeight="false" outlineLevel="0" collapsed="false">
      <c r="A291" s="8" t="s">
        <v>330</v>
      </c>
      <c r="B291" s="8" t="s">
        <v>13</v>
      </c>
      <c r="C291" s="8" t="s">
        <v>14</v>
      </c>
      <c r="D291" s="8" t="s">
        <v>91</v>
      </c>
      <c r="E291" s="8" t="s">
        <v>38</v>
      </c>
      <c r="F291" s="8" t="s">
        <v>45</v>
      </c>
      <c r="G291" s="8" t="s">
        <v>31</v>
      </c>
      <c r="H291" s="8" t="s">
        <v>31</v>
      </c>
      <c r="I291" s="8" t="n">
        <f aca="false">IF(EXACT(G291,H291),1,0)</f>
        <v>1</v>
      </c>
      <c r="J291" s="8" t="n">
        <v>1</v>
      </c>
      <c r="K291" s="8" t="s">
        <v>140</v>
      </c>
      <c r="L291" s="8" t="n">
        <v>2</v>
      </c>
      <c r="M291" s="8" t="n">
        <v>1</v>
      </c>
      <c r="N291" s="8" t="s">
        <v>93</v>
      </c>
      <c r="O291" s="8" t="n">
        <v>1</v>
      </c>
      <c r="P291" s="10" t="n">
        <v>3.75</v>
      </c>
      <c r="Q291" s="8"/>
      <c r="R291" s="8"/>
      <c r="S291" s="8" t="s">
        <v>255</v>
      </c>
      <c r="T291" s="8" t="s">
        <v>331</v>
      </c>
      <c r="U291" s="8" t="s">
        <v>332</v>
      </c>
      <c r="V291" s="8"/>
      <c r="W291" s="8" t="s">
        <v>333</v>
      </c>
      <c r="X291" s="8" t="s">
        <v>459</v>
      </c>
      <c r="Y291" s="8" t="s">
        <v>143</v>
      </c>
      <c r="Z291" s="8" t="s">
        <v>335</v>
      </c>
    </row>
    <row r="292" customFormat="false" ht="15" hidden="false" customHeight="false" outlineLevel="0" collapsed="false">
      <c r="A292" s="8" t="s">
        <v>330</v>
      </c>
      <c r="B292" s="8" t="s">
        <v>13</v>
      </c>
      <c r="C292" s="8" t="s">
        <v>14</v>
      </c>
      <c r="D292" s="8" t="s">
        <v>91</v>
      </c>
      <c r="E292" s="8" t="s">
        <v>38</v>
      </c>
      <c r="F292" s="8" t="s">
        <v>45</v>
      </c>
      <c r="G292" s="8" t="s">
        <v>31</v>
      </c>
      <c r="H292" s="8" t="s">
        <v>31</v>
      </c>
      <c r="I292" s="8" t="n">
        <f aca="false">IF(EXACT(G292,H292),1,0)</f>
        <v>1</v>
      </c>
      <c r="J292" s="8" t="n">
        <v>2</v>
      </c>
      <c r="K292" s="8" t="s">
        <v>140</v>
      </c>
      <c r="L292" s="8" t="n">
        <v>2</v>
      </c>
      <c r="M292" s="8" t="n">
        <v>1</v>
      </c>
      <c r="N292" s="8" t="s">
        <v>93</v>
      </c>
      <c r="O292" s="8" t="n">
        <v>1</v>
      </c>
      <c r="P292" s="10" t="n">
        <v>3.69</v>
      </c>
      <c r="Q292" s="8"/>
      <c r="R292" s="8"/>
      <c r="S292" s="8" t="s">
        <v>255</v>
      </c>
      <c r="T292" s="8" t="s">
        <v>331</v>
      </c>
      <c r="U292" s="8" t="s">
        <v>332</v>
      </c>
      <c r="V292" s="8"/>
      <c r="W292" s="8" t="s">
        <v>333</v>
      </c>
      <c r="X292" s="8" t="s">
        <v>459</v>
      </c>
      <c r="Y292" s="8" t="s">
        <v>143</v>
      </c>
      <c r="Z292" s="8" t="s">
        <v>335</v>
      </c>
    </row>
    <row r="293" customFormat="false" ht="15" hidden="false" customHeight="false" outlineLevel="0" collapsed="false">
      <c r="A293" s="8" t="s">
        <v>336</v>
      </c>
      <c r="B293" s="8" t="s">
        <v>13</v>
      </c>
      <c r="C293" s="8" t="s">
        <v>14</v>
      </c>
      <c r="D293" s="8" t="s">
        <v>91</v>
      </c>
      <c r="E293" s="8" t="s">
        <v>38</v>
      </c>
      <c r="F293" s="8" t="s">
        <v>45</v>
      </c>
      <c r="G293" s="8" t="s">
        <v>32</v>
      </c>
      <c r="H293" s="8" t="s">
        <v>30</v>
      </c>
      <c r="I293" s="8" t="n">
        <f aca="false">IF(EXACT(G293,H293),1,0)</f>
        <v>0</v>
      </c>
      <c r="J293" s="8" t="n">
        <v>0</v>
      </c>
      <c r="K293" s="8" t="s">
        <v>92</v>
      </c>
      <c r="L293" s="8" t="n">
        <v>0</v>
      </c>
      <c r="M293" s="8" t="n">
        <v>1</v>
      </c>
      <c r="N293" s="8" t="s">
        <v>93</v>
      </c>
      <c r="O293" s="8" t="n">
        <v>1</v>
      </c>
      <c r="P293" s="10" t="n">
        <v>3.81</v>
      </c>
      <c r="Q293" s="8"/>
      <c r="R293" s="8"/>
      <c r="S293" s="8" t="s">
        <v>94</v>
      </c>
      <c r="T293" s="8" t="s">
        <v>337</v>
      </c>
      <c r="U293" s="8" t="s">
        <v>338</v>
      </c>
      <c r="V293" s="8"/>
      <c r="W293" s="8" t="s">
        <v>339</v>
      </c>
      <c r="X293" s="8" t="s">
        <v>460</v>
      </c>
      <c r="Y293" s="8" t="s">
        <v>108</v>
      </c>
      <c r="Z293" s="8"/>
    </row>
    <row r="294" customFormat="false" ht="15" hidden="false" customHeight="false" outlineLevel="0" collapsed="false">
      <c r="A294" s="8" t="s">
        <v>336</v>
      </c>
      <c r="B294" s="8" t="s">
        <v>13</v>
      </c>
      <c r="C294" s="8" t="s">
        <v>14</v>
      </c>
      <c r="D294" s="8" t="s">
        <v>91</v>
      </c>
      <c r="E294" s="8" t="s">
        <v>38</v>
      </c>
      <c r="F294" s="8" t="s">
        <v>45</v>
      </c>
      <c r="G294" s="8" t="s">
        <v>32</v>
      </c>
      <c r="H294" s="8" t="s">
        <v>30</v>
      </c>
      <c r="I294" s="8" t="n">
        <f aca="false">IF(EXACT(G294,H294),1,0)</f>
        <v>0</v>
      </c>
      <c r="J294" s="8" t="n">
        <v>1</v>
      </c>
      <c r="K294" s="8" t="s">
        <v>92</v>
      </c>
      <c r="L294" s="8" t="n">
        <v>0</v>
      </c>
      <c r="M294" s="8" t="n">
        <v>1</v>
      </c>
      <c r="N294" s="8" t="s">
        <v>93</v>
      </c>
      <c r="O294" s="8" t="n">
        <v>1</v>
      </c>
      <c r="P294" s="10" t="n">
        <v>3.77</v>
      </c>
      <c r="Q294" s="8"/>
      <c r="R294" s="8"/>
      <c r="S294" s="8" t="s">
        <v>94</v>
      </c>
      <c r="T294" s="8" t="s">
        <v>337</v>
      </c>
      <c r="U294" s="8" t="s">
        <v>338</v>
      </c>
      <c r="V294" s="8"/>
      <c r="W294" s="8" t="s">
        <v>339</v>
      </c>
      <c r="X294" s="8" t="s">
        <v>460</v>
      </c>
      <c r="Y294" s="8" t="s">
        <v>108</v>
      </c>
      <c r="Z294" s="8"/>
    </row>
    <row r="295" customFormat="false" ht="15" hidden="false" customHeight="false" outlineLevel="0" collapsed="false">
      <c r="A295" s="8" t="s">
        <v>336</v>
      </c>
      <c r="B295" s="8" t="s">
        <v>13</v>
      </c>
      <c r="C295" s="8" t="s">
        <v>14</v>
      </c>
      <c r="D295" s="8" t="s">
        <v>91</v>
      </c>
      <c r="E295" s="8" t="s">
        <v>38</v>
      </c>
      <c r="F295" s="8" t="s">
        <v>45</v>
      </c>
      <c r="G295" s="8" t="s">
        <v>32</v>
      </c>
      <c r="H295" s="8" t="s">
        <v>30</v>
      </c>
      <c r="I295" s="8" t="n">
        <f aca="false">IF(EXACT(G295,H295),1,0)</f>
        <v>0</v>
      </c>
      <c r="J295" s="8" t="n">
        <v>2</v>
      </c>
      <c r="K295" s="8" t="s">
        <v>92</v>
      </c>
      <c r="L295" s="8" t="n">
        <v>0</v>
      </c>
      <c r="M295" s="8" t="n">
        <v>1</v>
      </c>
      <c r="N295" s="8" t="s">
        <v>93</v>
      </c>
      <c r="O295" s="8" t="n">
        <v>1</v>
      </c>
      <c r="P295" s="10" t="n">
        <v>3.76</v>
      </c>
      <c r="Q295" s="8"/>
      <c r="R295" s="8"/>
      <c r="S295" s="8" t="s">
        <v>94</v>
      </c>
      <c r="T295" s="8" t="s">
        <v>337</v>
      </c>
      <c r="U295" s="8" t="s">
        <v>338</v>
      </c>
      <c r="V295" s="8"/>
      <c r="W295" s="8" t="s">
        <v>339</v>
      </c>
      <c r="X295" s="8" t="s">
        <v>460</v>
      </c>
      <c r="Y295" s="8" t="s">
        <v>108</v>
      </c>
      <c r="Z295" s="8"/>
    </row>
    <row r="296" customFormat="false" ht="15" hidden="false" customHeight="false" outlineLevel="0" collapsed="false">
      <c r="A296" s="8" t="s">
        <v>341</v>
      </c>
      <c r="B296" s="8" t="s">
        <v>13</v>
      </c>
      <c r="C296" s="8" t="s">
        <v>14</v>
      </c>
      <c r="D296" s="8" t="s">
        <v>91</v>
      </c>
      <c r="E296" s="8" t="s">
        <v>38</v>
      </c>
      <c r="F296" s="8" t="s">
        <v>45</v>
      </c>
      <c r="G296" s="8" t="s">
        <v>32</v>
      </c>
      <c r="H296" s="8" t="s">
        <v>30</v>
      </c>
      <c r="I296" s="8" t="n">
        <f aca="false">IF(EXACT(G296,H296),1,0)</f>
        <v>0</v>
      </c>
      <c r="J296" s="8" t="n">
        <v>0</v>
      </c>
      <c r="K296" s="8" t="s">
        <v>92</v>
      </c>
      <c r="L296" s="8" t="n">
        <v>0</v>
      </c>
      <c r="M296" s="8" t="n">
        <v>1</v>
      </c>
      <c r="N296" s="8" t="s">
        <v>93</v>
      </c>
      <c r="O296" s="8" t="n">
        <v>1</v>
      </c>
      <c r="P296" s="10" t="n">
        <v>3.7</v>
      </c>
      <c r="Q296" s="8"/>
      <c r="R296" s="8"/>
      <c r="S296" s="8" t="s">
        <v>125</v>
      </c>
      <c r="T296" s="8" t="s">
        <v>342</v>
      </c>
      <c r="U296" s="8" t="s">
        <v>343</v>
      </c>
      <c r="V296" s="8"/>
      <c r="W296" s="8" t="s">
        <v>344</v>
      </c>
      <c r="X296" s="8" t="s">
        <v>461</v>
      </c>
      <c r="Y296" s="8" t="s">
        <v>108</v>
      </c>
      <c r="Z296" s="8"/>
    </row>
    <row r="297" customFormat="false" ht="15" hidden="false" customHeight="false" outlineLevel="0" collapsed="false">
      <c r="A297" s="8" t="s">
        <v>341</v>
      </c>
      <c r="B297" s="8" t="s">
        <v>13</v>
      </c>
      <c r="C297" s="8" t="s">
        <v>14</v>
      </c>
      <c r="D297" s="8" t="s">
        <v>91</v>
      </c>
      <c r="E297" s="8" t="s">
        <v>38</v>
      </c>
      <c r="F297" s="8" t="s">
        <v>45</v>
      </c>
      <c r="G297" s="8" t="s">
        <v>32</v>
      </c>
      <c r="H297" s="8" t="s">
        <v>30</v>
      </c>
      <c r="I297" s="8" t="n">
        <f aca="false">IF(EXACT(G297,H297),1,0)</f>
        <v>0</v>
      </c>
      <c r="J297" s="8" t="n">
        <v>1</v>
      </c>
      <c r="K297" s="8" t="s">
        <v>92</v>
      </c>
      <c r="L297" s="8" t="n">
        <v>0</v>
      </c>
      <c r="M297" s="8" t="n">
        <v>1</v>
      </c>
      <c r="N297" s="8" t="s">
        <v>93</v>
      </c>
      <c r="O297" s="8" t="n">
        <v>1</v>
      </c>
      <c r="P297" s="10" t="n">
        <v>3.85</v>
      </c>
      <c r="Q297" s="8"/>
      <c r="R297" s="8"/>
      <c r="S297" s="8" t="s">
        <v>125</v>
      </c>
      <c r="T297" s="8" t="s">
        <v>342</v>
      </c>
      <c r="U297" s="8" t="s">
        <v>343</v>
      </c>
      <c r="V297" s="8"/>
      <c r="W297" s="8" t="s">
        <v>344</v>
      </c>
      <c r="X297" s="8" t="s">
        <v>461</v>
      </c>
      <c r="Y297" s="8" t="s">
        <v>108</v>
      </c>
      <c r="Z297" s="8"/>
    </row>
    <row r="298" customFormat="false" ht="15" hidden="false" customHeight="false" outlineLevel="0" collapsed="false">
      <c r="A298" s="8" t="s">
        <v>341</v>
      </c>
      <c r="B298" s="8" t="s">
        <v>13</v>
      </c>
      <c r="C298" s="8" t="s">
        <v>14</v>
      </c>
      <c r="D298" s="8" t="s">
        <v>91</v>
      </c>
      <c r="E298" s="8" t="s">
        <v>38</v>
      </c>
      <c r="F298" s="8" t="s">
        <v>45</v>
      </c>
      <c r="G298" s="8" t="s">
        <v>32</v>
      </c>
      <c r="H298" s="8" t="s">
        <v>30</v>
      </c>
      <c r="I298" s="8" t="n">
        <f aca="false">IF(EXACT(G298,H298),1,0)</f>
        <v>0</v>
      </c>
      <c r="J298" s="8" t="n">
        <v>2</v>
      </c>
      <c r="K298" s="8" t="s">
        <v>92</v>
      </c>
      <c r="L298" s="8" t="n">
        <v>0</v>
      </c>
      <c r="M298" s="8" t="n">
        <v>1</v>
      </c>
      <c r="N298" s="8" t="s">
        <v>93</v>
      </c>
      <c r="O298" s="8" t="n">
        <v>1</v>
      </c>
      <c r="P298" s="10" t="n">
        <v>3.71</v>
      </c>
      <c r="Q298" s="8"/>
      <c r="R298" s="8"/>
      <c r="S298" s="8" t="s">
        <v>125</v>
      </c>
      <c r="T298" s="8" t="s">
        <v>342</v>
      </c>
      <c r="U298" s="8" t="s">
        <v>343</v>
      </c>
      <c r="V298" s="8"/>
      <c r="W298" s="8" t="s">
        <v>344</v>
      </c>
      <c r="X298" s="8" t="s">
        <v>461</v>
      </c>
      <c r="Y298" s="8" t="s">
        <v>108</v>
      </c>
      <c r="Z298" s="8"/>
    </row>
    <row r="299" customFormat="false" ht="15" hidden="false" customHeight="false" outlineLevel="0" collapsed="false">
      <c r="A299" s="8" t="s">
        <v>346</v>
      </c>
      <c r="B299" s="8" t="s">
        <v>13</v>
      </c>
      <c r="C299" s="8" t="s">
        <v>14</v>
      </c>
      <c r="D299" s="8" t="s">
        <v>91</v>
      </c>
      <c r="E299" s="8" t="s">
        <v>38</v>
      </c>
      <c r="F299" s="8" t="s">
        <v>45</v>
      </c>
      <c r="G299" s="8" t="s">
        <v>31</v>
      </c>
      <c r="H299" s="8" t="s">
        <v>31</v>
      </c>
      <c r="I299" s="8" t="n">
        <f aca="false">IF(EXACT(G299,H299),1,0)</f>
        <v>1</v>
      </c>
      <c r="J299" s="8" t="n">
        <v>0</v>
      </c>
      <c r="K299" s="8" t="s">
        <v>140</v>
      </c>
      <c r="L299" s="8" t="n">
        <v>1</v>
      </c>
      <c r="M299" s="8" t="n">
        <v>1</v>
      </c>
      <c r="N299" s="8" t="s">
        <v>93</v>
      </c>
      <c r="O299" s="8" t="n">
        <v>1</v>
      </c>
      <c r="P299" s="10" t="n">
        <v>4.08</v>
      </c>
      <c r="Q299" s="8"/>
      <c r="R299" s="8"/>
      <c r="S299" s="8" t="s">
        <v>347</v>
      </c>
      <c r="T299" s="8" t="s">
        <v>331</v>
      </c>
      <c r="U299" s="8" t="s">
        <v>332</v>
      </c>
      <c r="V299" s="8"/>
      <c r="W299" s="8" t="s">
        <v>348</v>
      </c>
      <c r="X299" s="8" t="s">
        <v>462</v>
      </c>
      <c r="Y299" s="8" t="s">
        <v>130</v>
      </c>
      <c r="Z299" s="8" t="s">
        <v>350</v>
      </c>
    </row>
    <row r="300" customFormat="false" ht="15" hidden="false" customHeight="false" outlineLevel="0" collapsed="false">
      <c r="A300" s="8" t="s">
        <v>346</v>
      </c>
      <c r="B300" s="8" t="s">
        <v>13</v>
      </c>
      <c r="C300" s="8" t="s">
        <v>14</v>
      </c>
      <c r="D300" s="8" t="s">
        <v>91</v>
      </c>
      <c r="E300" s="8" t="s">
        <v>38</v>
      </c>
      <c r="F300" s="8" t="s">
        <v>45</v>
      </c>
      <c r="G300" s="8" t="s">
        <v>31</v>
      </c>
      <c r="H300" s="8" t="s">
        <v>31</v>
      </c>
      <c r="I300" s="8" t="n">
        <f aca="false">IF(EXACT(G300,H300),1,0)</f>
        <v>1</v>
      </c>
      <c r="J300" s="8" t="n">
        <v>1</v>
      </c>
      <c r="K300" s="8" t="s">
        <v>140</v>
      </c>
      <c r="L300" s="8" t="n">
        <v>1</v>
      </c>
      <c r="M300" s="8" t="n">
        <v>1</v>
      </c>
      <c r="N300" s="8" t="s">
        <v>93</v>
      </c>
      <c r="O300" s="8" t="n">
        <v>1</v>
      </c>
      <c r="P300" s="10" t="n">
        <v>3.7</v>
      </c>
      <c r="Q300" s="8"/>
      <c r="R300" s="8"/>
      <c r="S300" s="8" t="s">
        <v>347</v>
      </c>
      <c r="T300" s="8" t="s">
        <v>331</v>
      </c>
      <c r="U300" s="8" t="s">
        <v>332</v>
      </c>
      <c r="V300" s="8"/>
      <c r="W300" s="8" t="s">
        <v>348</v>
      </c>
      <c r="X300" s="8" t="s">
        <v>462</v>
      </c>
      <c r="Y300" s="8" t="s">
        <v>130</v>
      </c>
      <c r="Z300" s="8" t="s">
        <v>350</v>
      </c>
    </row>
    <row r="301" customFormat="false" ht="15" hidden="false" customHeight="false" outlineLevel="0" collapsed="false">
      <c r="A301" s="8" t="s">
        <v>346</v>
      </c>
      <c r="B301" s="8" t="s">
        <v>13</v>
      </c>
      <c r="C301" s="8" t="s">
        <v>14</v>
      </c>
      <c r="D301" s="8" t="s">
        <v>91</v>
      </c>
      <c r="E301" s="8" t="s">
        <v>38</v>
      </c>
      <c r="F301" s="8" t="s">
        <v>45</v>
      </c>
      <c r="G301" s="8" t="s">
        <v>31</v>
      </c>
      <c r="H301" s="8" t="s">
        <v>31</v>
      </c>
      <c r="I301" s="8" t="n">
        <f aca="false">IF(EXACT(G301,H301),1,0)</f>
        <v>1</v>
      </c>
      <c r="J301" s="8" t="n">
        <v>2</v>
      </c>
      <c r="K301" s="8" t="s">
        <v>140</v>
      </c>
      <c r="L301" s="8" t="n">
        <v>1</v>
      </c>
      <c r="M301" s="8" t="n">
        <v>1</v>
      </c>
      <c r="N301" s="8" t="s">
        <v>93</v>
      </c>
      <c r="O301" s="8" t="n">
        <v>1</v>
      </c>
      <c r="P301" s="10" t="n">
        <v>3.71</v>
      </c>
      <c r="Q301" s="8"/>
      <c r="R301" s="8"/>
      <c r="S301" s="8" t="s">
        <v>347</v>
      </c>
      <c r="T301" s="8" t="s">
        <v>331</v>
      </c>
      <c r="U301" s="8" t="s">
        <v>332</v>
      </c>
      <c r="V301" s="8"/>
      <c r="W301" s="8" t="s">
        <v>348</v>
      </c>
      <c r="X301" s="8" t="s">
        <v>462</v>
      </c>
      <c r="Y301" s="8" t="s">
        <v>130</v>
      </c>
      <c r="Z301" s="8" t="s">
        <v>350</v>
      </c>
    </row>
    <row r="302" customFormat="false" ht="15" hidden="false" customHeight="false" outlineLevel="0" collapsed="false">
      <c r="A302" s="8" t="s">
        <v>351</v>
      </c>
      <c r="B302" s="8" t="s">
        <v>13</v>
      </c>
      <c r="C302" s="8" t="s">
        <v>14</v>
      </c>
      <c r="D302" s="8" t="s">
        <v>91</v>
      </c>
      <c r="E302" s="8" t="s">
        <v>38</v>
      </c>
      <c r="F302" s="8" t="s">
        <v>45</v>
      </c>
      <c r="G302" s="8" t="s">
        <v>30</v>
      </c>
      <c r="H302" s="8" t="s">
        <v>30</v>
      </c>
      <c r="I302" s="8" t="n">
        <f aca="false">IF(EXACT(G302,H302),1,0)</f>
        <v>1</v>
      </c>
      <c r="J302" s="8" t="n">
        <v>0</v>
      </c>
      <c r="K302" s="8" t="s">
        <v>92</v>
      </c>
      <c r="L302" s="8" t="n">
        <v>0</v>
      </c>
      <c r="M302" s="8" t="n">
        <v>1</v>
      </c>
      <c r="N302" s="8" t="s">
        <v>93</v>
      </c>
      <c r="O302" s="8" t="n">
        <v>1</v>
      </c>
      <c r="P302" s="10" t="n">
        <v>3.86</v>
      </c>
      <c r="Q302" s="8"/>
      <c r="R302" s="8"/>
      <c r="S302" s="8" t="s">
        <v>110</v>
      </c>
      <c r="T302" s="8" t="s">
        <v>337</v>
      </c>
      <c r="U302" s="8" t="s">
        <v>338</v>
      </c>
      <c r="V302" s="8"/>
      <c r="W302" s="8" t="s">
        <v>352</v>
      </c>
      <c r="X302" s="8" t="s">
        <v>463</v>
      </c>
      <c r="Y302" s="8" t="s">
        <v>108</v>
      </c>
      <c r="Z302" s="8"/>
    </row>
    <row r="303" customFormat="false" ht="15" hidden="false" customHeight="false" outlineLevel="0" collapsed="false">
      <c r="A303" s="8" t="s">
        <v>351</v>
      </c>
      <c r="B303" s="8" t="s">
        <v>13</v>
      </c>
      <c r="C303" s="8" t="s">
        <v>14</v>
      </c>
      <c r="D303" s="8" t="s">
        <v>91</v>
      </c>
      <c r="E303" s="8" t="s">
        <v>38</v>
      </c>
      <c r="F303" s="8" t="s">
        <v>45</v>
      </c>
      <c r="G303" s="8" t="s">
        <v>30</v>
      </c>
      <c r="H303" s="8" t="s">
        <v>30</v>
      </c>
      <c r="I303" s="8" t="n">
        <f aca="false">IF(EXACT(G303,H303),1,0)</f>
        <v>1</v>
      </c>
      <c r="J303" s="8" t="n">
        <v>1</v>
      </c>
      <c r="K303" s="8" t="s">
        <v>92</v>
      </c>
      <c r="L303" s="8" t="n">
        <v>0</v>
      </c>
      <c r="M303" s="8" t="n">
        <v>1</v>
      </c>
      <c r="N303" s="8" t="s">
        <v>93</v>
      </c>
      <c r="O303" s="8" t="n">
        <v>1</v>
      </c>
      <c r="P303" s="10" t="n">
        <v>3.71</v>
      </c>
      <c r="Q303" s="8"/>
      <c r="R303" s="8"/>
      <c r="S303" s="8" t="s">
        <v>110</v>
      </c>
      <c r="T303" s="8" t="s">
        <v>337</v>
      </c>
      <c r="U303" s="8" t="s">
        <v>338</v>
      </c>
      <c r="V303" s="8"/>
      <c r="W303" s="8" t="s">
        <v>352</v>
      </c>
      <c r="X303" s="8" t="s">
        <v>463</v>
      </c>
      <c r="Y303" s="8" t="s">
        <v>108</v>
      </c>
      <c r="Z303" s="8"/>
    </row>
    <row r="304" customFormat="false" ht="15" hidden="false" customHeight="false" outlineLevel="0" collapsed="false">
      <c r="A304" s="8" t="s">
        <v>351</v>
      </c>
      <c r="B304" s="8" t="s">
        <v>13</v>
      </c>
      <c r="C304" s="8" t="s">
        <v>14</v>
      </c>
      <c r="D304" s="8" t="s">
        <v>91</v>
      </c>
      <c r="E304" s="8" t="s">
        <v>38</v>
      </c>
      <c r="F304" s="8" t="s">
        <v>45</v>
      </c>
      <c r="G304" s="8" t="s">
        <v>30</v>
      </c>
      <c r="H304" s="8" t="s">
        <v>30</v>
      </c>
      <c r="I304" s="8" t="n">
        <f aca="false">IF(EXACT(G304,H304),1,0)</f>
        <v>1</v>
      </c>
      <c r="J304" s="8" t="n">
        <v>2</v>
      </c>
      <c r="K304" s="8" t="s">
        <v>92</v>
      </c>
      <c r="L304" s="8" t="n">
        <v>0</v>
      </c>
      <c r="M304" s="8" t="n">
        <v>1</v>
      </c>
      <c r="N304" s="8" t="s">
        <v>93</v>
      </c>
      <c r="O304" s="8" t="n">
        <v>1</v>
      </c>
      <c r="P304" s="10" t="n">
        <v>3.72</v>
      </c>
      <c r="Q304" s="8"/>
      <c r="R304" s="8"/>
      <c r="S304" s="8" t="s">
        <v>110</v>
      </c>
      <c r="T304" s="8" t="s">
        <v>337</v>
      </c>
      <c r="U304" s="8" t="s">
        <v>338</v>
      </c>
      <c r="V304" s="8"/>
      <c r="W304" s="8" t="s">
        <v>352</v>
      </c>
      <c r="X304" s="8" t="s">
        <v>463</v>
      </c>
      <c r="Y304" s="8" t="s">
        <v>108</v>
      </c>
      <c r="Z304" s="8"/>
    </row>
    <row r="305" customFormat="false" ht="15" hidden="false" customHeight="false" outlineLevel="0" collapsed="false">
      <c r="A305" s="8" t="s">
        <v>354</v>
      </c>
      <c r="B305" s="8" t="s">
        <v>13</v>
      </c>
      <c r="C305" s="8" t="s">
        <v>14</v>
      </c>
      <c r="D305" s="8" t="s">
        <v>91</v>
      </c>
      <c r="E305" s="8" t="s">
        <v>38</v>
      </c>
      <c r="F305" s="8" t="s">
        <v>45</v>
      </c>
      <c r="G305" s="8" t="s">
        <v>30</v>
      </c>
      <c r="H305" s="8" t="s">
        <v>30</v>
      </c>
      <c r="I305" s="8" t="n">
        <f aca="false">IF(EXACT(G305,H305),1,0)</f>
        <v>1</v>
      </c>
      <c r="J305" s="8" t="n">
        <v>0</v>
      </c>
      <c r="K305" s="8" t="s">
        <v>92</v>
      </c>
      <c r="L305" s="8" t="n">
        <v>0</v>
      </c>
      <c r="M305" s="8" t="n">
        <v>1</v>
      </c>
      <c r="N305" s="8" t="s">
        <v>93</v>
      </c>
      <c r="O305" s="8" t="n">
        <v>1</v>
      </c>
      <c r="P305" s="10" t="n">
        <v>3.8</v>
      </c>
      <c r="Q305" s="8"/>
      <c r="R305" s="8"/>
      <c r="S305" s="8" t="s">
        <v>216</v>
      </c>
      <c r="T305" s="8" t="s">
        <v>355</v>
      </c>
      <c r="U305" s="8" t="s">
        <v>356</v>
      </c>
      <c r="V305" s="8"/>
      <c r="W305" s="8" t="s">
        <v>357</v>
      </c>
      <c r="X305" s="8" t="s">
        <v>464</v>
      </c>
      <c r="Y305" s="8" t="s">
        <v>99</v>
      </c>
      <c r="Z305" s="8"/>
    </row>
    <row r="306" customFormat="false" ht="15" hidden="false" customHeight="false" outlineLevel="0" collapsed="false">
      <c r="A306" s="8" t="s">
        <v>354</v>
      </c>
      <c r="B306" s="8" t="s">
        <v>13</v>
      </c>
      <c r="C306" s="8" t="s">
        <v>14</v>
      </c>
      <c r="D306" s="8" t="s">
        <v>91</v>
      </c>
      <c r="E306" s="8" t="s">
        <v>38</v>
      </c>
      <c r="F306" s="8" t="s">
        <v>45</v>
      </c>
      <c r="G306" s="8" t="s">
        <v>30</v>
      </c>
      <c r="H306" s="8" t="s">
        <v>30</v>
      </c>
      <c r="I306" s="8" t="n">
        <f aca="false">IF(EXACT(G306,H306),1,0)</f>
        <v>1</v>
      </c>
      <c r="J306" s="8" t="n">
        <v>1</v>
      </c>
      <c r="K306" s="8" t="s">
        <v>92</v>
      </c>
      <c r="L306" s="8" t="n">
        <v>0</v>
      </c>
      <c r="M306" s="8" t="n">
        <v>1</v>
      </c>
      <c r="N306" s="8" t="s">
        <v>93</v>
      </c>
      <c r="O306" s="8" t="n">
        <v>1</v>
      </c>
      <c r="P306" s="10" t="n">
        <v>3.76</v>
      </c>
      <c r="Q306" s="8"/>
      <c r="R306" s="8"/>
      <c r="S306" s="8" t="s">
        <v>216</v>
      </c>
      <c r="T306" s="8" t="s">
        <v>355</v>
      </c>
      <c r="U306" s="8" t="s">
        <v>356</v>
      </c>
      <c r="V306" s="8"/>
      <c r="W306" s="8" t="s">
        <v>357</v>
      </c>
      <c r="X306" s="8" t="s">
        <v>464</v>
      </c>
      <c r="Y306" s="8" t="s">
        <v>99</v>
      </c>
      <c r="Z306" s="8"/>
    </row>
    <row r="307" customFormat="false" ht="15" hidden="false" customHeight="false" outlineLevel="0" collapsed="false">
      <c r="A307" s="8" t="s">
        <v>354</v>
      </c>
      <c r="B307" s="8" t="s">
        <v>13</v>
      </c>
      <c r="C307" s="8" t="s">
        <v>14</v>
      </c>
      <c r="D307" s="8" t="s">
        <v>91</v>
      </c>
      <c r="E307" s="8" t="s">
        <v>38</v>
      </c>
      <c r="F307" s="8" t="s">
        <v>45</v>
      </c>
      <c r="G307" s="8" t="s">
        <v>30</v>
      </c>
      <c r="H307" s="8" t="s">
        <v>30</v>
      </c>
      <c r="I307" s="8" t="n">
        <f aca="false">IF(EXACT(G307,H307),1,0)</f>
        <v>1</v>
      </c>
      <c r="J307" s="8" t="n">
        <v>2</v>
      </c>
      <c r="K307" s="8" t="s">
        <v>92</v>
      </c>
      <c r="L307" s="8" t="n">
        <v>0</v>
      </c>
      <c r="M307" s="8" t="n">
        <v>1</v>
      </c>
      <c r="N307" s="8" t="s">
        <v>93</v>
      </c>
      <c r="O307" s="8" t="n">
        <v>1</v>
      </c>
      <c r="P307" s="10" t="n">
        <v>3.74</v>
      </c>
      <c r="Q307" s="8"/>
      <c r="R307" s="8"/>
      <c r="S307" s="8" t="s">
        <v>216</v>
      </c>
      <c r="T307" s="8" t="s">
        <v>355</v>
      </c>
      <c r="U307" s="8" t="s">
        <v>356</v>
      </c>
      <c r="V307" s="8"/>
      <c r="W307" s="8" t="s">
        <v>357</v>
      </c>
      <c r="X307" s="8" t="s">
        <v>464</v>
      </c>
      <c r="Y307" s="8" t="s">
        <v>99</v>
      </c>
      <c r="Z307" s="8"/>
    </row>
    <row r="308" customFormat="false" ht="15" hidden="false" customHeight="false" outlineLevel="0" collapsed="false">
      <c r="A308" s="8" t="s">
        <v>90</v>
      </c>
      <c r="B308" s="8" t="s">
        <v>13</v>
      </c>
      <c r="C308" s="8" t="s">
        <v>14</v>
      </c>
      <c r="D308" s="8" t="s">
        <v>91</v>
      </c>
      <c r="E308" s="8" t="s">
        <v>38</v>
      </c>
      <c r="F308" s="8" t="s">
        <v>49</v>
      </c>
      <c r="G308" s="8" t="s">
        <v>32</v>
      </c>
      <c r="H308" s="8" t="s">
        <v>30</v>
      </c>
      <c r="I308" s="8" t="n">
        <f aca="false">IF(EXACT(G308,H308),1,0)</f>
        <v>0</v>
      </c>
      <c r="J308" s="8" t="n">
        <v>0</v>
      </c>
      <c r="K308" s="8" t="s">
        <v>92</v>
      </c>
      <c r="L308" s="8" t="n">
        <v>0</v>
      </c>
      <c r="M308" s="8" t="n">
        <v>1</v>
      </c>
      <c r="N308" s="8" t="s">
        <v>93</v>
      </c>
      <c r="O308" s="8" t="n">
        <v>1</v>
      </c>
      <c r="P308" s="10" t="n">
        <v>4.19</v>
      </c>
      <c r="Q308" s="8"/>
      <c r="R308" s="8"/>
      <c r="S308" s="8" t="s">
        <v>94</v>
      </c>
      <c r="T308" s="8" t="s">
        <v>95</v>
      </c>
      <c r="U308" s="8" t="s">
        <v>96</v>
      </c>
      <c r="V308" s="8"/>
      <c r="W308" s="8" t="s">
        <v>97</v>
      </c>
      <c r="X308" s="8" t="s">
        <v>465</v>
      </c>
      <c r="Y308" s="8" t="s">
        <v>99</v>
      </c>
      <c r="Z308" s="8"/>
    </row>
    <row r="309" customFormat="false" ht="15" hidden="false" customHeight="false" outlineLevel="0" collapsed="false">
      <c r="A309" s="8" t="s">
        <v>90</v>
      </c>
      <c r="B309" s="8" t="s">
        <v>13</v>
      </c>
      <c r="C309" s="8" t="s">
        <v>14</v>
      </c>
      <c r="D309" s="8" t="s">
        <v>91</v>
      </c>
      <c r="E309" s="8" t="s">
        <v>38</v>
      </c>
      <c r="F309" s="8" t="s">
        <v>49</v>
      </c>
      <c r="G309" s="8" t="s">
        <v>32</v>
      </c>
      <c r="H309" s="8" t="s">
        <v>30</v>
      </c>
      <c r="I309" s="8" t="n">
        <f aca="false">IF(EXACT(G309,H309),1,0)</f>
        <v>0</v>
      </c>
      <c r="J309" s="8" t="n">
        <v>1</v>
      </c>
      <c r="K309" s="8" t="s">
        <v>92</v>
      </c>
      <c r="L309" s="8" t="n">
        <v>0</v>
      </c>
      <c r="M309" s="8" t="n">
        <v>1</v>
      </c>
      <c r="N309" s="8" t="s">
        <v>93</v>
      </c>
      <c r="O309" s="8" t="n">
        <v>1</v>
      </c>
      <c r="P309" s="10" t="n">
        <v>4.26</v>
      </c>
      <c r="Q309" s="8"/>
      <c r="R309" s="8"/>
      <c r="S309" s="8" t="s">
        <v>94</v>
      </c>
      <c r="T309" s="8" t="s">
        <v>95</v>
      </c>
      <c r="U309" s="8" t="s">
        <v>96</v>
      </c>
      <c r="V309" s="8"/>
      <c r="W309" s="8" t="s">
        <v>97</v>
      </c>
      <c r="X309" s="8" t="s">
        <v>465</v>
      </c>
      <c r="Y309" s="8" t="s">
        <v>99</v>
      </c>
      <c r="Z309" s="8"/>
    </row>
    <row r="310" customFormat="false" ht="15" hidden="false" customHeight="false" outlineLevel="0" collapsed="false">
      <c r="A310" s="8" t="s">
        <v>90</v>
      </c>
      <c r="B310" s="8" t="s">
        <v>13</v>
      </c>
      <c r="C310" s="8" t="s">
        <v>14</v>
      </c>
      <c r="D310" s="8" t="s">
        <v>91</v>
      </c>
      <c r="E310" s="8" t="s">
        <v>38</v>
      </c>
      <c r="F310" s="8" t="s">
        <v>49</v>
      </c>
      <c r="G310" s="8" t="s">
        <v>32</v>
      </c>
      <c r="H310" s="8" t="s">
        <v>30</v>
      </c>
      <c r="I310" s="8" t="n">
        <f aca="false">IF(EXACT(G310,H310),1,0)</f>
        <v>0</v>
      </c>
      <c r="J310" s="8" t="n">
        <v>2</v>
      </c>
      <c r="K310" s="8" t="s">
        <v>92</v>
      </c>
      <c r="L310" s="8" t="n">
        <v>0</v>
      </c>
      <c r="M310" s="8" t="n">
        <v>1</v>
      </c>
      <c r="N310" s="8" t="s">
        <v>93</v>
      </c>
      <c r="O310" s="8" t="n">
        <v>1</v>
      </c>
      <c r="P310" s="10" t="n">
        <v>4.4</v>
      </c>
      <c r="Q310" s="8"/>
      <c r="R310" s="8"/>
      <c r="S310" s="8" t="s">
        <v>94</v>
      </c>
      <c r="T310" s="8" t="s">
        <v>95</v>
      </c>
      <c r="U310" s="8" t="s">
        <v>96</v>
      </c>
      <c r="V310" s="8"/>
      <c r="W310" s="8" t="s">
        <v>97</v>
      </c>
      <c r="X310" s="8" t="s">
        <v>465</v>
      </c>
      <c r="Y310" s="8" t="s">
        <v>99</v>
      </c>
      <c r="Z310" s="8"/>
    </row>
    <row r="311" customFormat="false" ht="15" hidden="false" customHeight="false" outlineLevel="0" collapsed="false">
      <c r="A311" s="8" t="s">
        <v>100</v>
      </c>
      <c r="B311" s="8" t="s">
        <v>13</v>
      </c>
      <c r="C311" s="8" t="s">
        <v>14</v>
      </c>
      <c r="D311" s="8" t="s">
        <v>91</v>
      </c>
      <c r="E311" s="8" t="s">
        <v>38</v>
      </c>
      <c r="F311" s="8" t="s">
        <v>49</v>
      </c>
      <c r="G311" s="8" t="s">
        <v>32</v>
      </c>
      <c r="H311" s="8" t="s">
        <v>30</v>
      </c>
      <c r="I311" s="8" t="n">
        <f aca="false">IF(EXACT(G311,H311),1,0)</f>
        <v>0</v>
      </c>
      <c r="J311" s="8" t="n">
        <v>0</v>
      </c>
      <c r="K311" s="8" t="s">
        <v>92</v>
      </c>
      <c r="L311" s="8" t="n">
        <v>0</v>
      </c>
      <c r="M311" s="8" t="n">
        <v>1</v>
      </c>
      <c r="N311" s="8" t="s">
        <v>93</v>
      </c>
      <c r="O311" s="8" t="n">
        <v>1</v>
      </c>
      <c r="P311" s="10" t="n">
        <v>4.49</v>
      </c>
      <c r="Q311" s="8"/>
      <c r="R311" s="8"/>
      <c r="S311" s="8" t="s">
        <v>101</v>
      </c>
      <c r="T311" s="8" t="s">
        <v>95</v>
      </c>
      <c r="U311" s="8" t="s">
        <v>96</v>
      </c>
      <c r="V311" s="8"/>
      <c r="W311" s="8" t="s">
        <v>102</v>
      </c>
      <c r="X311" s="8" t="s">
        <v>466</v>
      </c>
      <c r="Y311" s="8" t="s">
        <v>99</v>
      </c>
      <c r="Z311" s="8"/>
    </row>
    <row r="312" customFormat="false" ht="15" hidden="false" customHeight="false" outlineLevel="0" collapsed="false">
      <c r="A312" s="8" t="s">
        <v>100</v>
      </c>
      <c r="B312" s="8" t="s">
        <v>13</v>
      </c>
      <c r="C312" s="8" t="s">
        <v>14</v>
      </c>
      <c r="D312" s="8" t="s">
        <v>91</v>
      </c>
      <c r="E312" s="8" t="s">
        <v>38</v>
      </c>
      <c r="F312" s="8" t="s">
        <v>49</v>
      </c>
      <c r="G312" s="8" t="s">
        <v>32</v>
      </c>
      <c r="H312" s="8" t="s">
        <v>30</v>
      </c>
      <c r="I312" s="8" t="n">
        <f aca="false">IF(EXACT(G312,H312),1,0)</f>
        <v>0</v>
      </c>
      <c r="J312" s="8" t="n">
        <v>1</v>
      </c>
      <c r="K312" s="8" t="s">
        <v>92</v>
      </c>
      <c r="L312" s="8" t="n">
        <v>0</v>
      </c>
      <c r="M312" s="8" t="n">
        <v>1</v>
      </c>
      <c r="N312" s="8" t="s">
        <v>93</v>
      </c>
      <c r="O312" s="8" t="n">
        <v>1</v>
      </c>
      <c r="P312" s="10" t="n">
        <v>4.32</v>
      </c>
      <c r="Q312" s="8"/>
      <c r="R312" s="8"/>
      <c r="S312" s="8" t="s">
        <v>101</v>
      </c>
      <c r="T312" s="8" t="s">
        <v>95</v>
      </c>
      <c r="U312" s="8" t="s">
        <v>96</v>
      </c>
      <c r="V312" s="8"/>
      <c r="W312" s="8" t="s">
        <v>102</v>
      </c>
      <c r="X312" s="8" t="s">
        <v>466</v>
      </c>
      <c r="Y312" s="8" t="s">
        <v>99</v>
      </c>
      <c r="Z312" s="8"/>
    </row>
    <row r="313" customFormat="false" ht="15" hidden="false" customHeight="false" outlineLevel="0" collapsed="false">
      <c r="A313" s="8" t="s">
        <v>100</v>
      </c>
      <c r="B313" s="8" t="s">
        <v>13</v>
      </c>
      <c r="C313" s="8" t="s">
        <v>14</v>
      </c>
      <c r="D313" s="8" t="s">
        <v>91</v>
      </c>
      <c r="E313" s="8" t="s">
        <v>38</v>
      </c>
      <c r="F313" s="8" t="s">
        <v>49</v>
      </c>
      <c r="G313" s="8" t="s">
        <v>32</v>
      </c>
      <c r="H313" s="8" t="s">
        <v>30</v>
      </c>
      <c r="I313" s="8" t="n">
        <f aca="false">IF(EXACT(G313,H313),1,0)</f>
        <v>0</v>
      </c>
      <c r="J313" s="8" t="n">
        <v>2</v>
      </c>
      <c r="K313" s="8" t="s">
        <v>92</v>
      </c>
      <c r="L313" s="8" t="n">
        <v>0</v>
      </c>
      <c r="M313" s="8" t="n">
        <v>1</v>
      </c>
      <c r="N313" s="8" t="s">
        <v>93</v>
      </c>
      <c r="O313" s="8" t="n">
        <v>1</v>
      </c>
      <c r="P313" s="10" t="n">
        <v>4.36</v>
      </c>
      <c r="Q313" s="8"/>
      <c r="R313" s="8"/>
      <c r="S313" s="8" t="s">
        <v>101</v>
      </c>
      <c r="T313" s="8" t="s">
        <v>95</v>
      </c>
      <c r="U313" s="8" t="s">
        <v>96</v>
      </c>
      <c r="V313" s="8"/>
      <c r="W313" s="8" t="s">
        <v>102</v>
      </c>
      <c r="X313" s="8" t="s">
        <v>466</v>
      </c>
      <c r="Y313" s="8" t="s">
        <v>99</v>
      </c>
      <c r="Z313" s="8"/>
    </row>
    <row r="314" customFormat="false" ht="15" hidden="false" customHeight="false" outlineLevel="0" collapsed="false">
      <c r="A314" s="8" t="s">
        <v>104</v>
      </c>
      <c r="B314" s="8" t="s">
        <v>13</v>
      </c>
      <c r="C314" s="8" t="s">
        <v>14</v>
      </c>
      <c r="D314" s="8" t="s">
        <v>91</v>
      </c>
      <c r="E314" s="8" t="s">
        <v>38</v>
      </c>
      <c r="F314" s="8" t="s">
        <v>49</v>
      </c>
      <c r="G314" s="8" t="s">
        <v>30</v>
      </c>
      <c r="H314" s="8" t="s">
        <v>31</v>
      </c>
      <c r="I314" s="8" t="n">
        <f aca="false">IF(EXACT(G314,H314),1,0)</f>
        <v>0</v>
      </c>
      <c r="J314" s="8" t="n">
        <v>0</v>
      </c>
      <c r="K314" s="8" t="s">
        <v>116</v>
      </c>
      <c r="L314" s="8" t="n">
        <v>1</v>
      </c>
      <c r="M314" s="8" t="n">
        <v>1</v>
      </c>
      <c r="N314" s="8" t="s">
        <v>93</v>
      </c>
      <c r="O314" s="8" t="n">
        <v>1</v>
      </c>
      <c r="P314" s="10" t="n">
        <v>4.28</v>
      </c>
      <c r="Q314" s="8"/>
      <c r="R314" s="8"/>
      <c r="S314" s="8" t="s">
        <v>105</v>
      </c>
      <c r="T314" s="8" t="s">
        <v>95</v>
      </c>
      <c r="U314" s="8" t="s">
        <v>96</v>
      </c>
      <c r="V314" s="8"/>
      <c r="W314" s="8" t="s">
        <v>106</v>
      </c>
      <c r="X314" s="8" t="s">
        <v>467</v>
      </c>
      <c r="Y314" s="8" t="s">
        <v>108</v>
      </c>
      <c r="Z314" s="8" t="s">
        <v>468</v>
      </c>
    </row>
    <row r="315" customFormat="false" ht="15" hidden="false" customHeight="false" outlineLevel="0" collapsed="false">
      <c r="A315" s="8" t="s">
        <v>104</v>
      </c>
      <c r="B315" s="8" t="s">
        <v>13</v>
      </c>
      <c r="C315" s="8" t="s">
        <v>14</v>
      </c>
      <c r="D315" s="8" t="s">
        <v>91</v>
      </c>
      <c r="E315" s="8" t="s">
        <v>38</v>
      </c>
      <c r="F315" s="8" t="s">
        <v>49</v>
      </c>
      <c r="G315" s="8" t="s">
        <v>30</v>
      </c>
      <c r="H315" s="8" t="s">
        <v>31</v>
      </c>
      <c r="I315" s="8" t="n">
        <f aca="false">IF(EXACT(G315,H315),1,0)</f>
        <v>0</v>
      </c>
      <c r="J315" s="8" t="n">
        <v>1</v>
      </c>
      <c r="K315" s="8" t="s">
        <v>116</v>
      </c>
      <c r="L315" s="8" t="n">
        <v>1</v>
      </c>
      <c r="M315" s="8" t="n">
        <v>1</v>
      </c>
      <c r="N315" s="8" t="s">
        <v>93</v>
      </c>
      <c r="O315" s="8" t="n">
        <v>1</v>
      </c>
      <c r="P315" s="10" t="n">
        <v>4.24</v>
      </c>
      <c r="Q315" s="8"/>
      <c r="R315" s="8"/>
      <c r="S315" s="8" t="s">
        <v>105</v>
      </c>
      <c r="T315" s="8" t="s">
        <v>95</v>
      </c>
      <c r="U315" s="8" t="s">
        <v>96</v>
      </c>
      <c r="V315" s="8"/>
      <c r="W315" s="8" t="s">
        <v>106</v>
      </c>
      <c r="X315" s="8" t="s">
        <v>467</v>
      </c>
      <c r="Y315" s="8" t="s">
        <v>108</v>
      </c>
      <c r="Z315" s="8" t="s">
        <v>468</v>
      </c>
    </row>
    <row r="316" customFormat="false" ht="15" hidden="false" customHeight="false" outlineLevel="0" collapsed="false">
      <c r="A316" s="8" t="s">
        <v>104</v>
      </c>
      <c r="B316" s="8" t="s">
        <v>13</v>
      </c>
      <c r="C316" s="8" t="s">
        <v>14</v>
      </c>
      <c r="D316" s="8" t="s">
        <v>91</v>
      </c>
      <c r="E316" s="8" t="s">
        <v>38</v>
      </c>
      <c r="F316" s="8" t="s">
        <v>49</v>
      </c>
      <c r="G316" s="8" t="s">
        <v>30</v>
      </c>
      <c r="H316" s="8" t="s">
        <v>31</v>
      </c>
      <c r="I316" s="8" t="n">
        <f aca="false">IF(EXACT(G316,H316),1,0)</f>
        <v>0</v>
      </c>
      <c r="J316" s="8" t="n">
        <v>2</v>
      </c>
      <c r="K316" s="8" t="s">
        <v>116</v>
      </c>
      <c r="L316" s="8" t="n">
        <v>1</v>
      </c>
      <c r="M316" s="8" t="n">
        <v>1</v>
      </c>
      <c r="N316" s="8" t="s">
        <v>93</v>
      </c>
      <c r="O316" s="8" t="n">
        <v>1</v>
      </c>
      <c r="P316" s="10" t="n">
        <v>4.23</v>
      </c>
      <c r="Q316" s="8"/>
      <c r="R316" s="8"/>
      <c r="S316" s="8" t="s">
        <v>105</v>
      </c>
      <c r="T316" s="8" t="s">
        <v>95</v>
      </c>
      <c r="U316" s="8" t="s">
        <v>96</v>
      </c>
      <c r="V316" s="8"/>
      <c r="W316" s="8" t="s">
        <v>106</v>
      </c>
      <c r="X316" s="8" t="s">
        <v>467</v>
      </c>
      <c r="Y316" s="8" t="s">
        <v>108</v>
      </c>
      <c r="Z316" s="8" t="s">
        <v>468</v>
      </c>
    </row>
    <row r="317" customFormat="false" ht="15" hidden="false" customHeight="false" outlineLevel="0" collapsed="false">
      <c r="A317" s="8" t="s">
        <v>109</v>
      </c>
      <c r="B317" s="8" t="s">
        <v>13</v>
      </c>
      <c r="C317" s="8" t="s">
        <v>14</v>
      </c>
      <c r="D317" s="8" t="s">
        <v>91</v>
      </c>
      <c r="E317" s="8" t="s">
        <v>38</v>
      </c>
      <c r="F317" s="8" t="s">
        <v>49</v>
      </c>
      <c r="G317" s="8" t="s">
        <v>30</v>
      </c>
      <c r="H317" s="8" t="s">
        <v>30</v>
      </c>
      <c r="I317" s="8" t="n">
        <f aca="false">IF(EXACT(G317,H317),1,0)</f>
        <v>1</v>
      </c>
      <c r="J317" s="8" t="n">
        <v>0</v>
      </c>
      <c r="K317" s="8" t="s">
        <v>92</v>
      </c>
      <c r="L317" s="8" t="n">
        <v>0</v>
      </c>
      <c r="M317" s="8" t="n">
        <v>1</v>
      </c>
      <c r="N317" s="8" t="s">
        <v>93</v>
      </c>
      <c r="O317" s="8" t="n">
        <v>1</v>
      </c>
      <c r="P317" s="10" t="n">
        <v>4.29</v>
      </c>
      <c r="Q317" s="8"/>
      <c r="R317" s="8"/>
      <c r="S317" s="8" t="s">
        <v>110</v>
      </c>
      <c r="T317" s="8" t="s">
        <v>111</v>
      </c>
      <c r="U317" s="8" t="s">
        <v>112</v>
      </c>
      <c r="V317" s="8"/>
      <c r="W317" s="8" t="s">
        <v>113</v>
      </c>
      <c r="X317" s="8" t="s">
        <v>469</v>
      </c>
      <c r="Y317" s="8" t="s">
        <v>99</v>
      </c>
      <c r="Z317" s="8"/>
    </row>
    <row r="318" customFormat="false" ht="15" hidden="false" customHeight="false" outlineLevel="0" collapsed="false">
      <c r="A318" s="8" t="s">
        <v>109</v>
      </c>
      <c r="B318" s="8" t="s">
        <v>13</v>
      </c>
      <c r="C318" s="8" t="s">
        <v>14</v>
      </c>
      <c r="D318" s="8" t="s">
        <v>91</v>
      </c>
      <c r="E318" s="8" t="s">
        <v>38</v>
      </c>
      <c r="F318" s="8" t="s">
        <v>49</v>
      </c>
      <c r="G318" s="8" t="s">
        <v>30</v>
      </c>
      <c r="H318" s="8" t="s">
        <v>30</v>
      </c>
      <c r="I318" s="8" t="n">
        <f aca="false">IF(EXACT(G318,H318),1,0)</f>
        <v>1</v>
      </c>
      <c r="J318" s="8" t="n">
        <v>1</v>
      </c>
      <c r="K318" s="8" t="s">
        <v>92</v>
      </c>
      <c r="L318" s="8" t="n">
        <v>0</v>
      </c>
      <c r="M318" s="8" t="n">
        <v>1</v>
      </c>
      <c r="N318" s="8" t="s">
        <v>93</v>
      </c>
      <c r="O318" s="8" t="n">
        <v>1</v>
      </c>
      <c r="P318" s="10" t="n">
        <v>4.61</v>
      </c>
      <c r="Q318" s="8"/>
      <c r="R318" s="8"/>
      <c r="S318" s="8" t="s">
        <v>110</v>
      </c>
      <c r="T318" s="8" t="s">
        <v>111</v>
      </c>
      <c r="U318" s="8" t="s">
        <v>112</v>
      </c>
      <c r="V318" s="8"/>
      <c r="W318" s="8" t="s">
        <v>113</v>
      </c>
      <c r="X318" s="8" t="s">
        <v>469</v>
      </c>
      <c r="Y318" s="8" t="s">
        <v>99</v>
      </c>
      <c r="Z318" s="8"/>
    </row>
    <row r="319" customFormat="false" ht="15" hidden="false" customHeight="false" outlineLevel="0" collapsed="false">
      <c r="A319" s="8" t="s">
        <v>109</v>
      </c>
      <c r="B319" s="8" t="s">
        <v>13</v>
      </c>
      <c r="C319" s="8" t="s">
        <v>14</v>
      </c>
      <c r="D319" s="8" t="s">
        <v>91</v>
      </c>
      <c r="E319" s="8" t="s">
        <v>38</v>
      </c>
      <c r="F319" s="8" t="s">
        <v>49</v>
      </c>
      <c r="G319" s="8" t="s">
        <v>30</v>
      </c>
      <c r="H319" s="8" t="s">
        <v>30</v>
      </c>
      <c r="I319" s="8" t="n">
        <f aca="false">IF(EXACT(G319,H319),1,0)</f>
        <v>1</v>
      </c>
      <c r="J319" s="8" t="n">
        <v>2</v>
      </c>
      <c r="K319" s="8" t="s">
        <v>92</v>
      </c>
      <c r="L319" s="8" t="n">
        <v>0</v>
      </c>
      <c r="M319" s="8" t="n">
        <v>1</v>
      </c>
      <c r="N319" s="8" t="s">
        <v>93</v>
      </c>
      <c r="O319" s="8" t="n">
        <v>1</v>
      </c>
      <c r="P319" s="10" t="n">
        <v>4.29</v>
      </c>
      <c r="Q319" s="8"/>
      <c r="R319" s="8"/>
      <c r="S319" s="8" t="s">
        <v>110</v>
      </c>
      <c r="T319" s="8" t="s">
        <v>111</v>
      </c>
      <c r="U319" s="8" t="s">
        <v>112</v>
      </c>
      <c r="V319" s="8"/>
      <c r="W319" s="8" t="s">
        <v>113</v>
      </c>
      <c r="X319" s="8" t="s">
        <v>469</v>
      </c>
      <c r="Y319" s="8" t="s">
        <v>99</v>
      </c>
      <c r="Z319" s="8"/>
    </row>
    <row r="320" customFormat="false" ht="15" hidden="false" customHeight="false" outlineLevel="0" collapsed="false">
      <c r="A320" s="8" t="s">
        <v>115</v>
      </c>
      <c r="B320" s="8" t="s">
        <v>13</v>
      </c>
      <c r="C320" s="8" t="s">
        <v>14</v>
      </c>
      <c r="D320" s="8" t="s">
        <v>91</v>
      </c>
      <c r="E320" s="8" t="s">
        <v>38</v>
      </c>
      <c r="F320" s="8" t="s">
        <v>49</v>
      </c>
      <c r="G320" s="8" t="s">
        <v>31</v>
      </c>
      <c r="H320" s="8" t="s">
        <v>31</v>
      </c>
      <c r="I320" s="8" t="n">
        <f aca="false">IF(EXACT(G320,H320),1,0)</f>
        <v>1</v>
      </c>
      <c r="J320" s="8" t="n">
        <v>0</v>
      </c>
      <c r="K320" s="8" t="s">
        <v>116</v>
      </c>
      <c r="L320" s="8" t="n">
        <v>1</v>
      </c>
      <c r="M320" s="8" t="n">
        <v>1</v>
      </c>
      <c r="N320" s="8" t="s">
        <v>93</v>
      </c>
      <c r="O320" s="8" t="n">
        <v>1</v>
      </c>
      <c r="P320" s="10" t="n">
        <v>4.3</v>
      </c>
      <c r="Q320" s="8"/>
      <c r="R320" s="8"/>
      <c r="S320" s="8" t="s">
        <v>117</v>
      </c>
      <c r="T320" s="8" t="s">
        <v>111</v>
      </c>
      <c r="U320" s="8" t="s">
        <v>112</v>
      </c>
      <c r="V320" s="8"/>
      <c r="W320" s="8" t="s">
        <v>118</v>
      </c>
      <c r="X320" s="8" t="s">
        <v>470</v>
      </c>
      <c r="Y320" s="8" t="s">
        <v>108</v>
      </c>
      <c r="Z320" s="8" t="s">
        <v>120</v>
      </c>
    </row>
    <row r="321" customFormat="false" ht="15" hidden="false" customHeight="false" outlineLevel="0" collapsed="false">
      <c r="A321" s="8" t="s">
        <v>115</v>
      </c>
      <c r="B321" s="8" t="s">
        <v>13</v>
      </c>
      <c r="C321" s="8" t="s">
        <v>14</v>
      </c>
      <c r="D321" s="8" t="s">
        <v>91</v>
      </c>
      <c r="E321" s="8" t="s">
        <v>38</v>
      </c>
      <c r="F321" s="8" t="s">
        <v>49</v>
      </c>
      <c r="G321" s="8" t="s">
        <v>31</v>
      </c>
      <c r="H321" s="8" t="s">
        <v>31</v>
      </c>
      <c r="I321" s="8" t="n">
        <f aca="false">IF(EXACT(G321,H321),1,0)</f>
        <v>1</v>
      </c>
      <c r="J321" s="8" t="n">
        <v>1</v>
      </c>
      <c r="K321" s="8" t="s">
        <v>116</v>
      </c>
      <c r="L321" s="8" t="n">
        <v>1</v>
      </c>
      <c r="M321" s="8" t="n">
        <v>1</v>
      </c>
      <c r="N321" s="8" t="s">
        <v>93</v>
      </c>
      <c r="O321" s="8" t="n">
        <v>1</v>
      </c>
      <c r="P321" s="10" t="n">
        <v>4.56</v>
      </c>
      <c r="Q321" s="8"/>
      <c r="R321" s="8"/>
      <c r="S321" s="8" t="s">
        <v>117</v>
      </c>
      <c r="T321" s="8" t="s">
        <v>111</v>
      </c>
      <c r="U321" s="8" t="s">
        <v>112</v>
      </c>
      <c r="V321" s="8"/>
      <c r="W321" s="8" t="s">
        <v>118</v>
      </c>
      <c r="X321" s="8" t="s">
        <v>470</v>
      </c>
      <c r="Y321" s="8" t="s">
        <v>108</v>
      </c>
      <c r="Z321" s="8" t="s">
        <v>120</v>
      </c>
    </row>
    <row r="322" customFormat="false" ht="15" hidden="false" customHeight="false" outlineLevel="0" collapsed="false">
      <c r="A322" s="8" t="s">
        <v>115</v>
      </c>
      <c r="B322" s="8" t="s">
        <v>13</v>
      </c>
      <c r="C322" s="8" t="s">
        <v>14</v>
      </c>
      <c r="D322" s="8" t="s">
        <v>91</v>
      </c>
      <c r="E322" s="8" t="s">
        <v>38</v>
      </c>
      <c r="F322" s="8" t="s">
        <v>49</v>
      </c>
      <c r="G322" s="8" t="s">
        <v>31</v>
      </c>
      <c r="H322" s="8" t="s">
        <v>31</v>
      </c>
      <c r="I322" s="8" t="n">
        <f aca="false">IF(EXACT(G322,H322),1,0)</f>
        <v>1</v>
      </c>
      <c r="J322" s="8" t="n">
        <v>2</v>
      </c>
      <c r="K322" s="8" t="s">
        <v>116</v>
      </c>
      <c r="L322" s="8" t="n">
        <v>1</v>
      </c>
      <c r="M322" s="8" t="n">
        <v>1</v>
      </c>
      <c r="N322" s="8" t="s">
        <v>93</v>
      </c>
      <c r="O322" s="8" t="n">
        <v>1</v>
      </c>
      <c r="P322" s="10" t="n">
        <v>4.35</v>
      </c>
      <c r="Q322" s="8"/>
      <c r="R322" s="8"/>
      <c r="S322" s="8" t="s">
        <v>117</v>
      </c>
      <c r="T322" s="8" t="s">
        <v>111</v>
      </c>
      <c r="U322" s="8" t="s">
        <v>112</v>
      </c>
      <c r="V322" s="8"/>
      <c r="W322" s="8" t="s">
        <v>118</v>
      </c>
      <c r="X322" s="8" t="s">
        <v>470</v>
      </c>
      <c r="Y322" s="8" t="s">
        <v>108</v>
      </c>
      <c r="Z322" s="8" t="s">
        <v>120</v>
      </c>
    </row>
    <row r="323" customFormat="false" ht="15" hidden="false" customHeight="false" outlineLevel="0" collapsed="false">
      <c r="A323" s="8" t="s">
        <v>121</v>
      </c>
      <c r="B323" s="8" t="s">
        <v>13</v>
      </c>
      <c r="C323" s="8" t="s">
        <v>14</v>
      </c>
      <c r="D323" s="8" t="s">
        <v>91</v>
      </c>
      <c r="E323" s="8" t="s">
        <v>38</v>
      </c>
      <c r="F323" s="8" t="s">
        <v>49</v>
      </c>
      <c r="G323" s="8" t="s">
        <v>31</v>
      </c>
      <c r="H323" s="8" t="s">
        <v>30</v>
      </c>
      <c r="I323" s="8" t="n">
        <f aca="false">IF(EXACT(G323,H323),1,0)</f>
        <v>0</v>
      </c>
      <c r="J323" s="8" t="n">
        <v>0</v>
      </c>
      <c r="K323" s="8" t="s">
        <v>92</v>
      </c>
      <c r="L323" s="8" t="n">
        <v>0</v>
      </c>
      <c r="M323" s="8" t="n">
        <v>1</v>
      </c>
      <c r="N323" s="8" t="s">
        <v>93</v>
      </c>
      <c r="O323" s="8" t="n">
        <v>1</v>
      </c>
      <c r="P323" s="10" t="n">
        <v>4.85</v>
      </c>
      <c r="Q323" s="8"/>
      <c r="R323" s="8"/>
      <c r="S323" s="8" t="s">
        <v>117</v>
      </c>
      <c r="T323" s="8" t="s">
        <v>95</v>
      </c>
      <c r="U323" s="8" t="s">
        <v>96</v>
      </c>
      <c r="V323" s="8"/>
      <c r="W323" s="8" t="s">
        <v>122</v>
      </c>
      <c r="X323" s="8" t="s">
        <v>471</v>
      </c>
      <c r="Y323" s="8" t="s">
        <v>99</v>
      </c>
      <c r="Z323" s="8"/>
    </row>
    <row r="324" customFormat="false" ht="15" hidden="false" customHeight="false" outlineLevel="0" collapsed="false">
      <c r="A324" s="8" t="s">
        <v>121</v>
      </c>
      <c r="B324" s="8" t="s">
        <v>13</v>
      </c>
      <c r="C324" s="8" t="s">
        <v>14</v>
      </c>
      <c r="D324" s="8" t="s">
        <v>91</v>
      </c>
      <c r="E324" s="8" t="s">
        <v>38</v>
      </c>
      <c r="F324" s="8" t="s">
        <v>49</v>
      </c>
      <c r="G324" s="8" t="s">
        <v>31</v>
      </c>
      <c r="H324" s="8" t="s">
        <v>30</v>
      </c>
      <c r="I324" s="8" t="n">
        <f aca="false">IF(EXACT(G324,H324),1,0)</f>
        <v>0</v>
      </c>
      <c r="J324" s="8" t="n">
        <v>1</v>
      </c>
      <c r="K324" s="8" t="s">
        <v>92</v>
      </c>
      <c r="L324" s="8" t="n">
        <v>0</v>
      </c>
      <c r="M324" s="8" t="n">
        <v>1</v>
      </c>
      <c r="N324" s="8" t="s">
        <v>93</v>
      </c>
      <c r="O324" s="8" t="n">
        <v>1</v>
      </c>
      <c r="P324" s="10" t="n">
        <v>4.83</v>
      </c>
      <c r="Q324" s="8"/>
      <c r="R324" s="8"/>
      <c r="S324" s="8" t="s">
        <v>117</v>
      </c>
      <c r="T324" s="8" t="s">
        <v>95</v>
      </c>
      <c r="U324" s="8" t="s">
        <v>96</v>
      </c>
      <c r="V324" s="8"/>
      <c r="W324" s="8" t="s">
        <v>122</v>
      </c>
      <c r="X324" s="8" t="s">
        <v>471</v>
      </c>
      <c r="Y324" s="8" t="s">
        <v>99</v>
      </c>
      <c r="Z324" s="8"/>
    </row>
    <row r="325" customFormat="false" ht="15" hidden="false" customHeight="false" outlineLevel="0" collapsed="false">
      <c r="A325" s="8" t="s">
        <v>121</v>
      </c>
      <c r="B325" s="8" t="s">
        <v>13</v>
      </c>
      <c r="C325" s="8" t="s">
        <v>14</v>
      </c>
      <c r="D325" s="8" t="s">
        <v>91</v>
      </c>
      <c r="E325" s="8" t="s">
        <v>38</v>
      </c>
      <c r="F325" s="8" t="s">
        <v>49</v>
      </c>
      <c r="G325" s="8" t="s">
        <v>31</v>
      </c>
      <c r="H325" s="8" t="s">
        <v>30</v>
      </c>
      <c r="I325" s="8" t="n">
        <f aca="false">IF(EXACT(G325,H325),1,0)</f>
        <v>0</v>
      </c>
      <c r="J325" s="8" t="n">
        <v>2</v>
      </c>
      <c r="K325" s="8" t="s">
        <v>92</v>
      </c>
      <c r="L325" s="8" t="n">
        <v>0</v>
      </c>
      <c r="M325" s="8" t="n">
        <v>1</v>
      </c>
      <c r="N325" s="8" t="s">
        <v>93</v>
      </c>
      <c r="O325" s="8" t="n">
        <v>1</v>
      </c>
      <c r="P325" s="10" t="n">
        <v>5.03</v>
      </c>
      <c r="Q325" s="8"/>
      <c r="R325" s="8"/>
      <c r="S325" s="8" t="s">
        <v>117</v>
      </c>
      <c r="T325" s="8" t="s">
        <v>95</v>
      </c>
      <c r="U325" s="8" t="s">
        <v>96</v>
      </c>
      <c r="V325" s="8"/>
      <c r="W325" s="8" t="s">
        <v>122</v>
      </c>
      <c r="X325" s="8" t="s">
        <v>471</v>
      </c>
      <c r="Y325" s="8" t="s">
        <v>99</v>
      </c>
      <c r="Z325" s="8"/>
    </row>
    <row r="326" customFormat="false" ht="15" hidden="false" customHeight="false" outlineLevel="0" collapsed="false">
      <c r="A326" s="8" t="s">
        <v>472</v>
      </c>
      <c r="B326" s="8" t="s">
        <v>13</v>
      </c>
      <c r="C326" s="8" t="s">
        <v>14</v>
      </c>
      <c r="D326" s="8" t="s">
        <v>91</v>
      </c>
      <c r="E326" s="8" t="s">
        <v>38</v>
      </c>
      <c r="F326" s="8" t="s">
        <v>52</v>
      </c>
      <c r="G326" s="8" t="s">
        <v>30</v>
      </c>
      <c r="H326" s="8" t="s">
        <v>30</v>
      </c>
      <c r="I326" s="8" t="n">
        <f aca="false">IF(EXACT(G326,H326),1,0)</f>
        <v>1</v>
      </c>
      <c r="J326" s="8" t="n">
        <v>0</v>
      </c>
      <c r="K326" s="8" t="s">
        <v>92</v>
      </c>
      <c r="L326" s="8" t="n">
        <v>0</v>
      </c>
      <c r="M326" s="8" t="n">
        <v>1</v>
      </c>
      <c r="N326" s="8" t="s">
        <v>93</v>
      </c>
      <c r="O326" s="8" t="n">
        <v>1</v>
      </c>
      <c r="P326" s="10" t="n">
        <v>4.55</v>
      </c>
      <c r="Q326" s="8"/>
      <c r="R326" s="8"/>
      <c r="S326" s="8" t="s">
        <v>473</v>
      </c>
      <c r="T326" s="8" t="s">
        <v>474</v>
      </c>
      <c r="U326" s="8" t="s">
        <v>475</v>
      </c>
      <c r="V326" s="8"/>
      <c r="W326" s="8" t="s">
        <v>476</v>
      </c>
      <c r="X326" s="8" t="s">
        <v>477</v>
      </c>
      <c r="Y326" s="8" t="s">
        <v>108</v>
      </c>
      <c r="Z326" s="8"/>
    </row>
    <row r="327" customFormat="false" ht="15" hidden="false" customHeight="false" outlineLevel="0" collapsed="false">
      <c r="A327" s="8" t="s">
        <v>472</v>
      </c>
      <c r="B327" s="8" t="s">
        <v>13</v>
      </c>
      <c r="C327" s="8" t="s">
        <v>14</v>
      </c>
      <c r="D327" s="8" t="s">
        <v>91</v>
      </c>
      <c r="E327" s="8" t="s">
        <v>38</v>
      </c>
      <c r="F327" s="8" t="s">
        <v>52</v>
      </c>
      <c r="G327" s="8" t="s">
        <v>30</v>
      </c>
      <c r="H327" s="8" t="s">
        <v>30</v>
      </c>
      <c r="I327" s="8" t="n">
        <f aca="false">IF(EXACT(G327,H327),1,0)</f>
        <v>1</v>
      </c>
      <c r="J327" s="8" t="n">
        <v>1</v>
      </c>
      <c r="K327" s="8" t="s">
        <v>92</v>
      </c>
      <c r="L327" s="8" t="n">
        <v>0</v>
      </c>
      <c r="M327" s="8" t="n">
        <v>1</v>
      </c>
      <c r="N327" s="8" t="s">
        <v>93</v>
      </c>
      <c r="O327" s="8" t="n">
        <v>1</v>
      </c>
      <c r="P327" s="10" t="n">
        <v>4.64</v>
      </c>
      <c r="Q327" s="8"/>
      <c r="R327" s="8"/>
      <c r="S327" s="8" t="s">
        <v>473</v>
      </c>
      <c r="T327" s="8" t="s">
        <v>474</v>
      </c>
      <c r="U327" s="8" t="s">
        <v>475</v>
      </c>
      <c r="V327" s="8"/>
      <c r="W327" s="8" t="s">
        <v>476</v>
      </c>
      <c r="X327" s="8" t="s">
        <v>477</v>
      </c>
      <c r="Y327" s="8" t="s">
        <v>108</v>
      </c>
      <c r="Z327" s="8"/>
    </row>
    <row r="328" customFormat="false" ht="15" hidden="false" customHeight="false" outlineLevel="0" collapsed="false">
      <c r="A328" s="8" t="s">
        <v>472</v>
      </c>
      <c r="B328" s="8" t="s">
        <v>13</v>
      </c>
      <c r="C328" s="8" t="s">
        <v>14</v>
      </c>
      <c r="D328" s="8" t="s">
        <v>91</v>
      </c>
      <c r="E328" s="8" t="s">
        <v>38</v>
      </c>
      <c r="F328" s="8" t="s">
        <v>52</v>
      </c>
      <c r="G328" s="8" t="s">
        <v>30</v>
      </c>
      <c r="H328" s="8" t="s">
        <v>30</v>
      </c>
      <c r="I328" s="8" t="n">
        <f aca="false">IF(EXACT(G328,H328),1,0)</f>
        <v>1</v>
      </c>
      <c r="J328" s="8" t="n">
        <v>2</v>
      </c>
      <c r="K328" s="8" t="s">
        <v>92</v>
      </c>
      <c r="L328" s="8" t="n">
        <v>0</v>
      </c>
      <c r="M328" s="8" t="n">
        <v>1</v>
      </c>
      <c r="N328" s="8" t="s">
        <v>93</v>
      </c>
      <c r="O328" s="8" t="n">
        <v>1</v>
      </c>
      <c r="P328" s="10" t="n">
        <v>4.32</v>
      </c>
      <c r="Q328" s="8"/>
      <c r="R328" s="8"/>
      <c r="S328" s="8" t="s">
        <v>473</v>
      </c>
      <c r="T328" s="8" t="s">
        <v>474</v>
      </c>
      <c r="U328" s="8" t="s">
        <v>475</v>
      </c>
      <c r="V328" s="8"/>
      <c r="W328" s="8" t="s">
        <v>476</v>
      </c>
      <c r="X328" s="8" t="s">
        <v>477</v>
      </c>
      <c r="Y328" s="8" t="s">
        <v>108</v>
      </c>
      <c r="Z328" s="8"/>
    </row>
    <row r="329" customFormat="false" ht="15" hidden="false" customHeight="false" outlineLevel="0" collapsed="false">
      <c r="A329" s="8" t="s">
        <v>478</v>
      </c>
      <c r="B329" s="8" t="s">
        <v>13</v>
      </c>
      <c r="C329" s="8" t="s">
        <v>14</v>
      </c>
      <c r="D329" s="8" t="s">
        <v>91</v>
      </c>
      <c r="E329" s="8" t="s">
        <v>38</v>
      </c>
      <c r="F329" s="8" t="s">
        <v>52</v>
      </c>
      <c r="G329" s="8" t="s">
        <v>30</v>
      </c>
      <c r="H329" s="8" t="s">
        <v>30</v>
      </c>
      <c r="I329" s="8" t="n">
        <f aca="false">IF(EXACT(G329,H329),1,0)</f>
        <v>1</v>
      </c>
      <c r="J329" s="8" t="n">
        <v>0</v>
      </c>
      <c r="K329" s="8" t="s">
        <v>92</v>
      </c>
      <c r="L329" s="8" t="n">
        <v>0</v>
      </c>
      <c r="M329" s="8" t="n">
        <v>1</v>
      </c>
      <c r="N329" s="8" t="s">
        <v>93</v>
      </c>
      <c r="O329" s="8" t="n">
        <v>1</v>
      </c>
      <c r="P329" s="10" t="n">
        <v>4.2</v>
      </c>
      <c r="Q329" s="8"/>
      <c r="R329" s="8"/>
      <c r="S329" s="8" t="s">
        <v>232</v>
      </c>
      <c r="T329" s="8" t="s">
        <v>474</v>
      </c>
      <c r="U329" s="8" t="s">
        <v>475</v>
      </c>
      <c r="V329" s="8"/>
      <c r="W329" s="8" t="s">
        <v>479</v>
      </c>
      <c r="X329" s="8" t="s">
        <v>480</v>
      </c>
      <c r="Y329" s="8" t="s">
        <v>99</v>
      </c>
      <c r="Z329" s="8"/>
    </row>
    <row r="330" customFormat="false" ht="15" hidden="false" customHeight="false" outlineLevel="0" collapsed="false">
      <c r="A330" s="8" t="s">
        <v>478</v>
      </c>
      <c r="B330" s="8" t="s">
        <v>13</v>
      </c>
      <c r="C330" s="8" t="s">
        <v>14</v>
      </c>
      <c r="D330" s="8" t="s">
        <v>91</v>
      </c>
      <c r="E330" s="8" t="s">
        <v>38</v>
      </c>
      <c r="F330" s="8" t="s">
        <v>52</v>
      </c>
      <c r="G330" s="8" t="s">
        <v>30</v>
      </c>
      <c r="H330" s="8" t="s">
        <v>30</v>
      </c>
      <c r="I330" s="8" t="n">
        <f aca="false">IF(EXACT(G330,H330),1,0)</f>
        <v>1</v>
      </c>
      <c r="J330" s="8" t="n">
        <v>1</v>
      </c>
      <c r="K330" s="8" t="s">
        <v>92</v>
      </c>
      <c r="L330" s="8" t="n">
        <v>0</v>
      </c>
      <c r="M330" s="8" t="n">
        <v>1</v>
      </c>
      <c r="N330" s="8" t="s">
        <v>93</v>
      </c>
      <c r="O330" s="8" t="n">
        <v>1</v>
      </c>
      <c r="P330" s="10" t="n">
        <v>4.58</v>
      </c>
      <c r="Q330" s="8"/>
      <c r="R330" s="8"/>
      <c r="S330" s="8" t="s">
        <v>232</v>
      </c>
      <c r="T330" s="8" t="s">
        <v>474</v>
      </c>
      <c r="U330" s="8" t="s">
        <v>475</v>
      </c>
      <c r="V330" s="8"/>
      <c r="W330" s="8" t="s">
        <v>479</v>
      </c>
      <c r="X330" s="8" t="s">
        <v>480</v>
      </c>
      <c r="Y330" s="8" t="s">
        <v>99</v>
      </c>
      <c r="Z330" s="8"/>
    </row>
    <row r="331" customFormat="false" ht="15" hidden="false" customHeight="false" outlineLevel="0" collapsed="false">
      <c r="A331" s="8" t="s">
        <v>478</v>
      </c>
      <c r="B331" s="8" t="s">
        <v>13</v>
      </c>
      <c r="C331" s="8" t="s">
        <v>14</v>
      </c>
      <c r="D331" s="8" t="s">
        <v>91</v>
      </c>
      <c r="E331" s="8" t="s">
        <v>38</v>
      </c>
      <c r="F331" s="8" t="s">
        <v>52</v>
      </c>
      <c r="G331" s="8" t="s">
        <v>30</v>
      </c>
      <c r="H331" s="8" t="s">
        <v>30</v>
      </c>
      <c r="I331" s="8" t="n">
        <f aca="false">IF(EXACT(G331,H331),1,0)</f>
        <v>1</v>
      </c>
      <c r="J331" s="8" t="n">
        <v>2</v>
      </c>
      <c r="K331" s="8" t="s">
        <v>92</v>
      </c>
      <c r="L331" s="8" t="n">
        <v>0</v>
      </c>
      <c r="M331" s="8" t="n">
        <v>1</v>
      </c>
      <c r="N331" s="8" t="s">
        <v>93</v>
      </c>
      <c r="O331" s="8" t="n">
        <v>1</v>
      </c>
      <c r="P331" s="10" t="n">
        <v>4.27</v>
      </c>
      <c r="Q331" s="8"/>
      <c r="R331" s="8"/>
      <c r="S331" s="8" t="s">
        <v>232</v>
      </c>
      <c r="T331" s="8" t="s">
        <v>474</v>
      </c>
      <c r="U331" s="8" t="s">
        <v>475</v>
      </c>
      <c r="V331" s="8"/>
      <c r="W331" s="8" t="s">
        <v>479</v>
      </c>
      <c r="X331" s="8" t="s">
        <v>480</v>
      </c>
      <c r="Y331" s="8" t="s">
        <v>99</v>
      </c>
      <c r="Z331" s="8"/>
    </row>
    <row r="332" customFormat="false" ht="15" hidden="false" customHeight="false" outlineLevel="0" collapsed="false">
      <c r="A332" s="8" t="s">
        <v>481</v>
      </c>
      <c r="B332" s="8" t="s">
        <v>13</v>
      </c>
      <c r="C332" s="8" t="s">
        <v>14</v>
      </c>
      <c r="D332" s="8" t="s">
        <v>91</v>
      </c>
      <c r="E332" s="8" t="s">
        <v>38</v>
      </c>
      <c r="F332" s="8" t="s">
        <v>52</v>
      </c>
      <c r="G332" s="8" t="s">
        <v>31</v>
      </c>
      <c r="H332" s="8" t="s">
        <v>30</v>
      </c>
      <c r="I332" s="8" t="n">
        <f aca="false">IF(EXACT(G332,H332),1,0)</f>
        <v>0</v>
      </c>
      <c r="J332" s="8" t="n">
        <v>0</v>
      </c>
      <c r="K332" s="8" t="s">
        <v>92</v>
      </c>
      <c r="L332" s="8" t="n">
        <v>0</v>
      </c>
      <c r="M332" s="8" t="n">
        <v>1</v>
      </c>
      <c r="N332" s="8" t="s">
        <v>93</v>
      </c>
      <c r="O332" s="8" t="n">
        <v>1</v>
      </c>
      <c r="P332" s="10" t="n">
        <v>4.23</v>
      </c>
      <c r="Q332" s="8"/>
      <c r="R332" s="8"/>
      <c r="S332" s="8" t="s">
        <v>117</v>
      </c>
      <c r="T332" s="8" t="s">
        <v>474</v>
      </c>
      <c r="U332" s="8" t="s">
        <v>475</v>
      </c>
      <c r="V332" s="8"/>
      <c r="W332" s="8" t="s">
        <v>482</v>
      </c>
      <c r="X332" s="8" t="s">
        <v>483</v>
      </c>
      <c r="Y332" s="8" t="s">
        <v>190</v>
      </c>
      <c r="Z332" s="8"/>
    </row>
    <row r="333" customFormat="false" ht="15" hidden="false" customHeight="false" outlineLevel="0" collapsed="false">
      <c r="A333" s="8" t="s">
        <v>481</v>
      </c>
      <c r="B333" s="8" t="s">
        <v>13</v>
      </c>
      <c r="C333" s="8" t="s">
        <v>14</v>
      </c>
      <c r="D333" s="8" t="s">
        <v>91</v>
      </c>
      <c r="E333" s="8" t="s">
        <v>38</v>
      </c>
      <c r="F333" s="8" t="s">
        <v>52</v>
      </c>
      <c r="G333" s="8" t="s">
        <v>31</v>
      </c>
      <c r="H333" s="8" t="s">
        <v>30</v>
      </c>
      <c r="I333" s="8" t="n">
        <f aca="false">IF(EXACT(G333,H333),1,0)</f>
        <v>0</v>
      </c>
      <c r="J333" s="8" t="n">
        <v>1</v>
      </c>
      <c r="K333" s="8" t="s">
        <v>92</v>
      </c>
      <c r="L333" s="8" t="n">
        <v>0</v>
      </c>
      <c r="M333" s="8" t="n">
        <v>1</v>
      </c>
      <c r="N333" s="8" t="s">
        <v>93</v>
      </c>
      <c r="O333" s="8" t="n">
        <v>1</v>
      </c>
      <c r="P333" s="10" t="n">
        <v>4.46</v>
      </c>
      <c r="Q333" s="8"/>
      <c r="R333" s="8"/>
      <c r="S333" s="8" t="s">
        <v>117</v>
      </c>
      <c r="T333" s="8" t="s">
        <v>474</v>
      </c>
      <c r="U333" s="8" t="s">
        <v>475</v>
      </c>
      <c r="V333" s="8"/>
      <c r="W333" s="8" t="s">
        <v>482</v>
      </c>
      <c r="X333" s="8" t="s">
        <v>483</v>
      </c>
      <c r="Y333" s="8" t="s">
        <v>190</v>
      </c>
      <c r="Z333" s="8"/>
    </row>
    <row r="334" customFormat="false" ht="15" hidden="false" customHeight="false" outlineLevel="0" collapsed="false">
      <c r="A334" s="8" t="s">
        <v>481</v>
      </c>
      <c r="B334" s="8" t="s">
        <v>13</v>
      </c>
      <c r="C334" s="8" t="s">
        <v>14</v>
      </c>
      <c r="D334" s="8" t="s">
        <v>91</v>
      </c>
      <c r="E334" s="8" t="s">
        <v>38</v>
      </c>
      <c r="F334" s="8" t="s">
        <v>52</v>
      </c>
      <c r="G334" s="8" t="s">
        <v>31</v>
      </c>
      <c r="H334" s="8" t="s">
        <v>30</v>
      </c>
      <c r="I334" s="8" t="n">
        <f aca="false">IF(EXACT(G334,H334),1,0)</f>
        <v>0</v>
      </c>
      <c r="J334" s="8" t="n">
        <v>2</v>
      </c>
      <c r="K334" s="8" t="s">
        <v>92</v>
      </c>
      <c r="L334" s="8" t="n">
        <v>0</v>
      </c>
      <c r="M334" s="8" t="n">
        <v>1</v>
      </c>
      <c r="N334" s="8" t="s">
        <v>93</v>
      </c>
      <c r="O334" s="8" t="n">
        <v>1</v>
      </c>
      <c r="P334" s="10" t="n">
        <v>4.29</v>
      </c>
      <c r="Q334" s="8"/>
      <c r="R334" s="8"/>
      <c r="S334" s="8" t="s">
        <v>117</v>
      </c>
      <c r="T334" s="8" t="s">
        <v>474</v>
      </c>
      <c r="U334" s="8" t="s">
        <v>475</v>
      </c>
      <c r="V334" s="8"/>
      <c r="W334" s="8" t="s">
        <v>482</v>
      </c>
      <c r="X334" s="8" t="s">
        <v>483</v>
      </c>
      <c r="Y334" s="8" t="s">
        <v>190</v>
      </c>
      <c r="Z334" s="8"/>
    </row>
    <row r="335" customFormat="false" ht="15" hidden="false" customHeight="false" outlineLevel="0" collapsed="false">
      <c r="A335" s="8" t="s">
        <v>484</v>
      </c>
      <c r="B335" s="8" t="s">
        <v>13</v>
      </c>
      <c r="C335" s="8" t="s">
        <v>14</v>
      </c>
      <c r="D335" s="8" t="s">
        <v>91</v>
      </c>
      <c r="E335" s="8" t="s">
        <v>38</v>
      </c>
      <c r="F335" s="8" t="s">
        <v>52</v>
      </c>
      <c r="G335" s="8" t="s">
        <v>32</v>
      </c>
      <c r="H335" s="8" t="s">
        <v>30</v>
      </c>
      <c r="I335" s="8" t="n">
        <f aca="false">IF(EXACT(G335,H335),1,0)</f>
        <v>0</v>
      </c>
      <c r="J335" s="8" t="n">
        <v>0</v>
      </c>
      <c r="K335" s="8" t="s">
        <v>92</v>
      </c>
      <c r="L335" s="8" t="n">
        <v>0</v>
      </c>
      <c r="M335" s="8" t="n">
        <v>1</v>
      </c>
      <c r="N335" s="8" t="s">
        <v>93</v>
      </c>
      <c r="O335" s="8" t="n">
        <v>1</v>
      </c>
      <c r="P335" s="10" t="n">
        <v>4.22</v>
      </c>
      <c r="Q335" s="8"/>
      <c r="R335" s="8"/>
      <c r="S335" s="8" t="s">
        <v>132</v>
      </c>
      <c r="T335" s="8" t="s">
        <v>474</v>
      </c>
      <c r="U335" s="8" t="s">
        <v>475</v>
      </c>
      <c r="V335" s="8"/>
      <c r="W335" s="8" t="s">
        <v>485</v>
      </c>
      <c r="X335" s="8" t="s">
        <v>486</v>
      </c>
      <c r="Y335" s="8" t="s">
        <v>99</v>
      </c>
      <c r="Z335" s="8"/>
    </row>
    <row r="336" customFormat="false" ht="15" hidden="false" customHeight="false" outlineLevel="0" collapsed="false">
      <c r="A336" s="8" t="s">
        <v>484</v>
      </c>
      <c r="B336" s="8" t="s">
        <v>13</v>
      </c>
      <c r="C336" s="8" t="s">
        <v>14</v>
      </c>
      <c r="D336" s="8" t="s">
        <v>91</v>
      </c>
      <c r="E336" s="8" t="s">
        <v>38</v>
      </c>
      <c r="F336" s="8" t="s">
        <v>52</v>
      </c>
      <c r="G336" s="8" t="s">
        <v>32</v>
      </c>
      <c r="H336" s="8" t="s">
        <v>30</v>
      </c>
      <c r="I336" s="8" t="n">
        <f aca="false">IF(EXACT(G336,H336),1,0)</f>
        <v>0</v>
      </c>
      <c r="J336" s="8" t="n">
        <v>1</v>
      </c>
      <c r="K336" s="8" t="s">
        <v>92</v>
      </c>
      <c r="L336" s="8" t="n">
        <v>0</v>
      </c>
      <c r="M336" s="8" t="n">
        <v>1</v>
      </c>
      <c r="N336" s="8" t="s">
        <v>93</v>
      </c>
      <c r="O336" s="8" t="n">
        <v>1</v>
      </c>
      <c r="P336" s="10" t="n">
        <v>4.57</v>
      </c>
      <c r="Q336" s="8"/>
      <c r="R336" s="8"/>
      <c r="S336" s="8" t="s">
        <v>132</v>
      </c>
      <c r="T336" s="8" t="s">
        <v>474</v>
      </c>
      <c r="U336" s="8" t="s">
        <v>475</v>
      </c>
      <c r="V336" s="8"/>
      <c r="W336" s="8" t="s">
        <v>485</v>
      </c>
      <c r="X336" s="8" t="s">
        <v>486</v>
      </c>
      <c r="Y336" s="8" t="s">
        <v>99</v>
      </c>
      <c r="Z336" s="8"/>
    </row>
    <row r="337" customFormat="false" ht="15" hidden="false" customHeight="false" outlineLevel="0" collapsed="false">
      <c r="A337" s="8" t="s">
        <v>484</v>
      </c>
      <c r="B337" s="8" t="s">
        <v>13</v>
      </c>
      <c r="C337" s="8" t="s">
        <v>14</v>
      </c>
      <c r="D337" s="8" t="s">
        <v>91</v>
      </c>
      <c r="E337" s="8" t="s">
        <v>38</v>
      </c>
      <c r="F337" s="8" t="s">
        <v>52</v>
      </c>
      <c r="G337" s="8" t="s">
        <v>32</v>
      </c>
      <c r="H337" s="8" t="s">
        <v>30</v>
      </c>
      <c r="I337" s="8" t="n">
        <f aca="false">IF(EXACT(G337,H337),1,0)</f>
        <v>0</v>
      </c>
      <c r="J337" s="8" t="n">
        <v>2</v>
      </c>
      <c r="K337" s="8" t="s">
        <v>92</v>
      </c>
      <c r="L337" s="8" t="n">
        <v>0</v>
      </c>
      <c r="M337" s="8" t="n">
        <v>1</v>
      </c>
      <c r="N337" s="8" t="s">
        <v>93</v>
      </c>
      <c r="O337" s="8" t="n">
        <v>1</v>
      </c>
      <c r="P337" s="10" t="n">
        <v>4.42</v>
      </c>
      <c r="Q337" s="8"/>
      <c r="R337" s="8"/>
      <c r="S337" s="8" t="s">
        <v>132</v>
      </c>
      <c r="T337" s="8" t="s">
        <v>474</v>
      </c>
      <c r="U337" s="8" t="s">
        <v>475</v>
      </c>
      <c r="V337" s="8"/>
      <c r="W337" s="8" t="s">
        <v>485</v>
      </c>
      <c r="X337" s="8" t="s">
        <v>486</v>
      </c>
      <c r="Y337" s="8" t="s">
        <v>99</v>
      </c>
      <c r="Z337" s="8"/>
    </row>
    <row r="338" customFormat="false" ht="15" hidden="false" customHeight="false" outlineLevel="0" collapsed="false">
      <c r="A338" s="8" t="s">
        <v>487</v>
      </c>
      <c r="B338" s="8" t="s">
        <v>13</v>
      </c>
      <c r="C338" s="8" t="s">
        <v>14</v>
      </c>
      <c r="D338" s="8" t="s">
        <v>91</v>
      </c>
      <c r="E338" s="8" t="s">
        <v>38</v>
      </c>
      <c r="F338" s="8" t="s">
        <v>52</v>
      </c>
      <c r="G338" s="8" t="s">
        <v>31</v>
      </c>
      <c r="H338" s="8" t="s">
        <v>30</v>
      </c>
      <c r="I338" s="8" t="n">
        <f aca="false">IF(EXACT(G338,H338),1,0)</f>
        <v>0</v>
      </c>
      <c r="J338" s="8" t="n">
        <v>0</v>
      </c>
      <c r="K338" s="8" t="s">
        <v>92</v>
      </c>
      <c r="L338" s="8" t="n">
        <v>0</v>
      </c>
      <c r="M338" s="8" t="n">
        <v>1</v>
      </c>
      <c r="N338" s="8" t="s">
        <v>93</v>
      </c>
      <c r="O338" s="8" t="n">
        <v>1</v>
      </c>
      <c r="P338" s="10" t="n">
        <v>4.76</v>
      </c>
      <c r="Q338" s="8"/>
      <c r="R338" s="8"/>
      <c r="S338" s="8" t="s">
        <v>488</v>
      </c>
      <c r="T338" s="8"/>
      <c r="U338" s="8"/>
      <c r="V338" s="8" t="s">
        <v>155</v>
      </c>
      <c r="W338" s="8"/>
      <c r="X338" s="8" t="s">
        <v>489</v>
      </c>
      <c r="Y338" s="8" t="s">
        <v>190</v>
      </c>
      <c r="Z338" s="8"/>
    </row>
    <row r="339" customFormat="false" ht="15" hidden="false" customHeight="false" outlineLevel="0" collapsed="false">
      <c r="A339" s="8" t="s">
        <v>487</v>
      </c>
      <c r="B339" s="8" t="s">
        <v>13</v>
      </c>
      <c r="C339" s="8" t="s">
        <v>14</v>
      </c>
      <c r="D339" s="8" t="s">
        <v>91</v>
      </c>
      <c r="E339" s="8" t="s">
        <v>38</v>
      </c>
      <c r="F339" s="8" t="s">
        <v>52</v>
      </c>
      <c r="G339" s="8" t="s">
        <v>31</v>
      </c>
      <c r="H339" s="8" t="s">
        <v>30</v>
      </c>
      <c r="I339" s="8" t="n">
        <f aca="false">IF(EXACT(G339,H339),1,0)</f>
        <v>0</v>
      </c>
      <c r="J339" s="8" t="n">
        <v>1</v>
      </c>
      <c r="K339" s="8" t="s">
        <v>92</v>
      </c>
      <c r="L339" s="8" t="n">
        <v>0</v>
      </c>
      <c r="M339" s="8" t="n">
        <v>1</v>
      </c>
      <c r="N339" s="8" t="s">
        <v>93</v>
      </c>
      <c r="O339" s="8" t="n">
        <v>1</v>
      </c>
      <c r="P339" s="10" t="n">
        <v>4.3</v>
      </c>
      <c r="Q339" s="8"/>
      <c r="R339" s="8"/>
      <c r="S339" s="8" t="s">
        <v>488</v>
      </c>
      <c r="T339" s="8"/>
      <c r="U339" s="8"/>
      <c r="V339" s="8" t="s">
        <v>155</v>
      </c>
      <c r="W339" s="8"/>
      <c r="X339" s="8" t="s">
        <v>489</v>
      </c>
      <c r="Y339" s="8" t="s">
        <v>190</v>
      </c>
      <c r="Z339" s="8"/>
    </row>
    <row r="340" customFormat="false" ht="15" hidden="false" customHeight="false" outlineLevel="0" collapsed="false">
      <c r="A340" s="8" t="s">
        <v>487</v>
      </c>
      <c r="B340" s="8" t="s">
        <v>13</v>
      </c>
      <c r="C340" s="8" t="s">
        <v>14</v>
      </c>
      <c r="D340" s="8" t="s">
        <v>91</v>
      </c>
      <c r="E340" s="8" t="s">
        <v>38</v>
      </c>
      <c r="F340" s="8" t="s">
        <v>52</v>
      </c>
      <c r="G340" s="8" t="s">
        <v>31</v>
      </c>
      <c r="H340" s="8" t="s">
        <v>30</v>
      </c>
      <c r="I340" s="8" t="n">
        <f aca="false">IF(EXACT(G340,H340),1,0)</f>
        <v>0</v>
      </c>
      <c r="J340" s="8" t="n">
        <v>2</v>
      </c>
      <c r="K340" s="8" t="s">
        <v>92</v>
      </c>
      <c r="L340" s="8" t="n">
        <v>0</v>
      </c>
      <c r="M340" s="8" t="n">
        <v>1</v>
      </c>
      <c r="N340" s="8" t="s">
        <v>93</v>
      </c>
      <c r="O340" s="8" t="n">
        <v>1</v>
      </c>
      <c r="P340" s="10" t="n">
        <v>4.4</v>
      </c>
      <c r="Q340" s="8"/>
      <c r="R340" s="8"/>
      <c r="S340" s="8" t="s">
        <v>488</v>
      </c>
      <c r="T340" s="8"/>
      <c r="U340" s="8"/>
      <c r="V340" s="8" t="s">
        <v>155</v>
      </c>
      <c r="W340" s="8"/>
      <c r="X340" s="8" t="s">
        <v>489</v>
      </c>
      <c r="Y340" s="8" t="s">
        <v>190</v>
      </c>
      <c r="Z340" s="8"/>
    </row>
    <row r="341" customFormat="false" ht="15" hidden="false" customHeight="false" outlineLevel="0" collapsed="false">
      <c r="A341" s="8" t="s">
        <v>490</v>
      </c>
      <c r="B341" s="8" t="s">
        <v>13</v>
      </c>
      <c r="C341" s="8" t="s">
        <v>14</v>
      </c>
      <c r="D341" s="8" t="s">
        <v>91</v>
      </c>
      <c r="E341" s="8" t="s">
        <v>38</v>
      </c>
      <c r="F341" s="8" t="s">
        <v>52</v>
      </c>
      <c r="G341" s="8" t="s">
        <v>32</v>
      </c>
      <c r="H341" s="8" t="s">
        <v>30</v>
      </c>
      <c r="I341" s="8" t="n">
        <f aca="false">IF(EXACT(G341,H341),1,0)</f>
        <v>0</v>
      </c>
      <c r="J341" s="8" t="n">
        <v>0</v>
      </c>
      <c r="K341" s="8" t="s">
        <v>92</v>
      </c>
      <c r="L341" s="8" t="n">
        <v>0</v>
      </c>
      <c r="M341" s="8" t="n">
        <v>1</v>
      </c>
      <c r="N341" s="8" t="s">
        <v>93</v>
      </c>
      <c r="O341" s="8" t="n">
        <v>1</v>
      </c>
      <c r="P341" s="10" t="n">
        <v>4.31</v>
      </c>
      <c r="Q341" s="8"/>
      <c r="R341" s="8"/>
      <c r="S341" s="8" t="s">
        <v>491</v>
      </c>
      <c r="T341" s="8"/>
      <c r="U341" s="8"/>
      <c r="V341" s="8" t="s">
        <v>155</v>
      </c>
      <c r="W341" s="8"/>
      <c r="X341" s="8" t="s">
        <v>492</v>
      </c>
      <c r="Y341" s="8" t="s">
        <v>161</v>
      </c>
      <c r="Z341" s="8"/>
    </row>
    <row r="342" customFormat="false" ht="15" hidden="false" customHeight="false" outlineLevel="0" collapsed="false">
      <c r="A342" s="8" t="s">
        <v>490</v>
      </c>
      <c r="B342" s="8" t="s">
        <v>13</v>
      </c>
      <c r="C342" s="8" t="s">
        <v>14</v>
      </c>
      <c r="D342" s="8" t="s">
        <v>91</v>
      </c>
      <c r="E342" s="8" t="s">
        <v>38</v>
      </c>
      <c r="F342" s="8" t="s">
        <v>52</v>
      </c>
      <c r="G342" s="8" t="s">
        <v>32</v>
      </c>
      <c r="H342" s="8" t="s">
        <v>30</v>
      </c>
      <c r="I342" s="8" t="n">
        <f aca="false">IF(EXACT(G342,H342),1,0)</f>
        <v>0</v>
      </c>
      <c r="J342" s="8" t="n">
        <v>1</v>
      </c>
      <c r="K342" s="8" t="s">
        <v>92</v>
      </c>
      <c r="L342" s="8" t="n">
        <v>0</v>
      </c>
      <c r="M342" s="8" t="n">
        <v>1</v>
      </c>
      <c r="N342" s="8" t="s">
        <v>93</v>
      </c>
      <c r="O342" s="8" t="n">
        <v>1</v>
      </c>
      <c r="P342" s="10" t="n">
        <v>4.63</v>
      </c>
      <c r="Q342" s="8"/>
      <c r="R342" s="8"/>
      <c r="S342" s="8" t="s">
        <v>491</v>
      </c>
      <c r="T342" s="8"/>
      <c r="U342" s="8"/>
      <c r="V342" s="8" t="s">
        <v>155</v>
      </c>
      <c r="W342" s="8"/>
      <c r="X342" s="8" t="s">
        <v>492</v>
      </c>
      <c r="Y342" s="8" t="s">
        <v>161</v>
      </c>
      <c r="Z342" s="8"/>
    </row>
    <row r="343" customFormat="false" ht="15" hidden="false" customHeight="false" outlineLevel="0" collapsed="false">
      <c r="A343" s="8" t="s">
        <v>490</v>
      </c>
      <c r="B343" s="8" t="s">
        <v>13</v>
      </c>
      <c r="C343" s="8" t="s">
        <v>14</v>
      </c>
      <c r="D343" s="8" t="s">
        <v>91</v>
      </c>
      <c r="E343" s="8" t="s">
        <v>38</v>
      </c>
      <c r="F343" s="8" t="s">
        <v>52</v>
      </c>
      <c r="G343" s="8" t="s">
        <v>32</v>
      </c>
      <c r="H343" s="8" t="s">
        <v>30</v>
      </c>
      <c r="I343" s="8" t="n">
        <f aca="false">IF(EXACT(G343,H343),1,0)</f>
        <v>0</v>
      </c>
      <c r="J343" s="8" t="n">
        <v>2</v>
      </c>
      <c r="K343" s="8" t="s">
        <v>92</v>
      </c>
      <c r="L343" s="8" t="n">
        <v>0</v>
      </c>
      <c r="M343" s="8" t="n">
        <v>1</v>
      </c>
      <c r="N343" s="8" t="s">
        <v>93</v>
      </c>
      <c r="O343" s="8" t="n">
        <v>1</v>
      </c>
      <c r="P343" s="10" t="n">
        <v>4.31</v>
      </c>
      <c r="Q343" s="8"/>
      <c r="R343" s="8"/>
      <c r="S343" s="8" t="s">
        <v>491</v>
      </c>
      <c r="T343" s="8"/>
      <c r="U343" s="8"/>
      <c r="V343" s="8" t="s">
        <v>155</v>
      </c>
      <c r="W343" s="8"/>
      <c r="X343" s="8" t="s">
        <v>492</v>
      </c>
      <c r="Y343" s="8" t="s">
        <v>161</v>
      </c>
      <c r="Z343" s="8"/>
    </row>
    <row r="344" customFormat="false" ht="15" hidden="false" customHeight="false" outlineLevel="0" collapsed="false">
      <c r="A344" s="8" t="s">
        <v>493</v>
      </c>
      <c r="B344" s="8" t="s">
        <v>13</v>
      </c>
      <c r="C344" s="8" t="s">
        <v>14</v>
      </c>
      <c r="D344" s="8" t="s">
        <v>91</v>
      </c>
      <c r="E344" s="8" t="s">
        <v>38</v>
      </c>
      <c r="F344" s="8" t="s">
        <v>63</v>
      </c>
      <c r="G344" s="8" t="s">
        <v>31</v>
      </c>
      <c r="H344" s="8" t="s">
        <v>31</v>
      </c>
      <c r="I344" s="8" t="n">
        <f aca="false">IF(EXACT(G344,H344),1,0)</f>
        <v>1</v>
      </c>
      <c r="J344" s="8" t="n">
        <v>0</v>
      </c>
      <c r="K344" s="8" t="s">
        <v>140</v>
      </c>
      <c r="L344" s="8" t="n">
        <v>1</v>
      </c>
      <c r="M344" s="8" t="n">
        <v>1</v>
      </c>
      <c r="N344" s="8" t="s">
        <v>93</v>
      </c>
      <c r="O344" s="8" t="n">
        <v>1</v>
      </c>
      <c r="P344" s="10" t="n">
        <v>4.22</v>
      </c>
      <c r="Q344" s="8"/>
      <c r="R344" s="8"/>
      <c r="S344" s="8" t="s">
        <v>117</v>
      </c>
      <c r="T344" s="8" t="s">
        <v>494</v>
      </c>
      <c r="U344" s="8" t="s">
        <v>495</v>
      </c>
      <c r="V344" s="8"/>
      <c r="W344" s="8" t="s">
        <v>496</v>
      </c>
      <c r="X344" s="8" t="s">
        <v>497</v>
      </c>
      <c r="Y344" s="8" t="s">
        <v>382</v>
      </c>
      <c r="Z344" s="8" t="s">
        <v>498</v>
      </c>
    </row>
    <row r="345" customFormat="false" ht="15" hidden="false" customHeight="false" outlineLevel="0" collapsed="false">
      <c r="A345" s="8" t="s">
        <v>493</v>
      </c>
      <c r="B345" s="8" t="s">
        <v>13</v>
      </c>
      <c r="C345" s="8" t="s">
        <v>14</v>
      </c>
      <c r="D345" s="8" t="s">
        <v>91</v>
      </c>
      <c r="E345" s="8" t="s">
        <v>38</v>
      </c>
      <c r="F345" s="8" t="s">
        <v>63</v>
      </c>
      <c r="G345" s="8" t="s">
        <v>31</v>
      </c>
      <c r="H345" s="8" t="s">
        <v>31</v>
      </c>
      <c r="I345" s="8" t="n">
        <f aca="false">IF(EXACT(G345,H345),1,0)</f>
        <v>1</v>
      </c>
      <c r="J345" s="8" t="n">
        <v>1</v>
      </c>
      <c r="K345" s="8" t="s">
        <v>140</v>
      </c>
      <c r="L345" s="8" t="n">
        <v>1</v>
      </c>
      <c r="M345" s="8" t="n">
        <v>1</v>
      </c>
      <c r="N345" s="8" t="s">
        <v>93</v>
      </c>
      <c r="O345" s="8" t="n">
        <v>1</v>
      </c>
      <c r="P345" s="10" t="n">
        <v>4.18</v>
      </c>
      <c r="Q345" s="8"/>
      <c r="R345" s="8"/>
      <c r="S345" s="8" t="s">
        <v>117</v>
      </c>
      <c r="T345" s="8" t="s">
        <v>494</v>
      </c>
      <c r="U345" s="8" t="s">
        <v>495</v>
      </c>
      <c r="V345" s="8"/>
      <c r="W345" s="8" t="s">
        <v>496</v>
      </c>
      <c r="X345" s="8" t="s">
        <v>497</v>
      </c>
      <c r="Y345" s="8" t="s">
        <v>382</v>
      </c>
      <c r="Z345" s="8" t="s">
        <v>498</v>
      </c>
    </row>
    <row r="346" customFormat="false" ht="15" hidden="false" customHeight="false" outlineLevel="0" collapsed="false">
      <c r="A346" s="8" t="s">
        <v>493</v>
      </c>
      <c r="B346" s="8" t="s">
        <v>13</v>
      </c>
      <c r="C346" s="8" t="s">
        <v>14</v>
      </c>
      <c r="D346" s="8" t="s">
        <v>91</v>
      </c>
      <c r="E346" s="8" t="s">
        <v>38</v>
      </c>
      <c r="F346" s="8" t="s">
        <v>63</v>
      </c>
      <c r="G346" s="8" t="s">
        <v>31</v>
      </c>
      <c r="H346" s="8" t="s">
        <v>31</v>
      </c>
      <c r="I346" s="8" t="n">
        <f aca="false">IF(EXACT(G346,H346),1,0)</f>
        <v>1</v>
      </c>
      <c r="J346" s="8" t="n">
        <v>2</v>
      </c>
      <c r="K346" s="8" t="s">
        <v>140</v>
      </c>
      <c r="L346" s="8" t="n">
        <v>1</v>
      </c>
      <c r="M346" s="8" t="n">
        <v>1</v>
      </c>
      <c r="N346" s="8" t="s">
        <v>93</v>
      </c>
      <c r="O346" s="8" t="n">
        <v>1</v>
      </c>
      <c r="P346" s="10" t="n">
        <v>4.29</v>
      </c>
      <c r="Q346" s="8"/>
      <c r="R346" s="8"/>
      <c r="S346" s="8" t="s">
        <v>117</v>
      </c>
      <c r="T346" s="8" t="s">
        <v>494</v>
      </c>
      <c r="U346" s="8" t="s">
        <v>495</v>
      </c>
      <c r="V346" s="8"/>
      <c r="W346" s="8" t="s">
        <v>496</v>
      </c>
      <c r="X346" s="8" t="s">
        <v>497</v>
      </c>
      <c r="Y346" s="8" t="s">
        <v>382</v>
      </c>
      <c r="Z346" s="8" t="s">
        <v>498</v>
      </c>
    </row>
    <row r="347" customFormat="false" ht="15" hidden="false" customHeight="false" outlineLevel="0" collapsed="false">
      <c r="A347" s="8" t="s">
        <v>499</v>
      </c>
      <c r="B347" s="8" t="s">
        <v>13</v>
      </c>
      <c r="C347" s="8" t="s">
        <v>14</v>
      </c>
      <c r="D347" s="8" t="s">
        <v>91</v>
      </c>
      <c r="E347" s="8" t="s">
        <v>38</v>
      </c>
      <c r="F347" s="8" t="s">
        <v>63</v>
      </c>
      <c r="G347" s="8" t="s">
        <v>30</v>
      </c>
      <c r="H347" s="8" t="s">
        <v>30</v>
      </c>
      <c r="I347" s="8" t="n">
        <f aca="false">IF(EXACT(G347,H347),1,0)</f>
        <v>1</v>
      </c>
      <c r="J347" s="8" t="n">
        <v>0</v>
      </c>
      <c r="K347" s="8" t="s">
        <v>92</v>
      </c>
      <c r="L347" s="8" t="n">
        <v>0</v>
      </c>
      <c r="M347" s="8" t="n">
        <v>1</v>
      </c>
      <c r="N347" s="8" t="s">
        <v>93</v>
      </c>
      <c r="O347" s="8" t="n">
        <v>1</v>
      </c>
      <c r="P347" s="10" t="n">
        <v>4.68</v>
      </c>
      <c r="Q347" s="8"/>
      <c r="R347" s="8"/>
      <c r="S347" s="8" t="s">
        <v>216</v>
      </c>
      <c r="T347" s="8" t="s">
        <v>500</v>
      </c>
      <c r="U347" s="8" t="s">
        <v>501</v>
      </c>
      <c r="V347" s="8"/>
      <c r="W347" s="8" t="s">
        <v>502</v>
      </c>
      <c r="X347" s="8" t="s">
        <v>503</v>
      </c>
      <c r="Y347" s="8" t="s">
        <v>130</v>
      </c>
      <c r="Z347" s="8"/>
    </row>
    <row r="348" customFormat="false" ht="15" hidden="false" customHeight="false" outlineLevel="0" collapsed="false">
      <c r="A348" s="8" t="s">
        <v>499</v>
      </c>
      <c r="B348" s="8" t="s">
        <v>13</v>
      </c>
      <c r="C348" s="8" t="s">
        <v>14</v>
      </c>
      <c r="D348" s="8" t="s">
        <v>91</v>
      </c>
      <c r="E348" s="8" t="s">
        <v>38</v>
      </c>
      <c r="F348" s="8" t="s">
        <v>63</v>
      </c>
      <c r="G348" s="8" t="s">
        <v>30</v>
      </c>
      <c r="H348" s="8" t="s">
        <v>30</v>
      </c>
      <c r="I348" s="8" t="n">
        <f aca="false">IF(EXACT(G348,H348),1,0)</f>
        <v>1</v>
      </c>
      <c r="J348" s="8" t="n">
        <v>1</v>
      </c>
      <c r="K348" s="8" t="s">
        <v>92</v>
      </c>
      <c r="L348" s="8" t="n">
        <v>0</v>
      </c>
      <c r="M348" s="8" t="n">
        <v>1</v>
      </c>
      <c r="N348" s="8" t="s">
        <v>93</v>
      </c>
      <c r="O348" s="8" t="n">
        <v>1</v>
      </c>
      <c r="P348" s="10" t="n">
        <v>4.47</v>
      </c>
      <c r="Q348" s="8"/>
      <c r="R348" s="8"/>
      <c r="S348" s="8" t="s">
        <v>216</v>
      </c>
      <c r="T348" s="8" t="s">
        <v>500</v>
      </c>
      <c r="U348" s="8" t="s">
        <v>501</v>
      </c>
      <c r="V348" s="8"/>
      <c r="W348" s="8" t="s">
        <v>502</v>
      </c>
      <c r="X348" s="8" t="s">
        <v>503</v>
      </c>
      <c r="Y348" s="8" t="s">
        <v>130</v>
      </c>
      <c r="Z348" s="8"/>
    </row>
    <row r="349" customFormat="false" ht="15" hidden="false" customHeight="false" outlineLevel="0" collapsed="false">
      <c r="A349" s="8" t="s">
        <v>499</v>
      </c>
      <c r="B349" s="8" t="s">
        <v>13</v>
      </c>
      <c r="C349" s="8" t="s">
        <v>14</v>
      </c>
      <c r="D349" s="8" t="s">
        <v>91</v>
      </c>
      <c r="E349" s="8" t="s">
        <v>38</v>
      </c>
      <c r="F349" s="8" t="s">
        <v>63</v>
      </c>
      <c r="G349" s="8" t="s">
        <v>30</v>
      </c>
      <c r="H349" s="8" t="s">
        <v>30</v>
      </c>
      <c r="I349" s="8" t="n">
        <f aca="false">IF(EXACT(G349,H349),1,0)</f>
        <v>1</v>
      </c>
      <c r="J349" s="8" t="n">
        <v>2</v>
      </c>
      <c r="K349" s="8" t="s">
        <v>92</v>
      </c>
      <c r="L349" s="8" t="n">
        <v>0</v>
      </c>
      <c r="M349" s="8" t="n">
        <v>1</v>
      </c>
      <c r="N349" s="8" t="s">
        <v>93</v>
      </c>
      <c r="O349" s="8" t="n">
        <v>1</v>
      </c>
      <c r="P349" s="10" t="n">
        <v>4.22</v>
      </c>
      <c r="Q349" s="8"/>
      <c r="R349" s="8"/>
      <c r="S349" s="8" t="s">
        <v>216</v>
      </c>
      <c r="T349" s="8" t="s">
        <v>500</v>
      </c>
      <c r="U349" s="8" t="s">
        <v>501</v>
      </c>
      <c r="V349" s="8"/>
      <c r="W349" s="8" t="s">
        <v>502</v>
      </c>
      <c r="X349" s="8" t="s">
        <v>503</v>
      </c>
      <c r="Y349" s="8" t="s">
        <v>130</v>
      </c>
      <c r="Z349" s="8"/>
    </row>
    <row r="350" customFormat="false" ht="15" hidden="false" customHeight="false" outlineLevel="0" collapsed="false">
      <c r="A350" s="8" t="s">
        <v>504</v>
      </c>
      <c r="B350" s="8" t="s">
        <v>13</v>
      </c>
      <c r="C350" s="8" t="s">
        <v>14</v>
      </c>
      <c r="D350" s="8" t="s">
        <v>91</v>
      </c>
      <c r="E350" s="8" t="s">
        <v>38</v>
      </c>
      <c r="F350" s="8" t="s">
        <v>63</v>
      </c>
      <c r="G350" s="8" t="s">
        <v>32</v>
      </c>
      <c r="H350" s="8" t="s">
        <v>30</v>
      </c>
      <c r="I350" s="8" t="n">
        <f aca="false">IF(EXACT(G350,H350),1,0)</f>
        <v>0</v>
      </c>
      <c r="J350" s="8" t="n">
        <v>0</v>
      </c>
      <c r="K350" s="8" t="s">
        <v>92</v>
      </c>
      <c r="L350" s="8" t="n">
        <v>0</v>
      </c>
      <c r="M350" s="8" t="n">
        <v>1</v>
      </c>
      <c r="N350" s="8" t="s">
        <v>93</v>
      </c>
      <c r="O350" s="8" t="n">
        <v>1</v>
      </c>
      <c r="P350" s="10" t="n">
        <v>8.1</v>
      </c>
      <c r="Q350" s="8"/>
      <c r="R350" s="8"/>
      <c r="S350" s="8" t="s">
        <v>384</v>
      </c>
      <c r="T350" s="8" t="s">
        <v>505</v>
      </c>
      <c r="U350" s="8" t="s">
        <v>506</v>
      </c>
      <c r="V350" s="8"/>
      <c r="W350" s="8" t="s">
        <v>507</v>
      </c>
      <c r="X350" s="8" t="s">
        <v>508</v>
      </c>
      <c r="Y350" s="8" t="s">
        <v>99</v>
      </c>
      <c r="Z350" s="8"/>
    </row>
    <row r="351" customFormat="false" ht="15" hidden="false" customHeight="false" outlineLevel="0" collapsed="false">
      <c r="A351" s="8" t="s">
        <v>504</v>
      </c>
      <c r="B351" s="8" t="s">
        <v>13</v>
      </c>
      <c r="C351" s="8" t="s">
        <v>14</v>
      </c>
      <c r="D351" s="8" t="s">
        <v>91</v>
      </c>
      <c r="E351" s="8" t="s">
        <v>38</v>
      </c>
      <c r="F351" s="8" t="s">
        <v>63</v>
      </c>
      <c r="G351" s="8" t="s">
        <v>32</v>
      </c>
      <c r="H351" s="8" t="s">
        <v>30</v>
      </c>
      <c r="I351" s="8" t="n">
        <f aca="false">IF(EXACT(G351,H351),1,0)</f>
        <v>0</v>
      </c>
      <c r="J351" s="8" t="n">
        <v>1</v>
      </c>
      <c r="K351" s="8" t="s">
        <v>92</v>
      </c>
      <c r="L351" s="8" t="n">
        <v>0</v>
      </c>
      <c r="M351" s="8" t="n">
        <v>1</v>
      </c>
      <c r="N351" s="8" t="s">
        <v>93</v>
      </c>
      <c r="O351" s="8" t="n">
        <v>1</v>
      </c>
      <c r="P351" s="10" t="n">
        <v>4.75</v>
      </c>
      <c r="Q351" s="8"/>
      <c r="R351" s="8"/>
      <c r="S351" s="8" t="s">
        <v>384</v>
      </c>
      <c r="T351" s="8" t="s">
        <v>505</v>
      </c>
      <c r="U351" s="8" t="s">
        <v>506</v>
      </c>
      <c r="V351" s="8"/>
      <c r="W351" s="8" t="s">
        <v>507</v>
      </c>
      <c r="X351" s="8" t="s">
        <v>508</v>
      </c>
      <c r="Y351" s="8" t="s">
        <v>99</v>
      </c>
      <c r="Z351" s="8"/>
    </row>
    <row r="352" customFormat="false" ht="15" hidden="false" customHeight="false" outlineLevel="0" collapsed="false">
      <c r="A352" s="8" t="s">
        <v>504</v>
      </c>
      <c r="B352" s="8" t="s">
        <v>13</v>
      </c>
      <c r="C352" s="8" t="s">
        <v>14</v>
      </c>
      <c r="D352" s="8" t="s">
        <v>91</v>
      </c>
      <c r="E352" s="8" t="s">
        <v>38</v>
      </c>
      <c r="F352" s="8" t="s">
        <v>63</v>
      </c>
      <c r="G352" s="8" t="s">
        <v>32</v>
      </c>
      <c r="H352" s="8" t="s">
        <v>30</v>
      </c>
      <c r="I352" s="8" t="n">
        <f aca="false">IF(EXACT(G352,H352),1,0)</f>
        <v>0</v>
      </c>
      <c r="J352" s="8" t="n">
        <v>2</v>
      </c>
      <c r="K352" s="8" t="s">
        <v>92</v>
      </c>
      <c r="L352" s="8" t="n">
        <v>0</v>
      </c>
      <c r="M352" s="8" t="n">
        <v>1</v>
      </c>
      <c r="N352" s="8" t="s">
        <v>93</v>
      </c>
      <c r="O352" s="8" t="n">
        <v>1</v>
      </c>
      <c r="P352" s="10" t="n">
        <v>5.57</v>
      </c>
      <c r="Q352" s="8"/>
      <c r="R352" s="8"/>
      <c r="S352" s="8" t="s">
        <v>384</v>
      </c>
      <c r="T352" s="8" t="s">
        <v>505</v>
      </c>
      <c r="U352" s="8" t="s">
        <v>506</v>
      </c>
      <c r="V352" s="8"/>
      <c r="W352" s="8" t="s">
        <v>507</v>
      </c>
      <c r="X352" s="8" t="s">
        <v>508</v>
      </c>
      <c r="Y352" s="8" t="s">
        <v>99</v>
      </c>
      <c r="Z352" s="8"/>
    </row>
    <row r="353" customFormat="false" ht="15" hidden="false" customHeight="false" outlineLevel="0" collapsed="false">
      <c r="A353" s="8" t="s">
        <v>509</v>
      </c>
      <c r="B353" s="8" t="s">
        <v>13</v>
      </c>
      <c r="C353" s="8" t="s">
        <v>14</v>
      </c>
      <c r="D353" s="8" t="s">
        <v>91</v>
      </c>
      <c r="E353" s="8" t="s">
        <v>38</v>
      </c>
      <c r="F353" s="8" t="s">
        <v>63</v>
      </c>
      <c r="G353" s="8" t="s">
        <v>32</v>
      </c>
      <c r="H353" s="8" t="s">
        <v>30</v>
      </c>
      <c r="I353" s="8" t="n">
        <f aca="false">IF(EXACT(G353,H353),1,0)</f>
        <v>0</v>
      </c>
      <c r="J353" s="8" t="n">
        <v>0</v>
      </c>
      <c r="K353" s="8" t="s">
        <v>92</v>
      </c>
      <c r="L353" s="8" t="n">
        <v>0</v>
      </c>
      <c r="M353" s="8" t="n">
        <v>1</v>
      </c>
      <c r="N353" s="8" t="s">
        <v>93</v>
      </c>
      <c r="O353" s="8" t="n">
        <v>1</v>
      </c>
      <c r="P353" s="10" t="n">
        <v>3.62</v>
      </c>
      <c r="Q353" s="8"/>
      <c r="R353" s="8"/>
      <c r="S353" s="8" t="s">
        <v>132</v>
      </c>
      <c r="T353" s="8" t="s">
        <v>500</v>
      </c>
      <c r="U353" s="8" t="s">
        <v>501</v>
      </c>
      <c r="V353" s="8"/>
      <c r="W353" s="8" t="s">
        <v>510</v>
      </c>
      <c r="X353" s="8" t="s">
        <v>511</v>
      </c>
      <c r="Y353" s="8" t="s">
        <v>99</v>
      </c>
      <c r="Z353" s="8"/>
    </row>
    <row r="354" customFormat="false" ht="15" hidden="false" customHeight="false" outlineLevel="0" collapsed="false">
      <c r="A354" s="8" t="s">
        <v>509</v>
      </c>
      <c r="B354" s="8" t="s">
        <v>13</v>
      </c>
      <c r="C354" s="8" t="s">
        <v>14</v>
      </c>
      <c r="D354" s="8" t="s">
        <v>91</v>
      </c>
      <c r="E354" s="8" t="s">
        <v>38</v>
      </c>
      <c r="F354" s="8" t="s">
        <v>63</v>
      </c>
      <c r="G354" s="8" t="s">
        <v>32</v>
      </c>
      <c r="H354" s="8" t="s">
        <v>30</v>
      </c>
      <c r="I354" s="8" t="n">
        <f aca="false">IF(EXACT(G354,H354),1,0)</f>
        <v>0</v>
      </c>
      <c r="J354" s="8" t="n">
        <v>1</v>
      </c>
      <c r="K354" s="8" t="s">
        <v>92</v>
      </c>
      <c r="L354" s="8" t="n">
        <v>0</v>
      </c>
      <c r="M354" s="8" t="n">
        <v>1</v>
      </c>
      <c r="N354" s="8" t="s">
        <v>93</v>
      </c>
      <c r="O354" s="8" t="n">
        <v>1</v>
      </c>
      <c r="P354" s="10" t="n">
        <v>3.6</v>
      </c>
      <c r="Q354" s="8"/>
      <c r="R354" s="8"/>
      <c r="S354" s="8" t="s">
        <v>132</v>
      </c>
      <c r="T354" s="8" t="s">
        <v>500</v>
      </c>
      <c r="U354" s="8" t="s">
        <v>501</v>
      </c>
      <c r="V354" s="8"/>
      <c r="W354" s="8" t="s">
        <v>510</v>
      </c>
      <c r="X354" s="8" t="s">
        <v>511</v>
      </c>
      <c r="Y354" s="8" t="s">
        <v>99</v>
      </c>
      <c r="Z354" s="8"/>
    </row>
    <row r="355" customFormat="false" ht="15" hidden="false" customHeight="false" outlineLevel="0" collapsed="false">
      <c r="A355" s="8" t="s">
        <v>509</v>
      </c>
      <c r="B355" s="8" t="s">
        <v>13</v>
      </c>
      <c r="C355" s="8" t="s">
        <v>14</v>
      </c>
      <c r="D355" s="8" t="s">
        <v>91</v>
      </c>
      <c r="E355" s="8" t="s">
        <v>38</v>
      </c>
      <c r="F355" s="8" t="s">
        <v>63</v>
      </c>
      <c r="G355" s="8" t="s">
        <v>32</v>
      </c>
      <c r="H355" s="8" t="s">
        <v>30</v>
      </c>
      <c r="I355" s="8" t="n">
        <f aca="false">IF(EXACT(G355,H355),1,0)</f>
        <v>0</v>
      </c>
      <c r="J355" s="8" t="n">
        <v>2</v>
      </c>
      <c r="K355" s="8" t="s">
        <v>92</v>
      </c>
      <c r="L355" s="8" t="n">
        <v>0</v>
      </c>
      <c r="M355" s="8" t="n">
        <v>1</v>
      </c>
      <c r="N355" s="8" t="s">
        <v>93</v>
      </c>
      <c r="O355" s="8" t="n">
        <v>1</v>
      </c>
      <c r="P355" s="10" t="n">
        <v>3.63</v>
      </c>
      <c r="Q355" s="8"/>
      <c r="R355" s="8"/>
      <c r="S355" s="8" t="s">
        <v>132</v>
      </c>
      <c r="T355" s="8" t="s">
        <v>500</v>
      </c>
      <c r="U355" s="8" t="s">
        <v>501</v>
      </c>
      <c r="V355" s="8"/>
      <c r="W355" s="8" t="s">
        <v>510</v>
      </c>
      <c r="X355" s="8" t="s">
        <v>511</v>
      </c>
      <c r="Y355" s="8" t="s">
        <v>99</v>
      </c>
      <c r="Z355" s="8"/>
    </row>
    <row r="356" customFormat="false" ht="15" hidden="false" customHeight="false" outlineLevel="0" collapsed="false">
      <c r="A356" s="8" t="s">
        <v>512</v>
      </c>
      <c r="B356" s="8" t="s">
        <v>13</v>
      </c>
      <c r="C356" s="8" t="s">
        <v>14</v>
      </c>
      <c r="D356" s="8" t="s">
        <v>91</v>
      </c>
      <c r="E356" s="8" t="s">
        <v>38</v>
      </c>
      <c r="F356" s="8" t="s">
        <v>63</v>
      </c>
      <c r="G356" s="8" t="s">
        <v>30</v>
      </c>
      <c r="H356" s="8" t="s">
        <v>30</v>
      </c>
      <c r="I356" s="8" t="n">
        <f aca="false">IF(EXACT(G356,H356),1,0)</f>
        <v>1</v>
      </c>
      <c r="J356" s="8" t="n">
        <v>0</v>
      </c>
      <c r="K356" s="8" t="s">
        <v>92</v>
      </c>
      <c r="L356" s="8" t="n">
        <v>0</v>
      </c>
      <c r="M356" s="8" t="n">
        <v>1</v>
      </c>
      <c r="N356" s="8" t="s">
        <v>93</v>
      </c>
      <c r="O356" s="8" t="n">
        <v>1</v>
      </c>
      <c r="P356" s="10" t="n">
        <v>4.69</v>
      </c>
      <c r="Q356" s="8"/>
      <c r="R356" s="8"/>
      <c r="S356" s="8" t="s">
        <v>105</v>
      </c>
      <c r="T356" s="8" t="s">
        <v>513</v>
      </c>
      <c r="U356" s="8" t="s">
        <v>514</v>
      </c>
      <c r="V356" s="8"/>
      <c r="W356" s="8" t="s">
        <v>515</v>
      </c>
      <c r="X356" s="8" t="s">
        <v>516</v>
      </c>
      <c r="Y356" s="8" t="s">
        <v>108</v>
      </c>
      <c r="Z356" s="8"/>
    </row>
    <row r="357" customFormat="false" ht="15" hidden="false" customHeight="false" outlineLevel="0" collapsed="false">
      <c r="A357" s="8" t="s">
        <v>512</v>
      </c>
      <c r="B357" s="8" t="s">
        <v>13</v>
      </c>
      <c r="C357" s="8" t="s">
        <v>14</v>
      </c>
      <c r="D357" s="8" t="s">
        <v>91</v>
      </c>
      <c r="E357" s="8" t="s">
        <v>38</v>
      </c>
      <c r="F357" s="8" t="s">
        <v>63</v>
      </c>
      <c r="G357" s="8" t="s">
        <v>30</v>
      </c>
      <c r="H357" s="8" t="s">
        <v>30</v>
      </c>
      <c r="I357" s="8" t="n">
        <f aca="false">IF(EXACT(G357,H357),1,0)</f>
        <v>1</v>
      </c>
      <c r="J357" s="8" t="n">
        <v>1</v>
      </c>
      <c r="K357" s="8" t="s">
        <v>92</v>
      </c>
      <c r="L357" s="8" t="n">
        <v>0</v>
      </c>
      <c r="M357" s="8" t="n">
        <v>1</v>
      </c>
      <c r="N357" s="8" t="s">
        <v>93</v>
      </c>
      <c r="O357" s="8" t="n">
        <v>1</v>
      </c>
      <c r="P357" s="10" t="n">
        <v>4.82</v>
      </c>
      <c r="Q357" s="8"/>
      <c r="R357" s="8"/>
      <c r="S357" s="8" t="s">
        <v>105</v>
      </c>
      <c r="T357" s="8" t="s">
        <v>513</v>
      </c>
      <c r="U357" s="8" t="s">
        <v>514</v>
      </c>
      <c r="V357" s="8"/>
      <c r="W357" s="8" t="s">
        <v>515</v>
      </c>
      <c r="X357" s="8" t="s">
        <v>516</v>
      </c>
      <c r="Y357" s="8" t="s">
        <v>108</v>
      </c>
      <c r="Z357" s="8"/>
    </row>
    <row r="358" customFormat="false" ht="15" hidden="false" customHeight="false" outlineLevel="0" collapsed="false">
      <c r="A358" s="8" t="s">
        <v>512</v>
      </c>
      <c r="B358" s="8" t="s">
        <v>13</v>
      </c>
      <c r="C358" s="8" t="s">
        <v>14</v>
      </c>
      <c r="D358" s="8" t="s">
        <v>91</v>
      </c>
      <c r="E358" s="8" t="s">
        <v>38</v>
      </c>
      <c r="F358" s="8" t="s">
        <v>63</v>
      </c>
      <c r="G358" s="8" t="s">
        <v>30</v>
      </c>
      <c r="H358" s="8" t="s">
        <v>30</v>
      </c>
      <c r="I358" s="8" t="n">
        <f aca="false">IF(EXACT(G358,H358),1,0)</f>
        <v>1</v>
      </c>
      <c r="J358" s="8" t="n">
        <v>2</v>
      </c>
      <c r="K358" s="8" t="s">
        <v>92</v>
      </c>
      <c r="L358" s="8" t="n">
        <v>0</v>
      </c>
      <c r="M358" s="8" t="n">
        <v>1</v>
      </c>
      <c r="N358" s="8" t="s">
        <v>93</v>
      </c>
      <c r="O358" s="8" t="n">
        <v>1</v>
      </c>
      <c r="P358" s="10" t="n">
        <v>4.94</v>
      </c>
      <c r="Q358" s="8"/>
      <c r="R358" s="8"/>
      <c r="S358" s="8" t="s">
        <v>105</v>
      </c>
      <c r="T358" s="8" t="s">
        <v>513</v>
      </c>
      <c r="U358" s="8" t="s">
        <v>514</v>
      </c>
      <c r="V358" s="8"/>
      <c r="W358" s="8" t="s">
        <v>515</v>
      </c>
      <c r="X358" s="8" t="s">
        <v>516</v>
      </c>
      <c r="Y358" s="8" t="s">
        <v>108</v>
      </c>
      <c r="Z358" s="8"/>
    </row>
    <row r="359" customFormat="false" ht="15" hidden="false" customHeight="false" outlineLevel="0" collapsed="false">
      <c r="A359" s="8" t="s">
        <v>124</v>
      </c>
      <c r="B359" s="8" t="s">
        <v>13</v>
      </c>
      <c r="C359" s="8" t="s">
        <v>14</v>
      </c>
      <c r="D359" s="8" t="s">
        <v>91</v>
      </c>
      <c r="E359" s="8" t="s">
        <v>39</v>
      </c>
      <c r="F359" s="8" t="s">
        <v>50</v>
      </c>
      <c r="G359" s="8" t="s">
        <v>32</v>
      </c>
      <c r="H359" s="8" t="s">
        <v>30</v>
      </c>
      <c r="I359" s="8" t="n">
        <f aca="false">IF(EXACT(G359,H359),1,0)</f>
        <v>0</v>
      </c>
      <c r="J359" s="8" t="n">
        <v>0</v>
      </c>
      <c r="K359" s="8" t="s">
        <v>92</v>
      </c>
      <c r="L359" s="8" t="n">
        <v>0</v>
      </c>
      <c r="M359" s="8" t="n">
        <v>1</v>
      </c>
      <c r="N359" s="8" t="s">
        <v>93</v>
      </c>
      <c r="O359" s="8" t="n">
        <v>1</v>
      </c>
      <c r="P359" s="10" t="n">
        <v>3.44</v>
      </c>
      <c r="Q359" s="8"/>
      <c r="R359" s="8"/>
      <c r="S359" s="8" t="s">
        <v>125</v>
      </c>
      <c r="T359" s="8" t="s">
        <v>126</v>
      </c>
      <c r="U359" s="8" t="s">
        <v>127</v>
      </c>
      <c r="V359" s="8"/>
      <c r="W359" s="8" t="s">
        <v>128</v>
      </c>
      <c r="X359" s="8" t="s">
        <v>517</v>
      </c>
      <c r="Y359" s="8" t="s">
        <v>130</v>
      </c>
      <c r="Z359" s="8"/>
    </row>
    <row r="360" customFormat="false" ht="15" hidden="false" customHeight="false" outlineLevel="0" collapsed="false">
      <c r="A360" s="8" t="s">
        <v>124</v>
      </c>
      <c r="B360" s="8" t="s">
        <v>13</v>
      </c>
      <c r="C360" s="8" t="s">
        <v>14</v>
      </c>
      <c r="D360" s="8" t="s">
        <v>91</v>
      </c>
      <c r="E360" s="8" t="s">
        <v>39</v>
      </c>
      <c r="F360" s="8" t="s">
        <v>50</v>
      </c>
      <c r="G360" s="8" t="s">
        <v>32</v>
      </c>
      <c r="H360" s="8" t="s">
        <v>30</v>
      </c>
      <c r="I360" s="8" t="n">
        <f aca="false">IF(EXACT(G360,H360),1,0)</f>
        <v>0</v>
      </c>
      <c r="J360" s="8" t="n">
        <v>1</v>
      </c>
      <c r="K360" s="8" t="s">
        <v>92</v>
      </c>
      <c r="L360" s="8" t="n">
        <v>0</v>
      </c>
      <c r="M360" s="8" t="n">
        <v>1</v>
      </c>
      <c r="N360" s="8" t="s">
        <v>93</v>
      </c>
      <c r="O360" s="8" t="n">
        <v>1</v>
      </c>
      <c r="P360" s="10" t="n">
        <v>3.48</v>
      </c>
      <c r="Q360" s="8"/>
      <c r="R360" s="8"/>
      <c r="S360" s="8" t="s">
        <v>125</v>
      </c>
      <c r="T360" s="8" t="s">
        <v>126</v>
      </c>
      <c r="U360" s="8" t="s">
        <v>127</v>
      </c>
      <c r="V360" s="8"/>
      <c r="W360" s="8" t="s">
        <v>128</v>
      </c>
      <c r="X360" s="8" t="s">
        <v>517</v>
      </c>
      <c r="Y360" s="8" t="s">
        <v>130</v>
      </c>
      <c r="Z360" s="8"/>
    </row>
    <row r="361" customFormat="false" ht="15" hidden="false" customHeight="false" outlineLevel="0" collapsed="false">
      <c r="A361" s="8" t="s">
        <v>124</v>
      </c>
      <c r="B361" s="8" t="s">
        <v>13</v>
      </c>
      <c r="C361" s="8" t="s">
        <v>14</v>
      </c>
      <c r="D361" s="8" t="s">
        <v>91</v>
      </c>
      <c r="E361" s="8" t="s">
        <v>39</v>
      </c>
      <c r="F361" s="8" t="s">
        <v>50</v>
      </c>
      <c r="G361" s="8" t="s">
        <v>32</v>
      </c>
      <c r="H361" s="8" t="s">
        <v>30</v>
      </c>
      <c r="I361" s="8" t="n">
        <f aca="false">IF(EXACT(G361,H361),1,0)</f>
        <v>0</v>
      </c>
      <c r="J361" s="8" t="n">
        <v>2</v>
      </c>
      <c r="K361" s="8" t="s">
        <v>92</v>
      </c>
      <c r="L361" s="8" t="n">
        <v>0</v>
      </c>
      <c r="M361" s="8" t="n">
        <v>1</v>
      </c>
      <c r="N361" s="8" t="s">
        <v>93</v>
      </c>
      <c r="O361" s="8" t="n">
        <v>1</v>
      </c>
      <c r="P361" s="10" t="n">
        <v>3.48</v>
      </c>
      <c r="Q361" s="8"/>
      <c r="R361" s="8"/>
      <c r="S361" s="8" t="s">
        <v>125</v>
      </c>
      <c r="T361" s="8" t="s">
        <v>126</v>
      </c>
      <c r="U361" s="8" t="s">
        <v>127</v>
      </c>
      <c r="V361" s="8"/>
      <c r="W361" s="8" t="s">
        <v>128</v>
      </c>
      <c r="X361" s="8" t="s">
        <v>517</v>
      </c>
      <c r="Y361" s="8" t="s">
        <v>130</v>
      </c>
      <c r="Z361" s="8"/>
    </row>
    <row r="362" customFormat="false" ht="15" hidden="false" customHeight="false" outlineLevel="0" collapsed="false">
      <c r="A362" s="8" t="s">
        <v>131</v>
      </c>
      <c r="B362" s="8" t="s">
        <v>13</v>
      </c>
      <c r="C362" s="8" t="s">
        <v>14</v>
      </c>
      <c r="D362" s="8" t="s">
        <v>91</v>
      </c>
      <c r="E362" s="8" t="s">
        <v>39</v>
      </c>
      <c r="F362" s="8" t="s">
        <v>50</v>
      </c>
      <c r="G362" s="8" t="s">
        <v>32</v>
      </c>
      <c r="H362" s="8" t="s">
        <v>30</v>
      </c>
      <c r="I362" s="8" t="n">
        <f aca="false">IF(EXACT(G362,H362),1,0)</f>
        <v>0</v>
      </c>
      <c r="J362" s="8" t="n">
        <v>0</v>
      </c>
      <c r="K362" s="8" t="s">
        <v>92</v>
      </c>
      <c r="L362" s="8" t="n">
        <v>0</v>
      </c>
      <c r="M362" s="8" t="n">
        <v>1</v>
      </c>
      <c r="N362" s="8" t="s">
        <v>93</v>
      </c>
      <c r="O362" s="8" t="n">
        <v>1</v>
      </c>
      <c r="P362" s="10" t="n">
        <v>3.42</v>
      </c>
      <c r="Q362" s="8"/>
      <c r="R362" s="8"/>
      <c r="S362" s="8" t="s">
        <v>132</v>
      </c>
      <c r="T362" s="8" t="s">
        <v>126</v>
      </c>
      <c r="U362" s="8" t="s">
        <v>127</v>
      </c>
      <c r="V362" s="8"/>
      <c r="W362" s="8" t="s">
        <v>133</v>
      </c>
      <c r="X362" s="8" t="s">
        <v>518</v>
      </c>
      <c r="Y362" s="8" t="s">
        <v>130</v>
      </c>
      <c r="Z362" s="8"/>
    </row>
    <row r="363" customFormat="false" ht="15" hidden="false" customHeight="false" outlineLevel="0" collapsed="false">
      <c r="A363" s="8" t="s">
        <v>131</v>
      </c>
      <c r="B363" s="8" t="s">
        <v>13</v>
      </c>
      <c r="C363" s="8" t="s">
        <v>14</v>
      </c>
      <c r="D363" s="8" t="s">
        <v>91</v>
      </c>
      <c r="E363" s="8" t="s">
        <v>39</v>
      </c>
      <c r="F363" s="8" t="s">
        <v>50</v>
      </c>
      <c r="G363" s="8" t="s">
        <v>32</v>
      </c>
      <c r="H363" s="8" t="s">
        <v>30</v>
      </c>
      <c r="I363" s="8" t="n">
        <f aca="false">IF(EXACT(G363,H363),1,0)</f>
        <v>0</v>
      </c>
      <c r="J363" s="8" t="n">
        <v>1</v>
      </c>
      <c r="K363" s="8" t="s">
        <v>92</v>
      </c>
      <c r="L363" s="8" t="n">
        <v>0</v>
      </c>
      <c r="M363" s="8" t="n">
        <v>1</v>
      </c>
      <c r="N363" s="8" t="s">
        <v>93</v>
      </c>
      <c r="O363" s="8" t="n">
        <v>1</v>
      </c>
      <c r="P363" s="10" t="n">
        <v>3.47</v>
      </c>
      <c r="Q363" s="8"/>
      <c r="R363" s="8"/>
      <c r="S363" s="8" t="s">
        <v>132</v>
      </c>
      <c r="T363" s="8" t="s">
        <v>126</v>
      </c>
      <c r="U363" s="8" t="s">
        <v>127</v>
      </c>
      <c r="V363" s="8"/>
      <c r="W363" s="8" t="s">
        <v>133</v>
      </c>
      <c r="X363" s="8" t="s">
        <v>518</v>
      </c>
      <c r="Y363" s="8" t="s">
        <v>130</v>
      </c>
      <c r="Z363" s="8"/>
    </row>
    <row r="364" customFormat="false" ht="15" hidden="false" customHeight="false" outlineLevel="0" collapsed="false">
      <c r="A364" s="8" t="s">
        <v>131</v>
      </c>
      <c r="B364" s="8" t="s">
        <v>13</v>
      </c>
      <c r="C364" s="8" t="s">
        <v>14</v>
      </c>
      <c r="D364" s="8" t="s">
        <v>91</v>
      </c>
      <c r="E364" s="8" t="s">
        <v>39</v>
      </c>
      <c r="F364" s="8" t="s">
        <v>50</v>
      </c>
      <c r="G364" s="8" t="s">
        <v>32</v>
      </c>
      <c r="H364" s="8" t="s">
        <v>30</v>
      </c>
      <c r="I364" s="8" t="n">
        <f aca="false">IF(EXACT(G364,H364),1,0)</f>
        <v>0</v>
      </c>
      <c r="J364" s="8" t="n">
        <v>2</v>
      </c>
      <c r="K364" s="8" t="s">
        <v>92</v>
      </c>
      <c r="L364" s="8" t="n">
        <v>0</v>
      </c>
      <c r="M364" s="8" t="n">
        <v>1</v>
      </c>
      <c r="N364" s="8" t="s">
        <v>93</v>
      </c>
      <c r="O364" s="8" t="n">
        <v>1</v>
      </c>
      <c r="P364" s="10" t="n">
        <v>3.44</v>
      </c>
      <c r="Q364" s="8"/>
      <c r="R364" s="8"/>
      <c r="S364" s="8" t="s">
        <v>132</v>
      </c>
      <c r="T364" s="8" t="s">
        <v>126</v>
      </c>
      <c r="U364" s="8" t="s">
        <v>127</v>
      </c>
      <c r="V364" s="8"/>
      <c r="W364" s="8" t="s">
        <v>133</v>
      </c>
      <c r="X364" s="8" t="s">
        <v>518</v>
      </c>
      <c r="Y364" s="8" t="s">
        <v>130</v>
      </c>
      <c r="Z364" s="8"/>
    </row>
    <row r="365" customFormat="false" ht="15" hidden="false" customHeight="false" outlineLevel="0" collapsed="false">
      <c r="A365" s="8" t="s">
        <v>135</v>
      </c>
      <c r="B365" s="8" t="s">
        <v>13</v>
      </c>
      <c r="C365" s="8" t="s">
        <v>14</v>
      </c>
      <c r="D365" s="8" t="s">
        <v>91</v>
      </c>
      <c r="E365" s="8" t="s">
        <v>39</v>
      </c>
      <c r="F365" s="8" t="s">
        <v>50</v>
      </c>
      <c r="G365" s="8" t="s">
        <v>30</v>
      </c>
      <c r="H365" s="8" t="s">
        <v>30</v>
      </c>
      <c r="I365" s="8" t="n">
        <f aca="false">IF(EXACT(G365,H365),1,0)</f>
        <v>1</v>
      </c>
      <c r="J365" s="8" t="n">
        <v>0</v>
      </c>
      <c r="K365" s="8" t="s">
        <v>92</v>
      </c>
      <c r="L365" s="8" t="n">
        <v>0</v>
      </c>
      <c r="M365" s="8" t="n">
        <v>1</v>
      </c>
      <c r="N365" s="8" t="s">
        <v>93</v>
      </c>
      <c r="O365" s="8" t="n">
        <v>1</v>
      </c>
      <c r="P365" s="10" t="n">
        <v>7.19</v>
      </c>
      <c r="Q365" s="8"/>
      <c r="R365" s="8"/>
      <c r="S365" s="8" t="s">
        <v>105</v>
      </c>
      <c r="T365" s="8" t="s">
        <v>126</v>
      </c>
      <c r="U365" s="8" t="s">
        <v>127</v>
      </c>
      <c r="V365" s="8"/>
      <c r="W365" s="8" t="s">
        <v>136</v>
      </c>
      <c r="X365" s="8" t="s">
        <v>519</v>
      </c>
      <c r="Y365" s="8" t="s">
        <v>138</v>
      </c>
      <c r="Z365" s="8"/>
    </row>
    <row r="366" customFormat="false" ht="15" hidden="false" customHeight="false" outlineLevel="0" collapsed="false">
      <c r="A366" s="8" t="s">
        <v>135</v>
      </c>
      <c r="B366" s="8" t="s">
        <v>13</v>
      </c>
      <c r="C366" s="8" t="s">
        <v>14</v>
      </c>
      <c r="D366" s="8" t="s">
        <v>91</v>
      </c>
      <c r="E366" s="8" t="s">
        <v>39</v>
      </c>
      <c r="F366" s="8" t="s">
        <v>50</v>
      </c>
      <c r="G366" s="8" t="s">
        <v>30</v>
      </c>
      <c r="H366" s="8" t="s">
        <v>30</v>
      </c>
      <c r="I366" s="8" t="n">
        <f aca="false">IF(EXACT(G366,H366),1,0)</f>
        <v>1</v>
      </c>
      <c r="J366" s="8" t="n">
        <v>1</v>
      </c>
      <c r="K366" s="8" t="s">
        <v>92</v>
      </c>
      <c r="L366" s="8" t="n">
        <v>0</v>
      </c>
      <c r="M366" s="8" t="n">
        <v>1</v>
      </c>
      <c r="N366" s="8" t="s">
        <v>93</v>
      </c>
      <c r="O366" s="8" t="n">
        <v>1</v>
      </c>
      <c r="P366" s="10" t="n">
        <v>7.11</v>
      </c>
      <c r="Q366" s="8"/>
      <c r="R366" s="8"/>
      <c r="S366" s="8" t="s">
        <v>105</v>
      </c>
      <c r="T366" s="8" t="s">
        <v>126</v>
      </c>
      <c r="U366" s="8" t="s">
        <v>127</v>
      </c>
      <c r="V366" s="8"/>
      <c r="W366" s="8" t="s">
        <v>136</v>
      </c>
      <c r="X366" s="8" t="s">
        <v>519</v>
      </c>
      <c r="Y366" s="8" t="s">
        <v>138</v>
      </c>
      <c r="Z366" s="8"/>
    </row>
    <row r="367" customFormat="false" ht="15" hidden="false" customHeight="false" outlineLevel="0" collapsed="false">
      <c r="A367" s="8" t="s">
        <v>135</v>
      </c>
      <c r="B367" s="8" t="s">
        <v>13</v>
      </c>
      <c r="C367" s="8" t="s">
        <v>14</v>
      </c>
      <c r="D367" s="8" t="s">
        <v>91</v>
      </c>
      <c r="E367" s="8" t="s">
        <v>39</v>
      </c>
      <c r="F367" s="8" t="s">
        <v>50</v>
      </c>
      <c r="G367" s="8" t="s">
        <v>30</v>
      </c>
      <c r="H367" s="8" t="s">
        <v>30</v>
      </c>
      <c r="I367" s="8" t="n">
        <f aca="false">IF(EXACT(G367,H367),1,0)</f>
        <v>1</v>
      </c>
      <c r="J367" s="8" t="n">
        <v>2</v>
      </c>
      <c r="K367" s="8" t="s">
        <v>92</v>
      </c>
      <c r="L367" s="8" t="n">
        <v>0</v>
      </c>
      <c r="M367" s="8" t="n">
        <v>1</v>
      </c>
      <c r="N367" s="8" t="s">
        <v>93</v>
      </c>
      <c r="O367" s="8" t="n">
        <v>1</v>
      </c>
      <c r="P367" s="10" t="n">
        <v>7.41</v>
      </c>
      <c r="Q367" s="8"/>
      <c r="R367" s="8"/>
      <c r="S367" s="8" t="s">
        <v>105</v>
      </c>
      <c r="T367" s="8" t="s">
        <v>126</v>
      </c>
      <c r="U367" s="8" t="s">
        <v>127</v>
      </c>
      <c r="V367" s="8"/>
      <c r="W367" s="8" t="s">
        <v>136</v>
      </c>
      <c r="X367" s="8" t="s">
        <v>519</v>
      </c>
      <c r="Y367" s="8" t="s">
        <v>138</v>
      </c>
      <c r="Z367" s="8"/>
    </row>
    <row r="368" customFormat="false" ht="15" hidden="false" customHeight="false" outlineLevel="0" collapsed="false">
      <c r="A368" s="8" t="s">
        <v>139</v>
      </c>
      <c r="B368" s="8" t="s">
        <v>13</v>
      </c>
      <c r="C368" s="8" t="s">
        <v>14</v>
      </c>
      <c r="D368" s="8" t="s">
        <v>91</v>
      </c>
      <c r="E368" s="8" t="s">
        <v>39</v>
      </c>
      <c r="F368" s="8" t="s">
        <v>50</v>
      </c>
      <c r="G368" s="8" t="s">
        <v>31</v>
      </c>
      <c r="H368" s="8" t="s">
        <v>31</v>
      </c>
      <c r="I368" s="8" t="n">
        <f aca="false">IF(EXACT(G368,H368),1,0)</f>
        <v>1</v>
      </c>
      <c r="J368" s="8" t="n">
        <v>0</v>
      </c>
      <c r="K368" s="8" t="s">
        <v>140</v>
      </c>
      <c r="L368" s="8" t="n">
        <v>1</v>
      </c>
      <c r="M368" s="8" t="n">
        <v>1</v>
      </c>
      <c r="N368" s="8" t="s">
        <v>93</v>
      </c>
      <c r="O368" s="8" t="n">
        <v>1</v>
      </c>
      <c r="P368" s="10" t="n">
        <v>258.2</v>
      </c>
      <c r="Q368" s="8"/>
      <c r="R368" s="8"/>
      <c r="S368" s="8" t="s">
        <v>117</v>
      </c>
      <c r="T368" s="8" t="s">
        <v>126</v>
      </c>
      <c r="U368" s="8" t="s">
        <v>127</v>
      </c>
      <c r="V368" s="8"/>
      <c r="W368" s="8" t="s">
        <v>141</v>
      </c>
      <c r="X368" s="8" t="s">
        <v>520</v>
      </c>
      <c r="Y368" s="8" t="s">
        <v>143</v>
      </c>
      <c r="Z368" s="8" t="s">
        <v>144</v>
      </c>
    </row>
    <row r="369" customFormat="false" ht="15" hidden="false" customHeight="false" outlineLevel="0" collapsed="false">
      <c r="A369" s="8" t="s">
        <v>139</v>
      </c>
      <c r="B369" s="8" t="s">
        <v>13</v>
      </c>
      <c r="C369" s="8" t="s">
        <v>14</v>
      </c>
      <c r="D369" s="8" t="s">
        <v>91</v>
      </c>
      <c r="E369" s="8" t="s">
        <v>39</v>
      </c>
      <c r="F369" s="8" t="s">
        <v>50</v>
      </c>
      <c r="G369" s="8" t="s">
        <v>31</v>
      </c>
      <c r="H369" s="8" t="s">
        <v>31</v>
      </c>
      <c r="I369" s="8" t="n">
        <f aca="false">IF(EXACT(G369,H369),1,0)</f>
        <v>1</v>
      </c>
      <c r="J369" s="8" t="n">
        <v>1</v>
      </c>
      <c r="K369" s="8" t="s">
        <v>140</v>
      </c>
      <c r="L369" s="8" t="n">
        <v>1</v>
      </c>
      <c r="M369" s="8" t="n">
        <v>1</v>
      </c>
      <c r="N369" s="8" t="s">
        <v>93</v>
      </c>
      <c r="O369" s="8" t="n">
        <v>1</v>
      </c>
      <c r="P369" s="10" t="n">
        <v>4152.26</v>
      </c>
      <c r="Q369" s="8"/>
      <c r="R369" s="8"/>
      <c r="S369" s="8" t="s">
        <v>117</v>
      </c>
      <c r="T369" s="8" t="s">
        <v>126</v>
      </c>
      <c r="U369" s="8" t="s">
        <v>127</v>
      </c>
      <c r="V369" s="8"/>
      <c r="W369" s="8" t="s">
        <v>141</v>
      </c>
      <c r="X369" s="8" t="s">
        <v>520</v>
      </c>
      <c r="Y369" s="8" t="s">
        <v>143</v>
      </c>
      <c r="Z369" s="8" t="s">
        <v>144</v>
      </c>
    </row>
    <row r="370" customFormat="false" ht="15" hidden="false" customHeight="false" outlineLevel="0" collapsed="false">
      <c r="A370" s="8" t="s">
        <v>139</v>
      </c>
      <c r="B370" s="8" t="s">
        <v>13</v>
      </c>
      <c r="C370" s="8" t="s">
        <v>14</v>
      </c>
      <c r="D370" s="8" t="s">
        <v>91</v>
      </c>
      <c r="E370" s="8" t="s">
        <v>39</v>
      </c>
      <c r="F370" s="8" t="s">
        <v>50</v>
      </c>
      <c r="G370" s="8" t="s">
        <v>31</v>
      </c>
      <c r="H370" s="8" t="s">
        <v>31</v>
      </c>
      <c r="I370" s="8" t="n">
        <f aca="false">IF(EXACT(G370,H370),1,0)</f>
        <v>1</v>
      </c>
      <c r="J370" s="8" t="n">
        <v>2</v>
      </c>
      <c r="K370" s="8" t="s">
        <v>140</v>
      </c>
      <c r="L370" s="8" t="n">
        <v>1</v>
      </c>
      <c r="M370" s="8" t="n">
        <v>1</v>
      </c>
      <c r="N370" s="8" t="s">
        <v>93</v>
      </c>
      <c r="O370" s="8" t="n">
        <v>1</v>
      </c>
      <c r="P370" s="10" t="n">
        <v>8.33</v>
      </c>
      <c r="Q370" s="8"/>
      <c r="R370" s="8"/>
      <c r="S370" s="8" t="s">
        <v>117</v>
      </c>
      <c r="T370" s="8" t="s">
        <v>126</v>
      </c>
      <c r="U370" s="8" t="s">
        <v>127</v>
      </c>
      <c r="V370" s="8"/>
      <c r="W370" s="8" t="s">
        <v>141</v>
      </c>
      <c r="X370" s="8" t="s">
        <v>520</v>
      </c>
      <c r="Y370" s="8" t="s">
        <v>143</v>
      </c>
      <c r="Z370" s="8" t="s">
        <v>144</v>
      </c>
    </row>
    <row r="371" customFormat="false" ht="15" hidden="false" customHeight="false" outlineLevel="0" collapsed="false">
      <c r="A371" s="8" t="s">
        <v>145</v>
      </c>
      <c r="B371" s="8" t="s">
        <v>13</v>
      </c>
      <c r="C371" s="8" t="s">
        <v>14</v>
      </c>
      <c r="D371" s="8" t="s">
        <v>91</v>
      </c>
      <c r="E371" s="8" t="s">
        <v>39</v>
      </c>
      <c r="F371" s="8" t="s">
        <v>50</v>
      </c>
      <c r="G371" s="8" t="s">
        <v>31</v>
      </c>
      <c r="H371" s="8" t="s">
        <v>31</v>
      </c>
      <c r="I371" s="8" t="n">
        <f aca="false">IF(EXACT(G371,H371),1,0)</f>
        <v>1</v>
      </c>
      <c r="J371" s="8" t="n">
        <v>0</v>
      </c>
      <c r="K371" s="8" t="s">
        <v>140</v>
      </c>
      <c r="L371" s="8" t="n">
        <v>1</v>
      </c>
      <c r="M371" s="8" t="n">
        <v>1</v>
      </c>
      <c r="N371" s="8" t="s">
        <v>93</v>
      </c>
      <c r="O371" s="8" t="n">
        <v>1</v>
      </c>
      <c r="P371" s="10" t="n">
        <v>3.41</v>
      </c>
      <c r="Q371" s="8"/>
      <c r="R371" s="8"/>
      <c r="S371" s="8" t="s">
        <v>146</v>
      </c>
      <c r="T371" s="8" t="s">
        <v>126</v>
      </c>
      <c r="U371" s="8" t="s">
        <v>127</v>
      </c>
      <c r="V371" s="8"/>
      <c r="W371" s="8" t="s">
        <v>147</v>
      </c>
      <c r="X371" s="8" t="s">
        <v>521</v>
      </c>
      <c r="Y371" s="8" t="s">
        <v>143</v>
      </c>
      <c r="Z371" s="8" t="s">
        <v>144</v>
      </c>
    </row>
    <row r="372" customFormat="false" ht="15" hidden="false" customHeight="false" outlineLevel="0" collapsed="false">
      <c r="A372" s="8" t="s">
        <v>145</v>
      </c>
      <c r="B372" s="8" t="s">
        <v>13</v>
      </c>
      <c r="C372" s="8" t="s">
        <v>14</v>
      </c>
      <c r="D372" s="8" t="s">
        <v>91</v>
      </c>
      <c r="E372" s="8" t="s">
        <v>39</v>
      </c>
      <c r="F372" s="8" t="s">
        <v>50</v>
      </c>
      <c r="G372" s="8" t="s">
        <v>31</v>
      </c>
      <c r="H372" s="8" t="s">
        <v>31</v>
      </c>
      <c r="I372" s="8" t="n">
        <f aca="false">IF(EXACT(G372,H372),1,0)</f>
        <v>1</v>
      </c>
      <c r="J372" s="8" t="n">
        <v>1</v>
      </c>
      <c r="K372" s="8" t="s">
        <v>140</v>
      </c>
      <c r="L372" s="8" t="n">
        <v>1</v>
      </c>
      <c r="M372" s="8" t="n">
        <v>1</v>
      </c>
      <c r="N372" s="8" t="s">
        <v>93</v>
      </c>
      <c r="O372" s="8" t="n">
        <v>1</v>
      </c>
      <c r="P372" s="10" t="n">
        <v>3.45</v>
      </c>
      <c r="Q372" s="8"/>
      <c r="R372" s="8"/>
      <c r="S372" s="8" t="s">
        <v>146</v>
      </c>
      <c r="T372" s="8" t="s">
        <v>126</v>
      </c>
      <c r="U372" s="8" t="s">
        <v>127</v>
      </c>
      <c r="V372" s="8"/>
      <c r="W372" s="8" t="s">
        <v>147</v>
      </c>
      <c r="X372" s="8" t="s">
        <v>521</v>
      </c>
      <c r="Y372" s="8" t="s">
        <v>143</v>
      </c>
      <c r="Z372" s="8" t="s">
        <v>144</v>
      </c>
    </row>
    <row r="373" customFormat="false" ht="15" hidden="false" customHeight="false" outlineLevel="0" collapsed="false">
      <c r="A373" s="8" t="s">
        <v>145</v>
      </c>
      <c r="B373" s="8" t="s">
        <v>13</v>
      </c>
      <c r="C373" s="8" t="s">
        <v>14</v>
      </c>
      <c r="D373" s="8" t="s">
        <v>91</v>
      </c>
      <c r="E373" s="8" t="s">
        <v>39</v>
      </c>
      <c r="F373" s="8" t="s">
        <v>50</v>
      </c>
      <c r="G373" s="8" t="s">
        <v>31</v>
      </c>
      <c r="H373" s="8" t="s">
        <v>31</v>
      </c>
      <c r="I373" s="8" t="n">
        <f aca="false">IF(EXACT(G373,H373),1,0)</f>
        <v>1</v>
      </c>
      <c r="J373" s="8" t="n">
        <v>2</v>
      </c>
      <c r="K373" s="8" t="s">
        <v>140</v>
      </c>
      <c r="L373" s="8" t="n">
        <v>1</v>
      </c>
      <c r="M373" s="8" t="n">
        <v>1</v>
      </c>
      <c r="N373" s="8" t="s">
        <v>93</v>
      </c>
      <c r="O373" s="8" t="n">
        <v>1</v>
      </c>
      <c r="P373" s="10" t="n">
        <v>3.44</v>
      </c>
      <c r="Q373" s="8"/>
      <c r="R373" s="8"/>
      <c r="S373" s="8" t="s">
        <v>146</v>
      </c>
      <c r="T373" s="8" t="s">
        <v>126</v>
      </c>
      <c r="U373" s="8" t="s">
        <v>127</v>
      </c>
      <c r="V373" s="8"/>
      <c r="W373" s="8" t="s">
        <v>147</v>
      </c>
      <c r="X373" s="8" t="s">
        <v>521</v>
      </c>
      <c r="Y373" s="8" t="s">
        <v>143</v>
      </c>
      <c r="Z373" s="8" t="s">
        <v>144</v>
      </c>
    </row>
    <row r="374" customFormat="false" ht="15" hidden="false" customHeight="false" outlineLevel="0" collapsed="false">
      <c r="A374" s="8" t="s">
        <v>149</v>
      </c>
      <c r="B374" s="8" t="s">
        <v>13</v>
      </c>
      <c r="C374" s="8" t="s">
        <v>14</v>
      </c>
      <c r="D374" s="8" t="s">
        <v>91</v>
      </c>
      <c r="E374" s="8" t="s">
        <v>39</v>
      </c>
      <c r="F374" s="8" t="s">
        <v>50</v>
      </c>
      <c r="G374" s="8" t="s">
        <v>30</v>
      </c>
      <c r="H374" s="8" t="s">
        <v>30</v>
      </c>
      <c r="I374" s="8" t="n">
        <f aca="false">IF(EXACT(G374,H374),1,0)</f>
        <v>1</v>
      </c>
      <c r="J374" s="8" t="n">
        <v>0</v>
      </c>
      <c r="K374" s="8" t="s">
        <v>92</v>
      </c>
      <c r="L374" s="8" t="n">
        <v>0</v>
      </c>
      <c r="M374" s="8" t="n">
        <v>1</v>
      </c>
      <c r="N374" s="8" t="s">
        <v>93</v>
      </c>
      <c r="O374" s="8" t="n">
        <v>1</v>
      </c>
      <c r="P374" s="10" t="n">
        <v>3.69</v>
      </c>
      <c r="Q374" s="8"/>
      <c r="R374" s="8"/>
      <c r="S374" s="8" t="s">
        <v>150</v>
      </c>
      <c r="T374" s="8" t="s">
        <v>126</v>
      </c>
      <c r="U374" s="8" t="s">
        <v>127</v>
      </c>
      <c r="V374" s="8"/>
      <c r="W374" s="8" t="s">
        <v>151</v>
      </c>
      <c r="X374" s="8" t="s">
        <v>522</v>
      </c>
      <c r="Y374" s="8" t="s">
        <v>108</v>
      </c>
      <c r="Z374" s="8"/>
    </row>
    <row r="375" customFormat="false" ht="15" hidden="false" customHeight="false" outlineLevel="0" collapsed="false">
      <c r="A375" s="8" t="s">
        <v>149</v>
      </c>
      <c r="B375" s="8" t="s">
        <v>13</v>
      </c>
      <c r="C375" s="8" t="s">
        <v>14</v>
      </c>
      <c r="D375" s="8" t="s">
        <v>91</v>
      </c>
      <c r="E375" s="8" t="s">
        <v>39</v>
      </c>
      <c r="F375" s="8" t="s">
        <v>50</v>
      </c>
      <c r="G375" s="8" t="s">
        <v>30</v>
      </c>
      <c r="H375" s="8" t="s">
        <v>30</v>
      </c>
      <c r="I375" s="8" t="n">
        <f aca="false">IF(EXACT(G375,H375),1,0)</f>
        <v>1</v>
      </c>
      <c r="J375" s="8" t="n">
        <v>1</v>
      </c>
      <c r="K375" s="8" t="s">
        <v>92</v>
      </c>
      <c r="L375" s="8" t="n">
        <v>0</v>
      </c>
      <c r="M375" s="8" t="n">
        <v>1</v>
      </c>
      <c r="N375" s="8" t="s">
        <v>93</v>
      </c>
      <c r="O375" s="8" t="n">
        <v>1</v>
      </c>
      <c r="P375" s="10" t="n">
        <v>275.49</v>
      </c>
      <c r="Q375" s="8"/>
      <c r="R375" s="8"/>
      <c r="S375" s="8" t="s">
        <v>150</v>
      </c>
      <c r="T375" s="8" t="s">
        <v>126</v>
      </c>
      <c r="U375" s="8" t="s">
        <v>127</v>
      </c>
      <c r="V375" s="8"/>
      <c r="W375" s="8" t="s">
        <v>151</v>
      </c>
      <c r="X375" s="8" t="s">
        <v>522</v>
      </c>
      <c r="Y375" s="8" t="s">
        <v>108</v>
      </c>
      <c r="Z375" s="8"/>
    </row>
    <row r="376" customFormat="false" ht="15" hidden="false" customHeight="false" outlineLevel="0" collapsed="false">
      <c r="A376" s="8" t="s">
        <v>149</v>
      </c>
      <c r="B376" s="8" t="s">
        <v>13</v>
      </c>
      <c r="C376" s="8" t="s">
        <v>14</v>
      </c>
      <c r="D376" s="8" t="s">
        <v>91</v>
      </c>
      <c r="E376" s="8" t="s">
        <v>39</v>
      </c>
      <c r="F376" s="8" t="s">
        <v>50</v>
      </c>
      <c r="G376" s="8" t="s">
        <v>30</v>
      </c>
      <c r="H376" s="8" t="s">
        <v>30</v>
      </c>
      <c r="I376" s="8" t="n">
        <f aca="false">IF(EXACT(G376,H376),1,0)</f>
        <v>1</v>
      </c>
      <c r="J376" s="8" t="n">
        <v>2</v>
      </c>
      <c r="K376" s="8" t="s">
        <v>92</v>
      </c>
      <c r="L376" s="8" t="n">
        <v>0</v>
      </c>
      <c r="M376" s="8" t="n">
        <v>1</v>
      </c>
      <c r="N376" s="8" t="s">
        <v>93</v>
      </c>
      <c r="O376" s="8" t="n">
        <v>1</v>
      </c>
      <c r="P376" s="10" t="n">
        <v>4.45</v>
      </c>
      <c r="Q376" s="8"/>
      <c r="R376" s="8"/>
      <c r="S376" s="8" t="s">
        <v>150</v>
      </c>
      <c r="T376" s="8" t="s">
        <v>126</v>
      </c>
      <c r="U376" s="8" t="s">
        <v>127</v>
      </c>
      <c r="V376" s="8"/>
      <c r="W376" s="8" t="s">
        <v>151</v>
      </c>
      <c r="X376" s="8" t="s">
        <v>522</v>
      </c>
      <c r="Y376" s="8" t="s">
        <v>108</v>
      </c>
      <c r="Z376" s="8"/>
    </row>
    <row r="377" customFormat="false" ht="15" hidden="false" customHeight="false" outlineLevel="0" collapsed="false">
      <c r="A377" s="8" t="s">
        <v>312</v>
      </c>
      <c r="B377" s="8" t="s">
        <v>13</v>
      </c>
      <c r="C377" s="8" t="s">
        <v>14</v>
      </c>
      <c r="D377" s="8" t="s">
        <v>91</v>
      </c>
      <c r="E377" s="8" t="s">
        <v>39</v>
      </c>
      <c r="F377" s="8" t="s">
        <v>57</v>
      </c>
      <c r="G377" s="8" t="s">
        <v>31</v>
      </c>
      <c r="H377" s="8" t="s">
        <v>30</v>
      </c>
      <c r="I377" s="8" t="n">
        <f aca="false">IF(EXACT(G377,H377),1,0)</f>
        <v>0</v>
      </c>
      <c r="J377" s="8" t="n">
        <v>0</v>
      </c>
      <c r="K377" s="8" t="s">
        <v>92</v>
      </c>
      <c r="L377" s="8" t="n">
        <v>0</v>
      </c>
      <c r="M377" s="8" t="n">
        <v>1</v>
      </c>
      <c r="N377" s="8" t="s">
        <v>93</v>
      </c>
      <c r="O377" s="8" t="n">
        <v>1</v>
      </c>
      <c r="P377" s="10" t="n">
        <v>3.63</v>
      </c>
      <c r="Q377" s="8"/>
      <c r="R377" s="8"/>
      <c r="S377" s="8" t="s">
        <v>313</v>
      </c>
      <c r="T377" s="8"/>
      <c r="U377" s="8"/>
      <c r="V377" s="8" t="s">
        <v>155</v>
      </c>
      <c r="W377" s="8"/>
      <c r="X377" s="8" t="s">
        <v>523</v>
      </c>
      <c r="Y377" s="8" t="s">
        <v>161</v>
      </c>
      <c r="Z377" s="8"/>
    </row>
    <row r="378" customFormat="false" ht="15" hidden="false" customHeight="false" outlineLevel="0" collapsed="false">
      <c r="A378" s="8" t="s">
        <v>312</v>
      </c>
      <c r="B378" s="8" t="s">
        <v>13</v>
      </c>
      <c r="C378" s="8" t="s">
        <v>14</v>
      </c>
      <c r="D378" s="8" t="s">
        <v>91</v>
      </c>
      <c r="E378" s="8" t="s">
        <v>39</v>
      </c>
      <c r="F378" s="8" t="s">
        <v>57</v>
      </c>
      <c r="G378" s="8" t="s">
        <v>31</v>
      </c>
      <c r="H378" s="8" t="s">
        <v>30</v>
      </c>
      <c r="I378" s="8" t="n">
        <f aca="false">IF(EXACT(G378,H378),1,0)</f>
        <v>0</v>
      </c>
      <c r="J378" s="8" t="n">
        <v>1</v>
      </c>
      <c r="K378" s="8" t="s">
        <v>92</v>
      </c>
      <c r="L378" s="8" t="n">
        <v>0</v>
      </c>
      <c r="M378" s="8" t="n">
        <v>1</v>
      </c>
      <c r="N378" s="8" t="s">
        <v>93</v>
      </c>
      <c r="O378" s="8" t="n">
        <v>1</v>
      </c>
      <c r="P378" s="10" t="n">
        <v>3.65</v>
      </c>
      <c r="Q378" s="8"/>
      <c r="R378" s="8"/>
      <c r="S378" s="8" t="s">
        <v>313</v>
      </c>
      <c r="T378" s="8"/>
      <c r="U378" s="8"/>
      <c r="V378" s="8" t="s">
        <v>155</v>
      </c>
      <c r="W378" s="8"/>
      <c r="X378" s="8" t="s">
        <v>523</v>
      </c>
      <c r="Y378" s="8" t="s">
        <v>161</v>
      </c>
      <c r="Z378" s="8"/>
    </row>
    <row r="379" customFormat="false" ht="15" hidden="false" customHeight="false" outlineLevel="0" collapsed="false">
      <c r="A379" s="8" t="s">
        <v>312</v>
      </c>
      <c r="B379" s="8" t="s">
        <v>13</v>
      </c>
      <c r="C379" s="8" t="s">
        <v>14</v>
      </c>
      <c r="D379" s="8" t="s">
        <v>91</v>
      </c>
      <c r="E379" s="8" t="s">
        <v>39</v>
      </c>
      <c r="F379" s="8" t="s">
        <v>57</v>
      </c>
      <c r="G379" s="8" t="s">
        <v>31</v>
      </c>
      <c r="H379" s="8" t="s">
        <v>30</v>
      </c>
      <c r="I379" s="8" t="n">
        <f aca="false">IF(EXACT(G379,H379),1,0)</f>
        <v>0</v>
      </c>
      <c r="J379" s="8" t="n">
        <v>2</v>
      </c>
      <c r="K379" s="8" t="s">
        <v>92</v>
      </c>
      <c r="L379" s="8" t="n">
        <v>0</v>
      </c>
      <c r="M379" s="8" t="n">
        <v>1</v>
      </c>
      <c r="N379" s="8" t="s">
        <v>93</v>
      </c>
      <c r="O379" s="8" t="n">
        <v>1</v>
      </c>
      <c r="P379" s="10" t="n">
        <v>3.61</v>
      </c>
      <c r="Q379" s="8"/>
      <c r="R379" s="8"/>
      <c r="S379" s="8" t="s">
        <v>313</v>
      </c>
      <c r="T379" s="8"/>
      <c r="U379" s="8"/>
      <c r="V379" s="8" t="s">
        <v>155</v>
      </c>
      <c r="W379" s="8"/>
      <c r="X379" s="8" t="s">
        <v>523</v>
      </c>
      <c r="Y379" s="8" t="s">
        <v>161</v>
      </c>
      <c r="Z379" s="8"/>
    </row>
    <row r="380" customFormat="false" ht="15" hidden="false" customHeight="false" outlineLevel="0" collapsed="false">
      <c r="A380" s="8" t="s">
        <v>315</v>
      </c>
      <c r="B380" s="8" t="s">
        <v>13</v>
      </c>
      <c r="C380" s="8" t="s">
        <v>14</v>
      </c>
      <c r="D380" s="8" t="s">
        <v>91</v>
      </c>
      <c r="E380" s="8" t="s">
        <v>39</v>
      </c>
      <c r="F380" s="8" t="s">
        <v>57</v>
      </c>
      <c r="G380" s="8" t="s">
        <v>31</v>
      </c>
      <c r="H380" s="8" t="s">
        <v>30</v>
      </c>
      <c r="I380" s="8" t="n">
        <f aca="false">IF(EXACT(G380,H380),1,0)</f>
        <v>0</v>
      </c>
      <c r="J380" s="8" t="n">
        <v>0</v>
      </c>
      <c r="K380" s="8" t="s">
        <v>92</v>
      </c>
      <c r="L380" s="8" t="n">
        <v>0</v>
      </c>
      <c r="M380" s="8" t="n">
        <v>1</v>
      </c>
      <c r="N380" s="8" t="s">
        <v>93</v>
      </c>
      <c r="O380" s="8" t="n">
        <v>1</v>
      </c>
      <c r="P380" s="10" t="n">
        <v>3.6</v>
      </c>
      <c r="Q380" s="8"/>
      <c r="R380" s="8"/>
      <c r="S380" s="8" t="s">
        <v>316</v>
      </c>
      <c r="T380" s="8"/>
      <c r="U380" s="8"/>
      <c r="V380" s="8" t="s">
        <v>155</v>
      </c>
      <c r="W380" s="8"/>
      <c r="X380" s="8" t="s">
        <v>524</v>
      </c>
      <c r="Y380" s="8" t="s">
        <v>161</v>
      </c>
      <c r="Z380" s="8"/>
    </row>
    <row r="381" customFormat="false" ht="15" hidden="false" customHeight="false" outlineLevel="0" collapsed="false">
      <c r="A381" s="8" t="s">
        <v>315</v>
      </c>
      <c r="B381" s="8" t="s">
        <v>13</v>
      </c>
      <c r="C381" s="8" t="s">
        <v>14</v>
      </c>
      <c r="D381" s="8" t="s">
        <v>91</v>
      </c>
      <c r="E381" s="8" t="s">
        <v>39</v>
      </c>
      <c r="F381" s="8" t="s">
        <v>57</v>
      </c>
      <c r="G381" s="8" t="s">
        <v>31</v>
      </c>
      <c r="H381" s="8" t="s">
        <v>30</v>
      </c>
      <c r="I381" s="8" t="n">
        <f aca="false">IF(EXACT(G381,H381),1,0)</f>
        <v>0</v>
      </c>
      <c r="J381" s="8" t="n">
        <v>1</v>
      </c>
      <c r="K381" s="8" t="s">
        <v>92</v>
      </c>
      <c r="L381" s="8" t="n">
        <v>0</v>
      </c>
      <c r="M381" s="8" t="n">
        <v>1</v>
      </c>
      <c r="N381" s="8" t="s">
        <v>93</v>
      </c>
      <c r="O381" s="8" t="n">
        <v>1</v>
      </c>
      <c r="P381" s="10" t="n">
        <v>3.58</v>
      </c>
      <c r="Q381" s="8"/>
      <c r="R381" s="8"/>
      <c r="S381" s="8" t="s">
        <v>316</v>
      </c>
      <c r="T381" s="8"/>
      <c r="U381" s="8"/>
      <c r="V381" s="8" t="s">
        <v>155</v>
      </c>
      <c r="W381" s="8"/>
      <c r="X381" s="8" t="s">
        <v>524</v>
      </c>
      <c r="Y381" s="8" t="s">
        <v>161</v>
      </c>
      <c r="Z381" s="8"/>
    </row>
    <row r="382" customFormat="false" ht="15" hidden="false" customHeight="false" outlineLevel="0" collapsed="false">
      <c r="A382" s="8" t="s">
        <v>315</v>
      </c>
      <c r="B382" s="8" t="s">
        <v>13</v>
      </c>
      <c r="C382" s="8" t="s">
        <v>14</v>
      </c>
      <c r="D382" s="8" t="s">
        <v>91</v>
      </c>
      <c r="E382" s="8" t="s">
        <v>39</v>
      </c>
      <c r="F382" s="8" t="s">
        <v>57</v>
      </c>
      <c r="G382" s="8" t="s">
        <v>31</v>
      </c>
      <c r="H382" s="8" t="s">
        <v>30</v>
      </c>
      <c r="I382" s="8" t="n">
        <f aca="false">IF(EXACT(G382,H382),1,0)</f>
        <v>0</v>
      </c>
      <c r="J382" s="8" t="n">
        <v>2</v>
      </c>
      <c r="K382" s="8" t="s">
        <v>92</v>
      </c>
      <c r="L382" s="8" t="n">
        <v>0</v>
      </c>
      <c r="M382" s="8" t="n">
        <v>1</v>
      </c>
      <c r="N382" s="8" t="s">
        <v>93</v>
      </c>
      <c r="O382" s="8" t="n">
        <v>1</v>
      </c>
      <c r="P382" s="10" t="n">
        <v>3.56</v>
      </c>
      <c r="Q382" s="8"/>
      <c r="R382" s="8"/>
      <c r="S382" s="8" t="s">
        <v>316</v>
      </c>
      <c r="T382" s="8"/>
      <c r="U382" s="8"/>
      <c r="V382" s="8" t="s">
        <v>155</v>
      </c>
      <c r="W382" s="8"/>
      <c r="X382" s="8" t="s">
        <v>524</v>
      </c>
      <c r="Y382" s="8" t="s">
        <v>161</v>
      </c>
      <c r="Z382" s="8"/>
    </row>
    <row r="383" customFormat="false" ht="15" hidden="false" customHeight="false" outlineLevel="0" collapsed="false">
      <c r="A383" s="8" t="s">
        <v>318</v>
      </c>
      <c r="B383" s="8" t="s">
        <v>13</v>
      </c>
      <c r="C383" s="8" t="s">
        <v>14</v>
      </c>
      <c r="D383" s="8" t="s">
        <v>91</v>
      </c>
      <c r="E383" s="8" t="s">
        <v>39</v>
      </c>
      <c r="F383" s="8" t="s">
        <v>57</v>
      </c>
      <c r="G383" s="8" t="s">
        <v>32</v>
      </c>
      <c r="H383" s="8" t="s">
        <v>30</v>
      </c>
      <c r="I383" s="8" t="n">
        <f aca="false">IF(EXACT(G383,H383),1,0)</f>
        <v>0</v>
      </c>
      <c r="J383" s="8" t="n">
        <v>0</v>
      </c>
      <c r="K383" s="8" t="s">
        <v>92</v>
      </c>
      <c r="L383" s="8" t="n">
        <v>0</v>
      </c>
      <c r="M383" s="8" t="n">
        <v>1</v>
      </c>
      <c r="N383" s="8" t="s">
        <v>93</v>
      </c>
      <c r="O383" s="8" t="n">
        <v>1</v>
      </c>
      <c r="P383" s="10" t="n">
        <v>3.58</v>
      </c>
      <c r="Q383" s="8"/>
      <c r="R383" s="8"/>
      <c r="S383" s="8" t="s">
        <v>319</v>
      </c>
      <c r="T383" s="8"/>
      <c r="U383" s="8"/>
      <c r="V383" s="8" t="s">
        <v>155</v>
      </c>
      <c r="W383" s="8"/>
      <c r="X383" s="8" t="s">
        <v>525</v>
      </c>
      <c r="Y383" s="8" t="s">
        <v>161</v>
      </c>
      <c r="Z383" s="8"/>
    </row>
    <row r="384" customFormat="false" ht="15" hidden="false" customHeight="false" outlineLevel="0" collapsed="false">
      <c r="A384" s="8" t="s">
        <v>318</v>
      </c>
      <c r="B384" s="8" t="s">
        <v>13</v>
      </c>
      <c r="C384" s="8" t="s">
        <v>14</v>
      </c>
      <c r="D384" s="8" t="s">
        <v>91</v>
      </c>
      <c r="E384" s="8" t="s">
        <v>39</v>
      </c>
      <c r="F384" s="8" t="s">
        <v>57</v>
      </c>
      <c r="G384" s="8" t="s">
        <v>32</v>
      </c>
      <c r="H384" s="8" t="s">
        <v>30</v>
      </c>
      <c r="I384" s="8" t="n">
        <f aca="false">IF(EXACT(G384,H384),1,0)</f>
        <v>0</v>
      </c>
      <c r="J384" s="8" t="n">
        <v>1</v>
      </c>
      <c r="K384" s="8" t="s">
        <v>92</v>
      </c>
      <c r="L384" s="8" t="n">
        <v>0</v>
      </c>
      <c r="M384" s="8" t="n">
        <v>1</v>
      </c>
      <c r="N384" s="8" t="s">
        <v>93</v>
      </c>
      <c r="O384" s="8" t="n">
        <v>1</v>
      </c>
      <c r="P384" s="10" t="n">
        <v>3.61</v>
      </c>
      <c r="Q384" s="8"/>
      <c r="R384" s="8"/>
      <c r="S384" s="8" t="s">
        <v>319</v>
      </c>
      <c r="T384" s="8"/>
      <c r="U384" s="8"/>
      <c r="V384" s="8" t="s">
        <v>155</v>
      </c>
      <c r="W384" s="8"/>
      <c r="X384" s="8" t="s">
        <v>525</v>
      </c>
      <c r="Y384" s="8" t="s">
        <v>161</v>
      </c>
      <c r="Z384" s="8"/>
    </row>
    <row r="385" customFormat="false" ht="15" hidden="false" customHeight="false" outlineLevel="0" collapsed="false">
      <c r="A385" s="8" t="s">
        <v>318</v>
      </c>
      <c r="B385" s="8" t="s">
        <v>13</v>
      </c>
      <c r="C385" s="8" t="s">
        <v>14</v>
      </c>
      <c r="D385" s="8" t="s">
        <v>91</v>
      </c>
      <c r="E385" s="8" t="s">
        <v>39</v>
      </c>
      <c r="F385" s="8" t="s">
        <v>57</v>
      </c>
      <c r="G385" s="8" t="s">
        <v>32</v>
      </c>
      <c r="H385" s="8" t="s">
        <v>30</v>
      </c>
      <c r="I385" s="8" t="n">
        <f aca="false">IF(EXACT(G385,H385),1,0)</f>
        <v>0</v>
      </c>
      <c r="J385" s="8" t="n">
        <v>2</v>
      </c>
      <c r="K385" s="8" t="s">
        <v>92</v>
      </c>
      <c r="L385" s="8" t="n">
        <v>0</v>
      </c>
      <c r="M385" s="8" t="n">
        <v>1</v>
      </c>
      <c r="N385" s="8" t="s">
        <v>93</v>
      </c>
      <c r="O385" s="8" t="n">
        <v>1</v>
      </c>
      <c r="P385" s="10" t="n">
        <v>3.61</v>
      </c>
      <c r="Q385" s="8"/>
      <c r="R385" s="8"/>
      <c r="S385" s="8" t="s">
        <v>319</v>
      </c>
      <c r="T385" s="8"/>
      <c r="U385" s="8"/>
      <c r="V385" s="8" t="s">
        <v>155</v>
      </c>
      <c r="W385" s="8"/>
      <c r="X385" s="8" t="s">
        <v>525</v>
      </c>
      <c r="Y385" s="8" t="s">
        <v>161</v>
      </c>
      <c r="Z385" s="8"/>
    </row>
    <row r="386" customFormat="false" ht="15" hidden="false" customHeight="false" outlineLevel="0" collapsed="false">
      <c r="A386" s="8" t="s">
        <v>321</v>
      </c>
      <c r="B386" s="8" t="s">
        <v>13</v>
      </c>
      <c r="C386" s="8" t="s">
        <v>14</v>
      </c>
      <c r="D386" s="8" t="s">
        <v>91</v>
      </c>
      <c r="E386" s="8" t="s">
        <v>39</v>
      </c>
      <c r="F386" s="8" t="s">
        <v>57</v>
      </c>
      <c r="G386" s="8" t="s">
        <v>32</v>
      </c>
      <c r="H386" s="8" t="s">
        <v>30</v>
      </c>
      <c r="I386" s="8" t="n">
        <f aca="false">IF(EXACT(G386,H386),1,0)</f>
        <v>0</v>
      </c>
      <c r="J386" s="8" t="n">
        <v>0</v>
      </c>
      <c r="K386" s="8" t="s">
        <v>92</v>
      </c>
      <c r="L386" s="8" t="n">
        <v>0</v>
      </c>
      <c r="M386" s="8" t="n">
        <v>1</v>
      </c>
      <c r="N386" s="8" t="s">
        <v>93</v>
      </c>
      <c r="O386" s="8" t="n">
        <v>1</v>
      </c>
      <c r="P386" s="10" t="n">
        <v>3.62</v>
      </c>
      <c r="Q386" s="8"/>
      <c r="R386" s="8"/>
      <c r="S386" s="8" t="s">
        <v>322</v>
      </c>
      <c r="T386" s="8"/>
      <c r="U386" s="8"/>
      <c r="V386" s="8" t="s">
        <v>155</v>
      </c>
      <c r="W386" s="8"/>
      <c r="X386" s="8" t="s">
        <v>526</v>
      </c>
      <c r="Y386" s="8" t="s">
        <v>161</v>
      </c>
      <c r="Z386" s="8"/>
    </row>
    <row r="387" customFormat="false" ht="15" hidden="false" customHeight="false" outlineLevel="0" collapsed="false">
      <c r="A387" s="8" t="s">
        <v>321</v>
      </c>
      <c r="B387" s="8" t="s">
        <v>13</v>
      </c>
      <c r="C387" s="8" t="s">
        <v>14</v>
      </c>
      <c r="D387" s="8" t="s">
        <v>91</v>
      </c>
      <c r="E387" s="8" t="s">
        <v>39</v>
      </c>
      <c r="F387" s="8" t="s">
        <v>57</v>
      </c>
      <c r="G387" s="8" t="s">
        <v>32</v>
      </c>
      <c r="H387" s="8" t="s">
        <v>30</v>
      </c>
      <c r="I387" s="8" t="n">
        <f aca="false">IF(EXACT(G387,H387),1,0)</f>
        <v>0</v>
      </c>
      <c r="J387" s="8" t="n">
        <v>1</v>
      </c>
      <c r="K387" s="8" t="s">
        <v>92</v>
      </c>
      <c r="L387" s="8" t="n">
        <v>0</v>
      </c>
      <c r="M387" s="8" t="n">
        <v>1</v>
      </c>
      <c r="N387" s="8" t="s">
        <v>93</v>
      </c>
      <c r="O387" s="8" t="n">
        <v>1</v>
      </c>
      <c r="P387" s="10" t="n">
        <v>3.61</v>
      </c>
      <c r="Q387" s="8"/>
      <c r="R387" s="8"/>
      <c r="S387" s="8" t="s">
        <v>322</v>
      </c>
      <c r="T387" s="8"/>
      <c r="U387" s="8"/>
      <c r="V387" s="8" t="s">
        <v>155</v>
      </c>
      <c r="W387" s="8"/>
      <c r="X387" s="8" t="s">
        <v>526</v>
      </c>
      <c r="Y387" s="8" t="s">
        <v>161</v>
      </c>
      <c r="Z387" s="8"/>
    </row>
    <row r="388" customFormat="false" ht="15" hidden="false" customHeight="false" outlineLevel="0" collapsed="false">
      <c r="A388" s="8" t="s">
        <v>321</v>
      </c>
      <c r="B388" s="8" t="s">
        <v>13</v>
      </c>
      <c r="C388" s="8" t="s">
        <v>14</v>
      </c>
      <c r="D388" s="8" t="s">
        <v>91</v>
      </c>
      <c r="E388" s="8" t="s">
        <v>39</v>
      </c>
      <c r="F388" s="8" t="s">
        <v>57</v>
      </c>
      <c r="G388" s="8" t="s">
        <v>32</v>
      </c>
      <c r="H388" s="8" t="s">
        <v>30</v>
      </c>
      <c r="I388" s="8" t="n">
        <f aca="false">IF(EXACT(G388,H388),1,0)</f>
        <v>0</v>
      </c>
      <c r="J388" s="8" t="n">
        <v>2</v>
      </c>
      <c r="K388" s="8" t="s">
        <v>92</v>
      </c>
      <c r="L388" s="8" t="n">
        <v>0</v>
      </c>
      <c r="M388" s="8" t="n">
        <v>1</v>
      </c>
      <c r="N388" s="8" t="s">
        <v>93</v>
      </c>
      <c r="O388" s="8" t="n">
        <v>1</v>
      </c>
      <c r="P388" s="10" t="n">
        <v>3.6</v>
      </c>
      <c r="Q388" s="8"/>
      <c r="R388" s="8"/>
      <c r="S388" s="8" t="s">
        <v>322</v>
      </c>
      <c r="T388" s="8"/>
      <c r="U388" s="8"/>
      <c r="V388" s="8" t="s">
        <v>155</v>
      </c>
      <c r="W388" s="8"/>
      <c r="X388" s="8" t="s">
        <v>526</v>
      </c>
      <c r="Y388" s="8" t="s">
        <v>161</v>
      </c>
      <c r="Z388" s="8"/>
    </row>
    <row r="389" customFormat="false" ht="15" hidden="false" customHeight="false" outlineLevel="0" collapsed="false">
      <c r="A389" s="8" t="s">
        <v>324</v>
      </c>
      <c r="B389" s="8" t="s">
        <v>13</v>
      </c>
      <c r="C389" s="8" t="s">
        <v>14</v>
      </c>
      <c r="D389" s="8" t="s">
        <v>91</v>
      </c>
      <c r="E389" s="8" t="s">
        <v>39</v>
      </c>
      <c r="F389" s="8" t="s">
        <v>57</v>
      </c>
      <c r="G389" s="8" t="s">
        <v>30</v>
      </c>
      <c r="H389" s="8" t="s">
        <v>30</v>
      </c>
      <c r="I389" s="8" t="n">
        <f aca="false">IF(EXACT(G389,H389),1,0)</f>
        <v>1</v>
      </c>
      <c r="J389" s="8" t="n">
        <v>0</v>
      </c>
      <c r="K389" s="8" t="s">
        <v>92</v>
      </c>
      <c r="L389" s="8" t="n">
        <v>0</v>
      </c>
      <c r="M389" s="8" t="n">
        <v>1</v>
      </c>
      <c r="N389" s="8" t="s">
        <v>93</v>
      </c>
      <c r="O389" s="8" t="n">
        <v>1</v>
      </c>
      <c r="P389" s="10" t="n">
        <v>3.64</v>
      </c>
      <c r="Q389" s="8"/>
      <c r="R389" s="8"/>
      <c r="S389" s="8" t="s">
        <v>325</v>
      </c>
      <c r="T389" s="8"/>
      <c r="U389" s="8"/>
      <c r="V389" s="8" t="s">
        <v>155</v>
      </c>
      <c r="W389" s="8"/>
      <c r="X389" s="8" t="s">
        <v>527</v>
      </c>
      <c r="Y389" s="8" t="s">
        <v>161</v>
      </c>
      <c r="Z389" s="8"/>
    </row>
    <row r="390" customFormat="false" ht="15" hidden="false" customHeight="false" outlineLevel="0" collapsed="false">
      <c r="A390" s="8" t="s">
        <v>324</v>
      </c>
      <c r="B390" s="8" t="s">
        <v>13</v>
      </c>
      <c r="C390" s="8" t="s">
        <v>14</v>
      </c>
      <c r="D390" s="8" t="s">
        <v>91</v>
      </c>
      <c r="E390" s="8" t="s">
        <v>39</v>
      </c>
      <c r="F390" s="8" t="s">
        <v>57</v>
      </c>
      <c r="G390" s="8" t="s">
        <v>30</v>
      </c>
      <c r="H390" s="8" t="s">
        <v>30</v>
      </c>
      <c r="I390" s="8" t="n">
        <f aca="false">IF(EXACT(G390,H390),1,0)</f>
        <v>1</v>
      </c>
      <c r="J390" s="8" t="n">
        <v>1</v>
      </c>
      <c r="K390" s="8" t="s">
        <v>92</v>
      </c>
      <c r="L390" s="8" t="n">
        <v>0</v>
      </c>
      <c r="M390" s="8" t="n">
        <v>1</v>
      </c>
      <c r="N390" s="8" t="s">
        <v>93</v>
      </c>
      <c r="O390" s="8" t="n">
        <v>1</v>
      </c>
      <c r="P390" s="10" t="n">
        <v>3.6</v>
      </c>
      <c r="Q390" s="8"/>
      <c r="R390" s="8"/>
      <c r="S390" s="8" t="s">
        <v>325</v>
      </c>
      <c r="T390" s="8"/>
      <c r="U390" s="8"/>
      <c r="V390" s="8" t="s">
        <v>155</v>
      </c>
      <c r="W390" s="8"/>
      <c r="X390" s="8" t="s">
        <v>527</v>
      </c>
      <c r="Y390" s="8" t="s">
        <v>161</v>
      </c>
      <c r="Z390" s="8"/>
    </row>
    <row r="391" customFormat="false" ht="15" hidden="false" customHeight="false" outlineLevel="0" collapsed="false">
      <c r="A391" s="8" t="s">
        <v>324</v>
      </c>
      <c r="B391" s="8" t="s">
        <v>13</v>
      </c>
      <c r="C391" s="8" t="s">
        <v>14</v>
      </c>
      <c r="D391" s="8" t="s">
        <v>91</v>
      </c>
      <c r="E391" s="8" t="s">
        <v>39</v>
      </c>
      <c r="F391" s="8" t="s">
        <v>57</v>
      </c>
      <c r="G391" s="8" t="s">
        <v>30</v>
      </c>
      <c r="H391" s="8" t="s">
        <v>30</v>
      </c>
      <c r="I391" s="8" t="n">
        <f aca="false">IF(EXACT(G391,H391),1,0)</f>
        <v>1</v>
      </c>
      <c r="J391" s="8" t="n">
        <v>2</v>
      </c>
      <c r="K391" s="8" t="s">
        <v>92</v>
      </c>
      <c r="L391" s="8" t="n">
        <v>0</v>
      </c>
      <c r="M391" s="8" t="n">
        <v>1</v>
      </c>
      <c r="N391" s="8" t="s">
        <v>93</v>
      </c>
      <c r="O391" s="8" t="n">
        <v>1</v>
      </c>
      <c r="P391" s="10" t="n">
        <v>3.63</v>
      </c>
      <c r="Q391" s="8"/>
      <c r="R391" s="8"/>
      <c r="S391" s="8" t="s">
        <v>325</v>
      </c>
      <c r="T391" s="8"/>
      <c r="U391" s="8"/>
      <c r="V391" s="8" t="s">
        <v>155</v>
      </c>
      <c r="W391" s="8"/>
      <c r="X391" s="8" t="s">
        <v>527</v>
      </c>
      <c r="Y391" s="8" t="s">
        <v>161</v>
      </c>
      <c r="Z391" s="8"/>
    </row>
    <row r="392" customFormat="false" ht="15" hidden="false" customHeight="false" outlineLevel="0" collapsed="false">
      <c r="A392" s="8" t="s">
        <v>327</v>
      </c>
      <c r="B392" s="8" t="s">
        <v>13</v>
      </c>
      <c r="C392" s="8" t="s">
        <v>14</v>
      </c>
      <c r="D392" s="8" t="s">
        <v>91</v>
      </c>
      <c r="E392" s="8" t="s">
        <v>39</v>
      </c>
      <c r="F392" s="8" t="s">
        <v>57</v>
      </c>
      <c r="G392" s="8" t="s">
        <v>30</v>
      </c>
      <c r="H392" s="8" t="s">
        <v>30</v>
      </c>
      <c r="I392" s="8" t="n">
        <f aca="false">IF(EXACT(G392,H392),1,0)</f>
        <v>1</v>
      </c>
      <c r="J392" s="8" t="n">
        <v>0</v>
      </c>
      <c r="K392" s="8" t="s">
        <v>92</v>
      </c>
      <c r="L392" s="8" t="n">
        <v>0</v>
      </c>
      <c r="M392" s="8" t="n">
        <v>1</v>
      </c>
      <c r="N392" s="8" t="s">
        <v>93</v>
      </c>
      <c r="O392" s="8" t="n">
        <v>1</v>
      </c>
      <c r="P392" s="10" t="n">
        <v>3.61</v>
      </c>
      <c r="Q392" s="8"/>
      <c r="R392" s="8"/>
      <c r="S392" s="8" t="s">
        <v>328</v>
      </c>
      <c r="T392" s="8"/>
      <c r="U392" s="8"/>
      <c r="V392" s="8" t="s">
        <v>155</v>
      </c>
      <c r="W392" s="8"/>
      <c r="X392" s="8" t="s">
        <v>528</v>
      </c>
      <c r="Y392" s="8" t="s">
        <v>161</v>
      </c>
      <c r="Z392" s="8"/>
    </row>
    <row r="393" customFormat="false" ht="15" hidden="false" customHeight="false" outlineLevel="0" collapsed="false">
      <c r="A393" s="8" t="s">
        <v>327</v>
      </c>
      <c r="B393" s="8" t="s">
        <v>13</v>
      </c>
      <c r="C393" s="8" t="s">
        <v>14</v>
      </c>
      <c r="D393" s="8" t="s">
        <v>91</v>
      </c>
      <c r="E393" s="8" t="s">
        <v>39</v>
      </c>
      <c r="F393" s="8" t="s">
        <v>57</v>
      </c>
      <c r="G393" s="8" t="s">
        <v>30</v>
      </c>
      <c r="H393" s="8" t="s">
        <v>30</v>
      </c>
      <c r="I393" s="8" t="n">
        <f aca="false">IF(EXACT(G393,H393),1,0)</f>
        <v>1</v>
      </c>
      <c r="J393" s="8" t="n">
        <v>1</v>
      </c>
      <c r="K393" s="8" t="s">
        <v>92</v>
      </c>
      <c r="L393" s="8" t="n">
        <v>0</v>
      </c>
      <c r="M393" s="8" t="n">
        <v>1</v>
      </c>
      <c r="N393" s="8" t="s">
        <v>93</v>
      </c>
      <c r="O393" s="8" t="n">
        <v>1</v>
      </c>
      <c r="P393" s="10" t="n">
        <v>3.74</v>
      </c>
      <c r="Q393" s="8"/>
      <c r="R393" s="8"/>
      <c r="S393" s="8" t="s">
        <v>328</v>
      </c>
      <c r="T393" s="8"/>
      <c r="U393" s="8"/>
      <c r="V393" s="8" t="s">
        <v>155</v>
      </c>
      <c r="W393" s="8"/>
      <c r="X393" s="8" t="s">
        <v>528</v>
      </c>
      <c r="Y393" s="8" t="s">
        <v>161</v>
      </c>
      <c r="Z393" s="8"/>
    </row>
    <row r="394" customFormat="false" ht="15" hidden="false" customHeight="false" outlineLevel="0" collapsed="false">
      <c r="A394" s="8" t="s">
        <v>327</v>
      </c>
      <c r="B394" s="8" t="s">
        <v>13</v>
      </c>
      <c r="C394" s="8" t="s">
        <v>14</v>
      </c>
      <c r="D394" s="8" t="s">
        <v>91</v>
      </c>
      <c r="E394" s="8" t="s">
        <v>39</v>
      </c>
      <c r="F394" s="8" t="s">
        <v>57</v>
      </c>
      <c r="G394" s="8" t="s">
        <v>30</v>
      </c>
      <c r="H394" s="8" t="s">
        <v>30</v>
      </c>
      <c r="I394" s="8" t="n">
        <f aca="false">IF(EXACT(G394,H394),1,0)</f>
        <v>1</v>
      </c>
      <c r="J394" s="8" t="n">
        <v>2</v>
      </c>
      <c r="K394" s="8" t="s">
        <v>92</v>
      </c>
      <c r="L394" s="8" t="n">
        <v>0</v>
      </c>
      <c r="M394" s="8" t="n">
        <v>1</v>
      </c>
      <c r="N394" s="8" t="s">
        <v>93</v>
      </c>
      <c r="O394" s="8" t="n">
        <v>1</v>
      </c>
      <c r="P394" s="10" t="n">
        <v>3.65</v>
      </c>
      <c r="Q394" s="8"/>
      <c r="R394" s="8"/>
      <c r="S394" s="8" t="s">
        <v>328</v>
      </c>
      <c r="T394" s="8"/>
      <c r="U394" s="8"/>
      <c r="V394" s="8" t="s">
        <v>155</v>
      </c>
      <c r="W394" s="8"/>
      <c r="X394" s="8" t="s">
        <v>528</v>
      </c>
      <c r="Y394" s="8" t="s">
        <v>161</v>
      </c>
      <c r="Z394" s="8"/>
    </row>
    <row r="395" customFormat="false" ht="15" hidden="false" customHeight="false" outlineLevel="0" collapsed="false">
      <c r="A395" s="8" t="s">
        <v>391</v>
      </c>
      <c r="B395" s="8" t="s">
        <v>13</v>
      </c>
      <c r="C395" s="8" t="s">
        <v>14</v>
      </c>
      <c r="D395" s="8" t="s">
        <v>91</v>
      </c>
      <c r="E395" s="8" t="s">
        <v>39</v>
      </c>
      <c r="F395" s="8" t="s">
        <v>59</v>
      </c>
      <c r="G395" s="8" t="s">
        <v>31</v>
      </c>
      <c r="H395" s="8" t="s">
        <v>30</v>
      </c>
      <c r="I395" s="8" t="n">
        <f aca="false">IF(EXACT(G395,H395),1,0)</f>
        <v>0</v>
      </c>
      <c r="J395" s="8" t="n">
        <v>0</v>
      </c>
      <c r="K395" s="8" t="s">
        <v>92</v>
      </c>
      <c r="L395" s="8" t="n">
        <v>0</v>
      </c>
      <c r="M395" s="8" t="n">
        <v>1</v>
      </c>
      <c r="N395" s="8" t="s">
        <v>93</v>
      </c>
      <c r="O395" s="8" t="n">
        <v>1</v>
      </c>
      <c r="P395" s="10" t="n">
        <v>3.59</v>
      </c>
      <c r="Q395" s="8"/>
      <c r="R395" s="8"/>
      <c r="S395" s="8" t="s">
        <v>392</v>
      </c>
      <c r="T395" s="8"/>
      <c r="U395" s="8"/>
      <c r="V395" s="8" t="s">
        <v>155</v>
      </c>
      <c r="W395" s="8"/>
      <c r="X395" s="8" t="s">
        <v>529</v>
      </c>
      <c r="Y395" s="8" t="s">
        <v>394</v>
      </c>
      <c r="Z395" s="8"/>
    </row>
    <row r="396" customFormat="false" ht="15" hidden="false" customHeight="false" outlineLevel="0" collapsed="false">
      <c r="A396" s="8" t="s">
        <v>391</v>
      </c>
      <c r="B396" s="8" t="s">
        <v>13</v>
      </c>
      <c r="C396" s="8" t="s">
        <v>14</v>
      </c>
      <c r="D396" s="8" t="s">
        <v>91</v>
      </c>
      <c r="E396" s="8" t="s">
        <v>39</v>
      </c>
      <c r="F396" s="8" t="s">
        <v>59</v>
      </c>
      <c r="G396" s="8" t="s">
        <v>31</v>
      </c>
      <c r="H396" s="8" t="s">
        <v>30</v>
      </c>
      <c r="I396" s="8" t="n">
        <f aca="false">IF(EXACT(G396,H396),1,0)</f>
        <v>0</v>
      </c>
      <c r="J396" s="8" t="n">
        <v>1</v>
      </c>
      <c r="K396" s="8" t="s">
        <v>92</v>
      </c>
      <c r="L396" s="8" t="n">
        <v>0</v>
      </c>
      <c r="M396" s="8" t="n">
        <v>1</v>
      </c>
      <c r="N396" s="8" t="s">
        <v>93</v>
      </c>
      <c r="O396" s="8" t="n">
        <v>1</v>
      </c>
      <c r="P396" s="10" t="n">
        <v>3.6</v>
      </c>
      <c r="Q396" s="8"/>
      <c r="R396" s="8"/>
      <c r="S396" s="8" t="s">
        <v>392</v>
      </c>
      <c r="T396" s="8"/>
      <c r="U396" s="8"/>
      <c r="V396" s="8" t="s">
        <v>155</v>
      </c>
      <c r="W396" s="8"/>
      <c r="X396" s="8" t="s">
        <v>529</v>
      </c>
      <c r="Y396" s="8" t="s">
        <v>394</v>
      </c>
      <c r="Z396" s="8"/>
    </row>
    <row r="397" customFormat="false" ht="15" hidden="false" customHeight="false" outlineLevel="0" collapsed="false">
      <c r="A397" s="8" t="s">
        <v>391</v>
      </c>
      <c r="B397" s="8" t="s">
        <v>13</v>
      </c>
      <c r="C397" s="8" t="s">
        <v>14</v>
      </c>
      <c r="D397" s="8" t="s">
        <v>91</v>
      </c>
      <c r="E397" s="8" t="s">
        <v>39</v>
      </c>
      <c r="F397" s="8" t="s">
        <v>59</v>
      </c>
      <c r="G397" s="8" t="s">
        <v>31</v>
      </c>
      <c r="H397" s="8" t="s">
        <v>30</v>
      </c>
      <c r="I397" s="8" t="n">
        <f aca="false">IF(EXACT(G397,H397),1,0)</f>
        <v>0</v>
      </c>
      <c r="J397" s="8" t="n">
        <v>2</v>
      </c>
      <c r="K397" s="8" t="s">
        <v>92</v>
      </c>
      <c r="L397" s="8" t="n">
        <v>0</v>
      </c>
      <c r="M397" s="8" t="n">
        <v>1</v>
      </c>
      <c r="N397" s="8" t="s">
        <v>93</v>
      </c>
      <c r="O397" s="8" t="n">
        <v>1</v>
      </c>
      <c r="P397" s="10" t="n">
        <v>3.61</v>
      </c>
      <c r="Q397" s="8"/>
      <c r="R397" s="8"/>
      <c r="S397" s="8" t="s">
        <v>392</v>
      </c>
      <c r="T397" s="8"/>
      <c r="U397" s="8"/>
      <c r="V397" s="8" t="s">
        <v>155</v>
      </c>
      <c r="W397" s="8"/>
      <c r="X397" s="8" t="s">
        <v>529</v>
      </c>
      <c r="Y397" s="8" t="s">
        <v>394</v>
      </c>
      <c r="Z397" s="8"/>
    </row>
    <row r="398" customFormat="false" ht="15" hidden="false" customHeight="false" outlineLevel="0" collapsed="false">
      <c r="A398" s="8" t="s">
        <v>395</v>
      </c>
      <c r="B398" s="8" t="s">
        <v>13</v>
      </c>
      <c r="C398" s="8" t="s">
        <v>14</v>
      </c>
      <c r="D398" s="8" t="s">
        <v>91</v>
      </c>
      <c r="E398" s="8" t="s">
        <v>39</v>
      </c>
      <c r="F398" s="8" t="s">
        <v>59</v>
      </c>
      <c r="G398" s="8" t="s">
        <v>31</v>
      </c>
      <c r="H398" s="8" t="s">
        <v>30</v>
      </c>
      <c r="I398" s="8" t="n">
        <f aca="false">IF(EXACT(G398,H398),1,0)</f>
        <v>0</v>
      </c>
      <c r="J398" s="8" t="n">
        <v>0</v>
      </c>
      <c r="K398" s="8" t="s">
        <v>92</v>
      </c>
      <c r="L398" s="8" t="n">
        <v>0</v>
      </c>
      <c r="M398" s="8" t="n">
        <v>1</v>
      </c>
      <c r="N398" s="8" t="s">
        <v>93</v>
      </c>
      <c r="O398" s="8" t="n">
        <v>1</v>
      </c>
      <c r="P398" s="10" t="n">
        <v>3.62</v>
      </c>
      <c r="Q398" s="8"/>
      <c r="R398" s="8"/>
      <c r="S398" s="8" t="s">
        <v>396</v>
      </c>
      <c r="T398" s="8"/>
      <c r="U398" s="8"/>
      <c r="V398" s="8" t="s">
        <v>155</v>
      </c>
      <c r="W398" s="8"/>
      <c r="X398" s="8" t="s">
        <v>530</v>
      </c>
      <c r="Y398" s="8" t="s">
        <v>398</v>
      </c>
      <c r="Z398" s="8"/>
    </row>
    <row r="399" customFormat="false" ht="15" hidden="false" customHeight="false" outlineLevel="0" collapsed="false">
      <c r="A399" s="8" t="s">
        <v>395</v>
      </c>
      <c r="B399" s="8" t="s">
        <v>13</v>
      </c>
      <c r="C399" s="8" t="s">
        <v>14</v>
      </c>
      <c r="D399" s="8" t="s">
        <v>91</v>
      </c>
      <c r="E399" s="8" t="s">
        <v>39</v>
      </c>
      <c r="F399" s="8" t="s">
        <v>59</v>
      </c>
      <c r="G399" s="8" t="s">
        <v>31</v>
      </c>
      <c r="H399" s="8" t="s">
        <v>30</v>
      </c>
      <c r="I399" s="8" t="n">
        <f aca="false">IF(EXACT(G399,H399),1,0)</f>
        <v>0</v>
      </c>
      <c r="J399" s="8" t="n">
        <v>1</v>
      </c>
      <c r="K399" s="8" t="s">
        <v>92</v>
      </c>
      <c r="L399" s="8" t="n">
        <v>0</v>
      </c>
      <c r="M399" s="8" t="n">
        <v>1</v>
      </c>
      <c r="N399" s="8" t="s">
        <v>93</v>
      </c>
      <c r="O399" s="8" t="n">
        <v>1</v>
      </c>
      <c r="P399" s="10" t="n">
        <v>3.57</v>
      </c>
      <c r="Q399" s="8"/>
      <c r="R399" s="8"/>
      <c r="S399" s="8" t="s">
        <v>396</v>
      </c>
      <c r="T399" s="8"/>
      <c r="U399" s="8"/>
      <c r="V399" s="8" t="s">
        <v>155</v>
      </c>
      <c r="W399" s="8"/>
      <c r="X399" s="8" t="s">
        <v>530</v>
      </c>
      <c r="Y399" s="8" t="s">
        <v>398</v>
      </c>
      <c r="Z399" s="8"/>
    </row>
    <row r="400" customFormat="false" ht="15" hidden="false" customHeight="false" outlineLevel="0" collapsed="false">
      <c r="A400" s="8" t="s">
        <v>395</v>
      </c>
      <c r="B400" s="8" t="s">
        <v>13</v>
      </c>
      <c r="C400" s="8" t="s">
        <v>14</v>
      </c>
      <c r="D400" s="8" t="s">
        <v>91</v>
      </c>
      <c r="E400" s="8" t="s">
        <v>39</v>
      </c>
      <c r="F400" s="8" t="s">
        <v>59</v>
      </c>
      <c r="G400" s="8" t="s">
        <v>31</v>
      </c>
      <c r="H400" s="8" t="s">
        <v>30</v>
      </c>
      <c r="I400" s="8" t="n">
        <f aca="false">IF(EXACT(G400,H400),1,0)</f>
        <v>0</v>
      </c>
      <c r="J400" s="8" t="n">
        <v>2</v>
      </c>
      <c r="K400" s="8" t="s">
        <v>92</v>
      </c>
      <c r="L400" s="8" t="n">
        <v>0</v>
      </c>
      <c r="M400" s="8" t="n">
        <v>1</v>
      </c>
      <c r="N400" s="8" t="s">
        <v>93</v>
      </c>
      <c r="O400" s="8" t="n">
        <v>1</v>
      </c>
      <c r="P400" s="10" t="n">
        <v>3.58</v>
      </c>
      <c r="Q400" s="8"/>
      <c r="R400" s="8"/>
      <c r="S400" s="8" t="s">
        <v>396</v>
      </c>
      <c r="T400" s="8"/>
      <c r="U400" s="8"/>
      <c r="V400" s="8" t="s">
        <v>155</v>
      </c>
      <c r="W400" s="8"/>
      <c r="X400" s="8" t="s">
        <v>530</v>
      </c>
      <c r="Y400" s="8" t="s">
        <v>398</v>
      </c>
      <c r="Z400" s="8"/>
    </row>
    <row r="401" customFormat="false" ht="15" hidden="false" customHeight="false" outlineLevel="0" collapsed="false">
      <c r="A401" s="8" t="s">
        <v>399</v>
      </c>
      <c r="B401" s="8" t="s">
        <v>13</v>
      </c>
      <c r="C401" s="8" t="s">
        <v>14</v>
      </c>
      <c r="D401" s="8" t="s">
        <v>91</v>
      </c>
      <c r="E401" s="8" t="s">
        <v>39</v>
      </c>
      <c r="F401" s="8" t="s">
        <v>59</v>
      </c>
      <c r="G401" s="8" t="s">
        <v>32</v>
      </c>
      <c r="H401" s="8" t="s">
        <v>30</v>
      </c>
      <c r="I401" s="8" t="n">
        <f aca="false">IF(EXACT(G401,H401),1,0)</f>
        <v>0</v>
      </c>
      <c r="J401" s="8" t="n">
        <v>0</v>
      </c>
      <c r="K401" s="8" t="s">
        <v>92</v>
      </c>
      <c r="L401" s="8" t="n">
        <v>0</v>
      </c>
      <c r="M401" s="8" t="n">
        <v>1</v>
      </c>
      <c r="N401" s="8" t="s">
        <v>93</v>
      </c>
      <c r="O401" s="8" t="n">
        <v>1</v>
      </c>
      <c r="P401" s="10" t="n">
        <v>3.6</v>
      </c>
      <c r="Q401" s="8"/>
      <c r="R401" s="8"/>
      <c r="S401" s="8" t="s">
        <v>400</v>
      </c>
      <c r="T401" s="8"/>
      <c r="U401" s="8"/>
      <c r="V401" s="8" t="s">
        <v>155</v>
      </c>
      <c r="W401" s="8"/>
      <c r="X401" s="8" t="s">
        <v>531</v>
      </c>
      <c r="Y401" s="8" t="s">
        <v>394</v>
      </c>
      <c r="Z401" s="8"/>
    </row>
    <row r="402" customFormat="false" ht="15" hidden="false" customHeight="false" outlineLevel="0" collapsed="false">
      <c r="A402" s="8" t="s">
        <v>399</v>
      </c>
      <c r="B402" s="8" t="s">
        <v>13</v>
      </c>
      <c r="C402" s="8" t="s">
        <v>14</v>
      </c>
      <c r="D402" s="8" t="s">
        <v>91</v>
      </c>
      <c r="E402" s="8" t="s">
        <v>39</v>
      </c>
      <c r="F402" s="8" t="s">
        <v>59</v>
      </c>
      <c r="G402" s="8" t="s">
        <v>32</v>
      </c>
      <c r="H402" s="8" t="s">
        <v>30</v>
      </c>
      <c r="I402" s="8" t="n">
        <f aca="false">IF(EXACT(G402,H402),1,0)</f>
        <v>0</v>
      </c>
      <c r="J402" s="8" t="n">
        <v>1</v>
      </c>
      <c r="K402" s="8" t="s">
        <v>92</v>
      </c>
      <c r="L402" s="8" t="n">
        <v>0</v>
      </c>
      <c r="M402" s="8" t="n">
        <v>1</v>
      </c>
      <c r="N402" s="8" t="s">
        <v>93</v>
      </c>
      <c r="O402" s="8" t="n">
        <v>1</v>
      </c>
      <c r="P402" s="10" t="n">
        <v>3.6</v>
      </c>
      <c r="Q402" s="8"/>
      <c r="R402" s="8"/>
      <c r="S402" s="8" t="s">
        <v>400</v>
      </c>
      <c r="T402" s="8"/>
      <c r="U402" s="8"/>
      <c r="V402" s="8" t="s">
        <v>155</v>
      </c>
      <c r="W402" s="8"/>
      <c r="X402" s="8" t="s">
        <v>531</v>
      </c>
      <c r="Y402" s="8" t="s">
        <v>394</v>
      </c>
      <c r="Z402" s="8"/>
    </row>
    <row r="403" customFormat="false" ht="15" hidden="false" customHeight="false" outlineLevel="0" collapsed="false">
      <c r="A403" s="8" t="s">
        <v>399</v>
      </c>
      <c r="B403" s="8" t="s">
        <v>13</v>
      </c>
      <c r="C403" s="8" t="s">
        <v>14</v>
      </c>
      <c r="D403" s="8" t="s">
        <v>91</v>
      </c>
      <c r="E403" s="8" t="s">
        <v>39</v>
      </c>
      <c r="F403" s="8" t="s">
        <v>59</v>
      </c>
      <c r="G403" s="8" t="s">
        <v>32</v>
      </c>
      <c r="H403" s="8" t="s">
        <v>30</v>
      </c>
      <c r="I403" s="8" t="n">
        <f aca="false">IF(EXACT(G403,H403),1,0)</f>
        <v>0</v>
      </c>
      <c r="J403" s="8" t="n">
        <v>2</v>
      </c>
      <c r="K403" s="8" t="s">
        <v>92</v>
      </c>
      <c r="L403" s="8" t="n">
        <v>0</v>
      </c>
      <c r="M403" s="8" t="n">
        <v>1</v>
      </c>
      <c r="N403" s="8" t="s">
        <v>93</v>
      </c>
      <c r="O403" s="8" t="n">
        <v>1</v>
      </c>
      <c r="P403" s="10" t="n">
        <v>3.59</v>
      </c>
      <c r="Q403" s="8"/>
      <c r="R403" s="8"/>
      <c r="S403" s="8" t="s">
        <v>400</v>
      </c>
      <c r="T403" s="8"/>
      <c r="U403" s="8"/>
      <c r="V403" s="8" t="s">
        <v>155</v>
      </c>
      <c r="W403" s="8"/>
      <c r="X403" s="8" t="s">
        <v>531</v>
      </c>
      <c r="Y403" s="8" t="s">
        <v>394</v>
      </c>
      <c r="Z403" s="8"/>
    </row>
    <row r="404" customFormat="false" ht="15" hidden="false" customHeight="false" outlineLevel="0" collapsed="false">
      <c r="A404" s="8" t="s">
        <v>402</v>
      </c>
      <c r="B404" s="8" t="s">
        <v>13</v>
      </c>
      <c r="C404" s="8" t="s">
        <v>14</v>
      </c>
      <c r="D404" s="8" t="s">
        <v>91</v>
      </c>
      <c r="E404" s="8" t="s">
        <v>39</v>
      </c>
      <c r="F404" s="8" t="s">
        <v>59</v>
      </c>
      <c r="G404" s="8" t="s">
        <v>32</v>
      </c>
      <c r="H404" s="8" t="s">
        <v>30</v>
      </c>
      <c r="I404" s="8" t="n">
        <f aca="false">IF(EXACT(G404,H404),1,0)</f>
        <v>0</v>
      </c>
      <c r="J404" s="8" t="n">
        <v>0</v>
      </c>
      <c r="K404" s="8" t="s">
        <v>92</v>
      </c>
      <c r="L404" s="8" t="n">
        <v>0</v>
      </c>
      <c r="M404" s="8" t="n">
        <v>1</v>
      </c>
      <c r="N404" s="8" t="s">
        <v>93</v>
      </c>
      <c r="O404" s="8" t="n">
        <v>1</v>
      </c>
      <c r="P404" s="10" t="n">
        <v>3.61</v>
      </c>
      <c r="Q404" s="8"/>
      <c r="R404" s="8"/>
      <c r="S404" s="8" t="s">
        <v>403</v>
      </c>
      <c r="T404" s="8"/>
      <c r="U404" s="8"/>
      <c r="V404" s="8" t="s">
        <v>155</v>
      </c>
      <c r="W404" s="8"/>
      <c r="X404" s="8" t="s">
        <v>532</v>
      </c>
      <c r="Y404" s="8" t="s">
        <v>398</v>
      </c>
      <c r="Z404" s="8"/>
    </row>
    <row r="405" customFormat="false" ht="15" hidden="false" customHeight="false" outlineLevel="0" collapsed="false">
      <c r="A405" s="8" t="s">
        <v>402</v>
      </c>
      <c r="B405" s="8" t="s">
        <v>13</v>
      </c>
      <c r="C405" s="8" t="s">
        <v>14</v>
      </c>
      <c r="D405" s="8" t="s">
        <v>91</v>
      </c>
      <c r="E405" s="8" t="s">
        <v>39</v>
      </c>
      <c r="F405" s="8" t="s">
        <v>59</v>
      </c>
      <c r="G405" s="8" t="s">
        <v>32</v>
      </c>
      <c r="H405" s="8" t="s">
        <v>30</v>
      </c>
      <c r="I405" s="8" t="n">
        <f aca="false">IF(EXACT(G405,H405),1,0)</f>
        <v>0</v>
      </c>
      <c r="J405" s="8" t="n">
        <v>1</v>
      </c>
      <c r="K405" s="8" t="s">
        <v>92</v>
      </c>
      <c r="L405" s="8" t="n">
        <v>0</v>
      </c>
      <c r="M405" s="8" t="n">
        <v>1</v>
      </c>
      <c r="N405" s="8" t="s">
        <v>93</v>
      </c>
      <c r="O405" s="8" t="n">
        <v>1</v>
      </c>
      <c r="P405" s="10" t="n">
        <v>3.6</v>
      </c>
      <c r="Q405" s="8"/>
      <c r="R405" s="8"/>
      <c r="S405" s="8" t="s">
        <v>403</v>
      </c>
      <c r="T405" s="8"/>
      <c r="U405" s="8"/>
      <c r="V405" s="8" t="s">
        <v>155</v>
      </c>
      <c r="W405" s="8"/>
      <c r="X405" s="8" t="s">
        <v>532</v>
      </c>
      <c r="Y405" s="8" t="s">
        <v>398</v>
      </c>
      <c r="Z405" s="8"/>
    </row>
    <row r="406" customFormat="false" ht="15" hidden="false" customHeight="false" outlineLevel="0" collapsed="false">
      <c r="A406" s="8" t="s">
        <v>402</v>
      </c>
      <c r="B406" s="8" t="s">
        <v>13</v>
      </c>
      <c r="C406" s="8" t="s">
        <v>14</v>
      </c>
      <c r="D406" s="8" t="s">
        <v>91</v>
      </c>
      <c r="E406" s="8" t="s">
        <v>39</v>
      </c>
      <c r="F406" s="8" t="s">
        <v>59</v>
      </c>
      <c r="G406" s="8" t="s">
        <v>32</v>
      </c>
      <c r="H406" s="8" t="s">
        <v>30</v>
      </c>
      <c r="I406" s="8" t="n">
        <f aca="false">IF(EXACT(G406,H406),1,0)</f>
        <v>0</v>
      </c>
      <c r="J406" s="8" t="n">
        <v>2</v>
      </c>
      <c r="K406" s="8" t="s">
        <v>92</v>
      </c>
      <c r="L406" s="8" t="n">
        <v>0</v>
      </c>
      <c r="M406" s="8" t="n">
        <v>1</v>
      </c>
      <c r="N406" s="8" t="s">
        <v>93</v>
      </c>
      <c r="O406" s="8" t="n">
        <v>1</v>
      </c>
      <c r="P406" s="10" t="n">
        <v>3.57</v>
      </c>
      <c r="Q406" s="8"/>
      <c r="R406" s="8"/>
      <c r="S406" s="8" t="s">
        <v>403</v>
      </c>
      <c r="T406" s="8"/>
      <c r="U406" s="8"/>
      <c r="V406" s="8" t="s">
        <v>155</v>
      </c>
      <c r="W406" s="8"/>
      <c r="X406" s="8" t="s">
        <v>532</v>
      </c>
      <c r="Y406" s="8" t="s">
        <v>398</v>
      </c>
      <c r="Z406" s="8"/>
    </row>
    <row r="407" customFormat="false" ht="15" hidden="false" customHeight="false" outlineLevel="0" collapsed="false">
      <c r="A407" s="8" t="s">
        <v>405</v>
      </c>
      <c r="B407" s="8" t="s">
        <v>13</v>
      </c>
      <c r="C407" s="8" t="s">
        <v>14</v>
      </c>
      <c r="D407" s="8" t="s">
        <v>91</v>
      </c>
      <c r="E407" s="8" t="s">
        <v>39</v>
      </c>
      <c r="F407" s="8" t="s">
        <v>59</v>
      </c>
      <c r="G407" s="8" t="s">
        <v>30</v>
      </c>
      <c r="H407" s="8" t="s">
        <v>30</v>
      </c>
      <c r="I407" s="8" t="n">
        <f aca="false">IF(EXACT(G407,H407),1,0)</f>
        <v>1</v>
      </c>
      <c r="J407" s="8" t="n">
        <v>0</v>
      </c>
      <c r="K407" s="8" t="s">
        <v>92</v>
      </c>
      <c r="L407" s="8" t="n">
        <v>0</v>
      </c>
      <c r="M407" s="8" t="n">
        <v>1</v>
      </c>
      <c r="N407" s="8" t="s">
        <v>93</v>
      </c>
      <c r="O407" s="8" t="n">
        <v>1</v>
      </c>
      <c r="P407" s="10" t="n">
        <v>3.63</v>
      </c>
      <c r="Q407" s="8"/>
      <c r="R407" s="8"/>
      <c r="S407" s="8" t="s">
        <v>406</v>
      </c>
      <c r="T407" s="8"/>
      <c r="U407" s="8"/>
      <c r="V407" s="8" t="s">
        <v>155</v>
      </c>
      <c r="W407" s="8"/>
      <c r="X407" s="8" t="s">
        <v>533</v>
      </c>
      <c r="Y407" s="8" t="s">
        <v>398</v>
      </c>
      <c r="Z407" s="8"/>
    </row>
    <row r="408" customFormat="false" ht="15" hidden="false" customHeight="false" outlineLevel="0" collapsed="false">
      <c r="A408" s="8" t="s">
        <v>405</v>
      </c>
      <c r="B408" s="8" t="s">
        <v>13</v>
      </c>
      <c r="C408" s="8" t="s">
        <v>14</v>
      </c>
      <c r="D408" s="8" t="s">
        <v>91</v>
      </c>
      <c r="E408" s="8" t="s">
        <v>39</v>
      </c>
      <c r="F408" s="8" t="s">
        <v>59</v>
      </c>
      <c r="G408" s="8" t="s">
        <v>30</v>
      </c>
      <c r="H408" s="8" t="s">
        <v>30</v>
      </c>
      <c r="I408" s="8" t="n">
        <f aca="false">IF(EXACT(G408,H408),1,0)</f>
        <v>1</v>
      </c>
      <c r="J408" s="8" t="n">
        <v>1</v>
      </c>
      <c r="K408" s="8" t="s">
        <v>92</v>
      </c>
      <c r="L408" s="8" t="n">
        <v>0</v>
      </c>
      <c r="M408" s="8" t="n">
        <v>1</v>
      </c>
      <c r="N408" s="8" t="s">
        <v>93</v>
      </c>
      <c r="O408" s="8" t="n">
        <v>1</v>
      </c>
      <c r="P408" s="10" t="n">
        <v>3.55</v>
      </c>
      <c r="Q408" s="8"/>
      <c r="R408" s="8"/>
      <c r="S408" s="8" t="s">
        <v>406</v>
      </c>
      <c r="T408" s="8"/>
      <c r="U408" s="8"/>
      <c r="V408" s="8" t="s">
        <v>155</v>
      </c>
      <c r="W408" s="8"/>
      <c r="X408" s="8" t="s">
        <v>533</v>
      </c>
      <c r="Y408" s="8" t="s">
        <v>398</v>
      </c>
      <c r="Z408" s="8"/>
    </row>
    <row r="409" customFormat="false" ht="15" hidden="false" customHeight="false" outlineLevel="0" collapsed="false">
      <c r="A409" s="8" t="s">
        <v>405</v>
      </c>
      <c r="B409" s="8" t="s">
        <v>13</v>
      </c>
      <c r="C409" s="8" t="s">
        <v>14</v>
      </c>
      <c r="D409" s="8" t="s">
        <v>91</v>
      </c>
      <c r="E409" s="8" t="s">
        <v>39</v>
      </c>
      <c r="F409" s="8" t="s">
        <v>59</v>
      </c>
      <c r="G409" s="8" t="s">
        <v>30</v>
      </c>
      <c r="H409" s="8" t="s">
        <v>30</v>
      </c>
      <c r="I409" s="8" t="n">
        <f aca="false">IF(EXACT(G409,H409),1,0)</f>
        <v>1</v>
      </c>
      <c r="J409" s="8" t="n">
        <v>2</v>
      </c>
      <c r="K409" s="8" t="s">
        <v>92</v>
      </c>
      <c r="L409" s="8" t="n">
        <v>0</v>
      </c>
      <c r="M409" s="8" t="n">
        <v>1</v>
      </c>
      <c r="N409" s="8" t="s">
        <v>93</v>
      </c>
      <c r="O409" s="8" t="n">
        <v>1</v>
      </c>
      <c r="P409" s="10" t="n">
        <v>3.58</v>
      </c>
      <c r="Q409" s="8"/>
      <c r="R409" s="8"/>
      <c r="S409" s="8" t="s">
        <v>406</v>
      </c>
      <c r="T409" s="8"/>
      <c r="U409" s="8"/>
      <c r="V409" s="8" t="s">
        <v>155</v>
      </c>
      <c r="W409" s="8"/>
      <c r="X409" s="8" t="s">
        <v>533</v>
      </c>
      <c r="Y409" s="8" t="s">
        <v>398</v>
      </c>
      <c r="Z409" s="8"/>
    </row>
    <row r="410" customFormat="false" ht="15" hidden="false" customHeight="false" outlineLevel="0" collapsed="false">
      <c r="A410" s="8" t="s">
        <v>408</v>
      </c>
      <c r="B410" s="8" t="s">
        <v>13</v>
      </c>
      <c r="C410" s="8" t="s">
        <v>14</v>
      </c>
      <c r="D410" s="8" t="s">
        <v>91</v>
      </c>
      <c r="E410" s="8" t="s">
        <v>39</v>
      </c>
      <c r="F410" s="8" t="s">
        <v>59</v>
      </c>
      <c r="G410" s="8" t="s">
        <v>30</v>
      </c>
      <c r="H410" s="8" t="s">
        <v>30</v>
      </c>
      <c r="I410" s="8" t="n">
        <f aca="false">IF(EXACT(G410,H410),1,0)</f>
        <v>1</v>
      </c>
      <c r="J410" s="8" t="n">
        <v>0</v>
      </c>
      <c r="K410" s="8" t="s">
        <v>92</v>
      </c>
      <c r="L410" s="8" t="n">
        <v>0</v>
      </c>
      <c r="M410" s="8" t="n">
        <v>1</v>
      </c>
      <c r="N410" s="8" t="s">
        <v>93</v>
      </c>
      <c r="O410" s="8" t="n">
        <v>1</v>
      </c>
      <c r="P410" s="10" t="n">
        <v>3.61</v>
      </c>
      <c r="Q410" s="8"/>
      <c r="R410" s="8"/>
      <c r="S410" s="8" t="s">
        <v>409</v>
      </c>
      <c r="T410" s="8"/>
      <c r="U410" s="8"/>
      <c r="V410" s="8" t="s">
        <v>155</v>
      </c>
      <c r="W410" s="8"/>
      <c r="X410" s="8" t="s">
        <v>534</v>
      </c>
      <c r="Y410" s="8" t="s">
        <v>394</v>
      </c>
      <c r="Z410" s="8"/>
    </row>
    <row r="411" customFormat="false" ht="15" hidden="false" customHeight="false" outlineLevel="0" collapsed="false">
      <c r="A411" s="8" t="s">
        <v>408</v>
      </c>
      <c r="B411" s="8" t="s">
        <v>13</v>
      </c>
      <c r="C411" s="8" t="s">
        <v>14</v>
      </c>
      <c r="D411" s="8" t="s">
        <v>91</v>
      </c>
      <c r="E411" s="8" t="s">
        <v>39</v>
      </c>
      <c r="F411" s="8" t="s">
        <v>59</v>
      </c>
      <c r="G411" s="8" t="s">
        <v>30</v>
      </c>
      <c r="H411" s="8" t="s">
        <v>30</v>
      </c>
      <c r="I411" s="8" t="n">
        <f aca="false">IF(EXACT(G411,H411),1,0)</f>
        <v>1</v>
      </c>
      <c r="J411" s="8" t="n">
        <v>1</v>
      </c>
      <c r="K411" s="8" t="s">
        <v>92</v>
      </c>
      <c r="L411" s="8" t="n">
        <v>0</v>
      </c>
      <c r="M411" s="8" t="n">
        <v>1</v>
      </c>
      <c r="N411" s="8" t="s">
        <v>93</v>
      </c>
      <c r="O411" s="8" t="n">
        <v>1</v>
      </c>
      <c r="P411" s="10" t="n">
        <v>3.57</v>
      </c>
      <c r="Q411" s="8"/>
      <c r="R411" s="8"/>
      <c r="S411" s="8" t="s">
        <v>409</v>
      </c>
      <c r="T411" s="8"/>
      <c r="U411" s="8"/>
      <c r="V411" s="8" t="s">
        <v>155</v>
      </c>
      <c r="W411" s="8"/>
      <c r="X411" s="8" t="s">
        <v>534</v>
      </c>
      <c r="Y411" s="8" t="s">
        <v>394</v>
      </c>
      <c r="Z411" s="8"/>
    </row>
    <row r="412" customFormat="false" ht="15" hidden="false" customHeight="false" outlineLevel="0" collapsed="false">
      <c r="A412" s="8" t="s">
        <v>408</v>
      </c>
      <c r="B412" s="8" t="s">
        <v>13</v>
      </c>
      <c r="C412" s="8" t="s">
        <v>14</v>
      </c>
      <c r="D412" s="8" t="s">
        <v>91</v>
      </c>
      <c r="E412" s="8" t="s">
        <v>39</v>
      </c>
      <c r="F412" s="8" t="s">
        <v>59</v>
      </c>
      <c r="G412" s="8" t="s">
        <v>30</v>
      </c>
      <c r="H412" s="8" t="s">
        <v>30</v>
      </c>
      <c r="I412" s="8" t="n">
        <f aca="false">IF(EXACT(G412,H412),1,0)</f>
        <v>1</v>
      </c>
      <c r="J412" s="8" t="n">
        <v>2</v>
      </c>
      <c r="K412" s="8" t="s">
        <v>92</v>
      </c>
      <c r="L412" s="8" t="n">
        <v>0</v>
      </c>
      <c r="M412" s="8" t="n">
        <v>1</v>
      </c>
      <c r="N412" s="8" t="s">
        <v>93</v>
      </c>
      <c r="O412" s="8" t="n">
        <v>1</v>
      </c>
      <c r="P412" s="10" t="n">
        <v>3.65</v>
      </c>
      <c r="Q412" s="8"/>
      <c r="R412" s="8"/>
      <c r="S412" s="8" t="s">
        <v>409</v>
      </c>
      <c r="T412" s="8"/>
      <c r="U412" s="8"/>
      <c r="V412" s="8" t="s">
        <v>155</v>
      </c>
      <c r="W412" s="8"/>
      <c r="X412" s="8" t="s">
        <v>534</v>
      </c>
      <c r="Y412" s="8" t="s">
        <v>394</v>
      </c>
      <c r="Z412" s="8"/>
    </row>
    <row r="413" customFormat="false" ht="15" hidden="false" customHeight="false" outlineLevel="0" collapsed="false">
      <c r="A413" s="8" t="s">
        <v>535</v>
      </c>
      <c r="B413" s="8" t="s">
        <v>13</v>
      </c>
      <c r="C413" s="8" t="s">
        <v>14</v>
      </c>
      <c r="D413" s="8" t="s">
        <v>91</v>
      </c>
      <c r="E413" s="8" t="s">
        <v>39</v>
      </c>
      <c r="F413" s="8" t="s">
        <v>61</v>
      </c>
      <c r="G413" s="8" t="s">
        <v>30</v>
      </c>
      <c r="H413" s="8" t="s">
        <v>30</v>
      </c>
      <c r="I413" s="8" t="n">
        <f aca="false">IF(EXACT(G413,H413),1,0)</f>
        <v>1</v>
      </c>
      <c r="J413" s="8" t="n">
        <v>0</v>
      </c>
      <c r="K413" s="8" t="s">
        <v>92</v>
      </c>
      <c r="L413" s="8" t="n">
        <v>0</v>
      </c>
      <c r="M413" s="8" t="n">
        <v>1</v>
      </c>
      <c r="N413" s="8" t="s">
        <v>93</v>
      </c>
      <c r="O413" s="8" t="n">
        <v>1</v>
      </c>
      <c r="P413" s="10" t="n">
        <v>3.65</v>
      </c>
      <c r="Q413" s="8"/>
      <c r="R413" s="8"/>
      <c r="S413" s="8" t="s">
        <v>110</v>
      </c>
      <c r="T413" s="8" t="s">
        <v>536</v>
      </c>
      <c r="U413" s="8" t="s">
        <v>537</v>
      </c>
      <c r="V413" s="8"/>
      <c r="W413" s="8" t="s">
        <v>538</v>
      </c>
      <c r="X413" s="8" t="s">
        <v>539</v>
      </c>
      <c r="Y413" s="8" t="s">
        <v>183</v>
      </c>
      <c r="Z413" s="8"/>
    </row>
    <row r="414" customFormat="false" ht="15" hidden="false" customHeight="false" outlineLevel="0" collapsed="false">
      <c r="A414" s="8" t="s">
        <v>535</v>
      </c>
      <c r="B414" s="8" t="s">
        <v>13</v>
      </c>
      <c r="C414" s="8" t="s">
        <v>14</v>
      </c>
      <c r="D414" s="8" t="s">
        <v>91</v>
      </c>
      <c r="E414" s="8" t="s">
        <v>39</v>
      </c>
      <c r="F414" s="8" t="s">
        <v>61</v>
      </c>
      <c r="G414" s="8" t="s">
        <v>30</v>
      </c>
      <c r="H414" s="8" t="s">
        <v>30</v>
      </c>
      <c r="I414" s="8" t="n">
        <f aca="false">IF(EXACT(G414,H414),1,0)</f>
        <v>1</v>
      </c>
      <c r="J414" s="8" t="n">
        <v>1</v>
      </c>
      <c r="K414" s="8" t="s">
        <v>92</v>
      </c>
      <c r="L414" s="8" t="n">
        <v>0</v>
      </c>
      <c r="M414" s="8" t="n">
        <v>1</v>
      </c>
      <c r="N414" s="8" t="s">
        <v>93</v>
      </c>
      <c r="O414" s="8" t="n">
        <v>1</v>
      </c>
      <c r="P414" s="10" t="n">
        <v>3.65</v>
      </c>
      <c r="Q414" s="8"/>
      <c r="R414" s="8"/>
      <c r="S414" s="8" t="s">
        <v>110</v>
      </c>
      <c r="T414" s="8" t="s">
        <v>536</v>
      </c>
      <c r="U414" s="8" t="s">
        <v>537</v>
      </c>
      <c r="V414" s="8"/>
      <c r="W414" s="8" t="s">
        <v>538</v>
      </c>
      <c r="X414" s="8" t="s">
        <v>539</v>
      </c>
      <c r="Y414" s="8" t="s">
        <v>183</v>
      </c>
      <c r="Z414" s="8"/>
    </row>
    <row r="415" customFormat="false" ht="15" hidden="false" customHeight="false" outlineLevel="0" collapsed="false">
      <c r="A415" s="8" t="s">
        <v>535</v>
      </c>
      <c r="B415" s="8" t="s">
        <v>13</v>
      </c>
      <c r="C415" s="8" t="s">
        <v>14</v>
      </c>
      <c r="D415" s="8" t="s">
        <v>91</v>
      </c>
      <c r="E415" s="8" t="s">
        <v>39</v>
      </c>
      <c r="F415" s="8" t="s">
        <v>61</v>
      </c>
      <c r="G415" s="8" t="s">
        <v>30</v>
      </c>
      <c r="H415" s="8" t="s">
        <v>30</v>
      </c>
      <c r="I415" s="8" t="n">
        <f aca="false">IF(EXACT(G415,H415),1,0)</f>
        <v>1</v>
      </c>
      <c r="J415" s="8" t="n">
        <v>2</v>
      </c>
      <c r="K415" s="8" t="s">
        <v>92</v>
      </c>
      <c r="L415" s="8" t="n">
        <v>0</v>
      </c>
      <c r="M415" s="8" t="n">
        <v>1</v>
      </c>
      <c r="N415" s="8" t="s">
        <v>93</v>
      </c>
      <c r="O415" s="8" t="n">
        <v>1</v>
      </c>
      <c r="P415" s="10" t="n">
        <v>3.64</v>
      </c>
      <c r="Q415" s="8"/>
      <c r="R415" s="8"/>
      <c r="S415" s="8" t="s">
        <v>110</v>
      </c>
      <c r="T415" s="8" t="s">
        <v>536</v>
      </c>
      <c r="U415" s="8" t="s">
        <v>537</v>
      </c>
      <c r="V415" s="8"/>
      <c r="W415" s="8" t="s">
        <v>538</v>
      </c>
      <c r="X415" s="8" t="s">
        <v>539</v>
      </c>
      <c r="Y415" s="8" t="s">
        <v>183</v>
      </c>
      <c r="Z415" s="8"/>
    </row>
    <row r="416" customFormat="false" ht="15" hidden="false" customHeight="false" outlineLevel="0" collapsed="false">
      <c r="A416" s="8" t="s">
        <v>540</v>
      </c>
      <c r="B416" s="8" t="s">
        <v>13</v>
      </c>
      <c r="C416" s="8" t="s">
        <v>14</v>
      </c>
      <c r="D416" s="8" t="s">
        <v>91</v>
      </c>
      <c r="E416" s="8" t="s">
        <v>39</v>
      </c>
      <c r="F416" s="8" t="s">
        <v>61</v>
      </c>
      <c r="G416" s="8" t="s">
        <v>31</v>
      </c>
      <c r="H416" s="8" t="s">
        <v>30</v>
      </c>
      <c r="I416" s="8" t="n">
        <f aca="false">IF(EXACT(G416,H416),1,0)</f>
        <v>0</v>
      </c>
      <c r="J416" s="8" t="n">
        <v>0</v>
      </c>
      <c r="K416" s="8" t="s">
        <v>92</v>
      </c>
      <c r="L416" s="8" t="n">
        <v>0</v>
      </c>
      <c r="M416" s="8" t="n">
        <v>1</v>
      </c>
      <c r="N416" s="8" t="s">
        <v>93</v>
      </c>
      <c r="O416" s="8" t="n">
        <v>1</v>
      </c>
      <c r="P416" s="10" t="n">
        <v>3.64</v>
      </c>
      <c r="Q416" s="8"/>
      <c r="R416" s="8"/>
      <c r="S416" s="8" t="s">
        <v>117</v>
      </c>
      <c r="T416" s="8" t="s">
        <v>536</v>
      </c>
      <c r="U416" s="8" t="s">
        <v>537</v>
      </c>
      <c r="V416" s="8"/>
      <c r="W416" s="8" t="s">
        <v>541</v>
      </c>
      <c r="X416" s="8" t="s">
        <v>542</v>
      </c>
      <c r="Y416" s="8" t="s">
        <v>543</v>
      </c>
      <c r="Z416" s="8"/>
    </row>
    <row r="417" customFormat="false" ht="15" hidden="false" customHeight="false" outlineLevel="0" collapsed="false">
      <c r="A417" s="8" t="s">
        <v>540</v>
      </c>
      <c r="B417" s="8" t="s">
        <v>13</v>
      </c>
      <c r="C417" s="8" t="s">
        <v>14</v>
      </c>
      <c r="D417" s="8" t="s">
        <v>91</v>
      </c>
      <c r="E417" s="8" t="s">
        <v>39</v>
      </c>
      <c r="F417" s="8" t="s">
        <v>61</v>
      </c>
      <c r="G417" s="8" t="s">
        <v>31</v>
      </c>
      <c r="H417" s="8" t="s">
        <v>30</v>
      </c>
      <c r="I417" s="8" t="n">
        <f aca="false">IF(EXACT(G417,H417),1,0)</f>
        <v>0</v>
      </c>
      <c r="J417" s="8" t="n">
        <v>1</v>
      </c>
      <c r="K417" s="8" t="s">
        <v>92</v>
      </c>
      <c r="L417" s="8" t="n">
        <v>0</v>
      </c>
      <c r="M417" s="8" t="n">
        <v>1</v>
      </c>
      <c r="N417" s="8" t="s">
        <v>93</v>
      </c>
      <c r="O417" s="8" t="n">
        <v>1</v>
      </c>
      <c r="P417" s="10" t="n">
        <v>3.55</v>
      </c>
      <c r="Q417" s="8"/>
      <c r="R417" s="8"/>
      <c r="S417" s="8" t="s">
        <v>117</v>
      </c>
      <c r="T417" s="8" t="s">
        <v>536</v>
      </c>
      <c r="U417" s="8" t="s">
        <v>537</v>
      </c>
      <c r="V417" s="8"/>
      <c r="W417" s="8" t="s">
        <v>541</v>
      </c>
      <c r="X417" s="8" t="s">
        <v>542</v>
      </c>
      <c r="Y417" s="8" t="s">
        <v>543</v>
      </c>
      <c r="Z417" s="8"/>
    </row>
    <row r="418" customFormat="false" ht="15" hidden="false" customHeight="false" outlineLevel="0" collapsed="false">
      <c r="A418" s="8" t="s">
        <v>540</v>
      </c>
      <c r="B418" s="8" t="s">
        <v>13</v>
      </c>
      <c r="C418" s="8" t="s">
        <v>14</v>
      </c>
      <c r="D418" s="8" t="s">
        <v>91</v>
      </c>
      <c r="E418" s="8" t="s">
        <v>39</v>
      </c>
      <c r="F418" s="8" t="s">
        <v>61</v>
      </c>
      <c r="G418" s="8" t="s">
        <v>31</v>
      </c>
      <c r="H418" s="8" t="s">
        <v>30</v>
      </c>
      <c r="I418" s="8" t="n">
        <f aca="false">IF(EXACT(G418,H418),1,0)</f>
        <v>0</v>
      </c>
      <c r="J418" s="8" t="n">
        <v>2</v>
      </c>
      <c r="K418" s="8" t="s">
        <v>92</v>
      </c>
      <c r="L418" s="8" t="n">
        <v>0</v>
      </c>
      <c r="M418" s="8" t="n">
        <v>1</v>
      </c>
      <c r="N418" s="8" t="s">
        <v>93</v>
      </c>
      <c r="O418" s="8" t="n">
        <v>1</v>
      </c>
      <c r="P418" s="10" t="n">
        <v>3.55</v>
      </c>
      <c r="Q418" s="8"/>
      <c r="R418" s="8"/>
      <c r="S418" s="8" t="s">
        <v>117</v>
      </c>
      <c r="T418" s="8" t="s">
        <v>536</v>
      </c>
      <c r="U418" s="8" t="s">
        <v>537</v>
      </c>
      <c r="V418" s="8"/>
      <c r="W418" s="8" t="s">
        <v>541</v>
      </c>
      <c r="X418" s="8" t="s">
        <v>542</v>
      </c>
      <c r="Y418" s="8" t="s">
        <v>543</v>
      </c>
      <c r="Z418" s="8"/>
    </row>
    <row r="419" customFormat="false" ht="15" hidden="false" customHeight="false" outlineLevel="0" collapsed="false">
      <c r="A419" s="8" t="s">
        <v>544</v>
      </c>
      <c r="B419" s="8" t="s">
        <v>13</v>
      </c>
      <c r="C419" s="8" t="s">
        <v>14</v>
      </c>
      <c r="D419" s="8" t="s">
        <v>91</v>
      </c>
      <c r="E419" s="8" t="s">
        <v>39</v>
      </c>
      <c r="F419" s="8" t="s">
        <v>61</v>
      </c>
      <c r="G419" s="8" t="s">
        <v>31</v>
      </c>
      <c r="H419" s="8" t="s">
        <v>30</v>
      </c>
      <c r="I419" s="8" t="n">
        <f aca="false">IF(EXACT(G419,H419),1,0)</f>
        <v>0</v>
      </c>
      <c r="J419" s="8" t="n">
        <v>0</v>
      </c>
      <c r="K419" s="8" t="s">
        <v>92</v>
      </c>
      <c r="L419" s="8" t="n">
        <v>0</v>
      </c>
      <c r="M419" s="8" t="n">
        <v>1</v>
      </c>
      <c r="N419" s="8" t="s">
        <v>93</v>
      </c>
      <c r="O419" s="8" t="n">
        <v>1</v>
      </c>
      <c r="P419" s="10" t="n">
        <v>3.6</v>
      </c>
      <c r="Q419" s="8"/>
      <c r="R419" s="8"/>
      <c r="S419" s="8" t="s">
        <v>255</v>
      </c>
      <c r="T419" s="8" t="s">
        <v>536</v>
      </c>
      <c r="U419" s="8" t="s">
        <v>537</v>
      </c>
      <c r="V419" s="8"/>
      <c r="W419" s="8" t="s">
        <v>545</v>
      </c>
      <c r="X419" s="8" t="s">
        <v>546</v>
      </c>
      <c r="Y419" s="8" t="s">
        <v>183</v>
      </c>
      <c r="Z419" s="8"/>
    </row>
    <row r="420" customFormat="false" ht="15" hidden="false" customHeight="false" outlineLevel="0" collapsed="false">
      <c r="A420" s="8" t="s">
        <v>544</v>
      </c>
      <c r="B420" s="8" t="s">
        <v>13</v>
      </c>
      <c r="C420" s="8" t="s">
        <v>14</v>
      </c>
      <c r="D420" s="8" t="s">
        <v>91</v>
      </c>
      <c r="E420" s="8" t="s">
        <v>39</v>
      </c>
      <c r="F420" s="8" t="s">
        <v>61</v>
      </c>
      <c r="G420" s="8" t="s">
        <v>31</v>
      </c>
      <c r="H420" s="8" t="s">
        <v>30</v>
      </c>
      <c r="I420" s="8" t="n">
        <f aca="false">IF(EXACT(G420,H420),1,0)</f>
        <v>0</v>
      </c>
      <c r="J420" s="8" t="n">
        <v>1</v>
      </c>
      <c r="K420" s="8" t="s">
        <v>92</v>
      </c>
      <c r="L420" s="8" t="n">
        <v>0</v>
      </c>
      <c r="M420" s="8" t="n">
        <v>1</v>
      </c>
      <c r="N420" s="8" t="s">
        <v>93</v>
      </c>
      <c r="O420" s="8" t="n">
        <v>1</v>
      </c>
      <c r="P420" s="10" t="n">
        <v>3.59</v>
      </c>
      <c r="Q420" s="8"/>
      <c r="R420" s="8"/>
      <c r="S420" s="8" t="s">
        <v>255</v>
      </c>
      <c r="T420" s="8" t="s">
        <v>536</v>
      </c>
      <c r="U420" s="8" t="s">
        <v>537</v>
      </c>
      <c r="V420" s="8"/>
      <c r="W420" s="8" t="s">
        <v>545</v>
      </c>
      <c r="X420" s="8" t="s">
        <v>546</v>
      </c>
      <c r="Y420" s="8" t="s">
        <v>183</v>
      </c>
      <c r="Z420" s="8"/>
    </row>
    <row r="421" customFormat="false" ht="15" hidden="false" customHeight="false" outlineLevel="0" collapsed="false">
      <c r="A421" s="8" t="s">
        <v>544</v>
      </c>
      <c r="B421" s="8" t="s">
        <v>13</v>
      </c>
      <c r="C421" s="8" t="s">
        <v>14</v>
      </c>
      <c r="D421" s="8" t="s">
        <v>91</v>
      </c>
      <c r="E421" s="8" t="s">
        <v>39</v>
      </c>
      <c r="F421" s="8" t="s">
        <v>61</v>
      </c>
      <c r="G421" s="8" t="s">
        <v>31</v>
      </c>
      <c r="H421" s="8" t="s">
        <v>30</v>
      </c>
      <c r="I421" s="8" t="n">
        <f aca="false">IF(EXACT(G421,H421),1,0)</f>
        <v>0</v>
      </c>
      <c r="J421" s="8" t="n">
        <v>2</v>
      </c>
      <c r="K421" s="8" t="s">
        <v>92</v>
      </c>
      <c r="L421" s="8" t="n">
        <v>0</v>
      </c>
      <c r="M421" s="8" t="n">
        <v>1</v>
      </c>
      <c r="N421" s="8" t="s">
        <v>93</v>
      </c>
      <c r="O421" s="8" t="n">
        <v>1</v>
      </c>
      <c r="P421" s="10" t="n">
        <v>3.62</v>
      </c>
      <c r="Q421" s="8"/>
      <c r="R421" s="8"/>
      <c r="S421" s="8" t="s">
        <v>255</v>
      </c>
      <c r="T421" s="8" t="s">
        <v>536</v>
      </c>
      <c r="U421" s="8" t="s">
        <v>537</v>
      </c>
      <c r="V421" s="8"/>
      <c r="W421" s="8" t="s">
        <v>545</v>
      </c>
      <c r="X421" s="8" t="s">
        <v>546</v>
      </c>
      <c r="Y421" s="8" t="s">
        <v>183</v>
      </c>
      <c r="Z421" s="8"/>
    </row>
    <row r="422" customFormat="false" ht="15" hidden="false" customHeight="false" outlineLevel="0" collapsed="false">
      <c r="A422" s="8" t="s">
        <v>547</v>
      </c>
      <c r="B422" s="8" t="s">
        <v>13</v>
      </c>
      <c r="C422" s="8" t="s">
        <v>14</v>
      </c>
      <c r="D422" s="8" t="s">
        <v>91</v>
      </c>
      <c r="E422" s="8" t="s">
        <v>39</v>
      </c>
      <c r="F422" s="8" t="s">
        <v>61</v>
      </c>
      <c r="G422" s="8" t="s">
        <v>32</v>
      </c>
      <c r="H422" s="8" t="s">
        <v>30</v>
      </c>
      <c r="I422" s="8" t="n">
        <f aca="false">IF(EXACT(G422,H422),1,0)</f>
        <v>0</v>
      </c>
      <c r="J422" s="8" t="n">
        <v>0</v>
      </c>
      <c r="K422" s="8" t="s">
        <v>92</v>
      </c>
      <c r="L422" s="8" t="n">
        <v>0</v>
      </c>
      <c r="M422" s="8" t="n">
        <v>1</v>
      </c>
      <c r="N422" s="8" t="s">
        <v>93</v>
      </c>
      <c r="O422" s="8" t="n">
        <v>1</v>
      </c>
      <c r="P422" s="10" t="n">
        <v>3.59</v>
      </c>
      <c r="Q422" s="8"/>
      <c r="R422" s="8"/>
      <c r="S422" s="8" t="s">
        <v>132</v>
      </c>
      <c r="T422" s="8" t="s">
        <v>536</v>
      </c>
      <c r="U422" s="8" t="s">
        <v>537</v>
      </c>
      <c r="V422" s="8"/>
      <c r="W422" s="8" t="s">
        <v>548</v>
      </c>
      <c r="X422" s="8" t="s">
        <v>549</v>
      </c>
      <c r="Y422" s="8" t="s">
        <v>108</v>
      </c>
      <c r="Z422" s="8"/>
    </row>
    <row r="423" customFormat="false" ht="15" hidden="false" customHeight="false" outlineLevel="0" collapsed="false">
      <c r="A423" s="8" t="s">
        <v>547</v>
      </c>
      <c r="B423" s="8" t="s">
        <v>13</v>
      </c>
      <c r="C423" s="8" t="s">
        <v>14</v>
      </c>
      <c r="D423" s="8" t="s">
        <v>91</v>
      </c>
      <c r="E423" s="8" t="s">
        <v>39</v>
      </c>
      <c r="F423" s="8" t="s">
        <v>61</v>
      </c>
      <c r="G423" s="8" t="s">
        <v>32</v>
      </c>
      <c r="H423" s="8" t="s">
        <v>30</v>
      </c>
      <c r="I423" s="8" t="n">
        <f aca="false">IF(EXACT(G423,H423),1,0)</f>
        <v>0</v>
      </c>
      <c r="J423" s="8" t="n">
        <v>1</v>
      </c>
      <c r="K423" s="8" t="s">
        <v>92</v>
      </c>
      <c r="L423" s="8" t="n">
        <v>0</v>
      </c>
      <c r="M423" s="8" t="n">
        <v>1</v>
      </c>
      <c r="N423" s="8" t="s">
        <v>93</v>
      </c>
      <c r="O423" s="8" t="n">
        <v>1</v>
      </c>
      <c r="P423" s="10" t="n">
        <v>3.59</v>
      </c>
      <c r="Q423" s="8"/>
      <c r="R423" s="8"/>
      <c r="S423" s="8" t="s">
        <v>132</v>
      </c>
      <c r="T423" s="8" t="s">
        <v>536</v>
      </c>
      <c r="U423" s="8" t="s">
        <v>537</v>
      </c>
      <c r="V423" s="8"/>
      <c r="W423" s="8" t="s">
        <v>548</v>
      </c>
      <c r="X423" s="8" t="s">
        <v>549</v>
      </c>
      <c r="Y423" s="8" t="s">
        <v>108</v>
      </c>
      <c r="Z423" s="8"/>
    </row>
    <row r="424" customFormat="false" ht="15" hidden="false" customHeight="false" outlineLevel="0" collapsed="false">
      <c r="A424" s="8" t="s">
        <v>547</v>
      </c>
      <c r="B424" s="8" t="s">
        <v>13</v>
      </c>
      <c r="C424" s="8" t="s">
        <v>14</v>
      </c>
      <c r="D424" s="8" t="s">
        <v>91</v>
      </c>
      <c r="E424" s="8" t="s">
        <v>39</v>
      </c>
      <c r="F424" s="8" t="s">
        <v>61</v>
      </c>
      <c r="G424" s="8" t="s">
        <v>32</v>
      </c>
      <c r="H424" s="8" t="s">
        <v>30</v>
      </c>
      <c r="I424" s="8" t="n">
        <f aca="false">IF(EXACT(G424,H424),1,0)</f>
        <v>0</v>
      </c>
      <c r="J424" s="8" t="n">
        <v>2</v>
      </c>
      <c r="K424" s="8" t="s">
        <v>92</v>
      </c>
      <c r="L424" s="8" t="n">
        <v>0</v>
      </c>
      <c r="M424" s="8" t="n">
        <v>1</v>
      </c>
      <c r="N424" s="8" t="s">
        <v>93</v>
      </c>
      <c r="O424" s="8" t="n">
        <v>1</v>
      </c>
      <c r="P424" s="10" t="n">
        <v>3.58</v>
      </c>
      <c r="Q424" s="8"/>
      <c r="R424" s="8"/>
      <c r="S424" s="8" t="s">
        <v>132</v>
      </c>
      <c r="T424" s="8" t="s">
        <v>536</v>
      </c>
      <c r="U424" s="8" t="s">
        <v>537</v>
      </c>
      <c r="V424" s="8"/>
      <c r="W424" s="8" t="s">
        <v>548</v>
      </c>
      <c r="X424" s="8" t="s">
        <v>549</v>
      </c>
      <c r="Y424" s="8" t="s">
        <v>108</v>
      </c>
      <c r="Z424" s="8"/>
    </row>
    <row r="425" customFormat="false" ht="15" hidden="false" customHeight="false" outlineLevel="0" collapsed="false">
      <c r="A425" s="8" t="s">
        <v>550</v>
      </c>
      <c r="B425" s="8" t="s">
        <v>13</v>
      </c>
      <c r="C425" s="8" t="s">
        <v>14</v>
      </c>
      <c r="D425" s="8" t="s">
        <v>91</v>
      </c>
      <c r="E425" s="8" t="s">
        <v>39</v>
      </c>
      <c r="F425" s="8" t="s">
        <v>61</v>
      </c>
      <c r="G425" s="8" t="s">
        <v>30</v>
      </c>
      <c r="H425" s="8" t="s">
        <v>30</v>
      </c>
      <c r="I425" s="8" t="n">
        <f aca="false">IF(EXACT(G425,H425),1,0)</f>
        <v>1</v>
      </c>
      <c r="J425" s="8" t="n">
        <v>0</v>
      </c>
      <c r="K425" s="8" t="s">
        <v>92</v>
      </c>
      <c r="L425" s="8" t="n">
        <v>0</v>
      </c>
      <c r="M425" s="8" t="n">
        <v>1</v>
      </c>
      <c r="N425" s="8" t="s">
        <v>93</v>
      </c>
      <c r="O425" s="8" t="n">
        <v>1</v>
      </c>
      <c r="P425" s="10" t="n">
        <v>3.59</v>
      </c>
      <c r="Q425" s="8"/>
      <c r="R425" s="8"/>
      <c r="S425" s="8" t="s">
        <v>150</v>
      </c>
      <c r="T425" s="8" t="s">
        <v>536</v>
      </c>
      <c r="U425" s="8" t="s">
        <v>537</v>
      </c>
      <c r="V425" s="8"/>
      <c r="W425" s="8" t="s">
        <v>551</v>
      </c>
      <c r="X425" s="8" t="s">
        <v>552</v>
      </c>
      <c r="Y425" s="8" t="s">
        <v>183</v>
      </c>
      <c r="Z425" s="8"/>
    </row>
    <row r="426" customFormat="false" ht="15" hidden="false" customHeight="false" outlineLevel="0" collapsed="false">
      <c r="A426" s="8" t="s">
        <v>550</v>
      </c>
      <c r="B426" s="8" t="s">
        <v>13</v>
      </c>
      <c r="C426" s="8" t="s">
        <v>14</v>
      </c>
      <c r="D426" s="8" t="s">
        <v>91</v>
      </c>
      <c r="E426" s="8" t="s">
        <v>39</v>
      </c>
      <c r="F426" s="8" t="s">
        <v>61</v>
      </c>
      <c r="G426" s="8" t="s">
        <v>30</v>
      </c>
      <c r="H426" s="8" t="s">
        <v>30</v>
      </c>
      <c r="I426" s="8" t="n">
        <f aca="false">IF(EXACT(G426,H426),1,0)</f>
        <v>1</v>
      </c>
      <c r="J426" s="8" t="n">
        <v>1</v>
      </c>
      <c r="K426" s="8" t="s">
        <v>92</v>
      </c>
      <c r="L426" s="8" t="n">
        <v>0</v>
      </c>
      <c r="M426" s="8" t="n">
        <v>1</v>
      </c>
      <c r="N426" s="8" t="s">
        <v>93</v>
      </c>
      <c r="O426" s="8" t="n">
        <v>1</v>
      </c>
      <c r="P426" s="10" t="n">
        <v>3.62</v>
      </c>
      <c r="Q426" s="8"/>
      <c r="R426" s="8"/>
      <c r="S426" s="8" t="s">
        <v>150</v>
      </c>
      <c r="T426" s="8" t="s">
        <v>536</v>
      </c>
      <c r="U426" s="8" t="s">
        <v>537</v>
      </c>
      <c r="V426" s="8"/>
      <c r="W426" s="8" t="s">
        <v>551</v>
      </c>
      <c r="X426" s="8" t="s">
        <v>552</v>
      </c>
      <c r="Y426" s="8" t="s">
        <v>183</v>
      </c>
      <c r="Z426" s="8"/>
    </row>
    <row r="427" customFormat="false" ht="15" hidden="false" customHeight="false" outlineLevel="0" collapsed="false">
      <c r="A427" s="8" t="s">
        <v>550</v>
      </c>
      <c r="B427" s="8" t="s">
        <v>13</v>
      </c>
      <c r="C427" s="8" t="s">
        <v>14</v>
      </c>
      <c r="D427" s="8" t="s">
        <v>91</v>
      </c>
      <c r="E427" s="8" t="s">
        <v>39</v>
      </c>
      <c r="F427" s="8" t="s">
        <v>61</v>
      </c>
      <c r="G427" s="8" t="s">
        <v>30</v>
      </c>
      <c r="H427" s="8" t="s">
        <v>30</v>
      </c>
      <c r="I427" s="8" t="n">
        <f aca="false">IF(EXACT(G427,H427),1,0)</f>
        <v>1</v>
      </c>
      <c r="J427" s="8" t="n">
        <v>2</v>
      </c>
      <c r="K427" s="8" t="s">
        <v>92</v>
      </c>
      <c r="L427" s="8" t="n">
        <v>0</v>
      </c>
      <c r="M427" s="8" t="n">
        <v>1</v>
      </c>
      <c r="N427" s="8" t="s">
        <v>93</v>
      </c>
      <c r="O427" s="8" t="n">
        <v>1</v>
      </c>
      <c r="P427" s="10" t="n">
        <v>3.78</v>
      </c>
      <c r="Q427" s="8"/>
      <c r="R427" s="8"/>
      <c r="S427" s="8" t="s">
        <v>150</v>
      </c>
      <c r="T427" s="8" t="s">
        <v>536</v>
      </c>
      <c r="U427" s="8" t="s">
        <v>537</v>
      </c>
      <c r="V427" s="8"/>
      <c r="W427" s="8" t="s">
        <v>551</v>
      </c>
      <c r="X427" s="8" t="s">
        <v>552</v>
      </c>
      <c r="Y427" s="8" t="s">
        <v>183</v>
      </c>
      <c r="Z427" s="8"/>
    </row>
    <row r="428" customFormat="false" ht="15" hidden="false" customHeight="false" outlineLevel="0" collapsed="false">
      <c r="A428" s="8" t="s">
        <v>553</v>
      </c>
      <c r="B428" s="8" t="s">
        <v>13</v>
      </c>
      <c r="C428" s="8" t="s">
        <v>14</v>
      </c>
      <c r="D428" s="8" t="s">
        <v>91</v>
      </c>
      <c r="E428" s="8" t="s">
        <v>39</v>
      </c>
      <c r="F428" s="8" t="s">
        <v>61</v>
      </c>
      <c r="G428" s="8" t="s">
        <v>32</v>
      </c>
      <c r="H428" s="8" t="s">
        <v>30</v>
      </c>
      <c r="I428" s="8" t="n">
        <f aca="false">IF(EXACT(G428,H428),1,0)</f>
        <v>0</v>
      </c>
      <c r="J428" s="8" t="n">
        <v>0</v>
      </c>
      <c r="K428" s="8" t="s">
        <v>92</v>
      </c>
      <c r="L428" s="8" t="n">
        <v>0</v>
      </c>
      <c r="M428" s="8" t="n">
        <v>1</v>
      </c>
      <c r="N428" s="8" t="s">
        <v>93</v>
      </c>
      <c r="O428" s="8" t="n">
        <v>1</v>
      </c>
      <c r="P428" s="10" t="n">
        <v>3.59</v>
      </c>
      <c r="Q428" s="8"/>
      <c r="R428" s="8"/>
      <c r="S428" s="8" t="s">
        <v>554</v>
      </c>
      <c r="T428" s="8"/>
      <c r="U428" s="8"/>
      <c r="V428" s="8" t="s">
        <v>155</v>
      </c>
      <c r="W428" s="8"/>
      <c r="X428" s="8" t="s">
        <v>555</v>
      </c>
      <c r="Y428" s="8" t="s">
        <v>161</v>
      </c>
      <c r="Z428" s="8"/>
    </row>
    <row r="429" customFormat="false" ht="15" hidden="false" customHeight="false" outlineLevel="0" collapsed="false">
      <c r="A429" s="8" t="s">
        <v>553</v>
      </c>
      <c r="B429" s="8" t="s">
        <v>13</v>
      </c>
      <c r="C429" s="8" t="s">
        <v>14</v>
      </c>
      <c r="D429" s="8" t="s">
        <v>91</v>
      </c>
      <c r="E429" s="8" t="s">
        <v>39</v>
      </c>
      <c r="F429" s="8" t="s">
        <v>61</v>
      </c>
      <c r="G429" s="8" t="s">
        <v>32</v>
      </c>
      <c r="H429" s="8" t="s">
        <v>30</v>
      </c>
      <c r="I429" s="8" t="n">
        <f aca="false">IF(EXACT(G429,H429),1,0)</f>
        <v>0</v>
      </c>
      <c r="J429" s="8" t="n">
        <v>1</v>
      </c>
      <c r="K429" s="8" t="s">
        <v>92</v>
      </c>
      <c r="L429" s="8" t="n">
        <v>0</v>
      </c>
      <c r="M429" s="8" t="n">
        <v>1</v>
      </c>
      <c r="N429" s="8" t="s">
        <v>93</v>
      </c>
      <c r="O429" s="8" t="n">
        <v>1</v>
      </c>
      <c r="P429" s="10" t="n">
        <v>3.61</v>
      </c>
      <c r="Q429" s="8"/>
      <c r="R429" s="8"/>
      <c r="S429" s="8" t="s">
        <v>554</v>
      </c>
      <c r="T429" s="8"/>
      <c r="U429" s="8"/>
      <c r="V429" s="8" t="s">
        <v>155</v>
      </c>
      <c r="W429" s="8"/>
      <c r="X429" s="8" t="s">
        <v>555</v>
      </c>
      <c r="Y429" s="8" t="s">
        <v>161</v>
      </c>
      <c r="Z429" s="8"/>
    </row>
    <row r="430" customFormat="false" ht="15" hidden="false" customHeight="false" outlineLevel="0" collapsed="false">
      <c r="A430" s="8" t="s">
        <v>553</v>
      </c>
      <c r="B430" s="8" t="s">
        <v>13</v>
      </c>
      <c r="C430" s="8" t="s">
        <v>14</v>
      </c>
      <c r="D430" s="8" t="s">
        <v>91</v>
      </c>
      <c r="E430" s="8" t="s">
        <v>39</v>
      </c>
      <c r="F430" s="8" t="s">
        <v>61</v>
      </c>
      <c r="G430" s="8" t="s">
        <v>32</v>
      </c>
      <c r="H430" s="8" t="s">
        <v>30</v>
      </c>
      <c r="I430" s="8" t="n">
        <f aca="false">IF(EXACT(G430,H430),1,0)</f>
        <v>0</v>
      </c>
      <c r="J430" s="8" t="n">
        <v>2</v>
      </c>
      <c r="K430" s="8" t="s">
        <v>92</v>
      </c>
      <c r="L430" s="8" t="n">
        <v>0</v>
      </c>
      <c r="M430" s="8" t="n">
        <v>1</v>
      </c>
      <c r="N430" s="8" t="s">
        <v>93</v>
      </c>
      <c r="O430" s="8" t="n">
        <v>1</v>
      </c>
      <c r="P430" s="10" t="n">
        <v>3.62</v>
      </c>
      <c r="Q430" s="8"/>
      <c r="R430" s="8"/>
      <c r="S430" s="8" t="s">
        <v>554</v>
      </c>
      <c r="T430" s="8"/>
      <c r="U430" s="8"/>
      <c r="V430" s="8" t="s">
        <v>155</v>
      </c>
      <c r="W430" s="8"/>
      <c r="X430" s="8" t="s">
        <v>555</v>
      </c>
      <c r="Y430" s="8" t="s">
        <v>161</v>
      </c>
      <c r="Z430" s="8"/>
    </row>
    <row r="431" customFormat="false" ht="15" hidden="false" customHeight="false" outlineLevel="0" collapsed="false">
      <c r="A431" s="8" t="s">
        <v>556</v>
      </c>
      <c r="B431" s="8" t="s">
        <v>13</v>
      </c>
      <c r="C431" s="8" t="s">
        <v>14</v>
      </c>
      <c r="D431" s="8" t="s">
        <v>91</v>
      </c>
      <c r="E431" s="8" t="s">
        <v>39</v>
      </c>
      <c r="F431" s="8" t="s">
        <v>62</v>
      </c>
      <c r="G431" s="8" t="s">
        <v>30</v>
      </c>
      <c r="H431" s="8" t="s">
        <v>30</v>
      </c>
      <c r="I431" s="8" t="n">
        <f aca="false">IF(EXACT(G431,H431),1,0)</f>
        <v>1</v>
      </c>
      <c r="J431" s="8" t="n">
        <v>0</v>
      </c>
      <c r="K431" s="8" t="s">
        <v>92</v>
      </c>
      <c r="L431" s="8" t="n">
        <v>0</v>
      </c>
      <c r="M431" s="8" t="n">
        <v>1</v>
      </c>
      <c r="N431" s="8" t="s">
        <v>93</v>
      </c>
      <c r="O431" s="8" t="n">
        <v>1</v>
      </c>
      <c r="P431" s="10" t="n">
        <v>3.57</v>
      </c>
      <c r="Q431" s="8"/>
      <c r="R431" s="8"/>
      <c r="S431" s="8" t="s">
        <v>557</v>
      </c>
      <c r="T431" s="8"/>
      <c r="U431" s="8"/>
      <c r="V431" s="8" t="s">
        <v>309</v>
      </c>
      <c r="W431" s="8"/>
      <c r="X431" s="8" t="s">
        <v>558</v>
      </c>
      <c r="Y431" s="8" t="s">
        <v>190</v>
      </c>
      <c r="Z431" s="8"/>
    </row>
    <row r="432" customFormat="false" ht="15" hidden="false" customHeight="false" outlineLevel="0" collapsed="false">
      <c r="A432" s="8" t="s">
        <v>556</v>
      </c>
      <c r="B432" s="8" t="s">
        <v>13</v>
      </c>
      <c r="C432" s="8" t="s">
        <v>14</v>
      </c>
      <c r="D432" s="8" t="s">
        <v>91</v>
      </c>
      <c r="E432" s="8" t="s">
        <v>39</v>
      </c>
      <c r="F432" s="8" t="s">
        <v>62</v>
      </c>
      <c r="G432" s="8" t="s">
        <v>30</v>
      </c>
      <c r="H432" s="8" t="s">
        <v>30</v>
      </c>
      <c r="I432" s="8" t="n">
        <f aca="false">IF(EXACT(G432,H432),1,0)</f>
        <v>1</v>
      </c>
      <c r="J432" s="8" t="n">
        <v>1</v>
      </c>
      <c r="K432" s="8" t="s">
        <v>92</v>
      </c>
      <c r="L432" s="8" t="n">
        <v>0</v>
      </c>
      <c r="M432" s="8" t="n">
        <v>1</v>
      </c>
      <c r="N432" s="8" t="s">
        <v>93</v>
      </c>
      <c r="O432" s="8" t="n">
        <v>1</v>
      </c>
      <c r="P432" s="10" t="n">
        <v>3.58</v>
      </c>
      <c r="Q432" s="8"/>
      <c r="R432" s="8"/>
      <c r="S432" s="8" t="s">
        <v>557</v>
      </c>
      <c r="T432" s="8"/>
      <c r="U432" s="8"/>
      <c r="V432" s="8" t="s">
        <v>309</v>
      </c>
      <c r="W432" s="8"/>
      <c r="X432" s="8" t="s">
        <v>558</v>
      </c>
      <c r="Y432" s="8" t="s">
        <v>190</v>
      </c>
      <c r="Z432" s="8"/>
    </row>
    <row r="433" customFormat="false" ht="15" hidden="false" customHeight="false" outlineLevel="0" collapsed="false">
      <c r="A433" s="8" t="s">
        <v>556</v>
      </c>
      <c r="B433" s="8" t="s">
        <v>13</v>
      </c>
      <c r="C433" s="8" t="s">
        <v>14</v>
      </c>
      <c r="D433" s="8" t="s">
        <v>91</v>
      </c>
      <c r="E433" s="8" t="s">
        <v>39</v>
      </c>
      <c r="F433" s="8" t="s">
        <v>62</v>
      </c>
      <c r="G433" s="8" t="s">
        <v>30</v>
      </c>
      <c r="H433" s="8" t="s">
        <v>30</v>
      </c>
      <c r="I433" s="8" t="n">
        <f aca="false">IF(EXACT(G433,H433),1,0)</f>
        <v>1</v>
      </c>
      <c r="J433" s="8" t="n">
        <v>2</v>
      </c>
      <c r="K433" s="8" t="s">
        <v>92</v>
      </c>
      <c r="L433" s="8" t="n">
        <v>0</v>
      </c>
      <c r="M433" s="8" t="n">
        <v>1</v>
      </c>
      <c r="N433" s="8" t="s">
        <v>93</v>
      </c>
      <c r="O433" s="8" t="n">
        <v>1</v>
      </c>
      <c r="P433" s="10" t="n">
        <v>3.55</v>
      </c>
      <c r="Q433" s="8"/>
      <c r="R433" s="8"/>
      <c r="S433" s="8" t="s">
        <v>557</v>
      </c>
      <c r="T433" s="8"/>
      <c r="U433" s="8"/>
      <c r="V433" s="8" t="s">
        <v>309</v>
      </c>
      <c r="W433" s="8"/>
      <c r="X433" s="8" t="s">
        <v>558</v>
      </c>
      <c r="Y433" s="8" t="s">
        <v>190</v>
      </c>
      <c r="Z433" s="8"/>
    </row>
    <row r="434" customFormat="false" ht="15" hidden="false" customHeight="false" outlineLevel="0" collapsed="false">
      <c r="A434" s="8" t="s">
        <v>559</v>
      </c>
      <c r="B434" s="8" t="s">
        <v>13</v>
      </c>
      <c r="C434" s="8" t="s">
        <v>14</v>
      </c>
      <c r="D434" s="8" t="s">
        <v>91</v>
      </c>
      <c r="E434" s="8" t="s">
        <v>39</v>
      </c>
      <c r="F434" s="8" t="s">
        <v>62</v>
      </c>
      <c r="G434" s="8" t="s">
        <v>30</v>
      </c>
      <c r="H434" s="8" t="s">
        <v>30</v>
      </c>
      <c r="I434" s="8" t="n">
        <f aca="false">IF(EXACT(G434,H434),1,0)</f>
        <v>1</v>
      </c>
      <c r="J434" s="8" t="n">
        <v>0</v>
      </c>
      <c r="K434" s="8" t="s">
        <v>92</v>
      </c>
      <c r="L434" s="8" t="n">
        <v>0</v>
      </c>
      <c r="M434" s="8" t="n">
        <v>1</v>
      </c>
      <c r="N434" s="8" t="s">
        <v>93</v>
      </c>
      <c r="O434" s="8" t="n">
        <v>1</v>
      </c>
      <c r="P434" s="10" t="n">
        <v>3.61</v>
      </c>
      <c r="Q434" s="8"/>
      <c r="R434" s="8"/>
      <c r="S434" s="8" t="s">
        <v>557</v>
      </c>
      <c r="T434" s="8"/>
      <c r="U434" s="8"/>
      <c r="V434" s="8" t="s">
        <v>309</v>
      </c>
      <c r="W434" s="8"/>
      <c r="X434" s="8" t="s">
        <v>560</v>
      </c>
      <c r="Y434" s="8" t="s">
        <v>190</v>
      </c>
      <c r="Z434" s="8"/>
    </row>
    <row r="435" customFormat="false" ht="15" hidden="false" customHeight="false" outlineLevel="0" collapsed="false">
      <c r="A435" s="8" t="s">
        <v>559</v>
      </c>
      <c r="B435" s="8" t="s">
        <v>13</v>
      </c>
      <c r="C435" s="8" t="s">
        <v>14</v>
      </c>
      <c r="D435" s="8" t="s">
        <v>91</v>
      </c>
      <c r="E435" s="8" t="s">
        <v>39</v>
      </c>
      <c r="F435" s="8" t="s">
        <v>62</v>
      </c>
      <c r="G435" s="8" t="s">
        <v>30</v>
      </c>
      <c r="H435" s="8" t="s">
        <v>30</v>
      </c>
      <c r="I435" s="8" t="n">
        <f aca="false">IF(EXACT(G435,H435),1,0)</f>
        <v>1</v>
      </c>
      <c r="J435" s="8" t="n">
        <v>1</v>
      </c>
      <c r="K435" s="8" t="s">
        <v>92</v>
      </c>
      <c r="L435" s="8" t="n">
        <v>0</v>
      </c>
      <c r="M435" s="8" t="n">
        <v>1</v>
      </c>
      <c r="N435" s="8" t="s">
        <v>93</v>
      </c>
      <c r="O435" s="8" t="n">
        <v>1</v>
      </c>
      <c r="P435" s="10" t="n">
        <v>3.56</v>
      </c>
      <c r="Q435" s="8"/>
      <c r="R435" s="8"/>
      <c r="S435" s="8" t="s">
        <v>557</v>
      </c>
      <c r="T435" s="8"/>
      <c r="U435" s="8"/>
      <c r="V435" s="8" t="s">
        <v>309</v>
      </c>
      <c r="W435" s="8"/>
      <c r="X435" s="8" t="s">
        <v>560</v>
      </c>
      <c r="Y435" s="8" t="s">
        <v>190</v>
      </c>
      <c r="Z435" s="8"/>
    </row>
    <row r="436" customFormat="false" ht="15" hidden="false" customHeight="false" outlineLevel="0" collapsed="false">
      <c r="A436" s="8" t="s">
        <v>559</v>
      </c>
      <c r="B436" s="8" t="s">
        <v>13</v>
      </c>
      <c r="C436" s="8" t="s">
        <v>14</v>
      </c>
      <c r="D436" s="8" t="s">
        <v>91</v>
      </c>
      <c r="E436" s="8" t="s">
        <v>39</v>
      </c>
      <c r="F436" s="8" t="s">
        <v>62</v>
      </c>
      <c r="G436" s="8" t="s">
        <v>30</v>
      </c>
      <c r="H436" s="8" t="s">
        <v>30</v>
      </c>
      <c r="I436" s="8" t="n">
        <f aca="false">IF(EXACT(G436,H436),1,0)</f>
        <v>1</v>
      </c>
      <c r="J436" s="8" t="n">
        <v>2</v>
      </c>
      <c r="K436" s="8" t="s">
        <v>92</v>
      </c>
      <c r="L436" s="8" t="n">
        <v>0</v>
      </c>
      <c r="M436" s="8" t="n">
        <v>1</v>
      </c>
      <c r="N436" s="8" t="s">
        <v>93</v>
      </c>
      <c r="O436" s="8" t="n">
        <v>1</v>
      </c>
      <c r="P436" s="10" t="n">
        <v>3.7</v>
      </c>
      <c r="Q436" s="8"/>
      <c r="R436" s="8"/>
      <c r="S436" s="8" t="s">
        <v>557</v>
      </c>
      <c r="T436" s="8"/>
      <c r="U436" s="8"/>
      <c r="V436" s="8" t="s">
        <v>309</v>
      </c>
      <c r="W436" s="8"/>
      <c r="X436" s="8" t="s">
        <v>560</v>
      </c>
      <c r="Y436" s="8" t="s">
        <v>190</v>
      </c>
      <c r="Z436" s="8"/>
    </row>
    <row r="437" customFormat="false" ht="15" hidden="false" customHeight="false" outlineLevel="0" collapsed="false">
      <c r="A437" s="8" t="s">
        <v>561</v>
      </c>
      <c r="B437" s="8" t="s">
        <v>13</v>
      </c>
      <c r="C437" s="8" t="s">
        <v>14</v>
      </c>
      <c r="D437" s="8" t="s">
        <v>91</v>
      </c>
      <c r="E437" s="8" t="s">
        <v>39</v>
      </c>
      <c r="F437" s="8" t="s">
        <v>62</v>
      </c>
      <c r="G437" s="8" t="s">
        <v>31</v>
      </c>
      <c r="H437" s="8" t="s">
        <v>30</v>
      </c>
      <c r="I437" s="8" t="n">
        <f aca="false">IF(EXACT(G437,H437),1,0)</f>
        <v>0</v>
      </c>
      <c r="J437" s="8" t="n">
        <v>0</v>
      </c>
      <c r="K437" s="8" t="s">
        <v>92</v>
      </c>
      <c r="L437" s="8" t="n">
        <v>0</v>
      </c>
      <c r="M437" s="8" t="n">
        <v>1</v>
      </c>
      <c r="N437" s="8" t="s">
        <v>93</v>
      </c>
      <c r="O437" s="8" t="n">
        <v>1</v>
      </c>
      <c r="P437" s="10" t="n">
        <v>3.55</v>
      </c>
      <c r="Q437" s="8"/>
      <c r="R437" s="8"/>
      <c r="S437" s="8" t="s">
        <v>562</v>
      </c>
      <c r="T437" s="8"/>
      <c r="U437" s="8"/>
      <c r="V437" s="8" t="s">
        <v>155</v>
      </c>
      <c r="W437" s="8"/>
      <c r="X437" s="8" t="s">
        <v>563</v>
      </c>
      <c r="Y437" s="8" t="s">
        <v>138</v>
      </c>
      <c r="Z437" s="8"/>
    </row>
    <row r="438" customFormat="false" ht="15" hidden="false" customHeight="false" outlineLevel="0" collapsed="false">
      <c r="A438" s="8" t="s">
        <v>561</v>
      </c>
      <c r="B438" s="8" t="s">
        <v>13</v>
      </c>
      <c r="C438" s="8" t="s">
        <v>14</v>
      </c>
      <c r="D438" s="8" t="s">
        <v>91</v>
      </c>
      <c r="E438" s="8" t="s">
        <v>39</v>
      </c>
      <c r="F438" s="8" t="s">
        <v>62</v>
      </c>
      <c r="G438" s="8" t="s">
        <v>31</v>
      </c>
      <c r="H438" s="8" t="s">
        <v>30</v>
      </c>
      <c r="I438" s="8" t="n">
        <f aca="false">IF(EXACT(G438,H438),1,0)</f>
        <v>0</v>
      </c>
      <c r="J438" s="8" t="n">
        <v>1</v>
      </c>
      <c r="K438" s="8" t="s">
        <v>92</v>
      </c>
      <c r="L438" s="8" t="n">
        <v>0</v>
      </c>
      <c r="M438" s="8" t="n">
        <v>1</v>
      </c>
      <c r="N438" s="8" t="s">
        <v>93</v>
      </c>
      <c r="O438" s="8" t="n">
        <v>1</v>
      </c>
      <c r="P438" s="10" t="n">
        <v>3.59</v>
      </c>
      <c r="Q438" s="8"/>
      <c r="R438" s="8"/>
      <c r="S438" s="8" t="s">
        <v>562</v>
      </c>
      <c r="T438" s="8"/>
      <c r="U438" s="8"/>
      <c r="V438" s="8" t="s">
        <v>155</v>
      </c>
      <c r="W438" s="8"/>
      <c r="X438" s="8" t="s">
        <v>563</v>
      </c>
      <c r="Y438" s="8" t="s">
        <v>138</v>
      </c>
      <c r="Z438" s="8"/>
    </row>
    <row r="439" customFormat="false" ht="15" hidden="false" customHeight="false" outlineLevel="0" collapsed="false">
      <c r="A439" s="8" t="s">
        <v>561</v>
      </c>
      <c r="B439" s="8" t="s">
        <v>13</v>
      </c>
      <c r="C439" s="8" t="s">
        <v>14</v>
      </c>
      <c r="D439" s="8" t="s">
        <v>91</v>
      </c>
      <c r="E439" s="8" t="s">
        <v>39</v>
      </c>
      <c r="F439" s="8" t="s">
        <v>62</v>
      </c>
      <c r="G439" s="8" t="s">
        <v>31</v>
      </c>
      <c r="H439" s="8" t="s">
        <v>30</v>
      </c>
      <c r="I439" s="8" t="n">
        <f aca="false">IF(EXACT(G439,H439),1,0)</f>
        <v>0</v>
      </c>
      <c r="J439" s="8" t="n">
        <v>2</v>
      </c>
      <c r="K439" s="8" t="s">
        <v>92</v>
      </c>
      <c r="L439" s="8" t="n">
        <v>0</v>
      </c>
      <c r="M439" s="8" t="n">
        <v>1</v>
      </c>
      <c r="N439" s="8" t="s">
        <v>93</v>
      </c>
      <c r="O439" s="8" t="n">
        <v>1</v>
      </c>
      <c r="P439" s="10" t="n">
        <v>3.62</v>
      </c>
      <c r="Q439" s="8"/>
      <c r="R439" s="8"/>
      <c r="S439" s="8" t="s">
        <v>562</v>
      </c>
      <c r="T439" s="8"/>
      <c r="U439" s="8"/>
      <c r="V439" s="8" t="s">
        <v>155</v>
      </c>
      <c r="W439" s="8"/>
      <c r="X439" s="8" t="s">
        <v>563</v>
      </c>
      <c r="Y439" s="8" t="s">
        <v>138</v>
      </c>
      <c r="Z439" s="8"/>
    </row>
    <row r="440" customFormat="false" ht="15" hidden="false" customHeight="false" outlineLevel="0" collapsed="false">
      <c r="A440" s="8" t="s">
        <v>564</v>
      </c>
      <c r="B440" s="8" t="s">
        <v>13</v>
      </c>
      <c r="C440" s="8" t="s">
        <v>14</v>
      </c>
      <c r="D440" s="8" t="s">
        <v>91</v>
      </c>
      <c r="E440" s="8" t="s">
        <v>39</v>
      </c>
      <c r="F440" s="8" t="s">
        <v>62</v>
      </c>
      <c r="G440" s="8" t="s">
        <v>31</v>
      </c>
      <c r="H440" s="8" t="s">
        <v>30</v>
      </c>
      <c r="I440" s="8" t="n">
        <f aca="false">IF(EXACT(G440,H440),1,0)</f>
        <v>0</v>
      </c>
      <c r="J440" s="8" t="n">
        <v>0</v>
      </c>
      <c r="K440" s="8" t="s">
        <v>92</v>
      </c>
      <c r="L440" s="8" t="n">
        <v>0</v>
      </c>
      <c r="M440" s="8" t="n">
        <v>1</v>
      </c>
      <c r="N440" s="8" t="s">
        <v>93</v>
      </c>
      <c r="O440" s="8" t="n">
        <v>1</v>
      </c>
      <c r="P440" s="10" t="n">
        <v>3.59</v>
      </c>
      <c r="Q440" s="8"/>
      <c r="R440" s="8"/>
      <c r="S440" s="8" t="s">
        <v>565</v>
      </c>
      <c r="T440" s="8"/>
      <c r="U440" s="8"/>
      <c r="V440" s="8" t="s">
        <v>155</v>
      </c>
      <c r="W440" s="8"/>
      <c r="X440" s="8" t="s">
        <v>566</v>
      </c>
      <c r="Y440" s="8" t="s">
        <v>99</v>
      </c>
      <c r="Z440" s="8"/>
    </row>
    <row r="441" customFormat="false" ht="15" hidden="false" customHeight="false" outlineLevel="0" collapsed="false">
      <c r="A441" s="8" t="s">
        <v>564</v>
      </c>
      <c r="B441" s="8" t="s">
        <v>13</v>
      </c>
      <c r="C441" s="8" t="s">
        <v>14</v>
      </c>
      <c r="D441" s="8" t="s">
        <v>91</v>
      </c>
      <c r="E441" s="8" t="s">
        <v>39</v>
      </c>
      <c r="F441" s="8" t="s">
        <v>62</v>
      </c>
      <c r="G441" s="8" t="s">
        <v>31</v>
      </c>
      <c r="H441" s="8" t="s">
        <v>30</v>
      </c>
      <c r="I441" s="8" t="n">
        <f aca="false">IF(EXACT(G441,H441),1,0)</f>
        <v>0</v>
      </c>
      <c r="J441" s="8" t="n">
        <v>1</v>
      </c>
      <c r="K441" s="8" t="s">
        <v>92</v>
      </c>
      <c r="L441" s="8" t="n">
        <v>0</v>
      </c>
      <c r="M441" s="8" t="n">
        <v>1</v>
      </c>
      <c r="N441" s="8" t="s">
        <v>93</v>
      </c>
      <c r="O441" s="8" t="n">
        <v>1</v>
      </c>
      <c r="P441" s="10" t="n">
        <v>3.6</v>
      </c>
      <c r="Q441" s="8"/>
      <c r="R441" s="8"/>
      <c r="S441" s="8" t="s">
        <v>565</v>
      </c>
      <c r="T441" s="8"/>
      <c r="U441" s="8"/>
      <c r="V441" s="8" t="s">
        <v>155</v>
      </c>
      <c r="W441" s="8"/>
      <c r="X441" s="8" t="s">
        <v>566</v>
      </c>
      <c r="Y441" s="8" t="s">
        <v>99</v>
      </c>
      <c r="Z441" s="8"/>
    </row>
    <row r="442" customFormat="false" ht="15" hidden="false" customHeight="false" outlineLevel="0" collapsed="false">
      <c r="A442" s="8" t="s">
        <v>564</v>
      </c>
      <c r="B442" s="8" t="s">
        <v>13</v>
      </c>
      <c r="C442" s="8" t="s">
        <v>14</v>
      </c>
      <c r="D442" s="8" t="s">
        <v>91</v>
      </c>
      <c r="E442" s="8" t="s">
        <v>39</v>
      </c>
      <c r="F442" s="8" t="s">
        <v>62</v>
      </c>
      <c r="G442" s="8" t="s">
        <v>31</v>
      </c>
      <c r="H442" s="8" t="s">
        <v>30</v>
      </c>
      <c r="I442" s="8" t="n">
        <f aca="false">IF(EXACT(G442,H442),1,0)</f>
        <v>0</v>
      </c>
      <c r="J442" s="8" t="n">
        <v>2</v>
      </c>
      <c r="K442" s="8" t="s">
        <v>92</v>
      </c>
      <c r="L442" s="8" t="n">
        <v>0</v>
      </c>
      <c r="M442" s="8" t="n">
        <v>1</v>
      </c>
      <c r="N442" s="8" t="s">
        <v>93</v>
      </c>
      <c r="O442" s="8" t="n">
        <v>1</v>
      </c>
      <c r="P442" s="10" t="n">
        <v>3.59</v>
      </c>
      <c r="Q442" s="8"/>
      <c r="R442" s="8"/>
      <c r="S442" s="8" t="s">
        <v>565</v>
      </c>
      <c r="T442" s="8"/>
      <c r="U442" s="8"/>
      <c r="V442" s="8" t="s">
        <v>155</v>
      </c>
      <c r="W442" s="8"/>
      <c r="X442" s="8" t="s">
        <v>566</v>
      </c>
      <c r="Y442" s="8" t="s">
        <v>99</v>
      </c>
      <c r="Z442" s="8"/>
    </row>
    <row r="443" customFormat="false" ht="15" hidden="false" customHeight="false" outlineLevel="0" collapsed="false">
      <c r="A443" s="8" t="s">
        <v>567</v>
      </c>
      <c r="B443" s="8" t="s">
        <v>13</v>
      </c>
      <c r="C443" s="8" t="s">
        <v>14</v>
      </c>
      <c r="D443" s="8" t="s">
        <v>91</v>
      </c>
      <c r="E443" s="8" t="s">
        <v>39</v>
      </c>
      <c r="F443" s="8" t="s">
        <v>62</v>
      </c>
      <c r="G443" s="8" t="s">
        <v>32</v>
      </c>
      <c r="H443" s="8" t="s">
        <v>30</v>
      </c>
      <c r="I443" s="8" t="n">
        <f aca="false">IF(EXACT(G443,H443),1,0)</f>
        <v>0</v>
      </c>
      <c r="J443" s="8" t="n">
        <v>0</v>
      </c>
      <c r="K443" s="8" t="s">
        <v>92</v>
      </c>
      <c r="L443" s="8" t="n">
        <v>0</v>
      </c>
      <c r="M443" s="8" t="n">
        <v>1</v>
      </c>
      <c r="N443" s="8" t="s">
        <v>93</v>
      </c>
      <c r="O443" s="8" t="n">
        <v>1</v>
      </c>
      <c r="P443" s="10" t="n">
        <v>3.69</v>
      </c>
      <c r="Q443" s="8"/>
      <c r="R443" s="8"/>
      <c r="S443" s="8" t="s">
        <v>568</v>
      </c>
      <c r="T443" s="8"/>
      <c r="U443" s="8"/>
      <c r="V443" s="8" t="s">
        <v>155</v>
      </c>
      <c r="W443" s="8"/>
      <c r="X443" s="8" t="s">
        <v>569</v>
      </c>
      <c r="Y443" s="8" t="s">
        <v>161</v>
      </c>
      <c r="Z443" s="8"/>
    </row>
    <row r="444" customFormat="false" ht="15" hidden="false" customHeight="false" outlineLevel="0" collapsed="false">
      <c r="A444" s="8" t="s">
        <v>567</v>
      </c>
      <c r="B444" s="8" t="s">
        <v>13</v>
      </c>
      <c r="C444" s="8" t="s">
        <v>14</v>
      </c>
      <c r="D444" s="8" t="s">
        <v>91</v>
      </c>
      <c r="E444" s="8" t="s">
        <v>39</v>
      </c>
      <c r="F444" s="8" t="s">
        <v>62</v>
      </c>
      <c r="G444" s="8" t="s">
        <v>32</v>
      </c>
      <c r="H444" s="8" t="s">
        <v>30</v>
      </c>
      <c r="I444" s="8" t="n">
        <f aca="false">IF(EXACT(G444,H444),1,0)</f>
        <v>0</v>
      </c>
      <c r="J444" s="8" t="n">
        <v>1</v>
      </c>
      <c r="K444" s="8" t="s">
        <v>92</v>
      </c>
      <c r="L444" s="8" t="n">
        <v>0</v>
      </c>
      <c r="M444" s="8" t="n">
        <v>1</v>
      </c>
      <c r="N444" s="8" t="s">
        <v>93</v>
      </c>
      <c r="O444" s="8" t="n">
        <v>1</v>
      </c>
      <c r="P444" s="10" t="n">
        <v>3.64</v>
      </c>
      <c r="Q444" s="8"/>
      <c r="R444" s="8"/>
      <c r="S444" s="8" t="s">
        <v>568</v>
      </c>
      <c r="T444" s="8"/>
      <c r="U444" s="8"/>
      <c r="V444" s="8" t="s">
        <v>155</v>
      </c>
      <c r="W444" s="8"/>
      <c r="X444" s="8" t="s">
        <v>569</v>
      </c>
      <c r="Y444" s="8" t="s">
        <v>161</v>
      </c>
      <c r="Z444" s="8"/>
    </row>
    <row r="445" customFormat="false" ht="15" hidden="false" customHeight="false" outlineLevel="0" collapsed="false">
      <c r="A445" s="8" t="s">
        <v>567</v>
      </c>
      <c r="B445" s="8" t="s">
        <v>13</v>
      </c>
      <c r="C445" s="8" t="s">
        <v>14</v>
      </c>
      <c r="D445" s="8" t="s">
        <v>91</v>
      </c>
      <c r="E445" s="8" t="s">
        <v>39</v>
      </c>
      <c r="F445" s="8" t="s">
        <v>62</v>
      </c>
      <c r="G445" s="8" t="s">
        <v>32</v>
      </c>
      <c r="H445" s="8" t="s">
        <v>30</v>
      </c>
      <c r="I445" s="8" t="n">
        <f aca="false">IF(EXACT(G445,H445),1,0)</f>
        <v>0</v>
      </c>
      <c r="J445" s="8" t="n">
        <v>2</v>
      </c>
      <c r="K445" s="8" t="s">
        <v>92</v>
      </c>
      <c r="L445" s="8" t="n">
        <v>0</v>
      </c>
      <c r="M445" s="8" t="n">
        <v>1</v>
      </c>
      <c r="N445" s="8" t="s">
        <v>93</v>
      </c>
      <c r="O445" s="8" t="n">
        <v>1</v>
      </c>
      <c r="P445" s="10" t="n">
        <v>3.61</v>
      </c>
      <c r="Q445" s="8"/>
      <c r="R445" s="8"/>
      <c r="S445" s="8" t="s">
        <v>568</v>
      </c>
      <c r="T445" s="8"/>
      <c r="U445" s="8"/>
      <c r="V445" s="8" t="s">
        <v>155</v>
      </c>
      <c r="W445" s="8"/>
      <c r="X445" s="8" t="s">
        <v>569</v>
      </c>
      <c r="Y445" s="8" t="s">
        <v>161</v>
      </c>
      <c r="Z445" s="8"/>
    </row>
    <row r="446" customFormat="false" ht="15" hidden="false" customHeight="false" outlineLevel="0" collapsed="false">
      <c r="A446" s="8" t="s">
        <v>570</v>
      </c>
      <c r="B446" s="8" t="s">
        <v>13</v>
      </c>
      <c r="C446" s="8" t="s">
        <v>14</v>
      </c>
      <c r="D446" s="8" t="s">
        <v>91</v>
      </c>
      <c r="E446" s="8" t="s">
        <v>39</v>
      </c>
      <c r="F446" s="8" t="s">
        <v>62</v>
      </c>
      <c r="G446" s="8" t="s">
        <v>32</v>
      </c>
      <c r="H446" s="8" t="s">
        <v>30</v>
      </c>
      <c r="I446" s="8" t="n">
        <f aca="false">IF(EXACT(G446,H446),1,0)</f>
        <v>0</v>
      </c>
      <c r="J446" s="8" t="n">
        <v>0</v>
      </c>
      <c r="K446" s="8" t="s">
        <v>92</v>
      </c>
      <c r="L446" s="8" t="n">
        <v>0</v>
      </c>
      <c r="M446" s="8" t="n">
        <v>1</v>
      </c>
      <c r="N446" s="8" t="s">
        <v>93</v>
      </c>
      <c r="O446" s="8" t="n">
        <v>1</v>
      </c>
      <c r="P446" s="10" t="n">
        <v>3.53</v>
      </c>
      <c r="Q446" s="8"/>
      <c r="R446" s="8"/>
      <c r="S446" s="8" t="s">
        <v>571</v>
      </c>
      <c r="T446" s="8"/>
      <c r="U446" s="8"/>
      <c r="V446" s="8" t="s">
        <v>155</v>
      </c>
      <c r="W446" s="8"/>
      <c r="X446" s="8" t="s">
        <v>572</v>
      </c>
      <c r="Y446" s="8" t="s">
        <v>161</v>
      </c>
      <c r="Z446" s="8"/>
    </row>
    <row r="447" customFormat="false" ht="15" hidden="false" customHeight="false" outlineLevel="0" collapsed="false">
      <c r="A447" s="8" t="s">
        <v>570</v>
      </c>
      <c r="B447" s="8" t="s">
        <v>13</v>
      </c>
      <c r="C447" s="8" t="s">
        <v>14</v>
      </c>
      <c r="D447" s="8" t="s">
        <v>91</v>
      </c>
      <c r="E447" s="8" t="s">
        <v>39</v>
      </c>
      <c r="F447" s="8" t="s">
        <v>62</v>
      </c>
      <c r="G447" s="8" t="s">
        <v>32</v>
      </c>
      <c r="H447" s="8" t="s">
        <v>30</v>
      </c>
      <c r="I447" s="8" t="n">
        <f aca="false">IF(EXACT(G447,H447),1,0)</f>
        <v>0</v>
      </c>
      <c r="J447" s="8" t="n">
        <v>1</v>
      </c>
      <c r="K447" s="8" t="s">
        <v>92</v>
      </c>
      <c r="L447" s="8" t="n">
        <v>0</v>
      </c>
      <c r="M447" s="8" t="n">
        <v>1</v>
      </c>
      <c r="N447" s="8" t="s">
        <v>93</v>
      </c>
      <c r="O447" s="8" t="n">
        <v>1</v>
      </c>
      <c r="P447" s="10" t="n">
        <v>3.49</v>
      </c>
      <c r="Q447" s="8"/>
      <c r="R447" s="8"/>
      <c r="S447" s="8" t="s">
        <v>571</v>
      </c>
      <c r="T447" s="8"/>
      <c r="U447" s="8"/>
      <c r="V447" s="8" t="s">
        <v>155</v>
      </c>
      <c r="W447" s="8"/>
      <c r="X447" s="8" t="s">
        <v>572</v>
      </c>
      <c r="Y447" s="8" t="s">
        <v>161</v>
      </c>
      <c r="Z447" s="8"/>
    </row>
    <row r="448" customFormat="false" ht="15" hidden="false" customHeight="false" outlineLevel="0" collapsed="false">
      <c r="A448" s="8" t="s">
        <v>570</v>
      </c>
      <c r="B448" s="8" t="s">
        <v>13</v>
      </c>
      <c r="C448" s="8" t="s">
        <v>14</v>
      </c>
      <c r="D448" s="8" t="s">
        <v>91</v>
      </c>
      <c r="E448" s="8" t="s">
        <v>39</v>
      </c>
      <c r="F448" s="8" t="s">
        <v>62</v>
      </c>
      <c r="G448" s="8" t="s">
        <v>32</v>
      </c>
      <c r="H448" s="8" t="s">
        <v>30</v>
      </c>
      <c r="I448" s="8" t="n">
        <f aca="false">IF(EXACT(G448,H448),1,0)</f>
        <v>0</v>
      </c>
      <c r="J448" s="8" t="n">
        <v>2</v>
      </c>
      <c r="K448" s="8" t="s">
        <v>92</v>
      </c>
      <c r="L448" s="8" t="n">
        <v>0</v>
      </c>
      <c r="M448" s="8" t="n">
        <v>1</v>
      </c>
      <c r="N448" s="8" t="s">
        <v>93</v>
      </c>
      <c r="O448" s="8" t="n">
        <v>1</v>
      </c>
      <c r="P448" s="10" t="n">
        <v>3.51</v>
      </c>
      <c r="Q448" s="8"/>
      <c r="R448" s="8"/>
      <c r="S448" s="8" t="s">
        <v>571</v>
      </c>
      <c r="T448" s="8"/>
      <c r="U448" s="8"/>
      <c r="V448" s="8" t="s">
        <v>155</v>
      </c>
      <c r="W448" s="8"/>
      <c r="X448" s="8" t="s">
        <v>572</v>
      </c>
      <c r="Y448" s="8" t="s">
        <v>161</v>
      </c>
      <c r="Z448" s="8"/>
    </row>
    <row r="449" customFormat="false" ht="15" hidden="false" customHeight="false" outlineLevel="0" collapsed="false">
      <c r="A449" s="8" t="s">
        <v>242</v>
      </c>
      <c r="B449" s="8" t="s">
        <v>13</v>
      </c>
      <c r="C449" s="8" t="s">
        <v>14</v>
      </c>
      <c r="D449" s="8" t="s">
        <v>91</v>
      </c>
      <c r="E449" s="8" t="s">
        <v>40</v>
      </c>
      <c r="F449" s="8" t="s">
        <v>48</v>
      </c>
      <c r="G449" s="8" t="s">
        <v>32</v>
      </c>
      <c r="H449" s="8" t="s">
        <v>30</v>
      </c>
      <c r="I449" s="8" t="n">
        <f aca="false">IF(EXACT(G449,H449),1,0)</f>
        <v>0</v>
      </c>
      <c r="J449" s="8" t="n">
        <v>0</v>
      </c>
      <c r="K449" s="8" t="s">
        <v>92</v>
      </c>
      <c r="L449" s="8" t="n">
        <v>0</v>
      </c>
      <c r="M449" s="8" t="n">
        <v>1</v>
      </c>
      <c r="N449" s="8" t="s">
        <v>93</v>
      </c>
      <c r="O449" s="8" t="n">
        <v>1</v>
      </c>
      <c r="P449" s="10" t="n">
        <v>3.62</v>
      </c>
      <c r="Q449" s="8"/>
      <c r="R449" s="8"/>
      <c r="S449" s="8" t="s">
        <v>94</v>
      </c>
      <c r="T449" s="8" t="s">
        <v>243</v>
      </c>
      <c r="U449" s="8" t="s">
        <v>244</v>
      </c>
      <c r="V449" s="8"/>
      <c r="W449" s="8" t="s">
        <v>245</v>
      </c>
      <c r="X449" s="8" t="s">
        <v>573</v>
      </c>
      <c r="Y449" s="8" t="s">
        <v>99</v>
      </c>
      <c r="Z449" s="8"/>
    </row>
    <row r="450" customFormat="false" ht="15" hidden="false" customHeight="false" outlineLevel="0" collapsed="false">
      <c r="A450" s="8" t="s">
        <v>242</v>
      </c>
      <c r="B450" s="8" t="s">
        <v>13</v>
      </c>
      <c r="C450" s="8" t="s">
        <v>14</v>
      </c>
      <c r="D450" s="8" t="s">
        <v>91</v>
      </c>
      <c r="E450" s="8" t="s">
        <v>40</v>
      </c>
      <c r="F450" s="8" t="s">
        <v>48</v>
      </c>
      <c r="G450" s="8" t="s">
        <v>32</v>
      </c>
      <c r="H450" s="8" t="s">
        <v>30</v>
      </c>
      <c r="I450" s="8" t="n">
        <f aca="false">IF(EXACT(G450,H450),1,0)</f>
        <v>0</v>
      </c>
      <c r="J450" s="8" t="n">
        <v>1</v>
      </c>
      <c r="K450" s="8" t="s">
        <v>92</v>
      </c>
      <c r="L450" s="8" t="n">
        <v>0</v>
      </c>
      <c r="M450" s="8" t="n">
        <v>1</v>
      </c>
      <c r="N450" s="8" t="s">
        <v>93</v>
      </c>
      <c r="O450" s="8" t="n">
        <v>1</v>
      </c>
      <c r="P450" s="10" t="n">
        <v>3.58</v>
      </c>
      <c r="Q450" s="8"/>
      <c r="R450" s="8"/>
      <c r="S450" s="8" t="s">
        <v>94</v>
      </c>
      <c r="T450" s="8" t="s">
        <v>243</v>
      </c>
      <c r="U450" s="8" t="s">
        <v>244</v>
      </c>
      <c r="V450" s="8"/>
      <c r="W450" s="8" t="s">
        <v>245</v>
      </c>
      <c r="X450" s="8" t="s">
        <v>573</v>
      </c>
      <c r="Y450" s="8" t="s">
        <v>99</v>
      </c>
      <c r="Z450" s="8"/>
    </row>
    <row r="451" customFormat="false" ht="15" hidden="false" customHeight="false" outlineLevel="0" collapsed="false">
      <c r="A451" s="8" t="s">
        <v>242</v>
      </c>
      <c r="B451" s="8" t="s">
        <v>13</v>
      </c>
      <c r="C451" s="8" t="s">
        <v>14</v>
      </c>
      <c r="D451" s="8" t="s">
        <v>91</v>
      </c>
      <c r="E451" s="8" t="s">
        <v>40</v>
      </c>
      <c r="F451" s="8" t="s">
        <v>48</v>
      </c>
      <c r="G451" s="8" t="s">
        <v>32</v>
      </c>
      <c r="H451" s="8" t="s">
        <v>30</v>
      </c>
      <c r="I451" s="8" t="n">
        <f aca="false">IF(EXACT(G451,H451),1,0)</f>
        <v>0</v>
      </c>
      <c r="J451" s="8" t="n">
        <v>2</v>
      </c>
      <c r="K451" s="8" t="s">
        <v>92</v>
      </c>
      <c r="L451" s="8" t="n">
        <v>0</v>
      </c>
      <c r="M451" s="8" t="n">
        <v>1</v>
      </c>
      <c r="N451" s="8" t="s">
        <v>93</v>
      </c>
      <c r="O451" s="8" t="n">
        <v>1</v>
      </c>
      <c r="P451" s="10" t="n">
        <v>3.57</v>
      </c>
      <c r="Q451" s="8"/>
      <c r="R451" s="8"/>
      <c r="S451" s="8" t="s">
        <v>94</v>
      </c>
      <c r="T451" s="8" t="s">
        <v>243</v>
      </c>
      <c r="U451" s="8" t="s">
        <v>244</v>
      </c>
      <c r="V451" s="8"/>
      <c r="W451" s="8" t="s">
        <v>245</v>
      </c>
      <c r="X451" s="8" t="s">
        <v>573</v>
      </c>
      <c r="Y451" s="8" t="s">
        <v>99</v>
      </c>
      <c r="Z451" s="8"/>
    </row>
    <row r="452" customFormat="false" ht="15" hidden="false" customHeight="false" outlineLevel="0" collapsed="false">
      <c r="A452" s="8" t="s">
        <v>247</v>
      </c>
      <c r="B452" s="8" t="s">
        <v>13</v>
      </c>
      <c r="C452" s="8" t="s">
        <v>14</v>
      </c>
      <c r="D452" s="8" t="s">
        <v>91</v>
      </c>
      <c r="E452" s="8" t="s">
        <v>40</v>
      </c>
      <c r="F452" s="8" t="s">
        <v>48</v>
      </c>
      <c r="G452" s="8" t="s">
        <v>30</v>
      </c>
      <c r="H452" s="8" t="s">
        <v>30</v>
      </c>
      <c r="I452" s="8" t="n">
        <f aca="false">IF(EXACT(G452,H452),1,0)</f>
        <v>1</v>
      </c>
      <c r="J452" s="8" t="n">
        <v>0</v>
      </c>
      <c r="K452" s="8" t="s">
        <v>92</v>
      </c>
      <c r="L452" s="8" t="n">
        <v>0</v>
      </c>
      <c r="M452" s="8" t="n">
        <v>1</v>
      </c>
      <c r="N452" s="8" t="s">
        <v>93</v>
      </c>
      <c r="O452" s="8" t="n">
        <v>1</v>
      </c>
      <c r="P452" s="10" t="n">
        <v>3.5</v>
      </c>
      <c r="Q452" s="8"/>
      <c r="R452" s="8"/>
      <c r="S452" s="8" t="s">
        <v>216</v>
      </c>
      <c r="T452" s="8" t="s">
        <v>243</v>
      </c>
      <c r="U452" s="8" t="s">
        <v>244</v>
      </c>
      <c r="V452" s="8"/>
      <c r="W452" s="8" t="s">
        <v>248</v>
      </c>
      <c r="X452" s="8" t="s">
        <v>574</v>
      </c>
      <c r="Y452" s="8" t="s">
        <v>108</v>
      </c>
      <c r="Z452" s="8"/>
    </row>
    <row r="453" customFormat="false" ht="15" hidden="false" customHeight="false" outlineLevel="0" collapsed="false">
      <c r="A453" s="8" t="s">
        <v>247</v>
      </c>
      <c r="B453" s="8" t="s">
        <v>13</v>
      </c>
      <c r="C453" s="8" t="s">
        <v>14</v>
      </c>
      <c r="D453" s="8" t="s">
        <v>91</v>
      </c>
      <c r="E453" s="8" t="s">
        <v>40</v>
      </c>
      <c r="F453" s="8" t="s">
        <v>48</v>
      </c>
      <c r="G453" s="8" t="s">
        <v>30</v>
      </c>
      <c r="H453" s="8" t="s">
        <v>30</v>
      </c>
      <c r="I453" s="8" t="n">
        <f aca="false">IF(EXACT(G453,H453),1,0)</f>
        <v>1</v>
      </c>
      <c r="J453" s="8" t="n">
        <v>1</v>
      </c>
      <c r="K453" s="8" t="s">
        <v>92</v>
      </c>
      <c r="L453" s="8" t="n">
        <v>0</v>
      </c>
      <c r="M453" s="8" t="n">
        <v>1</v>
      </c>
      <c r="N453" s="8" t="s">
        <v>93</v>
      </c>
      <c r="O453" s="8" t="n">
        <v>1</v>
      </c>
      <c r="P453" s="10" t="n">
        <v>3.53</v>
      </c>
      <c r="Q453" s="8"/>
      <c r="R453" s="8"/>
      <c r="S453" s="8" t="s">
        <v>216</v>
      </c>
      <c r="T453" s="8" t="s">
        <v>243</v>
      </c>
      <c r="U453" s="8" t="s">
        <v>244</v>
      </c>
      <c r="V453" s="8"/>
      <c r="W453" s="8" t="s">
        <v>248</v>
      </c>
      <c r="X453" s="8" t="s">
        <v>574</v>
      </c>
      <c r="Y453" s="8" t="s">
        <v>108</v>
      </c>
      <c r="Z453" s="8"/>
    </row>
    <row r="454" customFormat="false" ht="15" hidden="false" customHeight="false" outlineLevel="0" collapsed="false">
      <c r="A454" s="8" t="s">
        <v>247</v>
      </c>
      <c r="B454" s="8" t="s">
        <v>13</v>
      </c>
      <c r="C454" s="8" t="s">
        <v>14</v>
      </c>
      <c r="D454" s="8" t="s">
        <v>91</v>
      </c>
      <c r="E454" s="8" t="s">
        <v>40</v>
      </c>
      <c r="F454" s="8" t="s">
        <v>48</v>
      </c>
      <c r="G454" s="8" t="s">
        <v>30</v>
      </c>
      <c r="H454" s="8" t="s">
        <v>30</v>
      </c>
      <c r="I454" s="8" t="n">
        <f aca="false">IF(EXACT(G454,H454),1,0)</f>
        <v>1</v>
      </c>
      <c r="J454" s="8" t="n">
        <v>2</v>
      </c>
      <c r="K454" s="8" t="s">
        <v>92</v>
      </c>
      <c r="L454" s="8" t="n">
        <v>0</v>
      </c>
      <c r="M454" s="8" t="n">
        <v>1</v>
      </c>
      <c r="N454" s="8" t="s">
        <v>93</v>
      </c>
      <c r="O454" s="8" t="n">
        <v>1</v>
      </c>
      <c r="P454" s="10" t="n">
        <v>3.49</v>
      </c>
      <c r="Q454" s="8"/>
      <c r="R454" s="8"/>
      <c r="S454" s="8" t="s">
        <v>216</v>
      </c>
      <c r="T454" s="8" t="s">
        <v>243</v>
      </c>
      <c r="U454" s="8" t="s">
        <v>244</v>
      </c>
      <c r="V454" s="8"/>
      <c r="W454" s="8" t="s">
        <v>248</v>
      </c>
      <c r="X454" s="8" t="s">
        <v>574</v>
      </c>
      <c r="Y454" s="8" t="s">
        <v>108</v>
      </c>
      <c r="Z454" s="8"/>
    </row>
    <row r="455" customFormat="false" ht="15" hidden="false" customHeight="false" outlineLevel="0" collapsed="false">
      <c r="A455" s="8" t="s">
        <v>250</v>
      </c>
      <c r="B455" s="8" t="s">
        <v>13</v>
      </c>
      <c r="C455" s="8" t="s">
        <v>14</v>
      </c>
      <c r="D455" s="8" t="s">
        <v>91</v>
      </c>
      <c r="E455" s="8" t="s">
        <v>40</v>
      </c>
      <c r="F455" s="8" t="s">
        <v>48</v>
      </c>
      <c r="G455" s="8" t="s">
        <v>32</v>
      </c>
      <c r="H455" s="8" t="s">
        <v>30</v>
      </c>
      <c r="I455" s="8" t="n">
        <f aca="false">IF(EXACT(G455,H455),1,0)</f>
        <v>0</v>
      </c>
      <c r="J455" s="8" t="n">
        <v>0</v>
      </c>
      <c r="K455" s="8" t="s">
        <v>92</v>
      </c>
      <c r="L455" s="8" t="n">
        <v>0</v>
      </c>
      <c r="M455" s="8" t="n">
        <v>1</v>
      </c>
      <c r="N455" s="8" t="s">
        <v>93</v>
      </c>
      <c r="O455" s="8" t="n">
        <v>1</v>
      </c>
      <c r="P455" s="10" t="n">
        <v>3.62</v>
      </c>
      <c r="Q455" s="8"/>
      <c r="R455" s="8"/>
      <c r="S455" s="8" t="s">
        <v>251</v>
      </c>
      <c r="T455" s="8" t="s">
        <v>243</v>
      </c>
      <c r="U455" s="8" t="s">
        <v>244</v>
      </c>
      <c r="V455" s="8"/>
      <c r="W455" s="8" t="s">
        <v>252</v>
      </c>
      <c r="X455" s="8" t="s">
        <v>575</v>
      </c>
      <c r="Y455" s="8" t="s">
        <v>108</v>
      </c>
      <c r="Z455" s="8"/>
    </row>
    <row r="456" customFormat="false" ht="15" hidden="false" customHeight="false" outlineLevel="0" collapsed="false">
      <c r="A456" s="8" t="s">
        <v>250</v>
      </c>
      <c r="B456" s="8" t="s">
        <v>13</v>
      </c>
      <c r="C456" s="8" t="s">
        <v>14</v>
      </c>
      <c r="D456" s="8" t="s">
        <v>91</v>
      </c>
      <c r="E456" s="8" t="s">
        <v>40</v>
      </c>
      <c r="F456" s="8" t="s">
        <v>48</v>
      </c>
      <c r="G456" s="8" t="s">
        <v>32</v>
      </c>
      <c r="H456" s="8" t="s">
        <v>30</v>
      </c>
      <c r="I456" s="8" t="n">
        <f aca="false">IF(EXACT(G456,H456),1,0)</f>
        <v>0</v>
      </c>
      <c r="J456" s="8" t="n">
        <v>1</v>
      </c>
      <c r="K456" s="8" t="s">
        <v>92</v>
      </c>
      <c r="L456" s="8" t="n">
        <v>0</v>
      </c>
      <c r="M456" s="8" t="n">
        <v>1</v>
      </c>
      <c r="N456" s="8" t="s">
        <v>93</v>
      </c>
      <c r="O456" s="8" t="n">
        <v>1</v>
      </c>
      <c r="P456" s="10" t="n">
        <v>3.62</v>
      </c>
      <c r="Q456" s="8"/>
      <c r="R456" s="8"/>
      <c r="S456" s="8" t="s">
        <v>251</v>
      </c>
      <c r="T456" s="8" t="s">
        <v>243</v>
      </c>
      <c r="U456" s="8" t="s">
        <v>244</v>
      </c>
      <c r="V456" s="8"/>
      <c r="W456" s="8" t="s">
        <v>252</v>
      </c>
      <c r="X456" s="8" t="s">
        <v>575</v>
      </c>
      <c r="Y456" s="8" t="s">
        <v>108</v>
      </c>
      <c r="Z456" s="8"/>
    </row>
    <row r="457" customFormat="false" ht="15" hidden="false" customHeight="false" outlineLevel="0" collapsed="false">
      <c r="A457" s="8" t="s">
        <v>250</v>
      </c>
      <c r="B457" s="8" t="s">
        <v>13</v>
      </c>
      <c r="C457" s="8" t="s">
        <v>14</v>
      </c>
      <c r="D457" s="8" t="s">
        <v>91</v>
      </c>
      <c r="E457" s="8" t="s">
        <v>40</v>
      </c>
      <c r="F457" s="8" t="s">
        <v>48</v>
      </c>
      <c r="G457" s="8" t="s">
        <v>32</v>
      </c>
      <c r="H457" s="8" t="s">
        <v>30</v>
      </c>
      <c r="I457" s="8" t="n">
        <f aca="false">IF(EXACT(G457,H457),1,0)</f>
        <v>0</v>
      </c>
      <c r="J457" s="8" t="n">
        <v>2</v>
      </c>
      <c r="K457" s="8" t="s">
        <v>92</v>
      </c>
      <c r="L457" s="8" t="n">
        <v>0</v>
      </c>
      <c r="M457" s="8" t="n">
        <v>1</v>
      </c>
      <c r="N457" s="8" t="s">
        <v>93</v>
      </c>
      <c r="O457" s="8" t="n">
        <v>1</v>
      </c>
      <c r="P457" s="10" t="n">
        <v>3.61</v>
      </c>
      <c r="Q457" s="8"/>
      <c r="R457" s="8"/>
      <c r="S457" s="8" t="s">
        <v>251</v>
      </c>
      <c r="T457" s="8" t="s">
        <v>243</v>
      </c>
      <c r="U457" s="8" t="s">
        <v>244</v>
      </c>
      <c r="V457" s="8"/>
      <c r="W457" s="8" t="s">
        <v>252</v>
      </c>
      <c r="X457" s="8" t="s">
        <v>575</v>
      </c>
      <c r="Y457" s="8" t="s">
        <v>108</v>
      </c>
      <c r="Z457" s="8"/>
    </row>
    <row r="458" customFormat="false" ht="15" hidden="false" customHeight="false" outlineLevel="0" collapsed="false">
      <c r="A458" s="8" t="s">
        <v>254</v>
      </c>
      <c r="B458" s="8" t="s">
        <v>13</v>
      </c>
      <c r="C458" s="8" t="s">
        <v>14</v>
      </c>
      <c r="D458" s="8" t="s">
        <v>91</v>
      </c>
      <c r="E458" s="8" t="s">
        <v>40</v>
      </c>
      <c r="F458" s="8" t="s">
        <v>48</v>
      </c>
      <c r="G458" s="8" t="s">
        <v>31</v>
      </c>
      <c r="H458" s="8" t="s">
        <v>31</v>
      </c>
      <c r="I458" s="8" t="n">
        <f aca="false">IF(EXACT(G458,H458),1,0)</f>
        <v>1</v>
      </c>
      <c r="J458" s="8" t="n">
        <v>0</v>
      </c>
      <c r="K458" s="8" t="s">
        <v>116</v>
      </c>
      <c r="L458" s="8" t="n">
        <v>1</v>
      </c>
      <c r="M458" s="8" t="n">
        <v>1</v>
      </c>
      <c r="N458" s="8" t="s">
        <v>93</v>
      </c>
      <c r="O458" s="8" t="n">
        <v>1</v>
      </c>
      <c r="P458" s="10" t="n">
        <v>3.62</v>
      </c>
      <c r="Q458" s="8"/>
      <c r="R458" s="8"/>
      <c r="S458" s="8" t="s">
        <v>255</v>
      </c>
      <c r="T458" s="8" t="s">
        <v>256</v>
      </c>
      <c r="U458" s="8" t="s">
        <v>257</v>
      </c>
      <c r="V458" s="8"/>
      <c r="W458" s="8" t="s">
        <v>258</v>
      </c>
      <c r="X458" s="8" t="s">
        <v>576</v>
      </c>
      <c r="Y458" s="8" t="s">
        <v>130</v>
      </c>
      <c r="Z458" s="8" t="s">
        <v>260</v>
      </c>
    </row>
    <row r="459" customFormat="false" ht="15" hidden="false" customHeight="false" outlineLevel="0" collapsed="false">
      <c r="A459" s="8" t="s">
        <v>254</v>
      </c>
      <c r="B459" s="8" t="s">
        <v>13</v>
      </c>
      <c r="C459" s="8" t="s">
        <v>14</v>
      </c>
      <c r="D459" s="8" t="s">
        <v>91</v>
      </c>
      <c r="E459" s="8" t="s">
        <v>40</v>
      </c>
      <c r="F459" s="8" t="s">
        <v>48</v>
      </c>
      <c r="G459" s="8" t="s">
        <v>31</v>
      </c>
      <c r="H459" s="8" t="s">
        <v>31</v>
      </c>
      <c r="I459" s="8" t="n">
        <f aca="false">IF(EXACT(G459,H459),1,0)</f>
        <v>1</v>
      </c>
      <c r="J459" s="8" t="n">
        <v>1</v>
      </c>
      <c r="K459" s="8" t="s">
        <v>116</v>
      </c>
      <c r="L459" s="8" t="n">
        <v>1</v>
      </c>
      <c r="M459" s="8" t="n">
        <v>1</v>
      </c>
      <c r="N459" s="8" t="s">
        <v>93</v>
      </c>
      <c r="O459" s="8" t="n">
        <v>1</v>
      </c>
      <c r="P459" s="10" t="n">
        <v>3.59</v>
      </c>
      <c r="Q459" s="8"/>
      <c r="R459" s="8"/>
      <c r="S459" s="8" t="s">
        <v>255</v>
      </c>
      <c r="T459" s="8" t="s">
        <v>256</v>
      </c>
      <c r="U459" s="8" t="s">
        <v>257</v>
      </c>
      <c r="V459" s="8"/>
      <c r="W459" s="8" t="s">
        <v>258</v>
      </c>
      <c r="X459" s="8" t="s">
        <v>576</v>
      </c>
      <c r="Y459" s="8" t="s">
        <v>130</v>
      </c>
      <c r="Z459" s="8" t="s">
        <v>260</v>
      </c>
    </row>
    <row r="460" customFormat="false" ht="15" hidden="false" customHeight="false" outlineLevel="0" collapsed="false">
      <c r="A460" s="8" t="s">
        <v>254</v>
      </c>
      <c r="B460" s="8" t="s">
        <v>13</v>
      </c>
      <c r="C460" s="8" t="s">
        <v>14</v>
      </c>
      <c r="D460" s="8" t="s">
        <v>91</v>
      </c>
      <c r="E460" s="8" t="s">
        <v>40</v>
      </c>
      <c r="F460" s="8" t="s">
        <v>48</v>
      </c>
      <c r="G460" s="8" t="s">
        <v>31</v>
      </c>
      <c r="H460" s="8" t="s">
        <v>31</v>
      </c>
      <c r="I460" s="8" t="n">
        <f aca="false">IF(EXACT(G460,H460),1,0)</f>
        <v>1</v>
      </c>
      <c r="J460" s="8" t="n">
        <v>2</v>
      </c>
      <c r="K460" s="8" t="s">
        <v>116</v>
      </c>
      <c r="L460" s="8" t="n">
        <v>1</v>
      </c>
      <c r="M460" s="8" t="n">
        <v>1</v>
      </c>
      <c r="N460" s="8" t="s">
        <v>93</v>
      </c>
      <c r="O460" s="8" t="n">
        <v>1</v>
      </c>
      <c r="P460" s="10" t="n">
        <v>3.68</v>
      </c>
      <c r="Q460" s="8"/>
      <c r="R460" s="8"/>
      <c r="S460" s="8" t="s">
        <v>255</v>
      </c>
      <c r="T460" s="8" t="s">
        <v>256</v>
      </c>
      <c r="U460" s="8" t="s">
        <v>257</v>
      </c>
      <c r="V460" s="8"/>
      <c r="W460" s="8" t="s">
        <v>258</v>
      </c>
      <c r="X460" s="8" t="s">
        <v>576</v>
      </c>
      <c r="Y460" s="8" t="s">
        <v>130</v>
      </c>
      <c r="Z460" s="8" t="s">
        <v>260</v>
      </c>
    </row>
    <row r="461" customFormat="false" ht="15" hidden="false" customHeight="false" outlineLevel="0" collapsed="false">
      <c r="A461" s="8" t="s">
        <v>261</v>
      </c>
      <c r="B461" s="8" t="s">
        <v>13</v>
      </c>
      <c r="C461" s="8" t="s">
        <v>14</v>
      </c>
      <c r="D461" s="8" t="s">
        <v>91</v>
      </c>
      <c r="E461" s="8" t="s">
        <v>40</v>
      </c>
      <c r="F461" s="8" t="s">
        <v>48</v>
      </c>
      <c r="G461" s="8" t="s">
        <v>30</v>
      </c>
      <c r="H461" s="8" t="s">
        <v>31</v>
      </c>
      <c r="I461" s="8" t="n">
        <f aca="false">IF(EXACT(G461,H461),1,0)</f>
        <v>0</v>
      </c>
      <c r="J461" s="8" t="n">
        <v>0</v>
      </c>
      <c r="K461" s="8" t="s">
        <v>116</v>
      </c>
      <c r="L461" s="8" t="n">
        <v>1</v>
      </c>
      <c r="M461" s="8" t="n">
        <v>1</v>
      </c>
      <c r="N461" s="8" t="s">
        <v>93</v>
      </c>
      <c r="O461" s="8" t="n">
        <v>1</v>
      </c>
      <c r="P461" s="10" t="n">
        <v>3.62</v>
      </c>
      <c r="Q461" s="8"/>
      <c r="R461" s="8"/>
      <c r="S461" s="8" t="s">
        <v>262</v>
      </c>
      <c r="T461" s="8" t="s">
        <v>256</v>
      </c>
      <c r="U461" s="8" t="s">
        <v>257</v>
      </c>
      <c r="V461" s="8"/>
      <c r="W461" s="8" t="s">
        <v>263</v>
      </c>
      <c r="X461" s="8" t="s">
        <v>577</v>
      </c>
      <c r="Y461" s="8" t="s">
        <v>130</v>
      </c>
      <c r="Z461" s="8" t="s">
        <v>260</v>
      </c>
    </row>
    <row r="462" customFormat="false" ht="15" hidden="false" customHeight="false" outlineLevel="0" collapsed="false">
      <c r="A462" s="8" t="s">
        <v>261</v>
      </c>
      <c r="B462" s="8" t="s">
        <v>13</v>
      </c>
      <c r="C462" s="8" t="s">
        <v>14</v>
      </c>
      <c r="D462" s="8" t="s">
        <v>91</v>
      </c>
      <c r="E462" s="8" t="s">
        <v>40</v>
      </c>
      <c r="F462" s="8" t="s">
        <v>48</v>
      </c>
      <c r="G462" s="8" t="s">
        <v>30</v>
      </c>
      <c r="H462" s="8" t="s">
        <v>31</v>
      </c>
      <c r="I462" s="8" t="n">
        <f aca="false">IF(EXACT(G462,H462),1,0)</f>
        <v>0</v>
      </c>
      <c r="J462" s="8" t="n">
        <v>1</v>
      </c>
      <c r="K462" s="8" t="s">
        <v>116</v>
      </c>
      <c r="L462" s="8" t="n">
        <v>1</v>
      </c>
      <c r="M462" s="8" t="n">
        <v>1</v>
      </c>
      <c r="N462" s="8" t="s">
        <v>93</v>
      </c>
      <c r="O462" s="8" t="n">
        <v>1</v>
      </c>
      <c r="P462" s="10" t="n">
        <v>3.57</v>
      </c>
      <c r="Q462" s="8"/>
      <c r="R462" s="8"/>
      <c r="S462" s="8" t="s">
        <v>262</v>
      </c>
      <c r="T462" s="8" t="s">
        <v>256</v>
      </c>
      <c r="U462" s="8" t="s">
        <v>257</v>
      </c>
      <c r="V462" s="8"/>
      <c r="W462" s="8" t="s">
        <v>263</v>
      </c>
      <c r="X462" s="8" t="s">
        <v>577</v>
      </c>
      <c r="Y462" s="8" t="s">
        <v>130</v>
      </c>
      <c r="Z462" s="8" t="s">
        <v>260</v>
      </c>
    </row>
    <row r="463" customFormat="false" ht="15" hidden="false" customHeight="false" outlineLevel="0" collapsed="false">
      <c r="A463" s="8" t="s">
        <v>261</v>
      </c>
      <c r="B463" s="8" t="s">
        <v>13</v>
      </c>
      <c r="C463" s="8" t="s">
        <v>14</v>
      </c>
      <c r="D463" s="8" t="s">
        <v>91</v>
      </c>
      <c r="E463" s="8" t="s">
        <v>40</v>
      </c>
      <c r="F463" s="8" t="s">
        <v>48</v>
      </c>
      <c r="G463" s="8" t="s">
        <v>30</v>
      </c>
      <c r="H463" s="8" t="s">
        <v>31</v>
      </c>
      <c r="I463" s="8" t="n">
        <f aca="false">IF(EXACT(G463,H463),1,0)</f>
        <v>0</v>
      </c>
      <c r="J463" s="8" t="n">
        <v>2</v>
      </c>
      <c r="K463" s="8" t="s">
        <v>116</v>
      </c>
      <c r="L463" s="8" t="n">
        <v>1</v>
      </c>
      <c r="M463" s="8" t="n">
        <v>1</v>
      </c>
      <c r="N463" s="8" t="s">
        <v>93</v>
      </c>
      <c r="O463" s="8" t="n">
        <v>1</v>
      </c>
      <c r="P463" s="10" t="n">
        <v>3.6</v>
      </c>
      <c r="Q463" s="8"/>
      <c r="R463" s="8"/>
      <c r="S463" s="8" t="s">
        <v>262</v>
      </c>
      <c r="T463" s="8" t="s">
        <v>256</v>
      </c>
      <c r="U463" s="8" t="s">
        <v>257</v>
      </c>
      <c r="V463" s="8"/>
      <c r="W463" s="8" t="s">
        <v>263</v>
      </c>
      <c r="X463" s="8" t="s">
        <v>577</v>
      </c>
      <c r="Y463" s="8" t="s">
        <v>130</v>
      </c>
      <c r="Z463" s="8" t="s">
        <v>260</v>
      </c>
    </row>
    <row r="464" customFormat="false" ht="15" hidden="false" customHeight="false" outlineLevel="0" collapsed="false">
      <c r="A464" s="8" t="s">
        <v>265</v>
      </c>
      <c r="B464" s="8" t="s">
        <v>13</v>
      </c>
      <c r="C464" s="8" t="s">
        <v>14</v>
      </c>
      <c r="D464" s="8" t="s">
        <v>91</v>
      </c>
      <c r="E464" s="8" t="s">
        <v>40</v>
      </c>
      <c r="F464" s="8" t="s">
        <v>48</v>
      </c>
      <c r="G464" s="8" t="s">
        <v>31</v>
      </c>
      <c r="H464" s="8" t="s">
        <v>31</v>
      </c>
      <c r="I464" s="8" t="n">
        <f aca="false">IF(EXACT(G464,H464),1,0)</f>
        <v>1</v>
      </c>
      <c r="J464" s="8" t="n">
        <v>0</v>
      </c>
      <c r="K464" s="8" t="s">
        <v>116</v>
      </c>
      <c r="L464" s="8" t="n">
        <v>1</v>
      </c>
      <c r="M464" s="8" t="n">
        <v>1</v>
      </c>
      <c r="N464" s="8" t="s">
        <v>93</v>
      </c>
      <c r="O464" s="8" t="n">
        <v>1</v>
      </c>
      <c r="P464" s="10" t="n">
        <v>3.63</v>
      </c>
      <c r="Q464" s="8"/>
      <c r="R464" s="8"/>
      <c r="S464" s="8" t="s">
        <v>117</v>
      </c>
      <c r="T464" s="8" t="s">
        <v>256</v>
      </c>
      <c r="U464" s="8" t="s">
        <v>257</v>
      </c>
      <c r="V464" s="8"/>
      <c r="W464" s="8" t="s">
        <v>266</v>
      </c>
      <c r="X464" s="8" t="s">
        <v>578</v>
      </c>
      <c r="Y464" s="8" t="s">
        <v>130</v>
      </c>
      <c r="Z464" s="8" t="s">
        <v>260</v>
      </c>
    </row>
    <row r="465" customFormat="false" ht="15" hidden="false" customHeight="false" outlineLevel="0" collapsed="false">
      <c r="A465" s="8" t="s">
        <v>265</v>
      </c>
      <c r="B465" s="8" t="s">
        <v>13</v>
      </c>
      <c r="C465" s="8" t="s">
        <v>14</v>
      </c>
      <c r="D465" s="8" t="s">
        <v>91</v>
      </c>
      <c r="E465" s="8" t="s">
        <v>40</v>
      </c>
      <c r="F465" s="8" t="s">
        <v>48</v>
      </c>
      <c r="G465" s="8" t="s">
        <v>31</v>
      </c>
      <c r="H465" s="8" t="s">
        <v>31</v>
      </c>
      <c r="I465" s="8" t="n">
        <f aca="false">IF(EXACT(G465,H465),1,0)</f>
        <v>1</v>
      </c>
      <c r="J465" s="8" t="n">
        <v>1</v>
      </c>
      <c r="K465" s="8" t="s">
        <v>116</v>
      </c>
      <c r="L465" s="8" t="n">
        <v>1</v>
      </c>
      <c r="M465" s="8" t="n">
        <v>1</v>
      </c>
      <c r="N465" s="8" t="s">
        <v>93</v>
      </c>
      <c r="O465" s="8" t="n">
        <v>1</v>
      </c>
      <c r="P465" s="10" t="n">
        <v>3.57</v>
      </c>
      <c r="Q465" s="8"/>
      <c r="R465" s="8"/>
      <c r="S465" s="8" t="s">
        <v>117</v>
      </c>
      <c r="T465" s="8" t="s">
        <v>256</v>
      </c>
      <c r="U465" s="8" t="s">
        <v>257</v>
      </c>
      <c r="V465" s="8"/>
      <c r="W465" s="8" t="s">
        <v>266</v>
      </c>
      <c r="X465" s="8" t="s">
        <v>578</v>
      </c>
      <c r="Y465" s="8" t="s">
        <v>130</v>
      </c>
      <c r="Z465" s="8" t="s">
        <v>260</v>
      </c>
    </row>
    <row r="466" customFormat="false" ht="15" hidden="false" customHeight="false" outlineLevel="0" collapsed="false">
      <c r="A466" s="8" t="s">
        <v>265</v>
      </c>
      <c r="B466" s="8" t="s">
        <v>13</v>
      </c>
      <c r="C466" s="8" t="s">
        <v>14</v>
      </c>
      <c r="D466" s="8" t="s">
        <v>91</v>
      </c>
      <c r="E466" s="8" t="s">
        <v>40</v>
      </c>
      <c r="F466" s="8" t="s">
        <v>48</v>
      </c>
      <c r="G466" s="8" t="s">
        <v>31</v>
      </c>
      <c r="H466" s="8" t="s">
        <v>31</v>
      </c>
      <c r="I466" s="8" t="n">
        <f aca="false">IF(EXACT(G466,H466),1,0)</f>
        <v>1</v>
      </c>
      <c r="J466" s="8" t="n">
        <v>2</v>
      </c>
      <c r="K466" s="8" t="s">
        <v>116</v>
      </c>
      <c r="L466" s="8" t="n">
        <v>1</v>
      </c>
      <c r="M466" s="8" t="n">
        <v>1</v>
      </c>
      <c r="N466" s="8" t="s">
        <v>93</v>
      </c>
      <c r="O466" s="8" t="n">
        <v>1</v>
      </c>
      <c r="P466" s="10" t="n">
        <v>3.61</v>
      </c>
      <c r="Q466" s="8"/>
      <c r="R466" s="8"/>
      <c r="S466" s="8" t="s">
        <v>117</v>
      </c>
      <c r="T466" s="8" t="s">
        <v>256</v>
      </c>
      <c r="U466" s="8" t="s">
        <v>257</v>
      </c>
      <c r="V466" s="8"/>
      <c r="W466" s="8" t="s">
        <v>266</v>
      </c>
      <c r="X466" s="8" t="s">
        <v>578</v>
      </c>
      <c r="Y466" s="8" t="s">
        <v>130</v>
      </c>
      <c r="Z466" s="8" t="s">
        <v>260</v>
      </c>
    </row>
    <row r="467" customFormat="false" ht="15" hidden="false" customHeight="false" outlineLevel="0" collapsed="false">
      <c r="A467" s="8" t="s">
        <v>290</v>
      </c>
      <c r="B467" s="8" t="s">
        <v>13</v>
      </c>
      <c r="C467" s="8" t="s">
        <v>14</v>
      </c>
      <c r="D467" s="8" t="s">
        <v>91</v>
      </c>
      <c r="E467" s="8" t="s">
        <v>40</v>
      </c>
      <c r="F467" s="8" t="s">
        <v>51</v>
      </c>
      <c r="G467" s="8" t="s">
        <v>32</v>
      </c>
      <c r="H467" s="8" t="s">
        <v>30</v>
      </c>
      <c r="I467" s="8" t="n">
        <f aca="false">IF(EXACT(G467,H467),1,0)</f>
        <v>0</v>
      </c>
      <c r="J467" s="8" t="n">
        <v>0</v>
      </c>
      <c r="K467" s="8" t="s">
        <v>92</v>
      </c>
      <c r="L467" s="8" t="n">
        <v>0</v>
      </c>
      <c r="M467" s="8" t="n">
        <v>1</v>
      </c>
      <c r="N467" s="8" t="s">
        <v>93</v>
      </c>
      <c r="O467" s="8" t="n">
        <v>1</v>
      </c>
      <c r="P467" s="10" t="n">
        <v>3.53</v>
      </c>
      <c r="Q467" s="8"/>
      <c r="R467" s="8"/>
      <c r="S467" s="8" t="s">
        <v>101</v>
      </c>
      <c r="T467" s="8" t="s">
        <v>291</v>
      </c>
      <c r="U467" s="8" t="s">
        <v>292</v>
      </c>
      <c r="V467" s="8"/>
      <c r="W467" s="8" t="s">
        <v>293</v>
      </c>
      <c r="X467" s="8" t="s">
        <v>579</v>
      </c>
      <c r="Y467" s="8" t="s">
        <v>108</v>
      </c>
      <c r="Z467" s="8"/>
    </row>
    <row r="468" customFormat="false" ht="15" hidden="false" customHeight="false" outlineLevel="0" collapsed="false">
      <c r="A468" s="8" t="s">
        <v>290</v>
      </c>
      <c r="B468" s="8" t="s">
        <v>13</v>
      </c>
      <c r="C468" s="8" t="s">
        <v>14</v>
      </c>
      <c r="D468" s="8" t="s">
        <v>91</v>
      </c>
      <c r="E468" s="8" t="s">
        <v>40</v>
      </c>
      <c r="F468" s="8" t="s">
        <v>51</v>
      </c>
      <c r="G468" s="8" t="s">
        <v>32</v>
      </c>
      <c r="H468" s="8" t="s">
        <v>30</v>
      </c>
      <c r="I468" s="8" t="n">
        <f aca="false">IF(EXACT(G468,H468),1,0)</f>
        <v>0</v>
      </c>
      <c r="J468" s="8" t="n">
        <v>1</v>
      </c>
      <c r="K468" s="8" t="s">
        <v>92</v>
      </c>
      <c r="L468" s="8" t="n">
        <v>0</v>
      </c>
      <c r="M468" s="8" t="n">
        <v>1</v>
      </c>
      <c r="N468" s="8" t="s">
        <v>93</v>
      </c>
      <c r="O468" s="8" t="n">
        <v>1</v>
      </c>
      <c r="P468" s="10" t="n">
        <v>3.58</v>
      </c>
      <c r="Q468" s="8"/>
      <c r="R468" s="8"/>
      <c r="S468" s="8" t="s">
        <v>101</v>
      </c>
      <c r="T468" s="8" t="s">
        <v>291</v>
      </c>
      <c r="U468" s="8" t="s">
        <v>292</v>
      </c>
      <c r="V468" s="8"/>
      <c r="W468" s="8" t="s">
        <v>293</v>
      </c>
      <c r="X468" s="8" t="s">
        <v>579</v>
      </c>
      <c r="Y468" s="8" t="s">
        <v>108</v>
      </c>
      <c r="Z468" s="8"/>
    </row>
    <row r="469" customFormat="false" ht="15" hidden="false" customHeight="false" outlineLevel="0" collapsed="false">
      <c r="A469" s="8" t="s">
        <v>290</v>
      </c>
      <c r="B469" s="8" t="s">
        <v>13</v>
      </c>
      <c r="C469" s="8" t="s">
        <v>14</v>
      </c>
      <c r="D469" s="8" t="s">
        <v>91</v>
      </c>
      <c r="E469" s="8" t="s">
        <v>40</v>
      </c>
      <c r="F469" s="8" t="s">
        <v>51</v>
      </c>
      <c r="G469" s="8" t="s">
        <v>32</v>
      </c>
      <c r="H469" s="8" t="s">
        <v>30</v>
      </c>
      <c r="I469" s="8" t="n">
        <f aca="false">IF(EXACT(G469,H469),1,0)</f>
        <v>0</v>
      </c>
      <c r="J469" s="8" t="n">
        <v>2</v>
      </c>
      <c r="K469" s="8" t="s">
        <v>92</v>
      </c>
      <c r="L469" s="8" t="n">
        <v>0</v>
      </c>
      <c r="M469" s="8" t="n">
        <v>1</v>
      </c>
      <c r="N469" s="8" t="s">
        <v>93</v>
      </c>
      <c r="O469" s="8" t="n">
        <v>1</v>
      </c>
      <c r="P469" s="10" t="n">
        <v>3.57</v>
      </c>
      <c r="Q469" s="8"/>
      <c r="R469" s="8"/>
      <c r="S469" s="8" t="s">
        <v>101</v>
      </c>
      <c r="T469" s="8" t="s">
        <v>291</v>
      </c>
      <c r="U469" s="8" t="s">
        <v>292</v>
      </c>
      <c r="V469" s="8"/>
      <c r="W469" s="8" t="s">
        <v>293</v>
      </c>
      <c r="X469" s="8" t="s">
        <v>579</v>
      </c>
      <c r="Y469" s="8" t="s">
        <v>108</v>
      </c>
      <c r="Z469" s="8"/>
    </row>
    <row r="470" customFormat="false" ht="15" hidden="false" customHeight="false" outlineLevel="0" collapsed="false">
      <c r="A470" s="8" t="s">
        <v>295</v>
      </c>
      <c r="B470" s="8" t="s">
        <v>13</v>
      </c>
      <c r="C470" s="8" t="s">
        <v>14</v>
      </c>
      <c r="D470" s="8" t="s">
        <v>91</v>
      </c>
      <c r="E470" s="8" t="s">
        <v>40</v>
      </c>
      <c r="F470" s="8" t="s">
        <v>51</v>
      </c>
      <c r="G470" s="8" t="s">
        <v>30</v>
      </c>
      <c r="H470" s="8" t="s">
        <v>30</v>
      </c>
      <c r="I470" s="8" t="n">
        <f aca="false">IF(EXACT(G470,H470),1,0)</f>
        <v>1</v>
      </c>
      <c r="J470" s="8" t="n">
        <v>0</v>
      </c>
      <c r="K470" s="8" t="s">
        <v>92</v>
      </c>
      <c r="L470" s="8" t="n">
        <v>0</v>
      </c>
      <c r="M470" s="8" t="n">
        <v>1</v>
      </c>
      <c r="N470" s="8" t="s">
        <v>93</v>
      </c>
      <c r="O470" s="8" t="n">
        <v>1</v>
      </c>
      <c r="P470" s="10" t="n">
        <v>4</v>
      </c>
      <c r="Q470" s="8"/>
      <c r="R470" s="8"/>
      <c r="S470" s="8" t="s">
        <v>110</v>
      </c>
      <c r="T470" s="8" t="s">
        <v>291</v>
      </c>
      <c r="U470" s="8" t="s">
        <v>292</v>
      </c>
      <c r="V470" s="8"/>
      <c r="W470" s="8" t="s">
        <v>296</v>
      </c>
      <c r="X470" s="8" t="s">
        <v>580</v>
      </c>
      <c r="Y470" s="8" t="s">
        <v>190</v>
      </c>
      <c r="Z470" s="8"/>
    </row>
    <row r="471" customFormat="false" ht="15" hidden="false" customHeight="false" outlineLevel="0" collapsed="false">
      <c r="A471" s="8" t="s">
        <v>295</v>
      </c>
      <c r="B471" s="8" t="s">
        <v>13</v>
      </c>
      <c r="C471" s="8" t="s">
        <v>14</v>
      </c>
      <c r="D471" s="8" t="s">
        <v>91</v>
      </c>
      <c r="E471" s="8" t="s">
        <v>40</v>
      </c>
      <c r="F471" s="8" t="s">
        <v>51</v>
      </c>
      <c r="G471" s="8" t="s">
        <v>30</v>
      </c>
      <c r="H471" s="8" t="s">
        <v>30</v>
      </c>
      <c r="I471" s="8" t="n">
        <f aca="false">IF(EXACT(G471,H471),1,0)</f>
        <v>1</v>
      </c>
      <c r="J471" s="8" t="n">
        <v>1</v>
      </c>
      <c r="K471" s="8" t="s">
        <v>92</v>
      </c>
      <c r="L471" s="8" t="n">
        <v>0</v>
      </c>
      <c r="M471" s="8" t="n">
        <v>1</v>
      </c>
      <c r="N471" s="8" t="s">
        <v>93</v>
      </c>
      <c r="O471" s="8" t="n">
        <v>1</v>
      </c>
      <c r="P471" s="10" t="n">
        <v>3.59</v>
      </c>
      <c r="Q471" s="8"/>
      <c r="R471" s="8"/>
      <c r="S471" s="8" t="s">
        <v>110</v>
      </c>
      <c r="T471" s="8" t="s">
        <v>291</v>
      </c>
      <c r="U471" s="8" t="s">
        <v>292</v>
      </c>
      <c r="V471" s="8"/>
      <c r="W471" s="8" t="s">
        <v>296</v>
      </c>
      <c r="X471" s="8" t="s">
        <v>580</v>
      </c>
      <c r="Y471" s="8" t="s">
        <v>190</v>
      </c>
      <c r="Z471" s="8"/>
    </row>
    <row r="472" customFormat="false" ht="15" hidden="false" customHeight="false" outlineLevel="0" collapsed="false">
      <c r="A472" s="8" t="s">
        <v>295</v>
      </c>
      <c r="B472" s="8" t="s">
        <v>13</v>
      </c>
      <c r="C472" s="8" t="s">
        <v>14</v>
      </c>
      <c r="D472" s="8" t="s">
        <v>91</v>
      </c>
      <c r="E472" s="8" t="s">
        <v>40</v>
      </c>
      <c r="F472" s="8" t="s">
        <v>51</v>
      </c>
      <c r="G472" s="8" t="s">
        <v>30</v>
      </c>
      <c r="H472" s="8" t="s">
        <v>30</v>
      </c>
      <c r="I472" s="8" t="n">
        <f aca="false">IF(EXACT(G472,H472),1,0)</f>
        <v>1</v>
      </c>
      <c r="J472" s="8" t="n">
        <v>2</v>
      </c>
      <c r="K472" s="8" t="s">
        <v>92</v>
      </c>
      <c r="L472" s="8" t="n">
        <v>0</v>
      </c>
      <c r="M472" s="8" t="n">
        <v>1</v>
      </c>
      <c r="N472" s="8" t="s">
        <v>93</v>
      </c>
      <c r="O472" s="8" t="n">
        <v>1</v>
      </c>
      <c r="P472" s="10" t="n">
        <v>3.64</v>
      </c>
      <c r="Q472" s="8"/>
      <c r="R472" s="8"/>
      <c r="S472" s="8" t="s">
        <v>110</v>
      </c>
      <c r="T472" s="8" t="s">
        <v>291</v>
      </c>
      <c r="U472" s="8" t="s">
        <v>292</v>
      </c>
      <c r="V472" s="8"/>
      <c r="W472" s="8" t="s">
        <v>296</v>
      </c>
      <c r="X472" s="8" t="s">
        <v>580</v>
      </c>
      <c r="Y472" s="8" t="s">
        <v>190</v>
      </c>
      <c r="Z472" s="8"/>
    </row>
    <row r="473" customFormat="false" ht="15" hidden="false" customHeight="false" outlineLevel="0" collapsed="false">
      <c r="A473" s="8" t="s">
        <v>298</v>
      </c>
      <c r="B473" s="8" t="s">
        <v>13</v>
      </c>
      <c r="C473" s="8" t="s">
        <v>14</v>
      </c>
      <c r="D473" s="8" t="s">
        <v>91</v>
      </c>
      <c r="E473" s="8" t="s">
        <v>40</v>
      </c>
      <c r="F473" s="8" t="s">
        <v>51</v>
      </c>
      <c r="G473" s="8" t="s">
        <v>30</v>
      </c>
      <c r="H473" s="8" t="s">
        <v>30</v>
      </c>
      <c r="I473" s="8" t="n">
        <f aca="false">IF(EXACT(G473,H473),1,0)</f>
        <v>1</v>
      </c>
      <c r="J473" s="8" t="n">
        <v>0</v>
      </c>
      <c r="K473" s="8" t="s">
        <v>92</v>
      </c>
      <c r="L473" s="8" t="n">
        <v>0</v>
      </c>
      <c r="M473" s="8" t="n">
        <v>1</v>
      </c>
      <c r="N473" s="8" t="s">
        <v>93</v>
      </c>
      <c r="O473" s="8" t="n">
        <v>1</v>
      </c>
      <c r="P473" s="10" t="n">
        <v>3.65</v>
      </c>
      <c r="Q473" s="8"/>
      <c r="R473" s="8"/>
      <c r="S473" s="8" t="s">
        <v>150</v>
      </c>
      <c r="T473" s="8" t="s">
        <v>291</v>
      </c>
      <c r="U473" s="8" t="s">
        <v>292</v>
      </c>
      <c r="V473" s="8"/>
      <c r="W473" s="8" t="s">
        <v>299</v>
      </c>
      <c r="X473" s="8" t="s">
        <v>581</v>
      </c>
      <c r="Y473" s="8" t="s">
        <v>190</v>
      </c>
      <c r="Z473" s="8"/>
    </row>
    <row r="474" customFormat="false" ht="15" hidden="false" customHeight="false" outlineLevel="0" collapsed="false">
      <c r="A474" s="8" t="s">
        <v>298</v>
      </c>
      <c r="B474" s="8" t="s">
        <v>13</v>
      </c>
      <c r="C474" s="8" t="s">
        <v>14</v>
      </c>
      <c r="D474" s="8" t="s">
        <v>91</v>
      </c>
      <c r="E474" s="8" t="s">
        <v>40</v>
      </c>
      <c r="F474" s="8" t="s">
        <v>51</v>
      </c>
      <c r="G474" s="8" t="s">
        <v>30</v>
      </c>
      <c r="H474" s="8" t="s">
        <v>30</v>
      </c>
      <c r="I474" s="8" t="n">
        <f aca="false">IF(EXACT(G474,H474),1,0)</f>
        <v>1</v>
      </c>
      <c r="J474" s="8" t="n">
        <v>1</v>
      </c>
      <c r="K474" s="8" t="s">
        <v>92</v>
      </c>
      <c r="L474" s="8" t="n">
        <v>0</v>
      </c>
      <c r="M474" s="8" t="n">
        <v>1</v>
      </c>
      <c r="N474" s="8" t="s">
        <v>93</v>
      </c>
      <c r="O474" s="8" t="n">
        <v>1</v>
      </c>
      <c r="P474" s="10" t="n">
        <v>3.62</v>
      </c>
      <c r="Q474" s="8"/>
      <c r="R474" s="8"/>
      <c r="S474" s="8" t="s">
        <v>150</v>
      </c>
      <c r="T474" s="8" t="s">
        <v>291</v>
      </c>
      <c r="U474" s="8" t="s">
        <v>292</v>
      </c>
      <c r="V474" s="8"/>
      <c r="W474" s="8" t="s">
        <v>299</v>
      </c>
      <c r="X474" s="8" t="s">
        <v>581</v>
      </c>
      <c r="Y474" s="8" t="s">
        <v>190</v>
      </c>
      <c r="Z474" s="8"/>
    </row>
    <row r="475" customFormat="false" ht="15" hidden="false" customHeight="false" outlineLevel="0" collapsed="false">
      <c r="A475" s="8" t="s">
        <v>298</v>
      </c>
      <c r="B475" s="8" t="s">
        <v>13</v>
      </c>
      <c r="C475" s="8" t="s">
        <v>14</v>
      </c>
      <c r="D475" s="8" t="s">
        <v>91</v>
      </c>
      <c r="E475" s="8" t="s">
        <v>40</v>
      </c>
      <c r="F475" s="8" t="s">
        <v>51</v>
      </c>
      <c r="G475" s="8" t="s">
        <v>30</v>
      </c>
      <c r="H475" s="8" t="s">
        <v>30</v>
      </c>
      <c r="I475" s="8" t="n">
        <f aca="false">IF(EXACT(G475,H475),1,0)</f>
        <v>1</v>
      </c>
      <c r="J475" s="8" t="n">
        <v>2</v>
      </c>
      <c r="K475" s="8" t="s">
        <v>92</v>
      </c>
      <c r="L475" s="8" t="n">
        <v>0</v>
      </c>
      <c r="M475" s="8" t="n">
        <v>1</v>
      </c>
      <c r="N475" s="8" t="s">
        <v>93</v>
      </c>
      <c r="O475" s="8" t="n">
        <v>1</v>
      </c>
      <c r="P475" s="10" t="n">
        <v>3.59</v>
      </c>
      <c r="Q475" s="8"/>
      <c r="R475" s="8"/>
      <c r="S475" s="8" t="s">
        <v>150</v>
      </c>
      <c r="T475" s="8" t="s">
        <v>291</v>
      </c>
      <c r="U475" s="8" t="s">
        <v>292</v>
      </c>
      <c r="V475" s="8"/>
      <c r="W475" s="8" t="s">
        <v>299</v>
      </c>
      <c r="X475" s="8" t="s">
        <v>581</v>
      </c>
      <c r="Y475" s="8" t="s">
        <v>190</v>
      </c>
      <c r="Z475" s="8"/>
    </row>
    <row r="476" customFormat="false" ht="15" hidden="false" customHeight="false" outlineLevel="0" collapsed="false">
      <c r="A476" s="8" t="s">
        <v>301</v>
      </c>
      <c r="B476" s="8" t="s">
        <v>13</v>
      </c>
      <c r="C476" s="8" t="s">
        <v>14</v>
      </c>
      <c r="D476" s="8" t="s">
        <v>91</v>
      </c>
      <c r="E476" s="8" t="s">
        <v>40</v>
      </c>
      <c r="F476" s="8" t="s">
        <v>51</v>
      </c>
      <c r="G476" s="8" t="s">
        <v>32</v>
      </c>
      <c r="H476" s="8" t="s">
        <v>30</v>
      </c>
      <c r="I476" s="8" t="n">
        <f aca="false">IF(EXACT(G476,H476),1,0)</f>
        <v>0</v>
      </c>
      <c r="J476" s="8" t="n">
        <v>0</v>
      </c>
      <c r="K476" s="8" t="s">
        <v>92</v>
      </c>
      <c r="L476" s="8" t="n">
        <v>0</v>
      </c>
      <c r="M476" s="8" t="n">
        <v>1</v>
      </c>
      <c r="N476" s="8" t="s">
        <v>93</v>
      </c>
      <c r="O476" s="8" t="n">
        <v>1</v>
      </c>
      <c r="P476" s="10" t="n">
        <v>3.44</v>
      </c>
      <c r="Q476" s="8"/>
      <c r="R476" s="8"/>
      <c r="S476" s="8" t="s">
        <v>132</v>
      </c>
      <c r="T476" s="8" t="s">
        <v>291</v>
      </c>
      <c r="U476" s="8" t="s">
        <v>292</v>
      </c>
      <c r="V476" s="8"/>
      <c r="W476" s="8" t="s">
        <v>302</v>
      </c>
      <c r="X476" s="8" t="s">
        <v>582</v>
      </c>
      <c r="Y476" s="8" t="s">
        <v>108</v>
      </c>
      <c r="Z476" s="8"/>
    </row>
    <row r="477" customFormat="false" ht="15" hidden="false" customHeight="false" outlineLevel="0" collapsed="false">
      <c r="A477" s="8" t="s">
        <v>301</v>
      </c>
      <c r="B477" s="8" t="s">
        <v>13</v>
      </c>
      <c r="C477" s="8" t="s">
        <v>14</v>
      </c>
      <c r="D477" s="8" t="s">
        <v>91</v>
      </c>
      <c r="E477" s="8" t="s">
        <v>40</v>
      </c>
      <c r="F477" s="8" t="s">
        <v>51</v>
      </c>
      <c r="G477" s="8" t="s">
        <v>32</v>
      </c>
      <c r="H477" s="8" t="s">
        <v>30</v>
      </c>
      <c r="I477" s="8" t="n">
        <f aca="false">IF(EXACT(G477,H477),1,0)</f>
        <v>0</v>
      </c>
      <c r="J477" s="8" t="n">
        <v>1</v>
      </c>
      <c r="K477" s="8" t="s">
        <v>92</v>
      </c>
      <c r="L477" s="8" t="n">
        <v>0</v>
      </c>
      <c r="M477" s="8" t="n">
        <v>1</v>
      </c>
      <c r="N477" s="8" t="s">
        <v>93</v>
      </c>
      <c r="O477" s="8" t="n">
        <v>1</v>
      </c>
      <c r="P477" s="10" t="n">
        <v>3.46</v>
      </c>
      <c r="Q477" s="8"/>
      <c r="R477" s="8"/>
      <c r="S477" s="8" t="s">
        <v>132</v>
      </c>
      <c r="T477" s="8" t="s">
        <v>291</v>
      </c>
      <c r="U477" s="8" t="s">
        <v>292</v>
      </c>
      <c r="V477" s="8"/>
      <c r="W477" s="8" t="s">
        <v>302</v>
      </c>
      <c r="X477" s="8" t="s">
        <v>582</v>
      </c>
      <c r="Y477" s="8" t="s">
        <v>108</v>
      </c>
      <c r="Z477" s="8"/>
    </row>
    <row r="478" customFormat="false" ht="15" hidden="false" customHeight="false" outlineLevel="0" collapsed="false">
      <c r="A478" s="8" t="s">
        <v>301</v>
      </c>
      <c r="B478" s="8" t="s">
        <v>13</v>
      </c>
      <c r="C478" s="8" t="s">
        <v>14</v>
      </c>
      <c r="D478" s="8" t="s">
        <v>91</v>
      </c>
      <c r="E478" s="8" t="s">
        <v>40</v>
      </c>
      <c r="F478" s="8" t="s">
        <v>51</v>
      </c>
      <c r="G478" s="8" t="s">
        <v>32</v>
      </c>
      <c r="H478" s="8" t="s">
        <v>30</v>
      </c>
      <c r="I478" s="8" t="n">
        <f aca="false">IF(EXACT(G478,H478),1,0)</f>
        <v>0</v>
      </c>
      <c r="J478" s="8" t="n">
        <v>2</v>
      </c>
      <c r="K478" s="8" t="s">
        <v>92</v>
      </c>
      <c r="L478" s="8" t="n">
        <v>0</v>
      </c>
      <c r="M478" s="8" t="n">
        <v>1</v>
      </c>
      <c r="N478" s="8" t="s">
        <v>93</v>
      </c>
      <c r="O478" s="8" t="n">
        <v>1</v>
      </c>
      <c r="P478" s="10" t="n">
        <v>3.45</v>
      </c>
      <c r="Q478" s="8"/>
      <c r="R478" s="8"/>
      <c r="S478" s="8" t="s">
        <v>132</v>
      </c>
      <c r="T478" s="8" t="s">
        <v>291</v>
      </c>
      <c r="U478" s="8" t="s">
        <v>292</v>
      </c>
      <c r="V478" s="8"/>
      <c r="W478" s="8" t="s">
        <v>302</v>
      </c>
      <c r="X478" s="8" t="s">
        <v>582</v>
      </c>
      <c r="Y478" s="8" t="s">
        <v>108</v>
      </c>
      <c r="Z478" s="8"/>
    </row>
    <row r="479" customFormat="false" ht="15" hidden="false" customHeight="false" outlineLevel="0" collapsed="false">
      <c r="A479" s="8" t="s">
        <v>304</v>
      </c>
      <c r="B479" s="8" t="s">
        <v>13</v>
      </c>
      <c r="C479" s="8" t="s">
        <v>14</v>
      </c>
      <c r="D479" s="8" t="s">
        <v>91</v>
      </c>
      <c r="E479" s="8" t="s">
        <v>40</v>
      </c>
      <c r="F479" s="8" t="s">
        <v>51</v>
      </c>
      <c r="G479" s="8" t="s">
        <v>31</v>
      </c>
      <c r="H479" s="8" t="s">
        <v>30</v>
      </c>
      <c r="I479" s="8" t="n">
        <f aca="false">IF(EXACT(G479,H479),1,0)</f>
        <v>0</v>
      </c>
      <c r="J479" s="8" t="n">
        <v>0</v>
      </c>
      <c r="K479" s="8" t="s">
        <v>92</v>
      </c>
      <c r="L479" s="8" t="n">
        <v>0</v>
      </c>
      <c r="M479" s="8" t="n">
        <v>1</v>
      </c>
      <c r="N479" s="8" t="s">
        <v>93</v>
      </c>
      <c r="O479" s="8" t="n">
        <v>1</v>
      </c>
      <c r="P479" s="10" t="n">
        <v>3.52</v>
      </c>
      <c r="Q479" s="8"/>
      <c r="R479" s="8"/>
      <c r="S479" s="8" t="s">
        <v>117</v>
      </c>
      <c r="T479" s="8" t="s">
        <v>291</v>
      </c>
      <c r="U479" s="8" t="s">
        <v>292</v>
      </c>
      <c r="V479" s="8"/>
      <c r="W479" s="8" t="s">
        <v>305</v>
      </c>
      <c r="X479" s="8" t="s">
        <v>583</v>
      </c>
      <c r="Y479" s="8" t="s">
        <v>190</v>
      </c>
      <c r="Z479" s="8"/>
    </row>
    <row r="480" customFormat="false" ht="15" hidden="false" customHeight="false" outlineLevel="0" collapsed="false">
      <c r="A480" s="8" t="s">
        <v>304</v>
      </c>
      <c r="B480" s="8" t="s">
        <v>13</v>
      </c>
      <c r="C480" s="8" t="s">
        <v>14</v>
      </c>
      <c r="D480" s="8" t="s">
        <v>91</v>
      </c>
      <c r="E480" s="8" t="s">
        <v>40</v>
      </c>
      <c r="F480" s="8" t="s">
        <v>51</v>
      </c>
      <c r="G480" s="8" t="s">
        <v>31</v>
      </c>
      <c r="H480" s="8" t="s">
        <v>30</v>
      </c>
      <c r="I480" s="8" t="n">
        <f aca="false">IF(EXACT(G480,H480),1,0)</f>
        <v>0</v>
      </c>
      <c r="J480" s="8" t="n">
        <v>1</v>
      </c>
      <c r="K480" s="8" t="s">
        <v>92</v>
      </c>
      <c r="L480" s="8" t="n">
        <v>0</v>
      </c>
      <c r="M480" s="8" t="n">
        <v>1</v>
      </c>
      <c r="N480" s="8" t="s">
        <v>93</v>
      </c>
      <c r="O480" s="8" t="n">
        <v>1</v>
      </c>
      <c r="P480" s="10" t="n">
        <v>3.58</v>
      </c>
      <c r="Q480" s="8"/>
      <c r="R480" s="8"/>
      <c r="S480" s="8" t="s">
        <v>117</v>
      </c>
      <c r="T480" s="8" t="s">
        <v>291</v>
      </c>
      <c r="U480" s="8" t="s">
        <v>292</v>
      </c>
      <c r="V480" s="8"/>
      <c r="W480" s="8" t="s">
        <v>305</v>
      </c>
      <c r="X480" s="8" t="s">
        <v>583</v>
      </c>
      <c r="Y480" s="8" t="s">
        <v>190</v>
      </c>
      <c r="Z480" s="8"/>
    </row>
    <row r="481" customFormat="false" ht="15" hidden="false" customHeight="false" outlineLevel="0" collapsed="false">
      <c r="A481" s="8" t="s">
        <v>304</v>
      </c>
      <c r="B481" s="8" t="s">
        <v>13</v>
      </c>
      <c r="C481" s="8" t="s">
        <v>14</v>
      </c>
      <c r="D481" s="8" t="s">
        <v>91</v>
      </c>
      <c r="E481" s="8" t="s">
        <v>40</v>
      </c>
      <c r="F481" s="8" t="s">
        <v>51</v>
      </c>
      <c r="G481" s="8" t="s">
        <v>31</v>
      </c>
      <c r="H481" s="8" t="s">
        <v>30</v>
      </c>
      <c r="I481" s="8" t="n">
        <f aca="false">IF(EXACT(G481,H481),1,0)</f>
        <v>0</v>
      </c>
      <c r="J481" s="8" t="n">
        <v>2</v>
      </c>
      <c r="K481" s="8" t="s">
        <v>92</v>
      </c>
      <c r="L481" s="8" t="n">
        <v>0</v>
      </c>
      <c r="M481" s="8" t="n">
        <v>1</v>
      </c>
      <c r="N481" s="8" t="s">
        <v>93</v>
      </c>
      <c r="O481" s="8" t="n">
        <v>1</v>
      </c>
      <c r="P481" s="10" t="n">
        <v>3.59</v>
      </c>
      <c r="Q481" s="8"/>
      <c r="R481" s="8"/>
      <c r="S481" s="8" t="s">
        <v>117</v>
      </c>
      <c r="T481" s="8" t="s">
        <v>291</v>
      </c>
      <c r="U481" s="8" t="s">
        <v>292</v>
      </c>
      <c r="V481" s="8"/>
      <c r="W481" s="8" t="s">
        <v>305</v>
      </c>
      <c r="X481" s="8" t="s">
        <v>583</v>
      </c>
      <c r="Y481" s="8" t="s">
        <v>190</v>
      </c>
      <c r="Z481" s="8"/>
    </row>
    <row r="482" customFormat="false" ht="15" hidden="false" customHeight="false" outlineLevel="0" collapsed="false">
      <c r="A482" s="8" t="s">
        <v>307</v>
      </c>
      <c r="B482" s="8" t="s">
        <v>13</v>
      </c>
      <c r="C482" s="8" t="s">
        <v>14</v>
      </c>
      <c r="D482" s="8" t="s">
        <v>91</v>
      </c>
      <c r="E482" s="8" t="s">
        <v>40</v>
      </c>
      <c r="F482" s="8" t="s">
        <v>51</v>
      </c>
      <c r="G482" s="8" t="s">
        <v>31</v>
      </c>
      <c r="H482" s="8" t="s">
        <v>31</v>
      </c>
      <c r="I482" s="8" t="n">
        <f aca="false">IF(EXACT(G482,H482),1,0)</f>
        <v>1</v>
      </c>
      <c r="J482" s="8" t="n">
        <v>0</v>
      </c>
      <c r="K482" s="8" t="s">
        <v>116</v>
      </c>
      <c r="L482" s="8" t="n">
        <v>1</v>
      </c>
      <c r="M482" s="8" t="n">
        <v>1</v>
      </c>
      <c r="N482" s="8" t="s">
        <v>93</v>
      </c>
      <c r="O482" s="8" t="n">
        <v>1</v>
      </c>
      <c r="P482" s="10" t="n">
        <v>3.59</v>
      </c>
      <c r="Q482" s="8"/>
      <c r="R482" s="8"/>
      <c r="S482" s="8" t="s">
        <v>308</v>
      </c>
      <c r="T482" s="8"/>
      <c r="U482" s="8"/>
      <c r="V482" s="8" t="s">
        <v>309</v>
      </c>
      <c r="W482" s="8"/>
      <c r="X482" s="8" t="s">
        <v>584</v>
      </c>
      <c r="Y482" s="8" t="s">
        <v>190</v>
      </c>
      <c r="Z482" s="8" t="s">
        <v>311</v>
      </c>
    </row>
    <row r="483" customFormat="false" ht="15" hidden="false" customHeight="false" outlineLevel="0" collapsed="false">
      <c r="A483" s="8" t="s">
        <v>307</v>
      </c>
      <c r="B483" s="8" t="s">
        <v>13</v>
      </c>
      <c r="C483" s="8" t="s">
        <v>14</v>
      </c>
      <c r="D483" s="8" t="s">
        <v>91</v>
      </c>
      <c r="E483" s="8" t="s">
        <v>40</v>
      </c>
      <c r="F483" s="8" t="s">
        <v>51</v>
      </c>
      <c r="G483" s="8" t="s">
        <v>31</v>
      </c>
      <c r="H483" s="8" t="s">
        <v>31</v>
      </c>
      <c r="I483" s="8" t="n">
        <f aca="false">IF(EXACT(G483,H483),1,0)</f>
        <v>1</v>
      </c>
      <c r="J483" s="8" t="n">
        <v>1</v>
      </c>
      <c r="K483" s="8" t="s">
        <v>116</v>
      </c>
      <c r="L483" s="8" t="n">
        <v>1</v>
      </c>
      <c r="M483" s="8" t="n">
        <v>1</v>
      </c>
      <c r="N483" s="8" t="s">
        <v>93</v>
      </c>
      <c r="O483" s="8" t="n">
        <v>1</v>
      </c>
      <c r="P483" s="10" t="n">
        <v>3.57</v>
      </c>
      <c r="Q483" s="8"/>
      <c r="R483" s="8"/>
      <c r="S483" s="8" t="s">
        <v>308</v>
      </c>
      <c r="T483" s="8"/>
      <c r="U483" s="8"/>
      <c r="V483" s="8" t="s">
        <v>309</v>
      </c>
      <c r="W483" s="8"/>
      <c r="X483" s="8" t="s">
        <v>584</v>
      </c>
      <c r="Y483" s="8" t="s">
        <v>190</v>
      </c>
      <c r="Z483" s="8" t="s">
        <v>311</v>
      </c>
    </row>
    <row r="484" customFormat="false" ht="15" hidden="false" customHeight="false" outlineLevel="0" collapsed="false">
      <c r="A484" s="8" t="s">
        <v>307</v>
      </c>
      <c r="B484" s="8" t="s">
        <v>13</v>
      </c>
      <c r="C484" s="8" t="s">
        <v>14</v>
      </c>
      <c r="D484" s="8" t="s">
        <v>91</v>
      </c>
      <c r="E484" s="8" t="s">
        <v>40</v>
      </c>
      <c r="F484" s="8" t="s">
        <v>51</v>
      </c>
      <c r="G484" s="8" t="s">
        <v>31</v>
      </c>
      <c r="H484" s="8" t="s">
        <v>31</v>
      </c>
      <c r="I484" s="8" t="n">
        <f aca="false">IF(EXACT(G484,H484),1,0)</f>
        <v>1</v>
      </c>
      <c r="J484" s="8" t="n">
        <v>2</v>
      </c>
      <c r="K484" s="8" t="s">
        <v>116</v>
      </c>
      <c r="L484" s="8" t="n">
        <v>1</v>
      </c>
      <c r="M484" s="8" t="n">
        <v>1</v>
      </c>
      <c r="N484" s="8" t="s">
        <v>93</v>
      </c>
      <c r="O484" s="8" t="n">
        <v>1</v>
      </c>
      <c r="P484" s="10" t="n">
        <v>3.59</v>
      </c>
      <c r="Q484" s="8"/>
      <c r="R484" s="8"/>
      <c r="S484" s="8" t="s">
        <v>308</v>
      </c>
      <c r="T484" s="8"/>
      <c r="U484" s="8"/>
      <c r="V484" s="8" t="s">
        <v>309</v>
      </c>
      <c r="W484" s="8"/>
      <c r="X484" s="8" t="s">
        <v>584</v>
      </c>
      <c r="Y484" s="8" t="s">
        <v>190</v>
      </c>
      <c r="Z484" s="8" t="s">
        <v>311</v>
      </c>
    </row>
    <row r="485" customFormat="false" ht="15" hidden="false" customHeight="false" outlineLevel="0" collapsed="false">
      <c r="A485" s="8" t="s">
        <v>585</v>
      </c>
      <c r="B485" s="8" t="s">
        <v>13</v>
      </c>
      <c r="C485" s="8" t="s">
        <v>14</v>
      </c>
      <c r="D485" s="8" t="s">
        <v>91</v>
      </c>
      <c r="E485" s="8" t="s">
        <v>40</v>
      </c>
      <c r="F485" s="8" t="s">
        <v>54</v>
      </c>
      <c r="G485" s="8" t="s">
        <v>31</v>
      </c>
      <c r="H485" s="8" t="s">
        <v>30</v>
      </c>
      <c r="I485" s="8" t="n">
        <f aca="false">IF(EXACT(G485,H485),1,0)</f>
        <v>0</v>
      </c>
      <c r="J485" s="8" t="n">
        <v>0</v>
      </c>
      <c r="K485" s="8" t="s">
        <v>92</v>
      </c>
      <c r="L485" s="8" t="n">
        <v>0</v>
      </c>
      <c r="M485" s="8" t="n">
        <v>1</v>
      </c>
      <c r="N485" s="8" t="s">
        <v>93</v>
      </c>
      <c r="O485" s="8" t="n">
        <v>1</v>
      </c>
      <c r="P485" s="10" t="n">
        <v>3.6</v>
      </c>
      <c r="Q485" s="8"/>
      <c r="R485" s="8"/>
      <c r="S485" s="8" t="s">
        <v>586</v>
      </c>
      <c r="T485" s="8"/>
      <c r="U485" s="8"/>
      <c r="V485" s="8" t="s">
        <v>155</v>
      </c>
      <c r="W485" s="8"/>
      <c r="X485" s="8" t="s">
        <v>587</v>
      </c>
      <c r="Y485" s="8" t="s">
        <v>161</v>
      </c>
      <c r="Z485" s="8"/>
    </row>
    <row r="486" customFormat="false" ht="15" hidden="false" customHeight="false" outlineLevel="0" collapsed="false">
      <c r="A486" s="8" t="s">
        <v>585</v>
      </c>
      <c r="B486" s="8" t="s">
        <v>13</v>
      </c>
      <c r="C486" s="8" t="s">
        <v>14</v>
      </c>
      <c r="D486" s="8" t="s">
        <v>91</v>
      </c>
      <c r="E486" s="8" t="s">
        <v>40</v>
      </c>
      <c r="F486" s="8" t="s">
        <v>54</v>
      </c>
      <c r="G486" s="8" t="s">
        <v>31</v>
      </c>
      <c r="H486" s="8" t="s">
        <v>30</v>
      </c>
      <c r="I486" s="8" t="n">
        <f aca="false">IF(EXACT(G486,H486),1,0)</f>
        <v>0</v>
      </c>
      <c r="J486" s="8" t="n">
        <v>1</v>
      </c>
      <c r="K486" s="8" t="s">
        <v>92</v>
      </c>
      <c r="L486" s="8" t="n">
        <v>0</v>
      </c>
      <c r="M486" s="8" t="n">
        <v>1</v>
      </c>
      <c r="N486" s="8" t="s">
        <v>93</v>
      </c>
      <c r="O486" s="8" t="n">
        <v>1</v>
      </c>
      <c r="P486" s="10" t="n">
        <v>3.61</v>
      </c>
      <c r="Q486" s="8"/>
      <c r="R486" s="8"/>
      <c r="S486" s="8" t="s">
        <v>586</v>
      </c>
      <c r="T486" s="8"/>
      <c r="U486" s="8"/>
      <c r="V486" s="8" t="s">
        <v>155</v>
      </c>
      <c r="W486" s="8"/>
      <c r="X486" s="8" t="s">
        <v>587</v>
      </c>
      <c r="Y486" s="8" t="s">
        <v>161</v>
      </c>
      <c r="Z486" s="8"/>
    </row>
    <row r="487" customFormat="false" ht="15" hidden="false" customHeight="false" outlineLevel="0" collapsed="false">
      <c r="A487" s="8" t="s">
        <v>585</v>
      </c>
      <c r="B487" s="8" t="s">
        <v>13</v>
      </c>
      <c r="C487" s="8" t="s">
        <v>14</v>
      </c>
      <c r="D487" s="8" t="s">
        <v>91</v>
      </c>
      <c r="E487" s="8" t="s">
        <v>40</v>
      </c>
      <c r="F487" s="8" t="s">
        <v>54</v>
      </c>
      <c r="G487" s="8" t="s">
        <v>31</v>
      </c>
      <c r="H487" s="8" t="s">
        <v>30</v>
      </c>
      <c r="I487" s="8" t="n">
        <f aca="false">IF(EXACT(G487,H487),1,0)</f>
        <v>0</v>
      </c>
      <c r="J487" s="8" t="n">
        <v>2</v>
      </c>
      <c r="K487" s="8" t="s">
        <v>92</v>
      </c>
      <c r="L487" s="8" t="n">
        <v>0</v>
      </c>
      <c r="M487" s="8" t="n">
        <v>1</v>
      </c>
      <c r="N487" s="8" t="s">
        <v>93</v>
      </c>
      <c r="O487" s="8" t="n">
        <v>1</v>
      </c>
      <c r="P487" s="10" t="n">
        <v>3.63</v>
      </c>
      <c r="Q487" s="8"/>
      <c r="R487" s="8"/>
      <c r="S487" s="8" t="s">
        <v>586</v>
      </c>
      <c r="T487" s="8"/>
      <c r="U487" s="8"/>
      <c r="V487" s="8" t="s">
        <v>155</v>
      </c>
      <c r="W487" s="8"/>
      <c r="X487" s="8" t="s">
        <v>587</v>
      </c>
      <c r="Y487" s="8" t="s">
        <v>161</v>
      </c>
      <c r="Z487" s="8"/>
    </row>
    <row r="488" customFormat="false" ht="15" hidden="false" customHeight="false" outlineLevel="0" collapsed="false">
      <c r="A488" s="8" t="s">
        <v>588</v>
      </c>
      <c r="B488" s="8" t="s">
        <v>13</v>
      </c>
      <c r="C488" s="8" t="s">
        <v>14</v>
      </c>
      <c r="D488" s="8" t="s">
        <v>91</v>
      </c>
      <c r="E488" s="8" t="s">
        <v>40</v>
      </c>
      <c r="F488" s="8" t="s">
        <v>54</v>
      </c>
      <c r="G488" s="8" t="s">
        <v>31</v>
      </c>
      <c r="H488" s="8" t="s">
        <v>30</v>
      </c>
      <c r="I488" s="8" t="n">
        <f aca="false">IF(EXACT(G488,H488),1,0)</f>
        <v>0</v>
      </c>
      <c r="J488" s="8" t="n">
        <v>0</v>
      </c>
      <c r="K488" s="8" t="s">
        <v>92</v>
      </c>
      <c r="L488" s="8" t="n">
        <v>0</v>
      </c>
      <c r="M488" s="8" t="n">
        <v>1</v>
      </c>
      <c r="N488" s="8" t="s">
        <v>93</v>
      </c>
      <c r="O488" s="8" t="n">
        <v>1</v>
      </c>
      <c r="P488" s="10" t="n">
        <v>3.61</v>
      </c>
      <c r="Q488" s="8"/>
      <c r="R488" s="8"/>
      <c r="S488" s="8" t="s">
        <v>589</v>
      </c>
      <c r="T488" s="8"/>
      <c r="U488" s="8"/>
      <c r="V488" s="8" t="s">
        <v>155</v>
      </c>
      <c r="W488" s="8"/>
      <c r="X488" s="8" t="s">
        <v>590</v>
      </c>
      <c r="Y488" s="8" t="s">
        <v>161</v>
      </c>
      <c r="Z488" s="8"/>
    </row>
    <row r="489" customFormat="false" ht="15" hidden="false" customHeight="false" outlineLevel="0" collapsed="false">
      <c r="A489" s="8" t="s">
        <v>588</v>
      </c>
      <c r="B489" s="8" t="s">
        <v>13</v>
      </c>
      <c r="C489" s="8" t="s">
        <v>14</v>
      </c>
      <c r="D489" s="8" t="s">
        <v>91</v>
      </c>
      <c r="E489" s="8" t="s">
        <v>40</v>
      </c>
      <c r="F489" s="8" t="s">
        <v>54</v>
      </c>
      <c r="G489" s="8" t="s">
        <v>31</v>
      </c>
      <c r="H489" s="8" t="s">
        <v>30</v>
      </c>
      <c r="I489" s="8" t="n">
        <f aca="false">IF(EXACT(G489,H489),1,0)</f>
        <v>0</v>
      </c>
      <c r="J489" s="8" t="n">
        <v>1</v>
      </c>
      <c r="K489" s="8" t="s">
        <v>92</v>
      </c>
      <c r="L489" s="8" t="n">
        <v>0</v>
      </c>
      <c r="M489" s="8" t="n">
        <v>1</v>
      </c>
      <c r="N489" s="8" t="s">
        <v>93</v>
      </c>
      <c r="O489" s="8" t="n">
        <v>1</v>
      </c>
      <c r="P489" s="10" t="n">
        <v>3.55</v>
      </c>
      <c r="Q489" s="8"/>
      <c r="R489" s="8"/>
      <c r="S489" s="8" t="s">
        <v>589</v>
      </c>
      <c r="T489" s="8"/>
      <c r="U489" s="8"/>
      <c r="V489" s="8" t="s">
        <v>155</v>
      </c>
      <c r="W489" s="8"/>
      <c r="X489" s="8" t="s">
        <v>590</v>
      </c>
      <c r="Y489" s="8" t="s">
        <v>161</v>
      </c>
      <c r="Z489" s="8"/>
    </row>
    <row r="490" customFormat="false" ht="15" hidden="false" customHeight="false" outlineLevel="0" collapsed="false">
      <c r="A490" s="8" t="s">
        <v>588</v>
      </c>
      <c r="B490" s="8" t="s">
        <v>13</v>
      </c>
      <c r="C490" s="8" t="s">
        <v>14</v>
      </c>
      <c r="D490" s="8" t="s">
        <v>91</v>
      </c>
      <c r="E490" s="8" t="s">
        <v>40</v>
      </c>
      <c r="F490" s="8" t="s">
        <v>54</v>
      </c>
      <c r="G490" s="8" t="s">
        <v>31</v>
      </c>
      <c r="H490" s="8" t="s">
        <v>30</v>
      </c>
      <c r="I490" s="8" t="n">
        <f aca="false">IF(EXACT(G490,H490),1,0)</f>
        <v>0</v>
      </c>
      <c r="J490" s="8" t="n">
        <v>2</v>
      </c>
      <c r="K490" s="8" t="s">
        <v>92</v>
      </c>
      <c r="L490" s="8" t="n">
        <v>0</v>
      </c>
      <c r="M490" s="8" t="n">
        <v>1</v>
      </c>
      <c r="N490" s="8" t="s">
        <v>93</v>
      </c>
      <c r="O490" s="8" t="n">
        <v>1</v>
      </c>
      <c r="P490" s="10" t="n">
        <v>3.51</v>
      </c>
      <c r="Q490" s="8"/>
      <c r="R490" s="8"/>
      <c r="S490" s="8" t="s">
        <v>589</v>
      </c>
      <c r="T490" s="8"/>
      <c r="U490" s="8"/>
      <c r="V490" s="8" t="s">
        <v>155</v>
      </c>
      <c r="W490" s="8"/>
      <c r="X490" s="8" t="s">
        <v>590</v>
      </c>
      <c r="Y490" s="8" t="s">
        <v>161</v>
      </c>
      <c r="Z490" s="8"/>
    </row>
    <row r="491" customFormat="false" ht="15" hidden="false" customHeight="false" outlineLevel="0" collapsed="false">
      <c r="A491" s="8" t="s">
        <v>591</v>
      </c>
      <c r="B491" s="8" t="s">
        <v>13</v>
      </c>
      <c r="C491" s="8" t="s">
        <v>14</v>
      </c>
      <c r="D491" s="8" t="s">
        <v>91</v>
      </c>
      <c r="E491" s="8" t="s">
        <v>40</v>
      </c>
      <c r="F491" s="8" t="s">
        <v>54</v>
      </c>
      <c r="G491" s="8" t="s">
        <v>32</v>
      </c>
      <c r="H491" s="8" t="s">
        <v>30</v>
      </c>
      <c r="I491" s="8" t="n">
        <f aca="false">IF(EXACT(G491,H491),1,0)</f>
        <v>0</v>
      </c>
      <c r="J491" s="8" t="n">
        <v>0</v>
      </c>
      <c r="K491" s="8" t="s">
        <v>92</v>
      </c>
      <c r="L491" s="8" t="n">
        <v>0</v>
      </c>
      <c r="M491" s="8" t="n">
        <v>1</v>
      </c>
      <c r="N491" s="8" t="s">
        <v>93</v>
      </c>
      <c r="O491" s="8" t="n">
        <v>1</v>
      </c>
      <c r="P491" s="10" t="n">
        <v>3.6</v>
      </c>
      <c r="Q491" s="8"/>
      <c r="R491" s="8"/>
      <c r="S491" s="8" t="s">
        <v>592</v>
      </c>
      <c r="T491" s="8"/>
      <c r="U491" s="8"/>
      <c r="V491" s="8" t="s">
        <v>155</v>
      </c>
      <c r="W491" s="8"/>
      <c r="X491" s="8" t="s">
        <v>593</v>
      </c>
      <c r="Y491" s="8" t="s">
        <v>161</v>
      </c>
      <c r="Z491" s="8"/>
    </row>
    <row r="492" customFormat="false" ht="15" hidden="false" customHeight="false" outlineLevel="0" collapsed="false">
      <c r="A492" s="8" t="s">
        <v>591</v>
      </c>
      <c r="B492" s="8" t="s">
        <v>13</v>
      </c>
      <c r="C492" s="8" t="s">
        <v>14</v>
      </c>
      <c r="D492" s="8" t="s">
        <v>91</v>
      </c>
      <c r="E492" s="8" t="s">
        <v>40</v>
      </c>
      <c r="F492" s="8" t="s">
        <v>54</v>
      </c>
      <c r="G492" s="8" t="s">
        <v>32</v>
      </c>
      <c r="H492" s="8" t="s">
        <v>30</v>
      </c>
      <c r="I492" s="8" t="n">
        <f aca="false">IF(EXACT(G492,H492),1,0)</f>
        <v>0</v>
      </c>
      <c r="J492" s="8" t="n">
        <v>1</v>
      </c>
      <c r="K492" s="8" t="s">
        <v>92</v>
      </c>
      <c r="L492" s="8" t="n">
        <v>0</v>
      </c>
      <c r="M492" s="8" t="n">
        <v>1</v>
      </c>
      <c r="N492" s="8" t="s">
        <v>93</v>
      </c>
      <c r="O492" s="8" t="n">
        <v>1</v>
      </c>
      <c r="P492" s="10" t="n">
        <v>3.64</v>
      </c>
      <c r="Q492" s="8"/>
      <c r="R492" s="8"/>
      <c r="S492" s="8" t="s">
        <v>592</v>
      </c>
      <c r="T492" s="8"/>
      <c r="U492" s="8"/>
      <c r="V492" s="8" t="s">
        <v>155</v>
      </c>
      <c r="W492" s="8"/>
      <c r="X492" s="8" t="s">
        <v>593</v>
      </c>
      <c r="Y492" s="8" t="s">
        <v>161</v>
      </c>
      <c r="Z492" s="8"/>
    </row>
    <row r="493" customFormat="false" ht="15" hidden="false" customHeight="false" outlineLevel="0" collapsed="false">
      <c r="A493" s="8" t="s">
        <v>591</v>
      </c>
      <c r="B493" s="8" t="s">
        <v>13</v>
      </c>
      <c r="C493" s="8" t="s">
        <v>14</v>
      </c>
      <c r="D493" s="8" t="s">
        <v>91</v>
      </c>
      <c r="E493" s="8" t="s">
        <v>40</v>
      </c>
      <c r="F493" s="8" t="s">
        <v>54</v>
      </c>
      <c r="G493" s="8" t="s">
        <v>32</v>
      </c>
      <c r="H493" s="8" t="s">
        <v>30</v>
      </c>
      <c r="I493" s="8" t="n">
        <f aca="false">IF(EXACT(G493,H493),1,0)</f>
        <v>0</v>
      </c>
      <c r="J493" s="8" t="n">
        <v>2</v>
      </c>
      <c r="K493" s="8" t="s">
        <v>92</v>
      </c>
      <c r="L493" s="8" t="n">
        <v>0</v>
      </c>
      <c r="M493" s="8" t="n">
        <v>1</v>
      </c>
      <c r="N493" s="8" t="s">
        <v>93</v>
      </c>
      <c r="O493" s="8" t="n">
        <v>1</v>
      </c>
      <c r="P493" s="10" t="n">
        <v>3.61</v>
      </c>
      <c r="Q493" s="8"/>
      <c r="R493" s="8"/>
      <c r="S493" s="8" t="s">
        <v>592</v>
      </c>
      <c r="T493" s="8"/>
      <c r="U493" s="8"/>
      <c r="V493" s="8" t="s">
        <v>155</v>
      </c>
      <c r="W493" s="8"/>
      <c r="X493" s="8" t="s">
        <v>593</v>
      </c>
      <c r="Y493" s="8" t="s">
        <v>161</v>
      </c>
      <c r="Z493" s="8"/>
    </row>
    <row r="494" customFormat="false" ht="15" hidden="false" customHeight="false" outlineLevel="0" collapsed="false">
      <c r="A494" s="8" t="s">
        <v>594</v>
      </c>
      <c r="B494" s="8" t="s">
        <v>13</v>
      </c>
      <c r="C494" s="8" t="s">
        <v>14</v>
      </c>
      <c r="D494" s="8" t="s">
        <v>91</v>
      </c>
      <c r="E494" s="8" t="s">
        <v>40</v>
      </c>
      <c r="F494" s="8" t="s">
        <v>54</v>
      </c>
      <c r="G494" s="8" t="s">
        <v>32</v>
      </c>
      <c r="H494" s="8" t="s">
        <v>30</v>
      </c>
      <c r="I494" s="8" t="n">
        <f aca="false">IF(EXACT(G494,H494),1,0)</f>
        <v>0</v>
      </c>
      <c r="J494" s="8" t="n">
        <v>0</v>
      </c>
      <c r="K494" s="8" t="s">
        <v>92</v>
      </c>
      <c r="L494" s="8" t="n">
        <v>0</v>
      </c>
      <c r="M494" s="8" t="n">
        <v>1</v>
      </c>
      <c r="N494" s="8" t="s">
        <v>93</v>
      </c>
      <c r="O494" s="8" t="n">
        <v>1</v>
      </c>
      <c r="P494" s="10" t="n">
        <v>3.54</v>
      </c>
      <c r="Q494" s="8"/>
      <c r="R494" s="8"/>
      <c r="S494" s="8" t="s">
        <v>595</v>
      </c>
      <c r="T494" s="8"/>
      <c r="U494" s="8"/>
      <c r="V494" s="8" t="s">
        <v>155</v>
      </c>
      <c r="W494" s="8"/>
      <c r="X494" s="8" t="s">
        <v>596</v>
      </c>
      <c r="Y494" s="8" t="s">
        <v>161</v>
      </c>
      <c r="Z494" s="8"/>
    </row>
    <row r="495" customFormat="false" ht="15" hidden="false" customHeight="false" outlineLevel="0" collapsed="false">
      <c r="A495" s="8" t="s">
        <v>594</v>
      </c>
      <c r="B495" s="8" t="s">
        <v>13</v>
      </c>
      <c r="C495" s="8" t="s">
        <v>14</v>
      </c>
      <c r="D495" s="8" t="s">
        <v>91</v>
      </c>
      <c r="E495" s="8" t="s">
        <v>40</v>
      </c>
      <c r="F495" s="8" t="s">
        <v>54</v>
      </c>
      <c r="G495" s="8" t="s">
        <v>32</v>
      </c>
      <c r="H495" s="8" t="s">
        <v>30</v>
      </c>
      <c r="I495" s="8" t="n">
        <f aca="false">IF(EXACT(G495,H495),1,0)</f>
        <v>0</v>
      </c>
      <c r="J495" s="8" t="n">
        <v>1</v>
      </c>
      <c r="K495" s="8" t="s">
        <v>92</v>
      </c>
      <c r="L495" s="8" t="n">
        <v>0</v>
      </c>
      <c r="M495" s="8" t="n">
        <v>1</v>
      </c>
      <c r="N495" s="8" t="s">
        <v>93</v>
      </c>
      <c r="O495" s="8" t="n">
        <v>1</v>
      </c>
      <c r="P495" s="10" t="n">
        <v>3.46</v>
      </c>
      <c r="Q495" s="8"/>
      <c r="R495" s="8"/>
      <c r="S495" s="8" t="s">
        <v>595</v>
      </c>
      <c r="T495" s="8"/>
      <c r="U495" s="8"/>
      <c r="V495" s="8" t="s">
        <v>155</v>
      </c>
      <c r="W495" s="8"/>
      <c r="X495" s="8" t="s">
        <v>596</v>
      </c>
      <c r="Y495" s="8" t="s">
        <v>161</v>
      </c>
      <c r="Z495" s="8"/>
    </row>
    <row r="496" customFormat="false" ht="15" hidden="false" customHeight="false" outlineLevel="0" collapsed="false">
      <c r="A496" s="8" t="s">
        <v>594</v>
      </c>
      <c r="B496" s="8" t="s">
        <v>13</v>
      </c>
      <c r="C496" s="8" t="s">
        <v>14</v>
      </c>
      <c r="D496" s="8" t="s">
        <v>91</v>
      </c>
      <c r="E496" s="8" t="s">
        <v>40</v>
      </c>
      <c r="F496" s="8" t="s">
        <v>54</v>
      </c>
      <c r="G496" s="8" t="s">
        <v>32</v>
      </c>
      <c r="H496" s="8" t="s">
        <v>30</v>
      </c>
      <c r="I496" s="8" t="n">
        <f aca="false">IF(EXACT(G496,H496),1,0)</f>
        <v>0</v>
      </c>
      <c r="J496" s="8" t="n">
        <v>2</v>
      </c>
      <c r="K496" s="8" t="s">
        <v>92</v>
      </c>
      <c r="L496" s="8" t="n">
        <v>0</v>
      </c>
      <c r="M496" s="8" t="n">
        <v>1</v>
      </c>
      <c r="N496" s="8" t="s">
        <v>93</v>
      </c>
      <c r="O496" s="8" t="n">
        <v>1</v>
      </c>
      <c r="P496" s="10" t="n">
        <v>3.55</v>
      </c>
      <c r="Q496" s="8"/>
      <c r="R496" s="8"/>
      <c r="S496" s="8" t="s">
        <v>595</v>
      </c>
      <c r="T496" s="8"/>
      <c r="U496" s="8"/>
      <c r="V496" s="8" t="s">
        <v>155</v>
      </c>
      <c r="W496" s="8"/>
      <c r="X496" s="8" t="s">
        <v>596</v>
      </c>
      <c r="Y496" s="8" t="s">
        <v>161</v>
      </c>
      <c r="Z496" s="8"/>
    </row>
    <row r="497" customFormat="false" ht="15" hidden="false" customHeight="false" outlineLevel="0" collapsed="false">
      <c r="A497" s="8" t="s">
        <v>597</v>
      </c>
      <c r="B497" s="8" t="s">
        <v>13</v>
      </c>
      <c r="C497" s="8" t="s">
        <v>14</v>
      </c>
      <c r="D497" s="8" t="s">
        <v>91</v>
      </c>
      <c r="E497" s="8" t="s">
        <v>40</v>
      </c>
      <c r="F497" s="8" t="s">
        <v>54</v>
      </c>
      <c r="G497" s="8" t="s">
        <v>30</v>
      </c>
      <c r="H497" s="8" t="s">
        <v>30</v>
      </c>
      <c r="I497" s="8" t="n">
        <f aca="false">IF(EXACT(G497,H497),1,0)</f>
        <v>1</v>
      </c>
      <c r="J497" s="8" t="n">
        <v>0</v>
      </c>
      <c r="K497" s="8" t="s">
        <v>92</v>
      </c>
      <c r="L497" s="8" t="n">
        <v>0</v>
      </c>
      <c r="M497" s="8" t="n">
        <v>1</v>
      </c>
      <c r="N497" s="8" t="s">
        <v>93</v>
      </c>
      <c r="O497" s="8" t="n">
        <v>1</v>
      </c>
      <c r="P497" s="10" t="n">
        <v>3.53</v>
      </c>
      <c r="Q497" s="8"/>
      <c r="R497" s="8"/>
      <c r="S497" s="8" t="s">
        <v>598</v>
      </c>
      <c r="T497" s="8"/>
      <c r="U497" s="8"/>
      <c r="V497" s="8" t="s">
        <v>155</v>
      </c>
      <c r="W497" s="8"/>
      <c r="X497" s="8" t="s">
        <v>599</v>
      </c>
      <c r="Y497" s="8" t="s">
        <v>161</v>
      </c>
      <c r="Z497" s="8"/>
    </row>
    <row r="498" customFormat="false" ht="15" hidden="false" customHeight="false" outlineLevel="0" collapsed="false">
      <c r="A498" s="8" t="s">
        <v>597</v>
      </c>
      <c r="B498" s="8" t="s">
        <v>13</v>
      </c>
      <c r="C498" s="8" t="s">
        <v>14</v>
      </c>
      <c r="D498" s="8" t="s">
        <v>91</v>
      </c>
      <c r="E498" s="8" t="s">
        <v>40</v>
      </c>
      <c r="F498" s="8" t="s">
        <v>54</v>
      </c>
      <c r="G498" s="8" t="s">
        <v>30</v>
      </c>
      <c r="H498" s="8" t="s">
        <v>30</v>
      </c>
      <c r="I498" s="8" t="n">
        <f aca="false">IF(EXACT(G498,H498),1,0)</f>
        <v>1</v>
      </c>
      <c r="J498" s="8" t="n">
        <v>1</v>
      </c>
      <c r="K498" s="8" t="s">
        <v>92</v>
      </c>
      <c r="L498" s="8" t="n">
        <v>0</v>
      </c>
      <c r="M498" s="8" t="n">
        <v>1</v>
      </c>
      <c r="N498" s="8" t="s">
        <v>93</v>
      </c>
      <c r="O498" s="8" t="n">
        <v>1</v>
      </c>
      <c r="P498" s="10" t="n">
        <v>3.74</v>
      </c>
      <c r="Q498" s="8"/>
      <c r="R498" s="8"/>
      <c r="S498" s="8" t="s">
        <v>598</v>
      </c>
      <c r="T498" s="8"/>
      <c r="U498" s="8"/>
      <c r="V498" s="8" t="s">
        <v>155</v>
      </c>
      <c r="W498" s="8"/>
      <c r="X498" s="8" t="s">
        <v>599</v>
      </c>
      <c r="Y498" s="8" t="s">
        <v>161</v>
      </c>
      <c r="Z498" s="8"/>
    </row>
    <row r="499" customFormat="false" ht="15" hidden="false" customHeight="false" outlineLevel="0" collapsed="false">
      <c r="A499" s="8" t="s">
        <v>597</v>
      </c>
      <c r="B499" s="8" t="s">
        <v>13</v>
      </c>
      <c r="C499" s="8" t="s">
        <v>14</v>
      </c>
      <c r="D499" s="8" t="s">
        <v>91</v>
      </c>
      <c r="E499" s="8" t="s">
        <v>40</v>
      </c>
      <c r="F499" s="8" t="s">
        <v>54</v>
      </c>
      <c r="G499" s="8" t="s">
        <v>30</v>
      </c>
      <c r="H499" s="8" t="s">
        <v>30</v>
      </c>
      <c r="I499" s="8" t="n">
        <f aca="false">IF(EXACT(G499,H499),1,0)</f>
        <v>1</v>
      </c>
      <c r="J499" s="8" t="n">
        <v>2</v>
      </c>
      <c r="K499" s="8" t="s">
        <v>92</v>
      </c>
      <c r="L499" s="8" t="n">
        <v>0</v>
      </c>
      <c r="M499" s="8" t="n">
        <v>1</v>
      </c>
      <c r="N499" s="8" t="s">
        <v>93</v>
      </c>
      <c r="O499" s="8" t="n">
        <v>1</v>
      </c>
      <c r="P499" s="10" t="n">
        <v>3.63</v>
      </c>
      <c r="Q499" s="8"/>
      <c r="R499" s="8"/>
      <c r="S499" s="8" t="s">
        <v>598</v>
      </c>
      <c r="T499" s="8"/>
      <c r="U499" s="8"/>
      <c r="V499" s="8" t="s">
        <v>155</v>
      </c>
      <c r="W499" s="8"/>
      <c r="X499" s="8" t="s">
        <v>599</v>
      </c>
      <c r="Y499" s="8" t="s">
        <v>161</v>
      </c>
      <c r="Z499" s="8"/>
    </row>
    <row r="500" customFormat="false" ht="15" hidden="false" customHeight="false" outlineLevel="0" collapsed="false">
      <c r="A500" s="8" t="s">
        <v>600</v>
      </c>
      <c r="B500" s="8" t="s">
        <v>13</v>
      </c>
      <c r="C500" s="8" t="s">
        <v>14</v>
      </c>
      <c r="D500" s="8" t="s">
        <v>91</v>
      </c>
      <c r="E500" s="8" t="s">
        <v>40</v>
      </c>
      <c r="F500" s="8" t="s">
        <v>54</v>
      </c>
      <c r="G500" s="8" t="s">
        <v>30</v>
      </c>
      <c r="H500" s="8" t="s">
        <v>30</v>
      </c>
      <c r="I500" s="8" t="n">
        <f aca="false">IF(EXACT(G500,H500),1,0)</f>
        <v>1</v>
      </c>
      <c r="J500" s="8" t="n">
        <v>0</v>
      </c>
      <c r="K500" s="8" t="s">
        <v>92</v>
      </c>
      <c r="L500" s="8" t="n">
        <v>0</v>
      </c>
      <c r="M500" s="8" t="n">
        <v>1</v>
      </c>
      <c r="N500" s="8" t="s">
        <v>93</v>
      </c>
      <c r="O500" s="8" t="n">
        <v>1</v>
      </c>
      <c r="P500" s="10" t="n">
        <v>3.62</v>
      </c>
      <c r="Q500" s="8"/>
      <c r="R500" s="8"/>
      <c r="S500" s="8" t="s">
        <v>601</v>
      </c>
      <c r="T500" s="8"/>
      <c r="U500" s="8"/>
      <c r="V500" s="8" t="s">
        <v>155</v>
      </c>
      <c r="W500" s="8"/>
      <c r="X500" s="8" t="s">
        <v>602</v>
      </c>
      <c r="Y500" s="8" t="s">
        <v>161</v>
      </c>
      <c r="Z500" s="8"/>
    </row>
    <row r="501" customFormat="false" ht="15" hidden="false" customHeight="false" outlineLevel="0" collapsed="false">
      <c r="A501" s="8" t="s">
        <v>600</v>
      </c>
      <c r="B501" s="8" t="s">
        <v>13</v>
      </c>
      <c r="C501" s="8" t="s">
        <v>14</v>
      </c>
      <c r="D501" s="8" t="s">
        <v>91</v>
      </c>
      <c r="E501" s="8" t="s">
        <v>40</v>
      </c>
      <c r="F501" s="8" t="s">
        <v>54</v>
      </c>
      <c r="G501" s="8" t="s">
        <v>30</v>
      </c>
      <c r="H501" s="8" t="s">
        <v>30</v>
      </c>
      <c r="I501" s="8" t="n">
        <f aca="false">IF(EXACT(G501,H501),1,0)</f>
        <v>1</v>
      </c>
      <c r="J501" s="8" t="n">
        <v>1</v>
      </c>
      <c r="K501" s="8" t="s">
        <v>92</v>
      </c>
      <c r="L501" s="8" t="n">
        <v>0</v>
      </c>
      <c r="M501" s="8" t="n">
        <v>1</v>
      </c>
      <c r="N501" s="8" t="s">
        <v>93</v>
      </c>
      <c r="O501" s="8" t="n">
        <v>1</v>
      </c>
      <c r="P501" s="10" t="n">
        <v>3.56</v>
      </c>
      <c r="Q501" s="8"/>
      <c r="R501" s="8"/>
      <c r="S501" s="8" t="s">
        <v>601</v>
      </c>
      <c r="T501" s="8"/>
      <c r="U501" s="8"/>
      <c r="V501" s="8" t="s">
        <v>155</v>
      </c>
      <c r="W501" s="8"/>
      <c r="X501" s="8" t="s">
        <v>602</v>
      </c>
      <c r="Y501" s="8" t="s">
        <v>161</v>
      </c>
      <c r="Z501" s="8"/>
    </row>
    <row r="502" customFormat="false" ht="15" hidden="false" customHeight="false" outlineLevel="0" collapsed="false">
      <c r="A502" s="8" t="s">
        <v>600</v>
      </c>
      <c r="B502" s="8" t="s">
        <v>13</v>
      </c>
      <c r="C502" s="8" t="s">
        <v>14</v>
      </c>
      <c r="D502" s="8" t="s">
        <v>91</v>
      </c>
      <c r="E502" s="8" t="s">
        <v>40</v>
      </c>
      <c r="F502" s="8" t="s">
        <v>54</v>
      </c>
      <c r="G502" s="8" t="s">
        <v>30</v>
      </c>
      <c r="H502" s="8" t="s">
        <v>30</v>
      </c>
      <c r="I502" s="8" t="n">
        <f aca="false">IF(EXACT(G502,H502),1,0)</f>
        <v>1</v>
      </c>
      <c r="J502" s="8" t="n">
        <v>2</v>
      </c>
      <c r="K502" s="8" t="s">
        <v>92</v>
      </c>
      <c r="L502" s="8" t="n">
        <v>0</v>
      </c>
      <c r="M502" s="8" t="n">
        <v>1</v>
      </c>
      <c r="N502" s="8" t="s">
        <v>93</v>
      </c>
      <c r="O502" s="8" t="n">
        <v>1</v>
      </c>
      <c r="P502" s="10" t="n">
        <v>3.62</v>
      </c>
      <c r="Q502" s="8"/>
      <c r="R502" s="8"/>
      <c r="S502" s="8" t="s">
        <v>601</v>
      </c>
      <c r="T502" s="8"/>
      <c r="U502" s="8"/>
      <c r="V502" s="8" t="s">
        <v>155</v>
      </c>
      <c r="W502" s="8"/>
      <c r="X502" s="8" t="s">
        <v>602</v>
      </c>
      <c r="Y502" s="8" t="s">
        <v>161</v>
      </c>
      <c r="Z502" s="8"/>
    </row>
    <row r="503" customFormat="false" ht="15" hidden="false" customHeight="false" outlineLevel="0" collapsed="false">
      <c r="A503" s="8" t="s">
        <v>365</v>
      </c>
      <c r="B503" s="8" t="s">
        <v>13</v>
      </c>
      <c r="C503" s="8" t="s">
        <v>14</v>
      </c>
      <c r="D503" s="8" t="s">
        <v>91</v>
      </c>
      <c r="E503" s="8" t="s">
        <v>40</v>
      </c>
      <c r="F503" s="8" t="s">
        <v>55</v>
      </c>
      <c r="G503" s="8" t="s">
        <v>30</v>
      </c>
      <c r="H503" s="8" t="s">
        <v>30</v>
      </c>
      <c r="I503" s="8" t="n">
        <f aca="false">IF(EXACT(G503,H503),1,0)</f>
        <v>1</v>
      </c>
      <c r="J503" s="8" t="n">
        <v>0</v>
      </c>
      <c r="K503" s="8" t="s">
        <v>92</v>
      </c>
      <c r="L503" s="8" t="n">
        <v>0</v>
      </c>
      <c r="M503" s="8" t="n">
        <v>1</v>
      </c>
      <c r="N503" s="8" t="s">
        <v>93</v>
      </c>
      <c r="O503" s="8" t="n">
        <v>1</v>
      </c>
      <c r="P503" s="10" t="n">
        <v>3.57</v>
      </c>
      <c r="Q503" s="8"/>
      <c r="R503" s="8"/>
      <c r="S503" s="8" t="s">
        <v>366</v>
      </c>
      <c r="T503" s="8" t="s">
        <v>367</v>
      </c>
      <c r="U503" s="8" t="s">
        <v>368</v>
      </c>
      <c r="V503" s="8"/>
      <c r="W503" s="8" t="s">
        <v>369</v>
      </c>
      <c r="X503" s="8" t="s">
        <v>603</v>
      </c>
      <c r="Y503" s="8" t="s">
        <v>130</v>
      </c>
      <c r="Z503" s="8"/>
    </row>
    <row r="504" customFormat="false" ht="15" hidden="false" customHeight="false" outlineLevel="0" collapsed="false">
      <c r="A504" s="8" t="s">
        <v>365</v>
      </c>
      <c r="B504" s="8" t="s">
        <v>13</v>
      </c>
      <c r="C504" s="8" t="s">
        <v>14</v>
      </c>
      <c r="D504" s="8" t="s">
        <v>91</v>
      </c>
      <c r="E504" s="8" t="s">
        <v>40</v>
      </c>
      <c r="F504" s="8" t="s">
        <v>55</v>
      </c>
      <c r="G504" s="8" t="s">
        <v>30</v>
      </c>
      <c r="H504" s="8" t="s">
        <v>30</v>
      </c>
      <c r="I504" s="8" t="n">
        <f aca="false">IF(EXACT(G504,H504),1,0)</f>
        <v>1</v>
      </c>
      <c r="J504" s="8" t="n">
        <v>1</v>
      </c>
      <c r="K504" s="8" t="s">
        <v>92</v>
      </c>
      <c r="L504" s="8" t="n">
        <v>0</v>
      </c>
      <c r="M504" s="8" t="n">
        <v>1</v>
      </c>
      <c r="N504" s="8" t="s">
        <v>93</v>
      </c>
      <c r="O504" s="8" t="n">
        <v>1</v>
      </c>
      <c r="P504" s="10" t="n">
        <v>3.64</v>
      </c>
      <c r="Q504" s="8"/>
      <c r="R504" s="8"/>
      <c r="S504" s="8" t="s">
        <v>366</v>
      </c>
      <c r="T504" s="8" t="s">
        <v>367</v>
      </c>
      <c r="U504" s="8" t="s">
        <v>368</v>
      </c>
      <c r="V504" s="8"/>
      <c r="W504" s="8" t="s">
        <v>369</v>
      </c>
      <c r="X504" s="8" t="s">
        <v>603</v>
      </c>
      <c r="Y504" s="8" t="s">
        <v>130</v>
      </c>
      <c r="Z504" s="8"/>
    </row>
    <row r="505" customFormat="false" ht="15" hidden="false" customHeight="false" outlineLevel="0" collapsed="false">
      <c r="A505" s="8" t="s">
        <v>365</v>
      </c>
      <c r="B505" s="8" t="s">
        <v>13</v>
      </c>
      <c r="C505" s="8" t="s">
        <v>14</v>
      </c>
      <c r="D505" s="8" t="s">
        <v>91</v>
      </c>
      <c r="E505" s="8" t="s">
        <v>40</v>
      </c>
      <c r="F505" s="8" t="s">
        <v>55</v>
      </c>
      <c r="G505" s="8" t="s">
        <v>30</v>
      </c>
      <c r="H505" s="8" t="s">
        <v>30</v>
      </c>
      <c r="I505" s="8" t="n">
        <f aca="false">IF(EXACT(G505,H505),1,0)</f>
        <v>1</v>
      </c>
      <c r="J505" s="8" t="n">
        <v>2</v>
      </c>
      <c r="K505" s="8" t="s">
        <v>92</v>
      </c>
      <c r="L505" s="8" t="n">
        <v>0</v>
      </c>
      <c r="M505" s="8" t="n">
        <v>1</v>
      </c>
      <c r="N505" s="8" t="s">
        <v>93</v>
      </c>
      <c r="O505" s="8" t="n">
        <v>1</v>
      </c>
      <c r="P505" s="10" t="n">
        <v>3.6</v>
      </c>
      <c r="Q505" s="8"/>
      <c r="R505" s="8"/>
      <c r="S505" s="8" t="s">
        <v>366</v>
      </c>
      <c r="T505" s="8" t="s">
        <v>367</v>
      </c>
      <c r="U505" s="8" t="s">
        <v>368</v>
      </c>
      <c r="V505" s="8"/>
      <c r="W505" s="8" t="s">
        <v>369</v>
      </c>
      <c r="X505" s="8" t="s">
        <v>603</v>
      </c>
      <c r="Y505" s="8" t="s">
        <v>130</v>
      </c>
      <c r="Z505" s="8"/>
    </row>
    <row r="506" customFormat="false" ht="15" hidden="false" customHeight="false" outlineLevel="0" collapsed="false">
      <c r="A506" s="8" t="s">
        <v>371</v>
      </c>
      <c r="B506" s="8" t="s">
        <v>13</v>
      </c>
      <c r="C506" s="8" t="s">
        <v>14</v>
      </c>
      <c r="D506" s="8" t="s">
        <v>91</v>
      </c>
      <c r="E506" s="8" t="s">
        <v>40</v>
      </c>
      <c r="F506" s="8" t="s">
        <v>55</v>
      </c>
      <c r="G506" s="8" t="s">
        <v>30</v>
      </c>
      <c r="H506" s="8" t="s">
        <v>30</v>
      </c>
      <c r="I506" s="8" t="n">
        <f aca="false">IF(EXACT(G506,H506),1,0)</f>
        <v>1</v>
      </c>
      <c r="J506" s="8" t="n">
        <v>0</v>
      </c>
      <c r="K506" s="8" t="s">
        <v>92</v>
      </c>
      <c r="L506" s="8" t="n">
        <v>0</v>
      </c>
      <c r="M506" s="8" t="n">
        <v>1</v>
      </c>
      <c r="N506" s="8" t="s">
        <v>93</v>
      </c>
      <c r="O506" s="8" t="n">
        <v>1</v>
      </c>
      <c r="P506" s="10" t="n">
        <v>3.52</v>
      </c>
      <c r="Q506" s="8"/>
      <c r="R506" s="8"/>
      <c r="S506" s="8" t="s">
        <v>180</v>
      </c>
      <c r="T506" s="8" t="s">
        <v>372</v>
      </c>
      <c r="U506" s="8" t="s">
        <v>373</v>
      </c>
      <c r="V506" s="8"/>
      <c r="W506" s="8" t="s">
        <v>374</v>
      </c>
      <c r="X506" s="8" t="s">
        <v>604</v>
      </c>
      <c r="Y506" s="8" t="s">
        <v>190</v>
      </c>
      <c r="Z506" s="8"/>
    </row>
    <row r="507" customFormat="false" ht="15" hidden="false" customHeight="false" outlineLevel="0" collapsed="false">
      <c r="A507" s="8" t="s">
        <v>371</v>
      </c>
      <c r="B507" s="8" t="s">
        <v>13</v>
      </c>
      <c r="C507" s="8" t="s">
        <v>14</v>
      </c>
      <c r="D507" s="8" t="s">
        <v>91</v>
      </c>
      <c r="E507" s="8" t="s">
        <v>40</v>
      </c>
      <c r="F507" s="8" t="s">
        <v>55</v>
      </c>
      <c r="G507" s="8" t="s">
        <v>30</v>
      </c>
      <c r="H507" s="8" t="s">
        <v>30</v>
      </c>
      <c r="I507" s="8" t="n">
        <f aca="false">IF(EXACT(G507,H507),1,0)</f>
        <v>1</v>
      </c>
      <c r="J507" s="8" t="n">
        <v>1</v>
      </c>
      <c r="K507" s="8" t="s">
        <v>92</v>
      </c>
      <c r="L507" s="8" t="n">
        <v>0</v>
      </c>
      <c r="M507" s="8" t="n">
        <v>1</v>
      </c>
      <c r="N507" s="8" t="s">
        <v>93</v>
      </c>
      <c r="O507" s="8" t="n">
        <v>1</v>
      </c>
      <c r="P507" s="10" t="n">
        <v>3.48</v>
      </c>
      <c r="Q507" s="8"/>
      <c r="R507" s="8"/>
      <c r="S507" s="8" t="s">
        <v>180</v>
      </c>
      <c r="T507" s="8" t="s">
        <v>372</v>
      </c>
      <c r="U507" s="8" t="s">
        <v>373</v>
      </c>
      <c r="V507" s="8"/>
      <c r="W507" s="8" t="s">
        <v>374</v>
      </c>
      <c r="X507" s="8" t="s">
        <v>604</v>
      </c>
      <c r="Y507" s="8" t="s">
        <v>190</v>
      </c>
      <c r="Z507" s="8"/>
    </row>
    <row r="508" customFormat="false" ht="15" hidden="false" customHeight="false" outlineLevel="0" collapsed="false">
      <c r="A508" s="8" t="s">
        <v>371</v>
      </c>
      <c r="B508" s="8" t="s">
        <v>13</v>
      </c>
      <c r="C508" s="8" t="s">
        <v>14</v>
      </c>
      <c r="D508" s="8" t="s">
        <v>91</v>
      </c>
      <c r="E508" s="8" t="s">
        <v>40</v>
      </c>
      <c r="F508" s="8" t="s">
        <v>55</v>
      </c>
      <c r="G508" s="8" t="s">
        <v>30</v>
      </c>
      <c r="H508" s="8" t="s">
        <v>30</v>
      </c>
      <c r="I508" s="8" t="n">
        <f aca="false">IF(EXACT(G508,H508),1,0)</f>
        <v>1</v>
      </c>
      <c r="J508" s="8" t="n">
        <v>2</v>
      </c>
      <c r="K508" s="8" t="s">
        <v>92</v>
      </c>
      <c r="L508" s="8" t="n">
        <v>0</v>
      </c>
      <c r="M508" s="8" t="n">
        <v>1</v>
      </c>
      <c r="N508" s="8" t="s">
        <v>93</v>
      </c>
      <c r="O508" s="8" t="n">
        <v>1</v>
      </c>
      <c r="P508" s="10" t="n">
        <v>3.55</v>
      </c>
      <c r="Q508" s="8"/>
      <c r="R508" s="8"/>
      <c r="S508" s="8" t="s">
        <v>180</v>
      </c>
      <c r="T508" s="8" t="s">
        <v>372</v>
      </c>
      <c r="U508" s="8" t="s">
        <v>373</v>
      </c>
      <c r="V508" s="8"/>
      <c r="W508" s="8" t="s">
        <v>374</v>
      </c>
      <c r="X508" s="8" t="s">
        <v>604</v>
      </c>
      <c r="Y508" s="8" t="s">
        <v>190</v>
      </c>
      <c r="Z508" s="8"/>
    </row>
    <row r="509" customFormat="false" ht="15" hidden="false" customHeight="false" outlineLevel="0" collapsed="false">
      <c r="A509" s="8" t="s">
        <v>376</v>
      </c>
      <c r="B509" s="8" t="s">
        <v>13</v>
      </c>
      <c r="C509" s="8" t="s">
        <v>14</v>
      </c>
      <c r="D509" s="8" t="s">
        <v>91</v>
      </c>
      <c r="E509" s="8" t="s">
        <v>40</v>
      </c>
      <c r="F509" s="8" t="s">
        <v>55</v>
      </c>
      <c r="G509" s="8" t="s">
        <v>32</v>
      </c>
      <c r="H509" s="8" t="s">
        <v>30</v>
      </c>
      <c r="I509" s="8" t="n">
        <f aca="false">IF(EXACT(G509,H509),1,0)</f>
        <v>0</v>
      </c>
      <c r="J509" s="8" t="n">
        <v>0</v>
      </c>
      <c r="K509" s="8" t="s">
        <v>92</v>
      </c>
      <c r="L509" s="8" t="n">
        <v>0</v>
      </c>
      <c r="M509" s="8" t="n">
        <v>1</v>
      </c>
      <c r="N509" s="8" t="s">
        <v>93</v>
      </c>
      <c r="O509" s="8" t="n">
        <v>1</v>
      </c>
      <c r="P509" s="10" t="n">
        <v>3.77</v>
      </c>
      <c r="Q509" s="8"/>
      <c r="R509" s="8"/>
      <c r="S509" s="8" t="s">
        <v>132</v>
      </c>
      <c r="T509" s="8" t="s">
        <v>367</v>
      </c>
      <c r="U509" s="8" t="s">
        <v>368</v>
      </c>
      <c r="V509" s="8"/>
      <c r="W509" s="8" t="s">
        <v>377</v>
      </c>
      <c r="X509" s="8" t="s">
        <v>605</v>
      </c>
      <c r="Y509" s="8" t="s">
        <v>130</v>
      </c>
      <c r="Z509" s="8"/>
    </row>
    <row r="510" customFormat="false" ht="15" hidden="false" customHeight="false" outlineLevel="0" collapsed="false">
      <c r="A510" s="8" t="s">
        <v>376</v>
      </c>
      <c r="B510" s="8" t="s">
        <v>13</v>
      </c>
      <c r="C510" s="8" t="s">
        <v>14</v>
      </c>
      <c r="D510" s="8" t="s">
        <v>91</v>
      </c>
      <c r="E510" s="8" t="s">
        <v>40</v>
      </c>
      <c r="F510" s="8" t="s">
        <v>55</v>
      </c>
      <c r="G510" s="8" t="s">
        <v>32</v>
      </c>
      <c r="H510" s="8" t="s">
        <v>30</v>
      </c>
      <c r="I510" s="8" t="n">
        <f aca="false">IF(EXACT(G510,H510),1,0)</f>
        <v>0</v>
      </c>
      <c r="J510" s="8" t="n">
        <v>1</v>
      </c>
      <c r="K510" s="8" t="s">
        <v>92</v>
      </c>
      <c r="L510" s="8" t="n">
        <v>0</v>
      </c>
      <c r="M510" s="8" t="n">
        <v>1</v>
      </c>
      <c r="N510" s="8" t="s">
        <v>93</v>
      </c>
      <c r="O510" s="8" t="n">
        <v>1</v>
      </c>
      <c r="P510" s="10" t="n">
        <v>3.48</v>
      </c>
      <c r="Q510" s="8"/>
      <c r="R510" s="8"/>
      <c r="S510" s="8" t="s">
        <v>132</v>
      </c>
      <c r="T510" s="8" t="s">
        <v>367</v>
      </c>
      <c r="U510" s="8" t="s">
        <v>368</v>
      </c>
      <c r="V510" s="8"/>
      <c r="W510" s="8" t="s">
        <v>377</v>
      </c>
      <c r="X510" s="8" t="s">
        <v>605</v>
      </c>
      <c r="Y510" s="8" t="s">
        <v>130</v>
      </c>
      <c r="Z510" s="8"/>
    </row>
    <row r="511" customFormat="false" ht="15" hidden="false" customHeight="false" outlineLevel="0" collapsed="false">
      <c r="A511" s="8" t="s">
        <v>376</v>
      </c>
      <c r="B511" s="8" t="s">
        <v>13</v>
      </c>
      <c r="C511" s="8" t="s">
        <v>14</v>
      </c>
      <c r="D511" s="8" t="s">
        <v>91</v>
      </c>
      <c r="E511" s="8" t="s">
        <v>40</v>
      </c>
      <c r="F511" s="8" t="s">
        <v>55</v>
      </c>
      <c r="G511" s="8" t="s">
        <v>32</v>
      </c>
      <c r="H511" s="8" t="s">
        <v>30</v>
      </c>
      <c r="I511" s="8" t="n">
        <f aca="false">IF(EXACT(G511,H511),1,0)</f>
        <v>0</v>
      </c>
      <c r="J511" s="8" t="n">
        <v>2</v>
      </c>
      <c r="K511" s="8" t="s">
        <v>92</v>
      </c>
      <c r="L511" s="8" t="n">
        <v>0</v>
      </c>
      <c r="M511" s="8" t="n">
        <v>1</v>
      </c>
      <c r="N511" s="8" t="s">
        <v>93</v>
      </c>
      <c r="O511" s="8" t="n">
        <v>1</v>
      </c>
      <c r="P511" s="10" t="n">
        <v>3.46</v>
      </c>
      <c r="Q511" s="8"/>
      <c r="R511" s="8"/>
      <c r="S511" s="8" t="s">
        <v>132</v>
      </c>
      <c r="T511" s="8" t="s">
        <v>367</v>
      </c>
      <c r="U511" s="8" t="s">
        <v>368</v>
      </c>
      <c r="V511" s="8"/>
      <c r="W511" s="8" t="s">
        <v>377</v>
      </c>
      <c r="X511" s="8" t="s">
        <v>605</v>
      </c>
      <c r="Y511" s="8" t="s">
        <v>130</v>
      </c>
      <c r="Z511" s="8"/>
    </row>
    <row r="512" customFormat="false" ht="15" hidden="false" customHeight="false" outlineLevel="0" collapsed="false">
      <c r="A512" s="8" t="s">
        <v>379</v>
      </c>
      <c r="B512" s="8" t="s">
        <v>13</v>
      </c>
      <c r="C512" s="8" t="s">
        <v>14</v>
      </c>
      <c r="D512" s="8" t="s">
        <v>91</v>
      </c>
      <c r="E512" s="8" t="s">
        <v>40</v>
      </c>
      <c r="F512" s="8" t="s">
        <v>55</v>
      </c>
      <c r="G512" s="8" t="s">
        <v>31</v>
      </c>
      <c r="H512" s="8" t="s">
        <v>30</v>
      </c>
      <c r="I512" s="8" t="n">
        <f aca="false">IF(EXACT(G512,H512),1,0)</f>
        <v>0</v>
      </c>
      <c r="J512" s="8" t="n">
        <v>0</v>
      </c>
      <c r="K512" s="8" t="s">
        <v>92</v>
      </c>
      <c r="L512" s="8" t="n">
        <v>0</v>
      </c>
      <c r="M512" s="8" t="n">
        <v>1</v>
      </c>
      <c r="N512" s="8" t="s">
        <v>93</v>
      </c>
      <c r="O512" s="8" t="n">
        <v>1</v>
      </c>
      <c r="P512" s="10" t="n">
        <v>3.6</v>
      </c>
      <c r="Q512" s="8"/>
      <c r="R512" s="8"/>
      <c r="S512" s="8" t="s">
        <v>255</v>
      </c>
      <c r="T512" s="8" t="s">
        <v>367</v>
      </c>
      <c r="U512" s="8" t="s">
        <v>368</v>
      </c>
      <c r="V512" s="8"/>
      <c r="W512" s="8" t="s">
        <v>380</v>
      </c>
      <c r="X512" s="8" t="s">
        <v>606</v>
      </c>
      <c r="Y512" s="8" t="s">
        <v>382</v>
      </c>
      <c r="Z512" s="8"/>
    </row>
    <row r="513" customFormat="false" ht="15" hidden="false" customHeight="false" outlineLevel="0" collapsed="false">
      <c r="A513" s="8" t="s">
        <v>379</v>
      </c>
      <c r="B513" s="8" t="s">
        <v>13</v>
      </c>
      <c r="C513" s="8" t="s">
        <v>14</v>
      </c>
      <c r="D513" s="8" t="s">
        <v>91</v>
      </c>
      <c r="E513" s="8" t="s">
        <v>40</v>
      </c>
      <c r="F513" s="8" t="s">
        <v>55</v>
      </c>
      <c r="G513" s="8" t="s">
        <v>31</v>
      </c>
      <c r="H513" s="8" t="s">
        <v>30</v>
      </c>
      <c r="I513" s="8" t="n">
        <f aca="false">IF(EXACT(G513,H513),1,0)</f>
        <v>0</v>
      </c>
      <c r="J513" s="8" t="n">
        <v>1</v>
      </c>
      <c r="K513" s="8" t="s">
        <v>92</v>
      </c>
      <c r="L513" s="8" t="n">
        <v>0</v>
      </c>
      <c r="M513" s="8" t="n">
        <v>1</v>
      </c>
      <c r="N513" s="8" t="s">
        <v>93</v>
      </c>
      <c r="O513" s="8" t="n">
        <v>1</v>
      </c>
      <c r="P513" s="10" t="n">
        <v>3.59</v>
      </c>
      <c r="Q513" s="8"/>
      <c r="R513" s="8"/>
      <c r="S513" s="8" t="s">
        <v>255</v>
      </c>
      <c r="T513" s="8" t="s">
        <v>367</v>
      </c>
      <c r="U513" s="8" t="s">
        <v>368</v>
      </c>
      <c r="V513" s="8"/>
      <c r="W513" s="8" t="s">
        <v>380</v>
      </c>
      <c r="X513" s="8" t="s">
        <v>606</v>
      </c>
      <c r="Y513" s="8" t="s">
        <v>382</v>
      </c>
      <c r="Z513" s="8"/>
    </row>
    <row r="514" customFormat="false" ht="15" hidden="false" customHeight="false" outlineLevel="0" collapsed="false">
      <c r="A514" s="8" t="s">
        <v>379</v>
      </c>
      <c r="B514" s="8" t="s">
        <v>13</v>
      </c>
      <c r="C514" s="8" t="s">
        <v>14</v>
      </c>
      <c r="D514" s="8" t="s">
        <v>91</v>
      </c>
      <c r="E514" s="8" t="s">
        <v>40</v>
      </c>
      <c r="F514" s="8" t="s">
        <v>55</v>
      </c>
      <c r="G514" s="8" t="s">
        <v>31</v>
      </c>
      <c r="H514" s="8" t="s">
        <v>30</v>
      </c>
      <c r="I514" s="8" t="n">
        <f aca="false">IF(EXACT(G514,H514),1,0)</f>
        <v>0</v>
      </c>
      <c r="J514" s="8" t="n">
        <v>2</v>
      </c>
      <c r="K514" s="8" t="s">
        <v>92</v>
      </c>
      <c r="L514" s="8" t="n">
        <v>0</v>
      </c>
      <c r="M514" s="8" t="n">
        <v>1</v>
      </c>
      <c r="N514" s="8" t="s">
        <v>93</v>
      </c>
      <c r="O514" s="8" t="n">
        <v>1</v>
      </c>
      <c r="P514" s="10" t="n">
        <v>3.6</v>
      </c>
      <c r="Q514" s="8"/>
      <c r="R514" s="8"/>
      <c r="S514" s="8" t="s">
        <v>255</v>
      </c>
      <c r="T514" s="8" t="s">
        <v>367</v>
      </c>
      <c r="U514" s="8" t="s">
        <v>368</v>
      </c>
      <c r="V514" s="8"/>
      <c r="W514" s="8" t="s">
        <v>380</v>
      </c>
      <c r="X514" s="8" t="s">
        <v>606</v>
      </c>
      <c r="Y514" s="8" t="s">
        <v>382</v>
      </c>
      <c r="Z514" s="8"/>
    </row>
    <row r="515" customFormat="false" ht="15" hidden="false" customHeight="false" outlineLevel="0" collapsed="false">
      <c r="A515" s="8" t="s">
        <v>383</v>
      </c>
      <c r="B515" s="8" t="s">
        <v>13</v>
      </c>
      <c r="C515" s="8" t="s">
        <v>14</v>
      </c>
      <c r="D515" s="8" t="s">
        <v>91</v>
      </c>
      <c r="E515" s="8" t="s">
        <v>40</v>
      </c>
      <c r="F515" s="8" t="s">
        <v>55</v>
      </c>
      <c r="G515" s="8" t="s">
        <v>32</v>
      </c>
      <c r="H515" s="8" t="s">
        <v>30</v>
      </c>
      <c r="I515" s="8" t="n">
        <f aca="false">IF(EXACT(G515,H515),1,0)</f>
        <v>0</v>
      </c>
      <c r="J515" s="8" t="n">
        <v>0</v>
      </c>
      <c r="K515" s="8" t="s">
        <v>92</v>
      </c>
      <c r="L515" s="8" t="n">
        <v>0</v>
      </c>
      <c r="M515" s="8" t="n">
        <v>1</v>
      </c>
      <c r="N515" s="8" t="s">
        <v>93</v>
      </c>
      <c r="O515" s="8" t="n">
        <v>1</v>
      </c>
      <c r="P515" s="10" t="n">
        <v>3.68</v>
      </c>
      <c r="Q515" s="8"/>
      <c r="R515" s="8"/>
      <c r="S515" s="8" t="s">
        <v>384</v>
      </c>
      <c r="T515" s="8" t="s">
        <v>372</v>
      </c>
      <c r="U515" s="8" t="s">
        <v>373</v>
      </c>
      <c r="V515" s="8"/>
      <c r="W515" s="8" t="s">
        <v>385</v>
      </c>
      <c r="X515" s="8" t="s">
        <v>607</v>
      </c>
      <c r="Y515" s="8" t="s">
        <v>108</v>
      </c>
      <c r="Z515" s="8"/>
    </row>
    <row r="516" customFormat="false" ht="15" hidden="false" customHeight="false" outlineLevel="0" collapsed="false">
      <c r="A516" s="8" t="s">
        <v>383</v>
      </c>
      <c r="B516" s="8" t="s">
        <v>13</v>
      </c>
      <c r="C516" s="8" t="s">
        <v>14</v>
      </c>
      <c r="D516" s="8" t="s">
        <v>91</v>
      </c>
      <c r="E516" s="8" t="s">
        <v>40</v>
      </c>
      <c r="F516" s="8" t="s">
        <v>55</v>
      </c>
      <c r="G516" s="8" t="s">
        <v>32</v>
      </c>
      <c r="H516" s="8" t="s">
        <v>30</v>
      </c>
      <c r="I516" s="8" t="n">
        <f aca="false">IF(EXACT(G516,H516),1,0)</f>
        <v>0</v>
      </c>
      <c r="J516" s="8" t="n">
        <v>1</v>
      </c>
      <c r="K516" s="8" t="s">
        <v>92</v>
      </c>
      <c r="L516" s="8" t="n">
        <v>0</v>
      </c>
      <c r="M516" s="8" t="n">
        <v>1</v>
      </c>
      <c r="N516" s="8" t="s">
        <v>93</v>
      </c>
      <c r="O516" s="8" t="n">
        <v>1</v>
      </c>
      <c r="P516" s="10" t="n">
        <v>3.52</v>
      </c>
      <c r="Q516" s="8"/>
      <c r="R516" s="8"/>
      <c r="S516" s="8" t="s">
        <v>384</v>
      </c>
      <c r="T516" s="8" t="s">
        <v>372</v>
      </c>
      <c r="U516" s="8" t="s">
        <v>373</v>
      </c>
      <c r="V516" s="8"/>
      <c r="W516" s="8" t="s">
        <v>385</v>
      </c>
      <c r="X516" s="8" t="s">
        <v>607</v>
      </c>
      <c r="Y516" s="8" t="s">
        <v>108</v>
      </c>
      <c r="Z516" s="8"/>
    </row>
    <row r="517" customFormat="false" ht="15" hidden="false" customHeight="false" outlineLevel="0" collapsed="false">
      <c r="A517" s="8" t="s">
        <v>383</v>
      </c>
      <c r="B517" s="8" t="s">
        <v>13</v>
      </c>
      <c r="C517" s="8" t="s">
        <v>14</v>
      </c>
      <c r="D517" s="8" t="s">
        <v>91</v>
      </c>
      <c r="E517" s="8" t="s">
        <v>40</v>
      </c>
      <c r="F517" s="8" t="s">
        <v>55</v>
      </c>
      <c r="G517" s="8" t="s">
        <v>32</v>
      </c>
      <c r="H517" s="8" t="s">
        <v>30</v>
      </c>
      <c r="I517" s="8" t="n">
        <f aca="false">IF(EXACT(G517,H517),1,0)</f>
        <v>0</v>
      </c>
      <c r="J517" s="8" t="n">
        <v>2</v>
      </c>
      <c r="K517" s="8" t="s">
        <v>92</v>
      </c>
      <c r="L517" s="8" t="n">
        <v>0</v>
      </c>
      <c r="M517" s="8" t="n">
        <v>1</v>
      </c>
      <c r="N517" s="8" t="s">
        <v>93</v>
      </c>
      <c r="O517" s="8" t="n">
        <v>1</v>
      </c>
      <c r="P517" s="10" t="n">
        <v>3.53</v>
      </c>
      <c r="Q517" s="8"/>
      <c r="R517" s="8"/>
      <c r="S517" s="8" t="s">
        <v>384</v>
      </c>
      <c r="T517" s="8" t="s">
        <v>372</v>
      </c>
      <c r="U517" s="8" t="s">
        <v>373</v>
      </c>
      <c r="V517" s="8"/>
      <c r="W517" s="8" t="s">
        <v>385</v>
      </c>
      <c r="X517" s="8" t="s">
        <v>607</v>
      </c>
      <c r="Y517" s="8" t="s">
        <v>108</v>
      </c>
      <c r="Z517" s="8"/>
    </row>
    <row r="518" customFormat="false" ht="15" hidden="false" customHeight="false" outlineLevel="0" collapsed="false">
      <c r="A518" s="8" t="s">
        <v>387</v>
      </c>
      <c r="B518" s="8" t="s">
        <v>13</v>
      </c>
      <c r="C518" s="8" t="s">
        <v>14</v>
      </c>
      <c r="D518" s="8" t="s">
        <v>91</v>
      </c>
      <c r="E518" s="8" t="s">
        <v>40</v>
      </c>
      <c r="F518" s="8" t="s">
        <v>55</v>
      </c>
      <c r="G518" s="8" t="s">
        <v>31</v>
      </c>
      <c r="H518" s="8" t="s">
        <v>30</v>
      </c>
      <c r="I518" s="8" t="n">
        <f aca="false">IF(EXACT(G518,H518),1,0)</f>
        <v>0</v>
      </c>
      <c r="J518" s="8" t="n">
        <v>0</v>
      </c>
      <c r="K518" s="8" t="s">
        <v>92</v>
      </c>
      <c r="L518" s="8" t="n">
        <v>0</v>
      </c>
      <c r="M518" s="8" t="n">
        <v>1</v>
      </c>
      <c r="N518" s="8" t="s">
        <v>93</v>
      </c>
      <c r="O518" s="8" t="n">
        <v>1</v>
      </c>
      <c r="P518" s="10" t="n">
        <v>3.48</v>
      </c>
      <c r="Q518" s="8"/>
      <c r="R518" s="8"/>
      <c r="S518" s="8" t="s">
        <v>388</v>
      </c>
      <c r="T518" s="8" t="s">
        <v>367</v>
      </c>
      <c r="U518" s="8" t="s">
        <v>368</v>
      </c>
      <c r="V518" s="8"/>
      <c r="W518" s="8" t="s">
        <v>389</v>
      </c>
      <c r="X518" s="8" t="s">
        <v>608</v>
      </c>
      <c r="Y518" s="8" t="s">
        <v>130</v>
      </c>
      <c r="Z518" s="8"/>
    </row>
    <row r="519" customFormat="false" ht="15" hidden="false" customHeight="false" outlineLevel="0" collapsed="false">
      <c r="A519" s="8" t="s">
        <v>387</v>
      </c>
      <c r="B519" s="8" t="s">
        <v>13</v>
      </c>
      <c r="C519" s="8" t="s">
        <v>14</v>
      </c>
      <c r="D519" s="8" t="s">
        <v>91</v>
      </c>
      <c r="E519" s="8" t="s">
        <v>40</v>
      </c>
      <c r="F519" s="8" t="s">
        <v>55</v>
      </c>
      <c r="G519" s="8" t="s">
        <v>31</v>
      </c>
      <c r="H519" s="8" t="s">
        <v>30</v>
      </c>
      <c r="I519" s="8" t="n">
        <f aca="false">IF(EXACT(G519,H519),1,0)</f>
        <v>0</v>
      </c>
      <c r="J519" s="8" t="n">
        <v>1</v>
      </c>
      <c r="K519" s="8" t="s">
        <v>92</v>
      </c>
      <c r="L519" s="8" t="n">
        <v>0</v>
      </c>
      <c r="M519" s="8" t="n">
        <v>1</v>
      </c>
      <c r="N519" s="8" t="s">
        <v>93</v>
      </c>
      <c r="O519" s="8" t="n">
        <v>1</v>
      </c>
      <c r="P519" s="10" t="n">
        <v>3.5</v>
      </c>
      <c r="Q519" s="8"/>
      <c r="R519" s="8"/>
      <c r="S519" s="8" t="s">
        <v>388</v>
      </c>
      <c r="T519" s="8" t="s">
        <v>367</v>
      </c>
      <c r="U519" s="8" t="s">
        <v>368</v>
      </c>
      <c r="V519" s="8"/>
      <c r="W519" s="8" t="s">
        <v>389</v>
      </c>
      <c r="X519" s="8" t="s">
        <v>608</v>
      </c>
      <c r="Y519" s="8" t="s">
        <v>130</v>
      </c>
      <c r="Z519" s="8"/>
    </row>
    <row r="520" customFormat="false" ht="15" hidden="false" customHeight="false" outlineLevel="0" collapsed="false">
      <c r="A520" s="8" t="s">
        <v>387</v>
      </c>
      <c r="B520" s="8" t="s">
        <v>13</v>
      </c>
      <c r="C520" s="8" t="s">
        <v>14</v>
      </c>
      <c r="D520" s="8" t="s">
        <v>91</v>
      </c>
      <c r="E520" s="8" t="s">
        <v>40</v>
      </c>
      <c r="F520" s="8" t="s">
        <v>55</v>
      </c>
      <c r="G520" s="8" t="s">
        <v>31</v>
      </c>
      <c r="H520" s="8" t="s">
        <v>30</v>
      </c>
      <c r="I520" s="8" t="n">
        <f aca="false">IF(EXACT(G520,H520),1,0)</f>
        <v>0</v>
      </c>
      <c r="J520" s="8" t="n">
        <v>2</v>
      </c>
      <c r="K520" s="8" t="s">
        <v>92</v>
      </c>
      <c r="L520" s="8" t="n">
        <v>0</v>
      </c>
      <c r="M520" s="8" t="n">
        <v>1</v>
      </c>
      <c r="N520" s="8" t="s">
        <v>93</v>
      </c>
      <c r="O520" s="8" t="n">
        <v>1</v>
      </c>
      <c r="P520" s="10" t="n">
        <v>3.6</v>
      </c>
      <c r="Q520" s="8"/>
      <c r="R520" s="8"/>
      <c r="S520" s="8" t="s">
        <v>388</v>
      </c>
      <c r="T520" s="8" t="s">
        <v>367</v>
      </c>
      <c r="U520" s="8" t="s">
        <v>368</v>
      </c>
      <c r="V520" s="8"/>
      <c r="W520" s="8" t="s">
        <v>389</v>
      </c>
      <c r="X520" s="8" t="s">
        <v>608</v>
      </c>
      <c r="Y520" s="8" t="s">
        <v>130</v>
      </c>
      <c r="Z520" s="8"/>
    </row>
    <row r="521" customFormat="false" ht="15" hidden="false" customHeight="false" outlineLevel="0" collapsed="false">
      <c r="A521" s="8" t="s">
        <v>391</v>
      </c>
      <c r="B521" s="8" t="s">
        <v>13</v>
      </c>
      <c r="C521" s="8" t="s">
        <v>14</v>
      </c>
      <c r="D521" s="8" t="s">
        <v>91</v>
      </c>
      <c r="E521" s="8" t="s">
        <v>40</v>
      </c>
      <c r="F521" s="8" t="s">
        <v>59</v>
      </c>
      <c r="G521" s="8" t="s">
        <v>31</v>
      </c>
      <c r="H521" s="8" t="s">
        <v>30</v>
      </c>
      <c r="I521" s="8" t="n">
        <f aca="false">IF(EXACT(G521,H521),1,0)</f>
        <v>0</v>
      </c>
      <c r="J521" s="8" t="n">
        <v>0</v>
      </c>
      <c r="K521" s="8" t="s">
        <v>92</v>
      </c>
      <c r="L521" s="8" t="n">
        <v>0</v>
      </c>
      <c r="M521" s="8" t="n">
        <v>1</v>
      </c>
      <c r="N521" s="8" t="s">
        <v>93</v>
      </c>
      <c r="O521" s="8" t="n">
        <v>1</v>
      </c>
      <c r="P521" s="10" t="n">
        <v>3.81</v>
      </c>
      <c r="Q521" s="8"/>
      <c r="R521" s="8"/>
      <c r="S521" s="8" t="s">
        <v>392</v>
      </c>
      <c r="T521" s="8"/>
      <c r="U521" s="8"/>
      <c r="V521" s="8" t="s">
        <v>155</v>
      </c>
      <c r="W521" s="8"/>
      <c r="X521" s="8" t="s">
        <v>609</v>
      </c>
      <c r="Y521" s="8" t="s">
        <v>394</v>
      </c>
      <c r="Z521" s="8"/>
    </row>
    <row r="522" customFormat="false" ht="15" hidden="false" customHeight="false" outlineLevel="0" collapsed="false">
      <c r="A522" s="8" t="s">
        <v>391</v>
      </c>
      <c r="B522" s="8" t="s">
        <v>13</v>
      </c>
      <c r="C522" s="8" t="s">
        <v>14</v>
      </c>
      <c r="D522" s="8" t="s">
        <v>91</v>
      </c>
      <c r="E522" s="8" t="s">
        <v>40</v>
      </c>
      <c r="F522" s="8" t="s">
        <v>59</v>
      </c>
      <c r="G522" s="8" t="s">
        <v>31</v>
      </c>
      <c r="H522" s="8" t="s">
        <v>30</v>
      </c>
      <c r="I522" s="8" t="n">
        <f aca="false">IF(EXACT(G522,H522),1,0)</f>
        <v>0</v>
      </c>
      <c r="J522" s="8" t="n">
        <v>1</v>
      </c>
      <c r="K522" s="8" t="s">
        <v>92</v>
      </c>
      <c r="L522" s="8" t="n">
        <v>0</v>
      </c>
      <c r="M522" s="8" t="n">
        <v>1</v>
      </c>
      <c r="N522" s="8" t="s">
        <v>93</v>
      </c>
      <c r="O522" s="8" t="n">
        <v>1</v>
      </c>
      <c r="P522" s="10" t="n">
        <v>3.61</v>
      </c>
      <c r="Q522" s="8"/>
      <c r="R522" s="8"/>
      <c r="S522" s="8" t="s">
        <v>392</v>
      </c>
      <c r="T522" s="8"/>
      <c r="U522" s="8"/>
      <c r="V522" s="8" t="s">
        <v>155</v>
      </c>
      <c r="W522" s="8"/>
      <c r="X522" s="8" t="s">
        <v>609</v>
      </c>
      <c r="Y522" s="8" t="s">
        <v>394</v>
      </c>
      <c r="Z522" s="8"/>
    </row>
    <row r="523" customFormat="false" ht="15" hidden="false" customHeight="false" outlineLevel="0" collapsed="false">
      <c r="A523" s="8" t="s">
        <v>391</v>
      </c>
      <c r="B523" s="8" t="s">
        <v>13</v>
      </c>
      <c r="C523" s="8" t="s">
        <v>14</v>
      </c>
      <c r="D523" s="8" t="s">
        <v>91</v>
      </c>
      <c r="E523" s="8" t="s">
        <v>40</v>
      </c>
      <c r="F523" s="8" t="s">
        <v>59</v>
      </c>
      <c r="G523" s="8" t="s">
        <v>31</v>
      </c>
      <c r="H523" s="8" t="s">
        <v>30</v>
      </c>
      <c r="I523" s="8" t="n">
        <f aca="false">IF(EXACT(G523,H523),1,0)</f>
        <v>0</v>
      </c>
      <c r="J523" s="8" t="n">
        <v>2</v>
      </c>
      <c r="K523" s="8" t="s">
        <v>92</v>
      </c>
      <c r="L523" s="8" t="n">
        <v>0</v>
      </c>
      <c r="M523" s="8" t="n">
        <v>1</v>
      </c>
      <c r="N523" s="8" t="s">
        <v>93</v>
      </c>
      <c r="O523" s="8" t="n">
        <v>1</v>
      </c>
      <c r="P523" s="10" t="n">
        <v>3.64</v>
      </c>
      <c r="Q523" s="8"/>
      <c r="R523" s="8"/>
      <c r="S523" s="8" t="s">
        <v>392</v>
      </c>
      <c r="T523" s="8"/>
      <c r="U523" s="8"/>
      <c r="V523" s="8" t="s">
        <v>155</v>
      </c>
      <c r="W523" s="8"/>
      <c r="X523" s="8" t="s">
        <v>609</v>
      </c>
      <c r="Y523" s="8" t="s">
        <v>394</v>
      </c>
      <c r="Z523" s="8"/>
    </row>
    <row r="524" customFormat="false" ht="15" hidden="false" customHeight="false" outlineLevel="0" collapsed="false">
      <c r="A524" s="8" t="s">
        <v>395</v>
      </c>
      <c r="B524" s="8" t="s">
        <v>13</v>
      </c>
      <c r="C524" s="8" t="s">
        <v>14</v>
      </c>
      <c r="D524" s="8" t="s">
        <v>91</v>
      </c>
      <c r="E524" s="8" t="s">
        <v>40</v>
      </c>
      <c r="F524" s="8" t="s">
        <v>59</v>
      </c>
      <c r="G524" s="8" t="s">
        <v>31</v>
      </c>
      <c r="H524" s="8" t="s">
        <v>30</v>
      </c>
      <c r="I524" s="8" t="n">
        <f aca="false">IF(EXACT(G524,H524),1,0)</f>
        <v>0</v>
      </c>
      <c r="J524" s="8" t="n">
        <v>0</v>
      </c>
      <c r="K524" s="8" t="s">
        <v>92</v>
      </c>
      <c r="L524" s="8" t="n">
        <v>0</v>
      </c>
      <c r="M524" s="8" t="n">
        <v>1</v>
      </c>
      <c r="N524" s="8" t="s">
        <v>93</v>
      </c>
      <c r="O524" s="8" t="n">
        <v>1</v>
      </c>
      <c r="P524" s="10" t="n">
        <v>4.28</v>
      </c>
      <c r="Q524" s="8"/>
      <c r="R524" s="8"/>
      <c r="S524" s="8" t="s">
        <v>396</v>
      </c>
      <c r="T524" s="8"/>
      <c r="U524" s="8"/>
      <c r="V524" s="8" t="s">
        <v>155</v>
      </c>
      <c r="W524" s="8"/>
      <c r="X524" s="8" t="s">
        <v>610</v>
      </c>
      <c r="Y524" s="8" t="s">
        <v>398</v>
      </c>
      <c r="Z524" s="8"/>
    </row>
    <row r="525" customFormat="false" ht="15" hidden="false" customHeight="false" outlineLevel="0" collapsed="false">
      <c r="A525" s="8" t="s">
        <v>395</v>
      </c>
      <c r="B525" s="8" t="s">
        <v>13</v>
      </c>
      <c r="C525" s="8" t="s">
        <v>14</v>
      </c>
      <c r="D525" s="8" t="s">
        <v>91</v>
      </c>
      <c r="E525" s="8" t="s">
        <v>40</v>
      </c>
      <c r="F525" s="8" t="s">
        <v>59</v>
      </c>
      <c r="G525" s="8" t="s">
        <v>31</v>
      </c>
      <c r="H525" s="8" t="s">
        <v>30</v>
      </c>
      <c r="I525" s="8" t="n">
        <f aca="false">IF(EXACT(G525,H525),1,0)</f>
        <v>0</v>
      </c>
      <c r="J525" s="8" t="n">
        <v>1</v>
      </c>
      <c r="K525" s="8" t="s">
        <v>92</v>
      </c>
      <c r="L525" s="8" t="n">
        <v>0</v>
      </c>
      <c r="M525" s="8" t="n">
        <v>1</v>
      </c>
      <c r="N525" s="8" t="s">
        <v>93</v>
      </c>
      <c r="O525" s="8" t="n">
        <v>1</v>
      </c>
      <c r="P525" s="10" t="n">
        <v>3.69</v>
      </c>
      <c r="Q525" s="8"/>
      <c r="R525" s="8"/>
      <c r="S525" s="8" t="s">
        <v>396</v>
      </c>
      <c r="T525" s="8"/>
      <c r="U525" s="8"/>
      <c r="V525" s="8" t="s">
        <v>155</v>
      </c>
      <c r="W525" s="8"/>
      <c r="X525" s="8" t="s">
        <v>610</v>
      </c>
      <c r="Y525" s="8" t="s">
        <v>398</v>
      </c>
      <c r="Z525" s="8"/>
    </row>
    <row r="526" customFormat="false" ht="15" hidden="false" customHeight="false" outlineLevel="0" collapsed="false">
      <c r="A526" s="8" t="s">
        <v>395</v>
      </c>
      <c r="B526" s="8" t="s">
        <v>13</v>
      </c>
      <c r="C526" s="8" t="s">
        <v>14</v>
      </c>
      <c r="D526" s="8" t="s">
        <v>91</v>
      </c>
      <c r="E526" s="8" t="s">
        <v>40</v>
      </c>
      <c r="F526" s="8" t="s">
        <v>59</v>
      </c>
      <c r="G526" s="8" t="s">
        <v>31</v>
      </c>
      <c r="H526" s="8" t="s">
        <v>30</v>
      </c>
      <c r="I526" s="8" t="n">
        <f aca="false">IF(EXACT(G526,H526),1,0)</f>
        <v>0</v>
      </c>
      <c r="J526" s="8" t="n">
        <v>2</v>
      </c>
      <c r="K526" s="8" t="s">
        <v>92</v>
      </c>
      <c r="L526" s="8" t="n">
        <v>0</v>
      </c>
      <c r="M526" s="8" t="n">
        <v>1</v>
      </c>
      <c r="N526" s="8" t="s">
        <v>93</v>
      </c>
      <c r="O526" s="8" t="n">
        <v>1</v>
      </c>
      <c r="P526" s="10" t="n">
        <v>3.61</v>
      </c>
      <c r="Q526" s="8"/>
      <c r="R526" s="8"/>
      <c r="S526" s="8" t="s">
        <v>396</v>
      </c>
      <c r="T526" s="8"/>
      <c r="U526" s="8"/>
      <c r="V526" s="8" t="s">
        <v>155</v>
      </c>
      <c r="W526" s="8"/>
      <c r="X526" s="8" t="s">
        <v>610</v>
      </c>
      <c r="Y526" s="8" t="s">
        <v>398</v>
      </c>
      <c r="Z526" s="8"/>
    </row>
    <row r="527" customFormat="false" ht="15" hidden="false" customHeight="false" outlineLevel="0" collapsed="false">
      <c r="A527" s="8" t="s">
        <v>399</v>
      </c>
      <c r="B527" s="8" t="s">
        <v>13</v>
      </c>
      <c r="C527" s="8" t="s">
        <v>14</v>
      </c>
      <c r="D527" s="8" t="s">
        <v>91</v>
      </c>
      <c r="E527" s="8" t="s">
        <v>40</v>
      </c>
      <c r="F527" s="8" t="s">
        <v>59</v>
      </c>
      <c r="G527" s="8" t="s">
        <v>32</v>
      </c>
      <c r="H527" s="8" t="s">
        <v>30</v>
      </c>
      <c r="I527" s="8" t="n">
        <f aca="false">IF(EXACT(G527,H527),1,0)</f>
        <v>0</v>
      </c>
      <c r="J527" s="8" t="n">
        <v>0</v>
      </c>
      <c r="K527" s="8" t="s">
        <v>92</v>
      </c>
      <c r="L527" s="8" t="n">
        <v>0</v>
      </c>
      <c r="M527" s="8" t="n">
        <v>1</v>
      </c>
      <c r="N527" s="8" t="s">
        <v>93</v>
      </c>
      <c r="O527" s="8" t="n">
        <v>1</v>
      </c>
      <c r="P527" s="10" t="n">
        <v>3.75</v>
      </c>
      <c r="Q527" s="8"/>
      <c r="R527" s="8"/>
      <c r="S527" s="8" t="s">
        <v>400</v>
      </c>
      <c r="T527" s="8"/>
      <c r="U527" s="8"/>
      <c r="V527" s="8" t="s">
        <v>155</v>
      </c>
      <c r="W527" s="8"/>
      <c r="X527" s="8" t="s">
        <v>611</v>
      </c>
      <c r="Y527" s="8" t="s">
        <v>394</v>
      </c>
      <c r="Z527" s="8"/>
    </row>
    <row r="528" customFormat="false" ht="15" hidden="false" customHeight="false" outlineLevel="0" collapsed="false">
      <c r="A528" s="8" t="s">
        <v>399</v>
      </c>
      <c r="B528" s="8" t="s">
        <v>13</v>
      </c>
      <c r="C528" s="8" t="s">
        <v>14</v>
      </c>
      <c r="D528" s="8" t="s">
        <v>91</v>
      </c>
      <c r="E528" s="8" t="s">
        <v>40</v>
      </c>
      <c r="F528" s="8" t="s">
        <v>59</v>
      </c>
      <c r="G528" s="8" t="s">
        <v>32</v>
      </c>
      <c r="H528" s="8" t="s">
        <v>30</v>
      </c>
      <c r="I528" s="8" t="n">
        <f aca="false">IF(EXACT(G528,H528),1,0)</f>
        <v>0</v>
      </c>
      <c r="J528" s="8" t="n">
        <v>1</v>
      </c>
      <c r="K528" s="8" t="s">
        <v>92</v>
      </c>
      <c r="L528" s="8" t="n">
        <v>0</v>
      </c>
      <c r="M528" s="8" t="n">
        <v>1</v>
      </c>
      <c r="N528" s="8" t="s">
        <v>93</v>
      </c>
      <c r="O528" s="8" t="n">
        <v>1</v>
      </c>
      <c r="P528" s="10" t="n">
        <v>3.71</v>
      </c>
      <c r="Q528" s="8"/>
      <c r="R528" s="8"/>
      <c r="S528" s="8" t="s">
        <v>400</v>
      </c>
      <c r="T528" s="8"/>
      <c r="U528" s="8"/>
      <c r="V528" s="8" t="s">
        <v>155</v>
      </c>
      <c r="W528" s="8"/>
      <c r="X528" s="8" t="s">
        <v>611</v>
      </c>
      <c r="Y528" s="8" t="s">
        <v>394</v>
      </c>
      <c r="Z528" s="8"/>
    </row>
    <row r="529" customFormat="false" ht="15" hidden="false" customHeight="false" outlineLevel="0" collapsed="false">
      <c r="A529" s="8" t="s">
        <v>399</v>
      </c>
      <c r="B529" s="8" t="s">
        <v>13</v>
      </c>
      <c r="C529" s="8" t="s">
        <v>14</v>
      </c>
      <c r="D529" s="8" t="s">
        <v>91</v>
      </c>
      <c r="E529" s="8" t="s">
        <v>40</v>
      </c>
      <c r="F529" s="8" t="s">
        <v>59</v>
      </c>
      <c r="G529" s="8" t="s">
        <v>32</v>
      </c>
      <c r="H529" s="8" t="s">
        <v>30</v>
      </c>
      <c r="I529" s="8" t="n">
        <f aca="false">IF(EXACT(G529,H529),1,0)</f>
        <v>0</v>
      </c>
      <c r="J529" s="8" t="n">
        <v>2</v>
      </c>
      <c r="K529" s="8" t="s">
        <v>92</v>
      </c>
      <c r="L529" s="8" t="n">
        <v>0</v>
      </c>
      <c r="M529" s="8" t="n">
        <v>1</v>
      </c>
      <c r="N529" s="8" t="s">
        <v>93</v>
      </c>
      <c r="O529" s="8" t="n">
        <v>1</v>
      </c>
      <c r="P529" s="10" t="n">
        <v>3.74</v>
      </c>
      <c r="Q529" s="8"/>
      <c r="R529" s="8"/>
      <c r="S529" s="8" t="s">
        <v>400</v>
      </c>
      <c r="T529" s="8"/>
      <c r="U529" s="8"/>
      <c r="V529" s="8" t="s">
        <v>155</v>
      </c>
      <c r="W529" s="8"/>
      <c r="X529" s="8" t="s">
        <v>611</v>
      </c>
      <c r="Y529" s="8" t="s">
        <v>394</v>
      </c>
      <c r="Z529" s="8"/>
    </row>
    <row r="530" customFormat="false" ht="15" hidden="false" customHeight="false" outlineLevel="0" collapsed="false">
      <c r="A530" s="8" t="s">
        <v>402</v>
      </c>
      <c r="B530" s="8" t="s">
        <v>13</v>
      </c>
      <c r="C530" s="8" t="s">
        <v>14</v>
      </c>
      <c r="D530" s="8" t="s">
        <v>91</v>
      </c>
      <c r="E530" s="8" t="s">
        <v>40</v>
      </c>
      <c r="F530" s="8" t="s">
        <v>59</v>
      </c>
      <c r="G530" s="8" t="s">
        <v>32</v>
      </c>
      <c r="H530" s="8" t="s">
        <v>30</v>
      </c>
      <c r="I530" s="8" t="n">
        <f aca="false">IF(EXACT(G530,H530),1,0)</f>
        <v>0</v>
      </c>
      <c r="J530" s="8" t="n">
        <v>0</v>
      </c>
      <c r="K530" s="8" t="s">
        <v>92</v>
      </c>
      <c r="L530" s="8" t="n">
        <v>0</v>
      </c>
      <c r="M530" s="8" t="n">
        <v>1</v>
      </c>
      <c r="N530" s="8" t="s">
        <v>93</v>
      </c>
      <c r="O530" s="8" t="n">
        <v>1</v>
      </c>
      <c r="P530" s="10" t="n">
        <v>3.72</v>
      </c>
      <c r="Q530" s="8"/>
      <c r="R530" s="8"/>
      <c r="S530" s="8" t="s">
        <v>403</v>
      </c>
      <c r="T530" s="8"/>
      <c r="U530" s="8"/>
      <c r="V530" s="8" t="s">
        <v>155</v>
      </c>
      <c r="W530" s="8"/>
      <c r="X530" s="8" t="s">
        <v>612</v>
      </c>
      <c r="Y530" s="8" t="s">
        <v>398</v>
      </c>
      <c r="Z530" s="8"/>
    </row>
    <row r="531" customFormat="false" ht="15" hidden="false" customHeight="false" outlineLevel="0" collapsed="false">
      <c r="A531" s="8" t="s">
        <v>402</v>
      </c>
      <c r="B531" s="8" t="s">
        <v>13</v>
      </c>
      <c r="C531" s="8" t="s">
        <v>14</v>
      </c>
      <c r="D531" s="8" t="s">
        <v>91</v>
      </c>
      <c r="E531" s="8" t="s">
        <v>40</v>
      </c>
      <c r="F531" s="8" t="s">
        <v>59</v>
      </c>
      <c r="G531" s="8" t="s">
        <v>32</v>
      </c>
      <c r="H531" s="8" t="s">
        <v>30</v>
      </c>
      <c r="I531" s="8" t="n">
        <f aca="false">IF(EXACT(G531,H531),1,0)</f>
        <v>0</v>
      </c>
      <c r="J531" s="8" t="n">
        <v>1</v>
      </c>
      <c r="K531" s="8" t="s">
        <v>92</v>
      </c>
      <c r="L531" s="8" t="n">
        <v>0</v>
      </c>
      <c r="M531" s="8" t="n">
        <v>1</v>
      </c>
      <c r="N531" s="8" t="s">
        <v>93</v>
      </c>
      <c r="O531" s="8" t="n">
        <v>1</v>
      </c>
      <c r="P531" s="10" t="n">
        <v>3.7</v>
      </c>
      <c r="Q531" s="8"/>
      <c r="R531" s="8"/>
      <c r="S531" s="8" t="s">
        <v>403</v>
      </c>
      <c r="T531" s="8"/>
      <c r="U531" s="8"/>
      <c r="V531" s="8" t="s">
        <v>155</v>
      </c>
      <c r="W531" s="8"/>
      <c r="X531" s="8" t="s">
        <v>612</v>
      </c>
      <c r="Y531" s="8" t="s">
        <v>398</v>
      </c>
      <c r="Z531" s="8"/>
    </row>
    <row r="532" customFormat="false" ht="15" hidden="false" customHeight="false" outlineLevel="0" collapsed="false">
      <c r="A532" s="8" t="s">
        <v>402</v>
      </c>
      <c r="B532" s="8" t="s">
        <v>13</v>
      </c>
      <c r="C532" s="8" t="s">
        <v>14</v>
      </c>
      <c r="D532" s="8" t="s">
        <v>91</v>
      </c>
      <c r="E532" s="8" t="s">
        <v>40</v>
      </c>
      <c r="F532" s="8" t="s">
        <v>59</v>
      </c>
      <c r="G532" s="8" t="s">
        <v>32</v>
      </c>
      <c r="H532" s="8" t="s">
        <v>30</v>
      </c>
      <c r="I532" s="8" t="n">
        <f aca="false">IF(EXACT(G532,H532),1,0)</f>
        <v>0</v>
      </c>
      <c r="J532" s="8" t="n">
        <v>2</v>
      </c>
      <c r="K532" s="8" t="s">
        <v>92</v>
      </c>
      <c r="L532" s="8" t="n">
        <v>0</v>
      </c>
      <c r="M532" s="8" t="n">
        <v>1</v>
      </c>
      <c r="N532" s="8" t="s">
        <v>93</v>
      </c>
      <c r="O532" s="8" t="n">
        <v>1</v>
      </c>
      <c r="P532" s="10" t="n">
        <v>3.79</v>
      </c>
      <c r="Q532" s="8"/>
      <c r="R532" s="8"/>
      <c r="S532" s="8" t="s">
        <v>403</v>
      </c>
      <c r="T532" s="8"/>
      <c r="U532" s="8"/>
      <c r="V532" s="8" t="s">
        <v>155</v>
      </c>
      <c r="W532" s="8"/>
      <c r="X532" s="8" t="s">
        <v>612</v>
      </c>
      <c r="Y532" s="8" t="s">
        <v>398</v>
      </c>
      <c r="Z532" s="8"/>
    </row>
    <row r="533" customFormat="false" ht="15" hidden="false" customHeight="false" outlineLevel="0" collapsed="false">
      <c r="A533" s="8" t="s">
        <v>405</v>
      </c>
      <c r="B533" s="8" t="s">
        <v>13</v>
      </c>
      <c r="C533" s="8" t="s">
        <v>14</v>
      </c>
      <c r="D533" s="8" t="s">
        <v>91</v>
      </c>
      <c r="E533" s="8" t="s">
        <v>40</v>
      </c>
      <c r="F533" s="8" t="s">
        <v>59</v>
      </c>
      <c r="G533" s="8" t="s">
        <v>30</v>
      </c>
      <c r="H533" s="8" t="s">
        <v>30</v>
      </c>
      <c r="I533" s="8" t="n">
        <f aca="false">IF(EXACT(G533,H533),1,0)</f>
        <v>1</v>
      </c>
      <c r="J533" s="8" t="n">
        <v>0</v>
      </c>
      <c r="K533" s="8" t="s">
        <v>92</v>
      </c>
      <c r="L533" s="8" t="n">
        <v>0</v>
      </c>
      <c r="M533" s="8" t="n">
        <v>1</v>
      </c>
      <c r="N533" s="8" t="s">
        <v>93</v>
      </c>
      <c r="O533" s="8" t="n">
        <v>1</v>
      </c>
      <c r="P533" s="10" t="n">
        <v>3.85</v>
      </c>
      <c r="Q533" s="8"/>
      <c r="R533" s="8"/>
      <c r="S533" s="8" t="s">
        <v>406</v>
      </c>
      <c r="T533" s="8"/>
      <c r="U533" s="8"/>
      <c r="V533" s="8" t="s">
        <v>155</v>
      </c>
      <c r="W533" s="8"/>
      <c r="X533" s="8" t="s">
        <v>613</v>
      </c>
      <c r="Y533" s="8" t="s">
        <v>398</v>
      </c>
      <c r="Z533" s="8"/>
    </row>
    <row r="534" customFormat="false" ht="15" hidden="false" customHeight="false" outlineLevel="0" collapsed="false">
      <c r="A534" s="8" t="s">
        <v>405</v>
      </c>
      <c r="B534" s="8" t="s">
        <v>13</v>
      </c>
      <c r="C534" s="8" t="s">
        <v>14</v>
      </c>
      <c r="D534" s="8" t="s">
        <v>91</v>
      </c>
      <c r="E534" s="8" t="s">
        <v>40</v>
      </c>
      <c r="F534" s="8" t="s">
        <v>59</v>
      </c>
      <c r="G534" s="8" t="s">
        <v>30</v>
      </c>
      <c r="H534" s="8" t="s">
        <v>30</v>
      </c>
      <c r="I534" s="8" t="n">
        <f aca="false">IF(EXACT(G534,H534),1,0)</f>
        <v>1</v>
      </c>
      <c r="J534" s="8" t="n">
        <v>1</v>
      </c>
      <c r="K534" s="8" t="s">
        <v>92</v>
      </c>
      <c r="L534" s="8" t="n">
        <v>0</v>
      </c>
      <c r="M534" s="8" t="n">
        <v>1</v>
      </c>
      <c r="N534" s="8" t="s">
        <v>93</v>
      </c>
      <c r="O534" s="8" t="n">
        <v>1</v>
      </c>
      <c r="P534" s="10" t="n">
        <v>3.76</v>
      </c>
      <c r="Q534" s="8"/>
      <c r="R534" s="8"/>
      <c r="S534" s="8" t="s">
        <v>406</v>
      </c>
      <c r="T534" s="8"/>
      <c r="U534" s="8"/>
      <c r="V534" s="8" t="s">
        <v>155</v>
      </c>
      <c r="W534" s="8"/>
      <c r="X534" s="8" t="s">
        <v>613</v>
      </c>
      <c r="Y534" s="8" t="s">
        <v>398</v>
      </c>
      <c r="Z534" s="8"/>
    </row>
    <row r="535" customFormat="false" ht="15" hidden="false" customHeight="false" outlineLevel="0" collapsed="false">
      <c r="A535" s="8" t="s">
        <v>405</v>
      </c>
      <c r="B535" s="8" t="s">
        <v>13</v>
      </c>
      <c r="C535" s="8" t="s">
        <v>14</v>
      </c>
      <c r="D535" s="8" t="s">
        <v>91</v>
      </c>
      <c r="E535" s="8" t="s">
        <v>40</v>
      </c>
      <c r="F535" s="8" t="s">
        <v>59</v>
      </c>
      <c r="G535" s="8" t="s">
        <v>30</v>
      </c>
      <c r="H535" s="8" t="s">
        <v>30</v>
      </c>
      <c r="I535" s="8" t="n">
        <f aca="false">IF(EXACT(G535,H535),1,0)</f>
        <v>1</v>
      </c>
      <c r="J535" s="8" t="n">
        <v>2</v>
      </c>
      <c r="K535" s="8" t="s">
        <v>92</v>
      </c>
      <c r="L535" s="8" t="n">
        <v>0</v>
      </c>
      <c r="M535" s="8" t="n">
        <v>1</v>
      </c>
      <c r="N535" s="8" t="s">
        <v>93</v>
      </c>
      <c r="O535" s="8" t="n">
        <v>1</v>
      </c>
      <c r="P535" s="10" t="n">
        <v>3.68</v>
      </c>
      <c r="Q535" s="8"/>
      <c r="R535" s="8"/>
      <c r="S535" s="8" t="s">
        <v>406</v>
      </c>
      <c r="T535" s="8"/>
      <c r="U535" s="8"/>
      <c r="V535" s="8" t="s">
        <v>155</v>
      </c>
      <c r="W535" s="8"/>
      <c r="X535" s="8" t="s">
        <v>613</v>
      </c>
      <c r="Y535" s="8" t="s">
        <v>398</v>
      </c>
      <c r="Z535" s="8"/>
    </row>
    <row r="536" customFormat="false" ht="15" hidden="false" customHeight="false" outlineLevel="0" collapsed="false">
      <c r="A536" s="8" t="s">
        <v>408</v>
      </c>
      <c r="B536" s="8" t="s">
        <v>13</v>
      </c>
      <c r="C536" s="8" t="s">
        <v>14</v>
      </c>
      <c r="D536" s="8" t="s">
        <v>91</v>
      </c>
      <c r="E536" s="8" t="s">
        <v>40</v>
      </c>
      <c r="F536" s="8" t="s">
        <v>59</v>
      </c>
      <c r="G536" s="8" t="s">
        <v>30</v>
      </c>
      <c r="H536" s="8" t="s">
        <v>30</v>
      </c>
      <c r="I536" s="8" t="n">
        <f aca="false">IF(EXACT(G536,H536),1,0)</f>
        <v>1</v>
      </c>
      <c r="J536" s="8" t="n">
        <v>0</v>
      </c>
      <c r="K536" s="8" t="s">
        <v>92</v>
      </c>
      <c r="L536" s="8" t="n">
        <v>0</v>
      </c>
      <c r="M536" s="8" t="n">
        <v>1</v>
      </c>
      <c r="N536" s="8" t="s">
        <v>93</v>
      </c>
      <c r="O536" s="8" t="n">
        <v>1</v>
      </c>
      <c r="P536" s="10" t="n">
        <v>3.69</v>
      </c>
      <c r="Q536" s="8"/>
      <c r="R536" s="8"/>
      <c r="S536" s="8" t="s">
        <v>409</v>
      </c>
      <c r="T536" s="8"/>
      <c r="U536" s="8"/>
      <c r="V536" s="8" t="s">
        <v>155</v>
      </c>
      <c r="W536" s="8"/>
      <c r="X536" s="8" t="s">
        <v>614</v>
      </c>
      <c r="Y536" s="8" t="s">
        <v>394</v>
      </c>
      <c r="Z536" s="8"/>
    </row>
    <row r="537" customFormat="false" ht="15" hidden="false" customHeight="false" outlineLevel="0" collapsed="false">
      <c r="A537" s="8" t="s">
        <v>408</v>
      </c>
      <c r="B537" s="8" t="s">
        <v>13</v>
      </c>
      <c r="C537" s="8" t="s">
        <v>14</v>
      </c>
      <c r="D537" s="8" t="s">
        <v>91</v>
      </c>
      <c r="E537" s="8" t="s">
        <v>40</v>
      </c>
      <c r="F537" s="8" t="s">
        <v>59</v>
      </c>
      <c r="G537" s="8" t="s">
        <v>30</v>
      </c>
      <c r="H537" s="8" t="s">
        <v>30</v>
      </c>
      <c r="I537" s="8" t="n">
        <f aca="false">IF(EXACT(G537,H537),1,0)</f>
        <v>1</v>
      </c>
      <c r="J537" s="8" t="n">
        <v>1</v>
      </c>
      <c r="K537" s="8" t="s">
        <v>92</v>
      </c>
      <c r="L537" s="8" t="n">
        <v>0</v>
      </c>
      <c r="M537" s="8" t="n">
        <v>1</v>
      </c>
      <c r="N537" s="8" t="s">
        <v>93</v>
      </c>
      <c r="O537" s="8" t="n">
        <v>1</v>
      </c>
      <c r="P537" s="10" t="n">
        <v>3.66</v>
      </c>
      <c r="Q537" s="8"/>
      <c r="R537" s="8"/>
      <c r="S537" s="8" t="s">
        <v>409</v>
      </c>
      <c r="T537" s="8"/>
      <c r="U537" s="8"/>
      <c r="V537" s="8" t="s">
        <v>155</v>
      </c>
      <c r="W537" s="8"/>
      <c r="X537" s="8" t="s">
        <v>614</v>
      </c>
      <c r="Y537" s="8" t="s">
        <v>394</v>
      </c>
      <c r="Z537" s="8"/>
    </row>
    <row r="538" customFormat="false" ht="15" hidden="false" customHeight="false" outlineLevel="0" collapsed="false">
      <c r="A538" s="8" t="s">
        <v>408</v>
      </c>
      <c r="B538" s="8" t="s">
        <v>13</v>
      </c>
      <c r="C538" s="8" t="s">
        <v>14</v>
      </c>
      <c r="D538" s="8" t="s">
        <v>91</v>
      </c>
      <c r="E538" s="8" t="s">
        <v>40</v>
      </c>
      <c r="F538" s="8" t="s">
        <v>59</v>
      </c>
      <c r="G538" s="8" t="s">
        <v>30</v>
      </c>
      <c r="H538" s="8" t="s">
        <v>30</v>
      </c>
      <c r="I538" s="8" t="n">
        <f aca="false">IF(EXACT(G538,H538),1,0)</f>
        <v>1</v>
      </c>
      <c r="J538" s="8" t="n">
        <v>2</v>
      </c>
      <c r="K538" s="8" t="s">
        <v>92</v>
      </c>
      <c r="L538" s="8" t="n">
        <v>0</v>
      </c>
      <c r="M538" s="8" t="n">
        <v>1</v>
      </c>
      <c r="N538" s="8" t="s">
        <v>93</v>
      </c>
      <c r="O538" s="8" t="n">
        <v>1</v>
      </c>
      <c r="P538" s="10" t="n">
        <v>3.69</v>
      </c>
      <c r="Q538" s="8"/>
      <c r="R538" s="8"/>
      <c r="S538" s="8" t="s">
        <v>409</v>
      </c>
      <c r="T538" s="8"/>
      <c r="U538" s="8"/>
      <c r="V538" s="8" t="s">
        <v>155</v>
      </c>
      <c r="W538" s="8"/>
      <c r="X538" s="8" t="s">
        <v>614</v>
      </c>
      <c r="Y538" s="8" t="s">
        <v>394</v>
      </c>
      <c r="Z538" s="8"/>
    </row>
  </sheetData>
  <autoFilter ref="A1:Z5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6"/>
    <col collapsed="false" customWidth="true" hidden="false" outlineLevel="0" max="4" min="4" style="0" width="18"/>
    <col collapsed="false" customWidth="true" hidden="false" outlineLevel="0" max="5" min="5" style="0" width="10"/>
    <col collapsed="false" customWidth="true" hidden="false" outlineLevel="0" max="6" min="6" style="0" width="9"/>
    <col collapsed="false" customWidth="true" hidden="false" outlineLevel="0" max="8" min="7" style="0" width="13"/>
    <col collapsed="false" customWidth="true" hidden="false" outlineLevel="0" max="9" min="9" style="0" width="8"/>
    <col collapsed="false" customWidth="true" hidden="false" outlineLevel="0" max="10" min="10" style="0" width="6"/>
    <col collapsed="false" customWidth="true" hidden="false" outlineLevel="0" max="11" min="11" style="0" width="10"/>
    <col collapsed="false" customWidth="true" hidden="false" outlineLevel="0" max="12" min="12" style="0" width="7"/>
    <col collapsed="false" customWidth="true" hidden="false" outlineLevel="0" max="13" min="13" style="0" width="8"/>
    <col collapsed="false" customWidth="true" hidden="false" outlineLevel="0" max="14" min="14" style="0" width="34"/>
    <col collapsed="false" customWidth="true" hidden="false" outlineLevel="0" max="15" min="15" style="0" width="8"/>
    <col collapsed="false" customWidth="true" hidden="false" outlineLevel="0" max="16" min="16" style="0" width="10"/>
    <col collapsed="false" customWidth="true" hidden="false" outlineLevel="0" max="17" min="17" style="0" width="8"/>
    <col collapsed="false" customWidth="true" hidden="false" outlineLevel="0" max="18" min="18" style="0" width="9"/>
    <col collapsed="false" customWidth="true" hidden="false" outlineLevel="0" max="19" min="19" style="0" width="24"/>
    <col collapsed="false" customWidth="true" hidden="false" outlineLevel="0" max="20" min="20" style="0" width="10"/>
    <col collapsed="false" customWidth="true" hidden="false" outlineLevel="0" max="21" min="21" style="0" width="34"/>
    <col collapsed="false" customWidth="true" hidden="false" outlineLevel="0" max="22" min="22" style="0" width="12"/>
    <col collapsed="false" customWidth="true" hidden="false" outlineLevel="0" max="23" min="23" style="0" width="32"/>
    <col collapsed="false" customWidth="true" hidden="false" outlineLevel="0" max="24" min="24" style="0" width="40"/>
    <col collapsed="false" customWidth="true" hidden="false" outlineLevel="0" max="26" min="25" style="0" width="60"/>
  </cols>
  <sheetData>
    <row r="1" customFormat="false" ht="45" hidden="false" customHeight="true" outlineLevel="0" collapsed="false">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customFormat="false" ht="15" hidden="false" customHeight="false" outlineLevel="0" collapsed="false">
      <c r="A2" s="8" t="s">
        <v>90</v>
      </c>
      <c r="B2" s="8" t="s">
        <v>15</v>
      </c>
      <c r="C2" s="8" t="s">
        <v>16</v>
      </c>
      <c r="D2" s="8" t="s">
        <v>615</v>
      </c>
      <c r="E2" s="8" t="s">
        <v>35</v>
      </c>
      <c r="F2" s="8" t="s">
        <v>49</v>
      </c>
      <c r="G2" s="8" t="s">
        <v>32</v>
      </c>
      <c r="H2" s="8" t="s">
        <v>32</v>
      </c>
      <c r="I2" s="8" t="n">
        <f aca="false">IF(EXACT(G2,H2),1,0)</f>
        <v>1</v>
      </c>
      <c r="J2" s="8" t="n">
        <v>0</v>
      </c>
      <c r="K2" s="8" t="s">
        <v>92</v>
      </c>
      <c r="L2" s="8" t="n">
        <v>0</v>
      </c>
      <c r="M2" s="8" t="n">
        <v>0</v>
      </c>
      <c r="N2" s="8"/>
      <c r="O2" s="8" t="n">
        <v>1</v>
      </c>
      <c r="P2" s="10" t="n">
        <v>3.11</v>
      </c>
      <c r="Q2" s="8" t="n">
        <v>1277</v>
      </c>
      <c r="R2" s="8" t="n">
        <v>91</v>
      </c>
      <c r="S2" s="8" t="s">
        <v>94</v>
      </c>
      <c r="T2" s="8" t="s">
        <v>95</v>
      </c>
      <c r="U2" s="8" t="s">
        <v>96</v>
      </c>
      <c r="V2" s="8"/>
      <c r="W2" s="8" t="s">
        <v>97</v>
      </c>
      <c r="X2" s="8" t="s">
        <v>98</v>
      </c>
      <c r="Y2" s="8" t="s">
        <v>616</v>
      </c>
      <c r="Z2" s="8"/>
    </row>
    <row r="3" customFormat="false" ht="15" hidden="false" customHeight="false" outlineLevel="0" collapsed="false">
      <c r="A3" s="8" t="s">
        <v>90</v>
      </c>
      <c r="B3" s="8" t="s">
        <v>15</v>
      </c>
      <c r="C3" s="8" t="s">
        <v>16</v>
      </c>
      <c r="D3" s="8" t="s">
        <v>615</v>
      </c>
      <c r="E3" s="8" t="s">
        <v>35</v>
      </c>
      <c r="F3" s="8" t="s">
        <v>49</v>
      </c>
      <c r="G3" s="8" t="s">
        <v>32</v>
      </c>
      <c r="H3" s="8" t="s">
        <v>32</v>
      </c>
      <c r="I3" s="8" t="n">
        <f aca="false">IF(EXACT(G3,H3),1,0)</f>
        <v>1</v>
      </c>
      <c r="J3" s="8" t="n">
        <v>1</v>
      </c>
      <c r="K3" s="8" t="s">
        <v>92</v>
      </c>
      <c r="L3" s="8" t="n">
        <v>0</v>
      </c>
      <c r="M3" s="8" t="n">
        <v>0</v>
      </c>
      <c r="N3" s="8"/>
      <c r="O3" s="8" t="n">
        <v>1</v>
      </c>
      <c r="P3" s="10" t="n">
        <v>2.82</v>
      </c>
      <c r="Q3" s="8" t="n">
        <v>1277</v>
      </c>
      <c r="R3" s="8" t="n">
        <v>92</v>
      </c>
      <c r="S3" s="8" t="s">
        <v>94</v>
      </c>
      <c r="T3" s="8" t="s">
        <v>95</v>
      </c>
      <c r="U3" s="8" t="s">
        <v>96</v>
      </c>
      <c r="V3" s="8"/>
      <c r="W3" s="8" t="s">
        <v>97</v>
      </c>
      <c r="X3" s="8" t="s">
        <v>98</v>
      </c>
      <c r="Y3" s="8" t="s">
        <v>617</v>
      </c>
      <c r="Z3" s="8"/>
    </row>
    <row r="4" customFormat="false" ht="15" hidden="false" customHeight="false" outlineLevel="0" collapsed="false">
      <c r="A4" s="8" t="s">
        <v>90</v>
      </c>
      <c r="B4" s="8" t="s">
        <v>15</v>
      </c>
      <c r="C4" s="8" t="s">
        <v>16</v>
      </c>
      <c r="D4" s="8" t="s">
        <v>615</v>
      </c>
      <c r="E4" s="8" t="s">
        <v>35</v>
      </c>
      <c r="F4" s="8" t="s">
        <v>49</v>
      </c>
      <c r="G4" s="8" t="s">
        <v>32</v>
      </c>
      <c r="H4" s="8" t="s">
        <v>32</v>
      </c>
      <c r="I4" s="8" t="n">
        <f aca="false">IF(EXACT(G4,H4),1,0)</f>
        <v>1</v>
      </c>
      <c r="J4" s="8" t="n">
        <v>2</v>
      </c>
      <c r="K4" s="8" t="s">
        <v>92</v>
      </c>
      <c r="L4" s="8" t="n">
        <v>0</v>
      </c>
      <c r="M4" s="8" t="n">
        <v>0</v>
      </c>
      <c r="N4" s="8"/>
      <c r="O4" s="8" t="n">
        <v>1</v>
      </c>
      <c r="P4" s="10" t="n">
        <v>2.97</v>
      </c>
      <c r="Q4" s="8" t="n">
        <v>1277</v>
      </c>
      <c r="R4" s="8" t="n">
        <v>90</v>
      </c>
      <c r="S4" s="8" t="s">
        <v>94</v>
      </c>
      <c r="T4" s="8" t="s">
        <v>95</v>
      </c>
      <c r="U4" s="8" t="s">
        <v>96</v>
      </c>
      <c r="V4" s="8"/>
      <c r="W4" s="8" t="s">
        <v>97</v>
      </c>
      <c r="X4" s="8" t="s">
        <v>98</v>
      </c>
      <c r="Y4" s="8" t="s">
        <v>618</v>
      </c>
      <c r="Z4" s="8"/>
    </row>
    <row r="5" customFormat="false" ht="15" hidden="false" customHeight="false" outlineLevel="0" collapsed="false">
      <c r="A5" s="8" t="s">
        <v>100</v>
      </c>
      <c r="B5" s="8" t="s">
        <v>15</v>
      </c>
      <c r="C5" s="8" t="s">
        <v>16</v>
      </c>
      <c r="D5" s="8" t="s">
        <v>615</v>
      </c>
      <c r="E5" s="8" t="s">
        <v>35</v>
      </c>
      <c r="F5" s="8" t="s">
        <v>49</v>
      </c>
      <c r="G5" s="8" t="s">
        <v>32</v>
      </c>
      <c r="H5" s="8" t="s">
        <v>32</v>
      </c>
      <c r="I5" s="8" t="n">
        <f aca="false">IF(EXACT(G5,H5),1,0)</f>
        <v>1</v>
      </c>
      <c r="J5" s="8" t="n">
        <v>0</v>
      </c>
      <c r="K5" s="8" t="s">
        <v>92</v>
      </c>
      <c r="L5" s="8" t="n">
        <v>0</v>
      </c>
      <c r="M5" s="8" t="n">
        <v>0</v>
      </c>
      <c r="N5" s="8"/>
      <c r="O5" s="8" t="n">
        <v>1</v>
      </c>
      <c r="P5" s="10" t="n">
        <v>3.22</v>
      </c>
      <c r="Q5" s="8" t="n">
        <v>1278</v>
      </c>
      <c r="R5" s="8" t="n">
        <v>95</v>
      </c>
      <c r="S5" s="8" t="s">
        <v>101</v>
      </c>
      <c r="T5" s="8" t="s">
        <v>95</v>
      </c>
      <c r="U5" s="8" t="s">
        <v>96</v>
      </c>
      <c r="V5" s="8"/>
      <c r="W5" s="8" t="s">
        <v>102</v>
      </c>
      <c r="X5" s="8" t="s">
        <v>103</v>
      </c>
      <c r="Y5" s="8" t="s">
        <v>619</v>
      </c>
      <c r="Z5" s="8"/>
    </row>
    <row r="6" customFormat="false" ht="15" hidden="false" customHeight="false" outlineLevel="0" collapsed="false">
      <c r="A6" s="8" t="s">
        <v>100</v>
      </c>
      <c r="B6" s="8" t="s">
        <v>15</v>
      </c>
      <c r="C6" s="8" t="s">
        <v>16</v>
      </c>
      <c r="D6" s="8" t="s">
        <v>615</v>
      </c>
      <c r="E6" s="8" t="s">
        <v>35</v>
      </c>
      <c r="F6" s="8" t="s">
        <v>49</v>
      </c>
      <c r="G6" s="8" t="s">
        <v>32</v>
      </c>
      <c r="H6" s="8" t="s">
        <v>32</v>
      </c>
      <c r="I6" s="8" t="n">
        <f aca="false">IF(EXACT(G6,H6),1,0)</f>
        <v>1</v>
      </c>
      <c r="J6" s="8" t="n">
        <v>1</v>
      </c>
      <c r="K6" s="8" t="s">
        <v>92</v>
      </c>
      <c r="L6" s="8" t="n">
        <v>0</v>
      </c>
      <c r="M6" s="8" t="n">
        <v>0</v>
      </c>
      <c r="N6" s="8"/>
      <c r="O6" s="8" t="n">
        <v>1</v>
      </c>
      <c r="P6" s="10" t="n">
        <v>2.83</v>
      </c>
      <c r="Q6" s="8" t="n">
        <v>1278</v>
      </c>
      <c r="R6" s="8" t="n">
        <v>97</v>
      </c>
      <c r="S6" s="8" t="s">
        <v>101</v>
      </c>
      <c r="T6" s="8" t="s">
        <v>95</v>
      </c>
      <c r="U6" s="8" t="s">
        <v>96</v>
      </c>
      <c r="V6" s="8"/>
      <c r="W6" s="8" t="s">
        <v>102</v>
      </c>
      <c r="X6" s="8" t="s">
        <v>103</v>
      </c>
      <c r="Y6" s="8" t="s">
        <v>620</v>
      </c>
      <c r="Z6" s="8"/>
    </row>
    <row r="7" customFormat="false" ht="15" hidden="false" customHeight="false" outlineLevel="0" collapsed="false">
      <c r="A7" s="8" t="s">
        <v>100</v>
      </c>
      <c r="B7" s="8" t="s">
        <v>15</v>
      </c>
      <c r="C7" s="8" t="s">
        <v>16</v>
      </c>
      <c r="D7" s="8" t="s">
        <v>615</v>
      </c>
      <c r="E7" s="8" t="s">
        <v>35</v>
      </c>
      <c r="F7" s="8" t="s">
        <v>49</v>
      </c>
      <c r="G7" s="8" t="s">
        <v>32</v>
      </c>
      <c r="H7" s="8" t="s">
        <v>32</v>
      </c>
      <c r="I7" s="8" t="n">
        <f aca="false">IF(EXACT(G7,H7),1,0)</f>
        <v>1</v>
      </c>
      <c r="J7" s="8" t="n">
        <v>2</v>
      </c>
      <c r="K7" s="8" t="s">
        <v>92</v>
      </c>
      <c r="L7" s="8" t="n">
        <v>0</v>
      </c>
      <c r="M7" s="8" t="n">
        <v>0</v>
      </c>
      <c r="N7" s="8"/>
      <c r="O7" s="8" t="n">
        <v>1</v>
      </c>
      <c r="P7" s="10" t="n">
        <v>2.9</v>
      </c>
      <c r="Q7" s="8" t="n">
        <v>1278</v>
      </c>
      <c r="R7" s="8" t="n">
        <v>92</v>
      </c>
      <c r="S7" s="8" t="s">
        <v>101</v>
      </c>
      <c r="T7" s="8" t="s">
        <v>95</v>
      </c>
      <c r="U7" s="8" t="s">
        <v>96</v>
      </c>
      <c r="V7" s="8"/>
      <c r="W7" s="8" t="s">
        <v>102</v>
      </c>
      <c r="X7" s="8" t="s">
        <v>103</v>
      </c>
      <c r="Y7" s="8" t="s">
        <v>621</v>
      </c>
      <c r="Z7" s="8"/>
    </row>
    <row r="8" customFormat="false" ht="15" hidden="false" customHeight="false" outlineLevel="0" collapsed="false">
      <c r="A8" s="8" t="s">
        <v>104</v>
      </c>
      <c r="B8" s="8" t="s">
        <v>15</v>
      </c>
      <c r="C8" s="8" t="s">
        <v>16</v>
      </c>
      <c r="D8" s="8" t="s">
        <v>615</v>
      </c>
      <c r="E8" s="8" t="s">
        <v>35</v>
      </c>
      <c r="F8" s="8" t="s">
        <v>49</v>
      </c>
      <c r="G8" s="8" t="s">
        <v>30</v>
      </c>
      <c r="H8" s="8" t="s">
        <v>30</v>
      </c>
      <c r="I8" s="8" t="n">
        <f aca="false">IF(EXACT(G8,H8),1,0)</f>
        <v>1</v>
      </c>
      <c r="J8" s="8" t="n">
        <v>0</v>
      </c>
      <c r="K8" s="8" t="s">
        <v>92</v>
      </c>
      <c r="L8" s="8" t="n">
        <v>0</v>
      </c>
      <c r="M8" s="8" t="n">
        <v>0</v>
      </c>
      <c r="N8" s="8"/>
      <c r="O8" s="8" t="n">
        <v>1</v>
      </c>
      <c r="P8" s="10" t="n">
        <v>4.18</v>
      </c>
      <c r="Q8" s="8" t="n">
        <v>1267</v>
      </c>
      <c r="R8" s="8" t="n">
        <v>78</v>
      </c>
      <c r="S8" s="8" t="s">
        <v>105</v>
      </c>
      <c r="T8" s="8" t="s">
        <v>95</v>
      </c>
      <c r="U8" s="8" t="s">
        <v>96</v>
      </c>
      <c r="V8" s="8"/>
      <c r="W8" s="8" t="s">
        <v>106</v>
      </c>
      <c r="X8" s="8" t="s">
        <v>107</v>
      </c>
      <c r="Y8" s="8" t="s">
        <v>622</v>
      </c>
      <c r="Z8" s="8"/>
    </row>
    <row r="9" customFormat="false" ht="15" hidden="false" customHeight="false" outlineLevel="0" collapsed="false">
      <c r="A9" s="8" t="s">
        <v>104</v>
      </c>
      <c r="B9" s="8" t="s">
        <v>15</v>
      </c>
      <c r="C9" s="8" t="s">
        <v>16</v>
      </c>
      <c r="D9" s="8" t="s">
        <v>615</v>
      </c>
      <c r="E9" s="8" t="s">
        <v>35</v>
      </c>
      <c r="F9" s="8" t="s">
        <v>49</v>
      </c>
      <c r="G9" s="8" t="s">
        <v>30</v>
      </c>
      <c r="H9" s="8" t="s">
        <v>30</v>
      </c>
      <c r="I9" s="8" t="n">
        <f aca="false">IF(EXACT(G9,H9),1,0)</f>
        <v>1</v>
      </c>
      <c r="J9" s="8" t="n">
        <v>1</v>
      </c>
      <c r="K9" s="8" t="s">
        <v>92</v>
      </c>
      <c r="L9" s="8" t="n">
        <v>0</v>
      </c>
      <c r="M9" s="8" t="n">
        <v>0</v>
      </c>
      <c r="N9" s="8"/>
      <c r="O9" s="8" t="n">
        <v>1</v>
      </c>
      <c r="P9" s="10" t="n">
        <v>4.79</v>
      </c>
      <c r="Q9" s="8" t="n">
        <v>1267</v>
      </c>
      <c r="R9" s="8" t="n">
        <v>92</v>
      </c>
      <c r="S9" s="8" t="s">
        <v>105</v>
      </c>
      <c r="T9" s="8" t="s">
        <v>95</v>
      </c>
      <c r="U9" s="8" t="s">
        <v>96</v>
      </c>
      <c r="V9" s="8"/>
      <c r="W9" s="8" t="s">
        <v>106</v>
      </c>
      <c r="X9" s="8" t="s">
        <v>107</v>
      </c>
      <c r="Y9" s="8" t="s">
        <v>623</v>
      </c>
      <c r="Z9" s="8"/>
    </row>
    <row r="10" customFormat="false" ht="15" hidden="false" customHeight="false" outlineLevel="0" collapsed="false">
      <c r="A10" s="8" t="s">
        <v>104</v>
      </c>
      <c r="B10" s="8" t="s">
        <v>15</v>
      </c>
      <c r="C10" s="8" t="s">
        <v>16</v>
      </c>
      <c r="D10" s="8" t="s">
        <v>615</v>
      </c>
      <c r="E10" s="8" t="s">
        <v>35</v>
      </c>
      <c r="F10" s="8" t="s">
        <v>49</v>
      </c>
      <c r="G10" s="8" t="s">
        <v>30</v>
      </c>
      <c r="H10" s="8" t="s">
        <v>30</v>
      </c>
      <c r="I10" s="8" t="n">
        <f aca="false">IF(EXACT(G10,H10),1,0)</f>
        <v>1</v>
      </c>
      <c r="J10" s="8" t="n">
        <v>2</v>
      </c>
      <c r="K10" s="8" t="s">
        <v>92</v>
      </c>
      <c r="L10" s="8" t="n">
        <v>0</v>
      </c>
      <c r="M10" s="8" t="n">
        <v>0</v>
      </c>
      <c r="N10" s="8"/>
      <c r="O10" s="8" t="n">
        <v>1</v>
      </c>
      <c r="P10" s="10" t="n">
        <v>3.38</v>
      </c>
      <c r="Q10" s="8" t="n">
        <v>1267</v>
      </c>
      <c r="R10" s="8" t="n">
        <v>90</v>
      </c>
      <c r="S10" s="8" t="s">
        <v>105</v>
      </c>
      <c r="T10" s="8" t="s">
        <v>95</v>
      </c>
      <c r="U10" s="8" t="s">
        <v>96</v>
      </c>
      <c r="V10" s="8"/>
      <c r="W10" s="8" t="s">
        <v>106</v>
      </c>
      <c r="X10" s="8" t="s">
        <v>107</v>
      </c>
      <c r="Y10" s="8" t="s">
        <v>624</v>
      </c>
      <c r="Z10" s="8"/>
    </row>
    <row r="11" customFormat="false" ht="15" hidden="false" customHeight="false" outlineLevel="0" collapsed="false">
      <c r="A11" s="8" t="s">
        <v>109</v>
      </c>
      <c r="B11" s="8" t="s">
        <v>15</v>
      </c>
      <c r="C11" s="8" t="s">
        <v>16</v>
      </c>
      <c r="D11" s="8" t="s">
        <v>615</v>
      </c>
      <c r="E11" s="8" t="s">
        <v>35</v>
      </c>
      <c r="F11" s="8" t="s">
        <v>49</v>
      </c>
      <c r="G11" s="8" t="s">
        <v>30</v>
      </c>
      <c r="H11" s="8" t="s">
        <v>30</v>
      </c>
      <c r="I11" s="8" t="n">
        <f aca="false">IF(EXACT(G11,H11),1,0)</f>
        <v>1</v>
      </c>
      <c r="J11" s="8" t="n">
        <v>0</v>
      </c>
      <c r="K11" s="8" t="s">
        <v>92</v>
      </c>
      <c r="L11" s="8" t="n">
        <v>0</v>
      </c>
      <c r="M11" s="8" t="n">
        <v>0</v>
      </c>
      <c r="N11" s="8"/>
      <c r="O11" s="8" t="n">
        <v>1</v>
      </c>
      <c r="P11" s="10" t="n">
        <v>4.98</v>
      </c>
      <c r="Q11" s="8" t="n">
        <v>1490</v>
      </c>
      <c r="R11" s="8" t="n">
        <v>119</v>
      </c>
      <c r="S11" s="8" t="s">
        <v>110</v>
      </c>
      <c r="T11" s="8" t="s">
        <v>111</v>
      </c>
      <c r="U11" s="8" t="s">
        <v>112</v>
      </c>
      <c r="V11" s="8"/>
      <c r="W11" s="8" t="s">
        <v>113</v>
      </c>
      <c r="X11" s="8" t="s">
        <v>114</v>
      </c>
      <c r="Y11" s="8" t="s">
        <v>625</v>
      </c>
      <c r="Z11" s="8"/>
    </row>
    <row r="12" customFormat="false" ht="15" hidden="false" customHeight="false" outlineLevel="0" collapsed="false">
      <c r="A12" s="8" t="s">
        <v>109</v>
      </c>
      <c r="B12" s="8" t="s">
        <v>15</v>
      </c>
      <c r="C12" s="8" t="s">
        <v>16</v>
      </c>
      <c r="D12" s="8" t="s">
        <v>615</v>
      </c>
      <c r="E12" s="8" t="s">
        <v>35</v>
      </c>
      <c r="F12" s="8" t="s">
        <v>49</v>
      </c>
      <c r="G12" s="8" t="s">
        <v>30</v>
      </c>
      <c r="H12" s="8" t="s">
        <v>30</v>
      </c>
      <c r="I12" s="8" t="n">
        <f aca="false">IF(EXACT(G12,H12),1,0)</f>
        <v>1</v>
      </c>
      <c r="J12" s="8" t="n">
        <v>1</v>
      </c>
      <c r="K12" s="8" t="s">
        <v>92</v>
      </c>
      <c r="L12" s="8" t="n">
        <v>0</v>
      </c>
      <c r="M12" s="8" t="n">
        <v>0</v>
      </c>
      <c r="N12" s="8"/>
      <c r="O12" s="8" t="n">
        <v>1</v>
      </c>
      <c r="P12" s="10" t="n">
        <v>3.75</v>
      </c>
      <c r="Q12" s="8" t="n">
        <v>1490</v>
      </c>
      <c r="R12" s="8" t="n">
        <v>107</v>
      </c>
      <c r="S12" s="8" t="s">
        <v>110</v>
      </c>
      <c r="T12" s="8" t="s">
        <v>111</v>
      </c>
      <c r="U12" s="8" t="s">
        <v>112</v>
      </c>
      <c r="V12" s="8"/>
      <c r="W12" s="8" t="s">
        <v>113</v>
      </c>
      <c r="X12" s="8" t="s">
        <v>114</v>
      </c>
      <c r="Y12" s="8" t="s">
        <v>626</v>
      </c>
      <c r="Z12" s="8"/>
    </row>
    <row r="13" customFormat="false" ht="15" hidden="false" customHeight="false" outlineLevel="0" collapsed="false">
      <c r="A13" s="8" t="s">
        <v>109</v>
      </c>
      <c r="B13" s="8" t="s">
        <v>15</v>
      </c>
      <c r="C13" s="8" t="s">
        <v>16</v>
      </c>
      <c r="D13" s="8" t="s">
        <v>615</v>
      </c>
      <c r="E13" s="8" t="s">
        <v>35</v>
      </c>
      <c r="F13" s="8" t="s">
        <v>49</v>
      </c>
      <c r="G13" s="8" t="s">
        <v>30</v>
      </c>
      <c r="H13" s="8" t="s">
        <v>30</v>
      </c>
      <c r="I13" s="8" t="n">
        <f aca="false">IF(EXACT(G13,H13),1,0)</f>
        <v>1</v>
      </c>
      <c r="J13" s="8" t="n">
        <v>2</v>
      </c>
      <c r="K13" s="8" t="s">
        <v>92</v>
      </c>
      <c r="L13" s="8" t="n">
        <v>0</v>
      </c>
      <c r="M13" s="8" t="n">
        <v>0</v>
      </c>
      <c r="N13" s="8"/>
      <c r="O13" s="8" t="n">
        <v>1</v>
      </c>
      <c r="P13" s="10" t="n">
        <v>4.33</v>
      </c>
      <c r="Q13" s="8" t="n">
        <v>1490</v>
      </c>
      <c r="R13" s="8" t="n">
        <v>122</v>
      </c>
      <c r="S13" s="8" t="s">
        <v>110</v>
      </c>
      <c r="T13" s="8" t="s">
        <v>111</v>
      </c>
      <c r="U13" s="8" t="s">
        <v>112</v>
      </c>
      <c r="V13" s="8"/>
      <c r="W13" s="8" t="s">
        <v>113</v>
      </c>
      <c r="X13" s="8" t="s">
        <v>114</v>
      </c>
      <c r="Y13" s="8" t="s">
        <v>627</v>
      </c>
      <c r="Z13" s="8"/>
    </row>
    <row r="14" customFormat="false" ht="15" hidden="false" customHeight="false" outlineLevel="0" collapsed="false">
      <c r="A14" s="8" t="s">
        <v>115</v>
      </c>
      <c r="B14" s="8" t="s">
        <v>15</v>
      </c>
      <c r="C14" s="8" t="s">
        <v>16</v>
      </c>
      <c r="D14" s="8" t="s">
        <v>615</v>
      </c>
      <c r="E14" s="8" t="s">
        <v>35</v>
      </c>
      <c r="F14" s="8" t="s">
        <v>49</v>
      </c>
      <c r="G14" s="8" t="s">
        <v>31</v>
      </c>
      <c r="H14" s="8" t="s">
        <v>32</v>
      </c>
      <c r="I14" s="8" t="n">
        <f aca="false">IF(EXACT(G14,H14),1,0)</f>
        <v>0</v>
      </c>
      <c r="J14" s="8" t="n">
        <v>0</v>
      </c>
      <c r="K14" s="8" t="s">
        <v>92</v>
      </c>
      <c r="L14" s="8" t="n">
        <v>0</v>
      </c>
      <c r="M14" s="8" t="n">
        <v>0</v>
      </c>
      <c r="N14" s="8"/>
      <c r="O14" s="8" t="n">
        <v>1</v>
      </c>
      <c r="P14" s="10" t="n">
        <v>2.97</v>
      </c>
      <c r="Q14" s="8" t="n">
        <v>1458</v>
      </c>
      <c r="R14" s="8" t="n">
        <v>75</v>
      </c>
      <c r="S14" s="8" t="s">
        <v>117</v>
      </c>
      <c r="T14" s="8" t="s">
        <v>111</v>
      </c>
      <c r="U14" s="8" t="s">
        <v>112</v>
      </c>
      <c r="V14" s="8"/>
      <c r="W14" s="8" t="s">
        <v>118</v>
      </c>
      <c r="X14" s="8" t="s">
        <v>119</v>
      </c>
      <c r="Y14" s="8" t="s">
        <v>628</v>
      </c>
      <c r="Z14" s="8"/>
    </row>
    <row r="15" customFormat="false" ht="15" hidden="false" customHeight="false" outlineLevel="0" collapsed="false">
      <c r="A15" s="8" t="s">
        <v>115</v>
      </c>
      <c r="B15" s="8" t="s">
        <v>15</v>
      </c>
      <c r="C15" s="8" t="s">
        <v>16</v>
      </c>
      <c r="D15" s="8" t="s">
        <v>615</v>
      </c>
      <c r="E15" s="8" t="s">
        <v>35</v>
      </c>
      <c r="F15" s="8" t="s">
        <v>49</v>
      </c>
      <c r="G15" s="8" t="s">
        <v>31</v>
      </c>
      <c r="H15" s="8" t="s">
        <v>31</v>
      </c>
      <c r="I15" s="8" t="n">
        <f aca="false">IF(EXACT(G15,H15),1,0)</f>
        <v>1</v>
      </c>
      <c r="J15" s="8" t="n">
        <v>1</v>
      </c>
      <c r="K15" s="8" t="s">
        <v>140</v>
      </c>
      <c r="L15" s="8" t="n">
        <v>1</v>
      </c>
      <c r="M15" s="8" t="n">
        <v>0</v>
      </c>
      <c r="N15" s="8"/>
      <c r="O15" s="8" t="n">
        <v>1</v>
      </c>
      <c r="P15" s="10" t="n">
        <v>6.09</v>
      </c>
      <c r="Q15" s="8" t="n">
        <v>1458</v>
      </c>
      <c r="R15" s="8" t="n">
        <v>241</v>
      </c>
      <c r="S15" s="8" t="s">
        <v>117</v>
      </c>
      <c r="T15" s="8" t="s">
        <v>111</v>
      </c>
      <c r="U15" s="8" t="s">
        <v>112</v>
      </c>
      <c r="V15" s="8"/>
      <c r="W15" s="8" t="s">
        <v>118</v>
      </c>
      <c r="X15" s="8" t="s">
        <v>119</v>
      </c>
      <c r="Y15" s="8" t="s">
        <v>629</v>
      </c>
      <c r="Z15" s="8" t="s">
        <v>630</v>
      </c>
    </row>
    <row r="16" customFormat="false" ht="15" hidden="false" customHeight="false" outlineLevel="0" collapsed="false">
      <c r="A16" s="8" t="s">
        <v>115</v>
      </c>
      <c r="B16" s="8" t="s">
        <v>15</v>
      </c>
      <c r="C16" s="8" t="s">
        <v>16</v>
      </c>
      <c r="D16" s="8" t="s">
        <v>615</v>
      </c>
      <c r="E16" s="8" t="s">
        <v>35</v>
      </c>
      <c r="F16" s="8" t="s">
        <v>49</v>
      </c>
      <c r="G16" s="8" t="s">
        <v>31</v>
      </c>
      <c r="H16" s="8" t="s">
        <v>31</v>
      </c>
      <c r="I16" s="8" t="n">
        <f aca="false">IF(EXACT(G16,H16),1,0)</f>
        <v>1</v>
      </c>
      <c r="J16" s="8" t="n">
        <v>2</v>
      </c>
      <c r="K16" s="8" t="s">
        <v>140</v>
      </c>
      <c r="L16" s="8" t="n">
        <v>1</v>
      </c>
      <c r="M16" s="8" t="n">
        <v>0</v>
      </c>
      <c r="N16" s="8"/>
      <c r="O16" s="8" t="n">
        <v>1</v>
      </c>
      <c r="P16" s="10" t="n">
        <v>6.86</v>
      </c>
      <c r="Q16" s="8" t="n">
        <v>1458</v>
      </c>
      <c r="R16" s="8" t="n">
        <v>300</v>
      </c>
      <c r="S16" s="8" t="s">
        <v>117</v>
      </c>
      <c r="T16" s="8" t="s">
        <v>111</v>
      </c>
      <c r="U16" s="8" t="s">
        <v>112</v>
      </c>
      <c r="V16" s="8"/>
      <c r="W16" s="8" t="s">
        <v>118</v>
      </c>
      <c r="X16" s="8" t="s">
        <v>119</v>
      </c>
      <c r="Y16" s="8" t="s">
        <v>631</v>
      </c>
      <c r="Z16" s="8" t="s">
        <v>632</v>
      </c>
    </row>
    <row r="17" customFormat="false" ht="15" hidden="false" customHeight="false" outlineLevel="0" collapsed="false">
      <c r="A17" s="8" t="s">
        <v>121</v>
      </c>
      <c r="B17" s="8" t="s">
        <v>15</v>
      </c>
      <c r="C17" s="8" t="s">
        <v>16</v>
      </c>
      <c r="D17" s="8" t="s">
        <v>615</v>
      </c>
      <c r="E17" s="8" t="s">
        <v>35</v>
      </c>
      <c r="F17" s="8" t="s">
        <v>49</v>
      </c>
      <c r="G17" s="8" t="s">
        <v>31</v>
      </c>
      <c r="H17" s="8" t="s">
        <v>31</v>
      </c>
      <c r="I17" s="8" t="n">
        <f aca="false">IF(EXACT(G17,H17),1,0)</f>
        <v>1</v>
      </c>
      <c r="J17" s="8" t="n">
        <v>0</v>
      </c>
      <c r="K17" s="8" t="s">
        <v>140</v>
      </c>
      <c r="L17" s="8" t="n">
        <v>2</v>
      </c>
      <c r="M17" s="8" t="n">
        <v>0</v>
      </c>
      <c r="N17" s="8"/>
      <c r="O17" s="8" t="n">
        <v>1</v>
      </c>
      <c r="P17" s="10" t="n">
        <v>11.14</v>
      </c>
      <c r="Q17" s="8" t="n">
        <v>1272</v>
      </c>
      <c r="R17" s="8" t="n">
        <v>444</v>
      </c>
      <c r="S17" s="8" t="s">
        <v>117</v>
      </c>
      <c r="T17" s="8" t="s">
        <v>95</v>
      </c>
      <c r="U17" s="8" t="s">
        <v>96</v>
      </c>
      <c r="V17" s="8"/>
      <c r="W17" s="8" t="s">
        <v>122</v>
      </c>
      <c r="X17" s="8" t="s">
        <v>123</v>
      </c>
      <c r="Y17" s="8" t="s">
        <v>633</v>
      </c>
      <c r="Z17" s="8" t="s">
        <v>634</v>
      </c>
    </row>
    <row r="18" customFormat="false" ht="15" hidden="false" customHeight="false" outlineLevel="0" collapsed="false">
      <c r="A18" s="8" t="s">
        <v>121</v>
      </c>
      <c r="B18" s="8" t="s">
        <v>15</v>
      </c>
      <c r="C18" s="8" t="s">
        <v>16</v>
      </c>
      <c r="D18" s="8" t="s">
        <v>615</v>
      </c>
      <c r="E18" s="8" t="s">
        <v>35</v>
      </c>
      <c r="F18" s="8" t="s">
        <v>49</v>
      </c>
      <c r="G18" s="8" t="s">
        <v>31</v>
      </c>
      <c r="H18" s="8" t="s">
        <v>31</v>
      </c>
      <c r="I18" s="8" t="n">
        <f aca="false">IF(EXACT(G18,H18),1,0)</f>
        <v>1</v>
      </c>
      <c r="J18" s="8" t="n">
        <v>1</v>
      </c>
      <c r="K18" s="8" t="s">
        <v>140</v>
      </c>
      <c r="L18" s="8" t="n">
        <v>2</v>
      </c>
      <c r="M18" s="8" t="n">
        <v>0</v>
      </c>
      <c r="N18" s="8"/>
      <c r="O18" s="8" t="n">
        <v>1</v>
      </c>
      <c r="P18" s="10" t="n">
        <v>10.43</v>
      </c>
      <c r="Q18" s="8" t="n">
        <v>1272</v>
      </c>
      <c r="R18" s="8" t="n">
        <v>429</v>
      </c>
      <c r="S18" s="8" t="s">
        <v>117</v>
      </c>
      <c r="T18" s="8" t="s">
        <v>95</v>
      </c>
      <c r="U18" s="8" t="s">
        <v>96</v>
      </c>
      <c r="V18" s="8"/>
      <c r="W18" s="8" t="s">
        <v>122</v>
      </c>
      <c r="X18" s="8" t="s">
        <v>123</v>
      </c>
      <c r="Y18" s="8" t="s">
        <v>635</v>
      </c>
      <c r="Z18" s="8" t="s">
        <v>636</v>
      </c>
    </row>
    <row r="19" customFormat="false" ht="15" hidden="false" customHeight="false" outlineLevel="0" collapsed="false">
      <c r="A19" s="8" t="s">
        <v>121</v>
      </c>
      <c r="B19" s="8" t="s">
        <v>15</v>
      </c>
      <c r="C19" s="8" t="s">
        <v>16</v>
      </c>
      <c r="D19" s="8" t="s">
        <v>615</v>
      </c>
      <c r="E19" s="8" t="s">
        <v>35</v>
      </c>
      <c r="F19" s="8" t="s">
        <v>49</v>
      </c>
      <c r="G19" s="8" t="s">
        <v>31</v>
      </c>
      <c r="H19" s="8" t="s">
        <v>31</v>
      </c>
      <c r="I19" s="8" t="n">
        <f aca="false">IF(EXACT(G19,H19),1,0)</f>
        <v>1</v>
      </c>
      <c r="J19" s="8" t="n">
        <v>2</v>
      </c>
      <c r="K19" s="8" t="s">
        <v>140</v>
      </c>
      <c r="L19" s="8" t="n">
        <v>2</v>
      </c>
      <c r="M19" s="8" t="n">
        <v>0</v>
      </c>
      <c r="N19" s="8"/>
      <c r="O19" s="8" t="n">
        <v>1</v>
      </c>
      <c r="P19" s="10" t="n">
        <v>10.15</v>
      </c>
      <c r="Q19" s="8" t="n">
        <v>1272</v>
      </c>
      <c r="R19" s="8" t="n">
        <v>435</v>
      </c>
      <c r="S19" s="8" t="s">
        <v>117</v>
      </c>
      <c r="T19" s="8" t="s">
        <v>95</v>
      </c>
      <c r="U19" s="8" t="s">
        <v>96</v>
      </c>
      <c r="V19" s="8"/>
      <c r="W19" s="8" t="s">
        <v>122</v>
      </c>
      <c r="X19" s="8" t="s">
        <v>123</v>
      </c>
      <c r="Y19" s="8" t="s">
        <v>637</v>
      </c>
      <c r="Z19" s="8" t="s">
        <v>638</v>
      </c>
    </row>
    <row r="20" customFormat="false" ht="15" hidden="false" customHeight="false" outlineLevel="0" collapsed="false">
      <c r="A20" s="8" t="s">
        <v>124</v>
      </c>
      <c r="B20" s="8" t="s">
        <v>15</v>
      </c>
      <c r="C20" s="8" t="s">
        <v>16</v>
      </c>
      <c r="D20" s="8" t="s">
        <v>615</v>
      </c>
      <c r="E20" s="8" t="s">
        <v>35</v>
      </c>
      <c r="F20" s="8" t="s">
        <v>50</v>
      </c>
      <c r="G20" s="8" t="s">
        <v>32</v>
      </c>
      <c r="H20" s="8" t="s">
        <v>31</v>
      </c>
      <c r="I20" s="8" t="n">
        <f aca="false">IF(EXACT(G20,H20),1,0)</f>
        <v>0</v>
      </c>
      <c r="J20" s="8" t="n">
        <v>0</v>
      </c>
      <c r="K20" s="8" t="s">
        <v>140</v>
      </c>
      <c r="L20" s="8" t="n">
        <v>1</v>
      </c>
      <c r="M20" s="8" t="n">
        <v>0</v>
      </c>
      <c r="N20" s="8"/>
      <c r="O20" s="8" t="n">
        <v>1</v>
      </c>
      <c r="P20" s="10" t="n">
        <v>7.09</v>
      </c>
      <c r="Q20" s="8" t="n">
        <v>1270</v>
      </c>
      <c r="R20" s="8" t="n">
        <v>269</v>
      </c>
      <c r="S20" s="8" t="s">
        <v>125</v>
      </c>
      <c r="T20" s="8" t="s">
        <v>126</v>
      </c>
      <c r="U20" s="8" t="s">
        <v>127</v>
      </c>
      <c r="V20" s="8"/>
      <c r="W20" s="8" t="s">
        <v>128</v>
      </c>
      <c r="X20" s="8" t="s">
        <v>129</v>
      </c>
      <c r="Y20" s="8" t="s">
        <v>639</v>
      </c>
      <c r="Z20" s="8" t="s">
        <v>640</v>
      </c>
    </row>
    <row r="21" customFormat="false" ht="15" hidden="false" customHeight="false" outlineLevel="0" collapsed="false">
      <c r="A21" s="8" t="s">
        <v>124</v>
      </c>
      <c r="B21" s="8" t="s">
        <v>15</v>
      </c>
      <c r="C21" s="8" t="s">
        <v>16</v>
      </c>
      <c r="D21" s="8" t="s">
        <v>615</v>
      </c>
      <c r="E21" s="8" t="s">
        <v>35</v>
      </c>
      <c r="F21" s="8" t="s">
        <v>50</v>
      </c>
      <c r="G21" s="8" t="s">
        <v>32</v>
      </c>
      <c r="H21" s="8" t="s">
        <v>31</v>
      </c>
      <c r="I21" s="8" t="n">
        <f aca="false">IF(EXACT(G21,H21),1,0)</f>
        <v>0</v>
      </c>
      <c r="J21" s="8" t="n">
        <v>1</v>
      </c>
      <c r="K21" s="8" t="s">
        <v>140</v>
      </c>
      <c r="L21" s="8" t="n">
        <v>1</v>
      </c>
      <c r="M21" s="8" t="n">
        <v>0</v>
      </c>
      <c r="N21" s="8"/>
      <c r="O21" s="8" t="n">
        <v>1</v>
      </c>
      <c r="P21" s="10" t="n">
        <v>6.95</v>
      </c>
      <c r="Q21" s="8" t="n">
        <v>1270</v>
      </c>
      <c r="R21" s="8" t="n">
        <v>286</v>
      </c>
      <c r="S21" s="8" t="s">
        <v>125</v>
      </c>
      <c r="T21" s="8" t="s">
        <v>126</v>
      </c>
      <c r="U21" s="8" t="s">
        <v>127</v>
      </c>
      <c r="V21" s="8"/>
      <c r="W21" s="8" t="s">
        <v>128</v>
      </c>
      <c r="X21" s="8" t="s">
        <v>129</v>
      </c>
      <c r="Y21" s="8" t="s">
        <v>641</v>
      </c>
      <c r="Z21" s="8" t="s">
        <v>642</v>
      </c>
    </row>
    <row r="22" customFormat="false" ht="15" hidden="false" customHeight="false" outlineLevel="0" collapsed="false">
      <c r="A22" s="8" t="s">
        <v>124</v>
      </c>
      <c r="B22" s="8" t="s">
        <v>15</v>
      </c>
      <c r="C22" s="8" t="s">
        <v>16</v>
      </c>
      <c r="D22" s="8" t="s">
        <v>615</v>
      </c>
      <c r="E22" s="8" t="s">
        <v>35</v>
      </c>
      <c r="F22" s="8" t="s">
        <v>50</v>
      </c>
      <c r="G22" s="8" t="s">
        <v>32</v>
      </c>
      <c r="H22" s="8" t="s">
        <v>31</v>
      </c>
      <c r="I22" s="8" t="n">
        <f aca="false">IF(EXACT(G22,H22),1,0)</f>
        <v>0</v>
      </c>
      <c r="J22" s="8" t="n">
        <v>2</v>
      </c>
      <c r="K22" s="8" t="s">
        <v>140</v>
      </c>
      <c r="L22" s="8" t="n">
        <v>1</v>
      </c>
      <c r="M22" s="8" t="n">
        <v>0</v>
      </c>
      <c r="N22" s="8"/>
      <c r="O22" s="8" t="n">
        <v>1</v>
      </c>
      <c r="P22" s="10" t="n">
        <v>7.24</v>
      </c>
      <c r="Q22" s="8" t="n">
        <v>1270</v>
      </c>
      <c r="R22" s="8" t="n">
        <v>296</v>
      </c>
      <c r="S22" s="8" t="s">
        <v>125</v>
      </c>
      <c r="T22" s="8" t="s">
        <v>126</v>
      </c>
      <c r="U22" s="8" t="s">
        <v>127</v>
      </c>
      <c r="V22" s="8"/>
      <c r="W22" s="8" t="s">
        <v>128</v>
      </c>
      <c r="X22" s="8" t="s">
        <v>129</v>
      </c>
      <c r="Y22" s="8" t="s">
        <v>643</v>
      </c>
      <c r="Z22" s="8" t="s">
        <v>644</v>
      </c>
    </row>
    <row r="23" customFormat="false" ht="15" hidden="false" customHeight="false" outlineLevel="0" collapsed="false">
      <c r="A23" s="8" t="s">
        <v>131</v>
      </c>
      <c r="B23" s="8" t="s">
        <v>15</v>
      </c>
      <c r="C23" s="8" t="s">
        <v>16</v>
      </c>
      <c r="D23" s="8" t="s">
        <v>615</v>
      </c>
      <c r="E23" s="8" t="s">
        <v>35</v>
      </c>
      <c r="F23" s="8" t="s">
        <v>50</v>
      </c>
      <c r="G23" s="8" t="s">
        <v>32</v>
      </c>
      <c r="H23" s="8" t="s">
        <v>32</v>
      </c>
      <c r="I23" s="8" t="n">
        <f aca="false">IF(EXACT(G23,H23),1,0)</f>
        <v>1</v>
      </c>
      <c r="J23" s="8" t="n">
        <v>0</v>
      </c>
      <c r="K23" s="8" t="s">
        <v>92</v>
      </c>
      <c r="L23" s="8" t="n">
        <v>0</v>
      </c>
      <c r="M23" s="8" t="n">
        <v>0</v>
      </c>
      <c r="N23" s="8"/>
      <c r="O23" s="8" t="n">
        <v>1</v>
      </c>
      <c r="P23" s="10" t="n">
        <v>2.61</v>
      </c>
      <c r="Q23" s="8" t="n">
        <v>1258</v>
      </c>
      <c r="R23" s="8" t="n">
        <v>65</v>
      </c>
      <c r="S23" s="8" t="s">
        <v>132</v>
      </c>
      <c r="T23" s="8" t="s">
        <v>126</v>
      </c>
      <c r="U23" s="8" t="s">
        <v>127</v>
      </c>
      <c r="V23" s="8"/>
      <c r="W23" s="8" t="s">
        <v>133</v>
      </c>
      <c r="X23" s="8" t="s">
        <v>134</v>
      </c>
      <c r="Y23" s="8" t="s">
        <v>645</v>
      </c>
      <c r="Z23" s="8"/>
    </row>
    <row r="24" customFormat="false" ht="15" hidden="false" customHeight="false" outlineLevel="0" collapsed="false">
      <c r="A24" s="8" t="s">
        <v>131</v>
      </c>
      <c r="B24" s="8" t="s">
        <v>15</v>
      </c>
      <c r="C24" s="8" t="s">
        <v>16</v>
      </c>
      <c r="D24" s="8" t="s">
        <v>615</v>
      </c>
      <c r="E24" s="8" t="s">
        <v>35</v>
      </c>
      <c r="F24" s="8" t="s">
        <v>50</v>
      </c>
      <c r="G24" s="8" t="s">
        <v>32</v>
      </c>
      <c r="H24" s="8" t="s">
        <v>32</v>
      </c>
      <c r="I24" s="8" t="n">
        <f aca="false">IF(EXACT(G24,H24),1,0)</f>
        <v>1</v>
      </c>
      <c r="J24" s="8" t="n">
        <v>1</v>
      </c>
      <c r="K24" s="8" t="s">
        <v>92</v>
      </c>
      <c r="L24" s="8" t="n">
        <v>0</v>
      </c>
      <c r="M24" s="8" t="n">
        <v>0</v>
      </c>
      <c r="N24" s="8"/>
      <c r="O24" s="8" t="n">
        <v>1</v>
      </c>
      <c r="P24" s="10" t="n">
        <v>2.45</v>
      </c>
      <c r="Q24" s="8" t="n">
        <v>1258</v>
      </c>
      <c r="R24" s="8" t="n">
        <v>65</v>
      </c>
      <c r="S24" s="8" t="s">
        <v>132</v>
      </c>
      <c r="T24" s="8" t="s">
        <v>126</v>
      </c>
      <c r="U24" s="8" t="s">
        <v>127</v>
      </c>
      <c r="V24" s="8"/>
      <c r="W24" s="8" t="s">
        <v>133</v>
      </c>
      <c r="X24" s="8" t="s">
        <v>134</v>
      </c>
      <c r="Y24" s="8" t="s">
        <v>645</v>
      </c>
      <c r="Z24" s="8"/>
    </row>
    <row r="25" customFormat="false" ht="15" hidden="false" customHeight="false" outlineLevel="0" collapsed="false">
      <c r="A25" s="8" t="s">
        <v>131</v>
      </c>
      <c r="B25" s="8" t="s">
        <v>15</v>
      </c>
      <c r="C25" s="8" t="s">
        <v>16</v>
      </c>
      <c r="D25" s="8" t="s">
        <v>615</v>
      </c>
      <c r="E25" s="8" t="s">
        <v>35</v>
      </c>
      <c r="F25" s="8" t="s">
        <v>50</v>
      </c>
      <c r="G25" s="8" t="s">
        <v>32</v>
      </c>
      <c r="H25" s="8" t="s">
        <v>32</v>
      </c>
      <c r="I25" s="8" t="n">
        <f aca="false">IF(EXACT(G25,H25),1,0)</f>
        <v>1</v>
      </c>
      <c r="J25" s="8" t="n">
        <v>2</v>
      </c>
      <c r="K25" s="8" t="s">
        <v>92</v>
      </c>
      <c r="L25" s="8" t="n">
        <v>0</v>
      </c>
      <c r="M25" s="8" t="n">
        <v>0</v>
      </c>
      <c r="N25" s="8"/>
      <c r="O25" s="8" t="n">
        <v>1</v>
      </c>
      <c r="P25" s="10" t="n">
        <v>2.45</v>
      </c>
      <c r="Q25" s="8" t="n">
        <v>1258</v>
      </c>
      <c r="R25" s="8" t="n">
        <v>65</v>
      </c>
      <c r="S25" s="8" t="s">
        <v>132</v>
      </c>
      <c r="T25" s="8" t="s">
        <v>126</v>
      </c>
      <c r="U25" s="8" t="s">
        <v>127</v>
      </c>
      <c r="V25" s="8"/>
      <c r="W25" s="8" t="s">
        <v>133</v>
      </c>
      <c r="X25" s="8" t="s">
        <v>134</v>
      </c>
      <c r="Y25" s="8" t="s">
        <v>646</v>
      </c>
      <c r="Z25" s="8"/>
    </row>
    <row r="26" customFormat="false" ht="15" hidden="false" customHeight="false" outlineLevel="0" collapsed="false">
      <c r="A26" s="8" t="s">
        <v>135</v>
      </c>
      <c r="B26" s="8" t="s">
        <v>15</v>
      </c>
      <c r="C26" s="8" t="s">
        <v>16</v>
      </c>
      <c r="D26" s="8" t="s">
        <v>615</v>
      </c>
      <c r="E26" s="8" t="s">
        <v>35</v>
      </c>
      <c r="F26" s="8" t="s">
        <v>50</v>
      </c>
      <c r="G26" s="8" t="s">
        <v>30</v>
      </c>
      <c r="H26" s="8" t="s">
        <v>32</v>
      </c>
      <c r="I26" s="8" t="n">
        <f aca="false">IF(EXACT(G26,H26),1,0)</f>
        <v>0</v>
      </c>
      <c r="J26" s="8" t="n">
        <v>0</v>
      </c>
      <c r="K26" s="8" t="s">
        <v>92</v>
      </c>
      <c r="L26" s="8" t="n">
        <v>0</v>
      </c>
      <c r="M26" s="8" t="n">
        <v>0</v>
      </c>
      <c r="N26" s="8"/>
      <c r="O26" s="8" t="n">
        <v>1</v>
      </c>
      <c r="P26" s="10" t="n">
        <v>2.74</v>
      </c>
      <c r="Q26" s="8" t="n">
        <v>1249</v>
      </c>
      <c r="R26" s="8" t="n">
        <v>72</v>
      </c>
      <c r="S26" s="8" t="s">
        <v>105</v>
      </c>
      <c r="T26" s="8" t="s">
        <v>126</v>
      </c>
      <c r="U26" s="8" t="s">
        <v>127</v>
      </c>
      <c r="V26" s="8"/>
      <c r="W26" s="8" t="s">
        <v>136</v>
      </c>
      <c r="X26" s="8" t="s">
        <v>137</v>
      </c>
      <c r="Y26" s="8" t="s">
        <v>647</v>
      </c>
      <c r="Z26" s="8"/>
    </row>
    <row r="27" customFormat="false" ht="15" hidden="false" customHeight="false" outlineLevel="0" collapsed="false">
      <c r="A27" s="8" t="s">
        <v>135</v>
      </c>
      <c r="B27" s="8" t="s">
        <v>15</v>
      </c>
      <c r="C27" s="8" t="s">
        <v>16</v>
      </c>
      <c r="D27" s="8" t="s">
        <v>615</v>
      </c>
      <c r="E27" s="8" t="s">
        <v>35</v>
      </c>
      <c r="F27" s="8" t="s">
        <v>50</v>
      </c>
      <c r="G27" s="8" t="s">
        <v>30</v>
      </c>
      <c r="H27" s="8" t="s">
        <v>32</v>
      </c>
      <c r="I27" s="8" t="n">
        <f aca="false">IF(EXACT(G27,H27),1,0)</f>
        <v>0</v>
      </c>
      <c r="J27" s="8" t="n">
        <v>1</v>
      </c>
      <c r="K27" s="8" t="s">
        <v>92</v>
      </c>
      <c r="L27" s="8" t="n">
        <v>0</v>
      </c>
      <c r="M27" s="8" t="n">
        <v>0</v>
      </c>
      <c r="N27" s="8"/>
      <c r="O27" s="8" t="n">
        <v>1</v>
      </c>
      <c r="P27" s="10" t="n">
        <v>2.63</v>
      </c>
      <c r="Q27" s="8" t="n">
        <v>1249</v>
      </c>
      <c r="R27" s="8" t="n">
        <v>72</v>
      </c>
      <c r="S27" s="8" t="s">
        <v>105</v>
      </c>
      <c r="T27" s="8" t="s">
        <v>126</v>
      </c>
      <c r="U27" s="8" t="s">
        <v>127</v>
      </c>
      <c r="V27" s="8"/>
      <c r="W27" s="8" t="s">
        <v>136</v>
      </c>
      <c r="X27" s="8" t="s">
        <v>137</v>
      </c>
      <c r="Y27" s="8" t="s">
        <v>647</v>
      </c>
      <c r="Z27" s="8"/>
    </row>
    <row r="28" customFormat="false" ht="15" hidden="false" customHeight="false" outlineLevel="0" collapsed="false">
      <c r="A28" s="8" t="s">
        <v>135</v>
      </c>
      <c r="B28" s="8" t="s">
        <v>15</v>
      </c>
      <c r="C28" s="8" t="s">
        <v>16</v>
      </c>
      <c r="D28" s="8" t="s">
        <v>615</v>
      </c>
      <c r="E28" s="8" t="s">
        <v>35</v>
      </c>
      <c r="F28" s="8" t="s">
        <v>50</v>
      </c>
      <c r="G28" s="8" t="s">
        <v>30</v>
      </c>
      <c r="H28" s="8" t="s">
        <v>32</v>
      </c>
      <c r="I28" s="8" t="n">
        <f aca="false">IF(EXACT(G28,H28),1,0)</f>
        <v>0</v>
      </c>
      <c r="J28" s="8" t="n">
        <v>2</v>
      </c>
      <c r="K28" s="8" t="s">
        <v>92</v>
      </c>
      <c r="L28" s="8" t="n">
        <v>0</v>
      </c>
      <c r="M28" s="8" t="n">
        <v>0</v>
      </c>
      <c r="N28" s="8"/>
      <c r="O28" s="8" t="n">
        <v>1</v>
      </c>
      <c r="P28" s="10" t="n">
        <v>2.98</v>
      </c>
      <c r="Q28" s="8" t="n">
        <v>1249</v>
      </c>
      <c r="R28" s="8" t="n">
        <v>72</v>
      </c>
      <c r="S28" s="8" t="s">
        <v>105</v>
      </c>
      <c r="T28" s="8" t="s">
        <v>126</v>
      </c>
      <c r="U28" s="8" t="s">
        <v>127</v>
      </c>
      <c r="V28" s="8"/>
      <c r="W28" s="8" t="s">
        <v>136</v>
      </c>
      <c r="X28" s="8" t="s">
        <v>137</v>
      </c>
      <c r="Y28" s="8" t="s">
        <v>647</v>
      </c>
      <c r="Z28" s="8"/>
    </row>
    <row r="29" customFormat="false" ht="15" hidden="false" customHeight="false" outlineLevel="0" collapsed="false">
      <c r="A29" s="8" t="s">
        <v>139</v>
      </c>
      <c r="B29" s="8" t="s">
        <v>15</v>
      </c>
      <c r="C29" s="8" t="s">
        <v>16</v>
      </c>
      <c r="D29" s="8" t="s">
        <v>615</v>
      </c>
      <c r="E29" s="8" t="s">
        <v>35</v>
      </c>
      <c r="F29" s="8" t="s">
        <v>50</v>
      </c>
      <c r="G29" s="8" t="s">
        <v>31</v>
      </c>
      <c r="H29" s="8" t="s">
        <v>31</v>
      </c>
      <c r="I29" s="8" t="n">
        <f aca="false">IF(EXACT(G29,H29),1,0)</f>
        <v>1</v>
      </c>
      <c r="J29" s="8" t="n">
        <v>0</v>
      </c>
      <c r="K29" s="8" t="s">
        <v>140</v>
      </c>
      <c r="L29" s="8" t="n">
        <v>1</v>
      </c>
      <c r="M29" s="8" t="n">
        <v>0</v>
      </c>
      <c r="N29" s="8"/>
      <c r="O29" s="8" t="n">
        <v>1</v>
      </c>
      <c r="P29" s="10" t="n">
        <v>6.96</v>
      </c>
      <c r="Q29" s="8" t="n">
        <v>1266</v>
      </c>
      <c r="R29" s="8" t="n">
        <v>278</v>
      </c>
      <c r="S29" s="8" t="s">
        <v>117</v>
      </c>
      <c r="T29" s="8" t="s">
        <v>126</v>
      </c>
      <c r="U29" s="8" t="s">
        <v>127</v>
      </c>
      <c r="V29" s="8"/>
      <c r="W29" s="8" t="s">
        <v>141</v>
      </c>
      <c r="X29" s="8" t="s">
        <v>142</v>
      </c>
      <c r="Y29" s="8" t="s">
        <v>648</v>
      </c>
      <c r="Z29" s="8" t="s">
        <v>649</v>
      </c>
    </row>
    <row r="30" customFormat="false" ht="15" hidden="false" customHeight="false" outlineLevel="0" collapsed="false">
      <c r="A30" s="8" t="s">
        <v>139</v>
      </c>
      <c r="B30" s="8" t="s">
        <v>15</v>
      </c>
      <c r="C30" s="8" t="s">
        <v>16</v>
      </c>
      <c r="D30" s="8" t="s">
        <v>615</v>
      </c>
      <c r="E30" s="8" t="s">
        <v>35</v>
      </c>
      <c r="F30" s="8" t="s">
        <v>50</v>
      </c>
      <c r="G30" s="8" t="s">
        <v>31</v>
      </c>
      <c r="H30" s="8" t="s">
        <v>31</v>
      </c>
      <c r="I30" s="8" t="n">
        <f aca="false">IF(EXACT(G30,H30),1,0)</f>
        <v>1</v>
      </c>
      <c r="J30" s="8" t="n">
        <v>1</v>
      </c>
      <c r="K30" s="8" t="s">
        <v>140</v>
      </c>
      <c r="L30" s="8" t="n">
        <v>1</v>
      </c>
      <c r="M30" s="8" t="n">
        <v>0</v>
      </c>
      <c r="N30" s="8"/>
      <c r="O30" s="8" t="n">
        <v>1</v>
      </c>
      <c r="P30" s="10" t="n">
        <v>6.43</v>
      </c>
      <c r="Q30" s="8" t="n">
        <v>1266</v>
      </c>
      <c r="R30" s="8" t="n">
        <v>252</v>
      </c>
      <c r="S30" s="8" t="s">
        <v>117</v>
      </c>
      <c r="T30" s="8" t="s">
        <v>126</v>
      </c>
      <c r="U30" s="8" t="s">
        <v>127</v>
      </c>
      <c r="V30" s="8"/>
      <c r="W30" s="8" t="s">
        <v>141</v>
      </c>
      <c r="X30" s="8" t="s">
        <v>142</v>
      </c>
      <c r="Y30" s="8" t="s">
        <v>650</v>
      </c>
      <c r="Z30" s="8" t="s">
        <v>651</v>
      </c>
    </row>
    <row r="31" customFormat="false" ht="15" hidden="false" customHeight="false" outlineLevel="0" collapsed="false">
      <c r="A31" s="8" t="s">
        <v>139</v>
      </c>
      <c r="B31" s="8" t="s">
        <v>15</v>
      </c>
      <c r="C31" s="8" t="s">
        <v>16</v>
      </c>
      <c r="D31" s="8" t="s">
        <v>615</v>
      </c>
      <c r="E31" s="8" t="s">
        <v>35</v>
      </c>
      <c r="F31" s="8" t="s">
        <v>50</v>
      </c>
      <c r="G31" s="8" t="s">
        <v>31</v>
      </c>
      <c r="H31" s="8" t="s">
        <v>31</v>
      </c>
      <c r="I31" s="8" t="n">
        <f aca="false">IF(EXACT(G31,H31),1,0)</f>
        <v>1</v>
      </c>
      <c r="J31" s="8" t="n">
        <v>2</v>
      </c>
      <c r="K31" s="8" t="s">
        <v>140</v>
      </c>
      <c r="L31" s="8" t="n">
        <v>1</v>
      </c>
      <c r="M31" s="8" t="n">
        <v>0</v>
      </c>
      <c r="N31" s="8"/>
      <c r="O31" s="8" t="n">
        <v>1</v>
      </c>
      <c r="P31" s="10" t="n">
        <v>6.72</v>
      </c>
      <c r="Q31" s="8" t="n">
        <v>1266</v>
      </c>
      <c r="R31" s="8" t="n">
        <v>281</v>
      </c>
      <c r="S31" s="8" t="s">
        <v>117</v>
      </c>
      <c r="T31" s="8" t="s">
        <v>126</v>
      </c>
      <c r="U31" s="8" t="s">
        <v>127</v>
      </c>
      <c r="V31" s="8"/>
      <c r="W31" s="8" t="s">
        <v>141</v>
      </c>
      <c r="X31" s="8" t="s">
        <v>142</v>
      </c>
      <c r="Y31" s="8" t="s">
        <v>652</v>
      </c>
      <c r="Z31" s="8" t="s">
        <v>653</v>
      </c>
    </row>
    <row r="32" customFormat="false" ht="15" hidden="false" customHeight="false" outlineLevel="0" collapsed="false">
      <c r="A32" s="8" t="s">
        <v>145</v>
      </c>
      <c r="B32" s="8" t="s">
        <v>15</v>
      </c>
      <c r="C32" s="8" t="s">
        <v>16</v>
      </c>
      <c r="D32" s="8" t="s">
        <v>615</v>
      </c>
      <c r="E32" s="8" t="s">
        <v>35</v>
      </c>
      <c r="F32" s="8" t="s">
        <v>50</v>
      </c>
      <c r="G32" s="8" t="s">
        <v>31</v>
      </c>
      <c r="H32" s="8" t="s">
        <v>31</v>
      </c>
      <c r="I32" s="8" t="n">
        <f aca="false">IF(EXACT(G32,H32),1,0)</f>
        <v>1</v>
      </c>
      <c r="J32" s="8" t="n">
        <v>0</v>
      </c>
      <c r="K32" s="8" t="s">
        <v>140</v>
      </c>
      <c r="L32" s="8" t="n">
        <v>1</v>
      </c>
      <c r="M32" s="8" t="n">
        <v>0</v>
      </c>
      <c r="N32" s="8"/>
      <c r="O32" s="8" t="n">
        <v>1</v>
      </c>
      <c r="P32" s="10" t="n">
        <v>8.46</v>
      </c>
      <c r="Q32" s="8" t="n">
        <v>1275</v>
      </c>
      <c r="R32" s="8" t="n">
        <v>311</v>
      </c>
      <c r="S32" s="8" t="s">
        <v>146</v>
      </c>
      <c r="T32" s="8" t="s">
        <v>126</v>
      </c>
      <c r="U32" s="8" t="s">
        <v>127</v>
      </c>
      <c r="V32" s="8"/>
      <c r="W32" s="8" t="s">
        <v>147</v>
      </c>
      <c r="X32" s="8" t="s">
        <v>148</v>
      </c>
      <c r="Y32" s="8" t="s">
        <v>654</v>
      </c>
      <c r="Z32" s="8" t="s">
        <v>655</v>
      </c>
    </row>
    <row r="33" customFormat="false" ht="15" hidden="false" customHeight="false" outlineLevel="0" collapsed="false">
      <c r="A33" s="8" t="s">
        <v>145</v>
      </c>
      <c r="B33" s="8" t="s">
        <v>15</v>
      </c>
      <c r="C33" s="8" t="s">
        <v>16</v>
      </c>
      <c r="D33" s="8" t="s">
        <v>615</v>
      </c>
      <c r="E33" s="8" t="s">
        <v>35</v>
      </c>
      <c r="F33" s="8" t="s">
        <v>50</v>
      </c>
      <c r="G33" s="8" t="s">
        <v>31</v>
      </c>
      <c r="H33" s="8" t="s">
        <v>31</v>
      </c>
      <c r="I33" s="8" t="n">
        <f aca="false">IF(EXACT(G33,H33),1,0)</f>
        <v>1</v>
      </c>
      <c r="J33" s="8" t="n">
        <v>1</v>
      </c>
      <c r="K33" s="8" t="s">
        <v>140</v>
      </c>
      <c r="L33" s="8" t="n">
        <v>2</v>
      </c>
      <c r="M33" s="8" t="n">
        <v>0</v>
      </c>
      <c r="N33" s="8"/>
      <c r="O33" s="8" t="n">
        <v>1</v>
      </c>
      <c r="P33" s="10" t="n">
        <v>10.76</v>
      </c>
      <c r="Q33" s="8" t="n">
        <v>1275</v>
      </c>
      <c r="R33" s="8" t="n">
        <v>444</v>
      </c>
      <c r="S33" s="8" t="s">
        <v>146</v>
      </c>
      <c r="T33" s="8" t="s">
        <v>126</v>
      </c>
      <c r="U33" s="8" t="s">
        <v>127</v>
      </c>
      <c r="V33" s="8"/>
      <c r="W33" s="8" t="s">
        <v>147</v>
      </c>
      <c r="X33" s="8" t="s">
        <v>148</v>
      </c>
      <c r="Y33" s="8" t="s">
        <v>656</v>
      </c>
      <c r="Z33" s="8" t="s">
        <v>657</v>
      </c>
    </row>
    <row r="34" customFormat="false" ht="15" hidden="false" customHeight="false" outlineLevel="0" collapsed="false">
      <c r="A34" s="8" t="s">
        <v>145</v>
      </c>
      <c r="B34" s="8" t="s">
        <v>15</v>
      </c>
      <c r="C34" s="8" t="s">
        <v>16</v>
      </c>
      <c r="D34" s="8" t="s">
        <v>615</v>
      </c>
      <c r="E34" s="8" t="s">
        <v>35</v>
      </c>
      <c r="F34" s="8" t="s">
        <v>50</v>
      </c>
      <c r="G34" s="8" t="s">
        <v>31</v>
      </c>
      <c r="H34" s="8" t="s">
        <v>31</v>
      </c>
      <c r="I34" s="8" t="n">
        <f aca="false">IF(EXACT(G34,H34),1,0)</f>
        <v>1</v>
      </c>
      <c r="J34" s="8" t="n">
        <v>2</v>
      </c>
      <c r="K34" s="8" t="s">
        <v>140</v>
      </c>
      <c r="L34" s="8" t="n">
        <v>2</v>
      </c>
      <c r="M34" s="8" t="n">
        <v>0</v>
      </c>
      <c r="N34" s="8"/>
      <c r="O34" s="8" t="n">
        <v>1</v>
      </c>
      <c r="P34" s="10" t="n">
        <v>11.05</v>
      </c>
      <c r="Q34" s="8" t="n">
        <v>1275</v>
      </c>
      <c r="R34" s="8" t="n">
        <v>464</v>
      </c>
      <c r="S34" s="8" t="s">
        <v>146</v>
      </c>
      <c r="T34" s="8" t="s">
        <v>126</v>
      </c>
      <c r="U34" s="8" t="s">
        <v>127</v>
      </c>
      <c r="V34" s="8"/>
      <c r="W34" s="8" t="s">
        <v>147</v>
      </c>
      <c r="X34" s="8" t="s">
        <v>148</v>
      </c>
      <c r="Y34" s="8" t="s">
        <v>658</v>
      </c>
      <c r="Z34" s="8" t="s">
        <v>659</v>
      </c>
    </row>
    <row r="35" customFormat="false" ht="15" hidden="false" customHeight="false" outlineLevel="0" collapsed="false">
      <c r="A35" s="8" t="s">
        <v>149</v>
      </c>
      <c r="B35" s="8" t="s">
        <v>15</v>
      </c>
      <c r="C35" s="8" t="s">
        <v>16</v>
      </c>
      <c r="D35" s="8" t="s">
        <v>615</v>
      </c>
      <c r="E35" s="8" t="s">
        <v>35</v>
      </c>
      <c r="F35" s="8" t="s">
        <v>50</v>
      </c>
      <c r="G35" s="8" t="s">
        <v>30</v>
      </c>
      <c r="H35" s="8" t="s">
        <v>32</v>
      </c>
      <c r="I35" s="8" t="n">
        <f aca="false">IF(EXACT(G35,H35),1,0)</f>
        <v>0</v>
      </c>
      <c r="J35" s="8" t="n">
        <v>0</v>
      </c>
      <c r="K35" s="8" t="s">
        <v>92</v>
      </c>
      <c r="L35" s="8" t="n">
        <v>0</v>
      </c>
      <c r="M35" s="8" t="n">
        <v>0</v>
      </c>
      <c r="N35" s="8"/>
      <c r="O35" s="8" t="n">
        <v>1</v>
      </c>
      <c r="P35" s="10" t="n">
        <v>3.42</v>
      </c>
      <c r="Q35" s="8" t="n">
        <v>1249</v>
      </c>
      <c r="R35" s="8" t="n">
        <v>111</v>
      </c>
      <c r="S35" s="8" t="s">
        <v>150</v>
      </c>
      <c r="T35" s="8" t="s">
        <v>126</v>
      </c>
      <c r="U35" s="8" t="s">
        <v>127</v>
      </c>
      <c r="V35" s="8"/>
      <c r="W35" s="8" t="s">
        <v>151</v>
      </c>
      <c r="X35" s="8" t="s">
        <v>152</v>
      </c>
      <c r="Y35" s="8" t="s">
        <v>660</v>
      </c>
      <c r="Z35" s="8"/>
    </row>
    <row r="36" customFormat="false" ht="15" hidden="false" customHeight="false" outlineLevel="0" collapsed="false">
      <c r="A36" s="8" t="s">
        <v>149</v>
      </c>
      <c r="B36" s="8" t="s">
        <v>15</v>
      </c>
      <c r="C36" s="8" t="s">
        <v>16</v>
      </c>
      <c r="D36" s="8" t="s">
        <v>615</v>
      </c>
      <c r="E36" s="8" t="s">
        <v>35</v>
      </c>
      <c r="F36" s="8" t="s">
        <v>50</v>
      </c>
      <c r="G36" s="8" t="s">
        <v>30</v>
      </c>
      <c r="H36" s="8" t="s">
        <v>32</v>
      </c>
      <c r="I36" s="8" t="n">
        <f aca="false">IF(EXACT(G36,H36),1,0)</f>
        <v>0</v>
      </c>
      <c r="J36" s="8" t="n">
        <v>1</v>
      </c>
      <c r="K36" s="8" t="s">
        <v>92</v>
      </c>
      <c r="L36" s="8" t="n">
        <v>0</v>
      </c>
      <c r="M36" s="8" t="n">
        <v>0</v>
      </c>
      <c r="N36" s="8"/>
      <c r="O36" s="8" t="n">
        <v>1</v>
      </c>
      <c r="P36" s="10" t="n">
        <v>3.11</v>
      </c>
      <c r="Q36" s="8" t="n">
        <v>1249</v>
      </c>
      <c r="R36" s="8" t="n">
        <v>105</v>
      </c>
      <c r="S36" s="8" t="s">
        <v>150</v>
      </c>
      <c r="T36" s="8" t="s">
        <v>126</v>
      </c>
      <c r="U36" s="8" t="s">
        <v>127</v>
      </c>
      <c r="V36" s="8"/>
      <c r="W36" s="8" t="s">
        <v>151</v>
      </c>
      <c r="X36" s="8" t="s">
        <v>152</v>
      </c>
      <c r="Y36" s="8" t="s">
        <v>661</v>
      </c>
      <c r="Z36" s="8"/>
    </row>
    <row r="37" customFormat="false" ht="15" hidden="false" customHeight="false" outlineLevel="0" collapsed="false">
      <c r="A37" s="8" t="s">
        <v>149</v>
      </c>
      <c r="B37" s="8" t="s">
        <v>15</v>
      </c>
      <c r="C37" s="8" t="s">
        <v>16</v>
      </c>
      <c r="D37" s="8" t="s">
        <v>615</v>
      </c>
      <c r="E37" s="8" t="s">
        <v>35</v>
      </c>
      <c r="F37" s="8" t="s">
        <v>50</v>
      </c>
      <c r="G37" s="8" t="s">
        <v>30</v>
      </c>
      <c r="H37" s="8" t="s">
        <v>32</v>
      </c>
      <c r="I37" s="8" t="n">
        <f aca="false">IF(EXACT(G37,H37),1,0)</f>
        <v>0</v>
      </c>
      <c r="J37" s="8" t="n">
        <v>2</v>
      </c>
      <c r="K37" s="8" t="s">
        <v>92</v>
      </c>
      <c r="L37" s="8" t="n">
        <v>0</v>
      </c>
      <c r="M37" s="8" t="n">
        <v>0</v>
      </c>
      <c r="N37" s="8"/>
      <c r="O37" s="8" t="n">
        <v>1</v>
      </c>
      <c r="P37" s="10" t="n">
        <v>3.18</v>
      </c>
      <c r="Q37" s="8" t="n">
        <v>1249</v>
      </c>
      <c r="R37" s="8" t="n">
        <v>105</v>
      </c>
      <c r="S37" s="8" t="s">
        <v>150</v>
      </c>
      <c r="T37" s="8" t="s">
        <v>126</v>
      </c>
      <c r="U37" s="8" t="s">
        <v>127</v>
      </c>
      <c r="V37" s="8"/>
      <c r="W37" s="8" t="s">
        <v>151</v>
      </c>
      <c r="X37" s="8" t="s">
        <v>152</v>
      </c>
      <c r="Y37" s="8" t="s">
        <v>661</v>
      </c>
      <c r="Z37" s="8"/>
    </row>
    <row r="38" customFormat="false" ht="15" hidden="false" customHeight="false" outlineLevel="0" collapsed="false">
      <c r="A38" s="8" t="s">
        <v>153</v>
      </c>
      <c r="B38" s="8" t="s">
        <v>15</v>
      </c>
      <c r="C38" s="8" t="s">
        <v>16</v>
      </c>
      <c r="D38" s="8" t="s">
        <v>615</v>
      </c>
      <c r="E38" s="8" t="s">
        <v>35</v>
      </c>
      <c r="F38" s="8" t="s">
        <v>53</v>
      </c>
      <c r="G38" s="8" t="s">
        <v>31</v>
      </c>
      <c r="H38" s="8" t="s">
        <v>31</v>
      </c>
      <c r="I38" s="8" t="n">
        <f aca="false">IF(EXACT(G38,H38),1,0)</f>
        <v>1</v>
      </c>
      <c r="J38" s="8" t="n">
        <v>0</v>
      </c>
      <c r="K38" s="8" t="s">
        <v>116</v>
      </c>
      <c r="L38" s="8" t="n">
        <v>1</v>
      </c>
      <c r="M38" s="8" t="n">
        <v>0</v>
      </c>
      <c r="N38" s="8"/>
      <c r="O38" s="8" t="n">
        <v>1</v>
      </c>
      <c r="P38" s="10" t="n">
        <v>9.75</v>
      </c>
      <c r="Q38" s="8" t="n">
        <v>1420</v>
      </c>
      <c r="R38" s="8" t="n">
        <v>359</v>
      </c>
      <c r="S38" s="8" t="s">
        <v>154</v>
      </c>
      <c r="T38" s="8"/>
      <c r="U38" s="8"/>
      <c r="V38" s="8" t="s">
        <v>155</v>
      </c>
      <c r="W38" s="8"/>
      <c r="X38" s="8" t="s">
        <v>156</v>
      </c>
      <c r="Y38" s="8" t="s">
        <v>662</v>
      </c>
      <c r="Z38" s="8" t="s">
        <v>663</v>
      </c>
    </row>
    <row r="39" customFormat="false" ht="15" hidden="false" customHeight="false" outlineLevel="0" collapsed="false">
      <c r="A39" s="8" t="s">
        <v>153</v>
      </c>
      <c r="B39" s="8" t="s">
        <v>15</v>
      </c>
      <c r="C39" s="8" t="s">
        <v>16</v>
      </c>
      <c r="D39" s="8" t="s">
        <v>615</v>
      </c>
      <c r="E39" s="8" t="s">
        <v>35</v>
      </c>
      <c r="F39" s="8" t="s">
        <v>53</v>
      </c>
      <c r="G39" s="8" t="s">
        <v>31</v>
      </c>
      <c r="H39" s="8" t="s">
        <v>31</v>
      </c>
      <c r="I39" s="8" t="n">
        <f aca="false">IF(EXACT(G39,H39),1,0)</f>
        <v>1</v>
      </c>
      <c r="J39" s="8" t="n">
        <v>1</v>
      </c>
      <c r="K39" s="8" t="s">
        <v>116</v>
      </c>
      <c r="L39" s="8" t="n">
        <v>1</v>
      </c>
      <c r="M39" s="8" t="n">
        <v>0</v>
      </c>
      <c r="N39" s="8"/>
      <c r="O39" s="8" t="n">
        <v>1</v>
      </c>
      <c r="P39" s="10" t="n">
        <v>7.38</v>
      </c>
      <c r="Q39" s="8" t="n">
        <v>1420</v>
      </c>
      <c r="R39" s="8" t="n">
        <v>323</v>
      </c>
      <c r="S39" s="8" t="s">
        <v>154</v>
      </c>
      <c r="T39" s="8"/>
      <c r="U39" s="8"/>
      <c r="V39" s="8" t="s">
        <v>155</v>
      </c>
      <c r="W39" s="8"/>
      <c r="X39" s="8" t="s">
        <v>156</v>
      </c>
      <c r="Y39" s="8" t="s">
        <v>664</v>
      </c>
      <c r="Z39" s="8" t="s">
        <v>665</v>
      </c>
    </row>
    <row r="40" customFormat="false" ht="15" hidden="false" customHeight="false" outlineLevel="0" collapsed="false">
      <c r="A40" s="8" t="s">
        <v>153</v>
      </c>
      <c r="B40" s="8" t="s">
        <v>15</v>
      </c>
      <c r="C40" s="8" t="s">
        <v>16</v>
      </c>
      <c r="D40" s="8" t="s">
        <v>615</v>
      </c>
      <c r="E40" s="8" t="s">
        <v>35</v>
      </c>
      <c r="F40" s="8" t="s">
        <v>53</v>
      </c>
      <c r="G40" s="8" t="s">
        <v>31</v>
      </c>
      <c r="H40" s="8" t="s">
        <v>31</v>
      </c>
      <c r="I40" s="8" t="n">
        <f aca="false">IF(EXACT(G40,H40),1,0)</f>
        <v>1</v>
      </c>
      <c r="J40" s="8" t="n">
        <v>2</v>
      </c>
      <c r="K40" s="8" t="s">
        <v>116</v>
      </c>
      <c r="L40" s="8" t="n">
        <v>1</v>
      </c>
      <c r="M40" s="8" t="n">
        <v>0</v>
      </c>
      <c r="N40" s="8"/>
      <c r="O40" s="8" t="n">
        <v>1</v>
      </c>
      <c r="P40" s="10" t="n">
        <v>8.9</v>
      </c>
      <c r="Q40" s="8" t="n">
        <v>1420</v>
      </c>
      <c r="R40" s="8" t="n">
        <v>371</v>
      </c>
      <c r="S40" s="8" t="s">
        <v>154</v>
      </c>
      <c r="T40" s="8"/>
      <c r="U40" s="8"/>
      <c r="V40" s="8" t="s">
        <v>155</v>
      </c>
      <c r="W40" s="8"/>
      <c r="X40" s="8" t="s">
        <v>156</v>
      </c>
      <c r="Y40" s="8" t="s">
        <v>666</v>
      </c>
      <c r="Z40" s="8" t="s">
        <v>667</v>
      </c>
    </row>
    <row r="41" customFormat="false" ht="15" hidden="false" customHeight="false" outlineLevel="0" collapsed="false">
      <c r="A41" s="8" t="s">
        <v>158</v>
      </c>
      <c r="B41" s="8" t="s">
        <v>15</v>
      </c>
      <c r="C41" s="8" t="s">
        <v>16</v>
      </c>
      <c r="D41" s="8" t="s">
        <v>615</v>
      </c>
      <c r="E41" s="8" t="s">
        <v>35</v>
      </c>
      <c r="F41" s="8" t="s">
        <v>53</v>
      </c>
      <c r="G41" s="8" t="s">
        <v>31</v>
      </c>
      <c r="H41" s="8" t="s">
        <v>31</v>
      </c>
      <c r="I41" s="8" t="n">
        <f aca="false">IF(EXACT(G41,H41),1,0)</f>
        <v>1</v>
      </c>
      <c r="J41" s="8" t="n">
        <v>0</v>
      </c>
      <c r="K41" s="8" t="s">
        <v>116</v>
      </c>
      <c r="L41" s="8" t="n">
        <v>1</v>
      </c>
      <c r="M41" s="8" t="n">
        <v>0</v>
      </c>
      <c r="N41" s="8"/>
      <c r="O41" s="8" t="n">
        <v>1</v>
      </c>
      <c r="P41" s="10" t="n">
        <v>8.77</v>
      </c>
      <c r="Q41" s="8" t="n">
        <v>1421</v>
      </c>
      <c r="R41" s="8" t="n">
        <v>361</v>
      </c>
      <c r="S41" s="8" t="s">
        <v>159</v>
      </c>
      <c r="T41" s="8"/>
      <c r="U41" s="8"/>
      <c r="V41" s="8" t="s">
        <v>155</v>
      </c>
      <c r="W41" s="8"/>
      <c r="X41" s="8" t="s">
        <v>160</v>
      </c>
      <c r="Y41" s="8" t="s">
        <v>668</v>
      </c>
      <c r="Z41" s="8" t="s">
        <v>669</v>
      </c>
    </row>
    <row r="42" customFormat="false" ht="15" hidden="false" customHeight="false" outlineLevel="0" collapsed="false">
      <c r="A42" s="8" t="s">
        <v>158</v>
      </c>
      <c r="B42" s="8" t="s">
        <v>15</v>
      </c>
      <c r="C42" s="8" t="s">
        <v>16</v>
      </c>
      <c r="D42" s="8" t="s">
        <v>615</v>
      </c>
      <c r="E42" s="8" t="s">
        <v>35</v>
      </c>
      <c r="F42" s="8" t="s">
        <v>53</v>
      </c>
      <c r="G42" s="8" t="s">
        <v>31</v>
      </c>
      <c r="H42" s="8" t="s">
        <v>31</v>
      </c>
      <c r="I42" s="8" t="n">
        <f aca="false">IF(EXACT(G42,H42),1,0)</f>
        <v>1</v>
      </c>
      <c r="J42" s="8" t="n">
        <v>1</v>
      </c>
      <c r="K42" s="8" t="s">
        <v>116</v>
      </c>
      <c r="L42" s="8" t="n">
        <v>1</v>
      </c>
      <c r="M42" s="8" t="n">
        <v>0</v>
      </c>
      <c r="N42" s="8"/>
      <c r="O42" s="8" t="n">
        <v>1</v>
      </c>
      <c r="P42" s="10" t="n">
        <v>8.08</v>
      </c>
      <c r="Q42" s="8" t="n">
        <v>1421</v>
      </c>
      <c r="R42" s="8" t="n">
        <v>353</v>
      </c>
      <c r="S42" s="8" t="s">
        <v>159</v>
      </c>
      <c r="T42" s="8"/>
      <c r="U42" s="8"/>
      <c r="V42" s="8" t="s">
        <v>155</v>
      </c>
      <c r="W42" s="8"/>
      <c r="X42" s="8" t="s">
        <v>160</v>
      </c>
      <c r="Y42" s="8" t="s">
        <v>670</v>
      </c>
      <c r="Z42" s="8" t="s">
        <v>671</v>
      </c>
    </row>
    <row r="43" customFormat="false" ht="15" hidden="false" customHeight="false" outlineLevel="0" collapsed="false">
      <c r="A43" s="8" t="s">
        <v>158</v>
      </c>
      <c r="B43" s="8" t="s">
        <v>15</v>
      </c>
      <c r="C43" s="8" t="s">
        <v>16</v>
      </c>
      <c r="D43" s="8" t="s">
        <v>615</v>
      </c>
      <c r="E43" s="8" t="s">
        <v>35</v>
      </c>
      <c r="F43" s="8" t="s">
        <v>53</v>
      </c>
      <c r="G43" s="8" t="s">
        <v>31</v>
      </c>
      <c r="H43" s="8" t="s">
        <v>31</v>
      </c>
      <c r="I43" s="8" t="n">
        <f aca="false">IF(EXACT(G43,H43),1,0)</f>
        <v>1</v>
      </c>
      <c r="J43" s="8" t="n">
        <v>2</v>
      </c>
      <c r="K43" s="8" t="s">
        <v>116</v>
      </c>
      <c r="L43" s="8" t="n">
        <v>1</v>
      </c>
      <c r="M43" s="8" t="n">
        <v>0</v>
      </c>
      <c r="N43" s="8"/>
      <c r="O43" s="8" t="n">
        <v>1</v>
      </c>
      <c r="P43" s="10" t="n">
        <v>7.78</v>
      </c>
      <c r="Q43" s="8" t="n">
        <v>1421</v>
      </c>
      <c r="R43" s="8" t="n">
        <v>323</v>
      </c>
      <c r="S43" s="8" t="s">
        <v>159</v>
      </c>
      <c r="T43" s="8"/>
      <c r="U43" s="8"/>
      <c r="V43" s="8" t="s">
        <v>155</v>
      </c>
      <c r="W43" s="8"/>
      <c r="X43" s="8" t="s">
        <v>160</v>
      </c>
      <c r="Y43" s="8" t="s">
        <v>672</v>
      </c>
      <c r="Z43" s="8" t="s">
        <v>673</v>
      </c>
    </row>
    <row r="44" customFormat="false" ht="15" hidden="false" customHeight="false" outlineLevel="0" collapsed="false">
      <c r="A44" s="8" t="s">
        <v>162</v>
      </c>
      <c r="B44" s="8" t="s">
        <v>15</v>
      </c>
      <c r="C44" s="8" t="s">
        <v>16</v>
      </c>
      <c r="D44" s="8" t="s">
        <v>615</v>
      </c>
      <c r="E44" s="8" t="s">
        <v>35</v>
      </c>
      <c r="F44" s="8" t="s">
        <v>53</v>
      </c>
      <c r="G44" s="8" t="s">
        <v>32</v>
      </c>
      <c r="H44" s="8" t="s">
        <v>32</v>
      </c>
      <c r="I44" s="8" t="n">
        <f aca="false">IF(EXACT(G44,H44),1,0)</f>
        <v>1</v>
      </c>
      <c r="J44" s="8" t="n">
        <v>0</v>
      </c>
      <c r="K44" s="8" t="s">
        <v>92</v>
      </c>
      <c r="L44" s="8" t="n">
        <v>0</v>
      </c>
      <c r="M44" s="8" t="n">
        <v>0</v>
      </c>
      <c r="N44" s="8"/>
      <c r="O44" s="8" t="n">
        <v>1</v>
      </c>
      <c r="P44" s="10" t="n">
        <v>2.96</v>
      </c>
      <c r="Q44" s="8" t="n">
        <v>1315</v>
      </c>
      <c r="R44" s="8" t="n">
        <v>78</v>
      </c>
      <c r="S44" s="8" t="s">
        <v>163</v>
      </c>
      <c r="T44" s="8"/>
      <c r="U44" s="8"/>
      <c r="V44" s="8" t="s">
        <v>155</v>
      </c>
      <c r="W44" s="8"/>
      <c r="X44" s="8" t="s">
        <v>164</v>
      </c>
      <c r="Y44" s="8" t="s">
        <v>674</v>
      </c>
      <c r="Z44" s="8"/>
    </row>
    <row r="45" customFormat="false" ht="15" hidden="false" customHeight="false" outlineLevel="0" collapsed="false">
      <c r="A45" s="8" t="s">
        <v>162</v>
      </c>
      <c r="B45" s="8" t="s">
        <v>15</v>
      </c>
      <c r="C45" s="8" t="s">
        <v>16</v>
      </c>
      <c r="D45" s="8" t="s">
        <v>615</v>
      </c>
      <c r="E45" s="8" t="s">
        <v>35</v>
      </c>
      <c r="F45" s="8" t="s">
        <v>53</v>
      </c>
      <c r="G45" s="8" t="s">
        <v>32</v>
      </c>
      <c r="H45" s="8" t="s">
        <v>32</v>
      </c>
      <c r="I45" s="8" t="n">
        <f aca="false">IF(EXACT(G45,H45),1,0)</f>
        <v>1</v>
      </c>
      <c r="J45" s="8" t="n">
        <v>1</v>
      </c>
      <c r="K45" s="8" t="s">
        <v>92</v>
      </c>
      <c r="L45" s="8" t="n">
        <v>0</v>
      </c>
      <c r="M45" s="8" t="n">
        <v>0</v>
      </c>
      <c r="N45" s="8"/>
      <c r="O45" s="8" t="n">
        <v>1</v>
      </c>
      <c r="P45" s="10" t="n">
        <v>2.76</v>
      </c>
      <c r="Q45" s="8" t="n">
        <v>1315</v>
      </c>
      <c r="R45" s="8" t="n">
        <v>72</v>
      </c>
      <c r="S45" s="8" t="s">
        <v>163</v>
      </c>
      <c r="T45" s="8"/>
      <c r="U45" s="8"/>
      <c r="V45" s="8" t="s">
        <v>155</v>
      </c>
      <c r="W45" s="8"/>
      <c r="X45" s="8" t="s">
        <v>164</v>
      </c>
      <c r="Y45" s="8" t="s">
        <v>675</v>
      </c>
      <c r="Z45" s="8"/>
    </row>
    <row r="46" customFormat="false" ht="15" hidden="false" customHeight="false" outlineLevel="0" collapsed="false">
      <c r="A46" s="8" t="s">
        <v>162</v>
      </c>
      <c r="B46" s="8" t="s">
        <v>15</v>
      </c>
      <c r="C46" s="8" t="s">
        <v>16</v>
      </c>
      <c r="D46" s="8" t="s">
        <v>615</v>
      </c>
      <c r="E46" s="8" t="s">
        <v>35</v>
      </c>
      <c r="F46" s="8" t="s">
        <v>53</v>
      </c>
      <c r="G46" s="8" t="s">
        <v>32</v>
      </c>
      <c r="H46" s="8" t="s">
        <v>32</v>
      </c>
      <c r="I46" s="8" t="n">
        <f aca="false">IF(EXACT(G46,H46),1,0)</f>
        <v>1</v>
      </c>
      <c r="J46" s="8" t="n">
        <v>2</v>
      </c>
      <c r="K46" s="8" t="s">
        <v>92</v>
      </c>
      <c r="L46" s="8" t="n">
        <v>0</v>
      </c>
      <c r="M46" s="8" t="n">
        <v>0</v>
      </c>
      <c r="N46" s="8"/>
      <c r="O46" s="8" t="n">
        <v>1</v>
      </c>
      <c r="P46" s="10" t="n">
        <v>2.66</v>
      </c>
      <c r="Q46" s="8" t="n">
        <v>1315</v>
      </c>
      <c r="R46" s="8" t="n">
        <v>78</v>
      </c>
      <c r="S46" s="8" t="s">
        <v>163</v>
      </c>
      <c r="T46" s="8"/>
      <c r="U46" s="8"/>
      <c r="V46" s="8" t="s">
        <v>155</v>
      </c>
      <c r="W46" s="8"/>
      <c r="X46" s="8" t="s">
        <v>164</v>
      </c>
      <c r="Y46" s="8" t="s">
        <v>674</v>
      </c>
      <c r="Z46" s="8"/>
    </row>
    <row r="47" customFormat="false" ht="15" hidden="false" customHeight="false" outlineLevel="0" collapsed="false">
      <c r="A47" s="8" t="s">
        <v>165</v>
      </c>
      <c r="B47" s="8" t="s">
        <v>15</v>
      </c>
      <c r="C47" s="8" t="s">
        <v>16</v>
      </c>
      <c r="D47" s="8" t="s">
        <v>615</v>
      </c>
      <c r="E47" s="8" t="s">
        <v>35</v>
      </c>
      <c r="F47" s="8" t="s">
        <v>53</v>
      </c>
      <c r="G47" s="8" t="s">
        <v>32</v>
      </c>
      <c r="H47" s="8" t="s">
        <v>30</v>
      </c>
      <c r="I47" s="8" t="n">
        <f aca="false">IF(EXACT(G47,H47),1,0)</f>
        <v>0</v>
      </c>
      <c r="J47" s="8" t="n">
        <v>0</v>
      </c>
      <c r="K47" s="8" t="s">
        <v>92</v>
      </c>
      <c r="L47" s="8" t="n">
        <v>0</v>
      </c>
      <c r="M47" s="8" t="n">
        <v>0</v>
      </c>
      <c r="N47" s="8"/>
      <c r="O47" s="8" t="n">
        <v>1</v>
      </c>
      <c r="P47" s="10" t="n">
        <v>3.46</v>
      </c>
      <c r="Q47" s="8" t="n">
        <v>1310</v>
      </c>
      <c r="R47" s="8" t="n">
        <v>81</v>
      </c>
      <c r="S47" s="8" t="s">
        <v>166</v>
      </c>
      <c r="T47" s="8"/>
      <c r="U47" s="8"/>
      <c r="V47" s="8" t="s">
        <v>155</v>
      </c>
      <c r="W47" s="8"/>
      <c r="X47" s="8" t="s">
        <v>167</v>
      </c>
      <c r="Y47" s="8" t="s">
        <v>676</v>
      </c>
      <c r="Z47" s="8"/>
    </row>
    <row r="48" customFormat="false" ht="15" hidden="false" customHeight="false" outlineLevel="0" collapsed="false">
      <c r="A48" s="8" t="s">
        <v>165</v>
      </c>
      <c r="B48" s="8" t="s">
        <v>15</v>
      </c>
      <c r="C48" s="8" t="s">
        <v>16</v>
      </c>
      <c r="D48" s="8" t="s">
        <v>615</v>
      </c>
      <c r="E48" s="8" t="s">
        <v>35</v>
      </c>
      <c r="F48" s="8" t="s">
        <v>53</v>
      </c>
      <c r="G48" s="8" t="s">
        <v>32</v>
      </c>
      <c r="H48" s="8" t="s">
        <v>30</v>
      </c>
      <c r="I48" s="8" t="n">
        <f aca="false">IF(EXACT(G48,H48),1,0)</f>
        <v>0</v>
      </c>
      <c r="J48" s="8" t="n">
        <v>1</v>
      </c>
      <c r="K48" s="8" t="s">
        <v>92</v>
      </c>
      <c r="L48" s="8" t="n">
        <v>0</v>
      </c>
      <c r="M48" s="8" t="n">
        <v>0</v>
      </c>
      <c r="N48" s="8"/>
      <c r="O48" s="8" t="n">
        <v>1</v>
      </c>
      <c r="P48" s="10" t="n">
        <v>3.48</v>
      </c>
      <c r="Q48" s="8" t="n">
        <v>1310</v>
      </c>
      <c r="R48" s="8" t="n">
        <v>81</v>
      </c>
      <c r="S48" s="8" t="s">
        <v>166</v>
      </c>
      <c r="T48" s="8"/>
      <c r="U48" s="8"/>
      <c r="V48" s="8" t="s">
        <v>155</v>
      </c>
      <c r="W48" s="8"/>
      <c r="X48" s="8" t="s">
        <v>167</v>
      </c>
      <c r="Y48" s="8" t="s">
        <v>676</v>
      </c>
      <c r="Z48" s="8"/>
    </row>
    <row r="49" customFormat="false" ht="15" hidden="false" customHeight="false" outlineLevel="0" collapsed="false">
      <c r="A49" s="8" t="s">
        <v>165</v>
      </c>
      <c r="B49" s="8" t="s">
        <v>15</v>
      </c>
      <c r="C49" s="8" t="s">
        <v>16</v>
      </c>
      <c r="D49" s="8" t="s">
        <v>615</v>
      </c>
      <c r="E49" s="8" t="s">
        <v>35</v>
      </c>
      <c r="F49" s="8" t="s">
        <v>53</v>
      </c>
      <c r="G49" s="8" t="s">
        <v>32</v>
      </c>
      <c r="H49" s="8" t="s">
        <v>30</v>
      </c>
      <c r="I49" s="8" t="n">
        <f aca="false">IF(EXACT(G49,H49),1,0)</f>
        <v>0</v>
      </c>
      <c r="J49" s="8" t="n">
        <v>2</v>
      </c>
      <c r="K49" s="8" t="s">
        <v>92</v>
      </c>
      <c r="L49" s="8" t="n">
        <v>0</v>
      </c>
      <c r="M49" s="8" t="n">
        <v>0</v>
      </c>
      <c r="N49" s="8"/>
      <c r="O49" s="8" t="n">
        <v>1</v>
      </c>
      <c r="P49" s="10" t="n">
        <v>3.1</v>
      </c>
      <c r="Q49" s="8" t="n">
        <v>1310</v>
      </c>
      <c r="R49" s="8" t="n">
        <v>82</v>
      </c>
      <c r="S49" s="8" t="s">
        <v>166</v>
      </c>
      <c r="T49" s="8"/>
      <c r="U49" s="8"/>
      <c r="V49" s="8" t="s">
        <v>155</v>
      </c>
      <c r="W49" s="8"/>
      <c r="X49" s="8" t="s">
        <v>167</v>
      </c>
      <c r="Y49" s="8" t="s">
        <v>677</v>
      </c>
      <c r="Z49" s="8"/>
    </row>
    <row r="50" customFormat="false" ht="15" hidden="false" customHeight="false" outlineLevel="0" collapsed="false">
      <c r="A50" s="8" t="s">
        <v>168</v>
      </c>
      <c r="B50" s="8" t="s">
        <v>15</v>
      </c>
      <c r="C50" s="8" t="s">
        <v>16</v>
      </c>
      <c r="D50" s="8" t="s">
        <v>615</v>
      </c>
      <c r="E50" s="8" t="s">
        <v>35</v>
      </c>
      <c r="F50" s="8" t="s">
        <v>53</v>
      </c>
      <c r="G50" s="8" t="s">
        <v>30</v>
      </c>
      <c r="H50" s="8" t="s">
        <v>30</v>
      </c>
      <c r="I50" s="8" t="n">
        <f aca="false">IF(EXACT(G50,H50),1,0)</f>
        <v>1</v>
      </c>
      <c r="J50" s="8" t="n">
        <v>0</v>
      </c>
      <c r="K50" s="8" t="s">
        <v>92</v>
      </c>
      <c r="L50" s="8" t="n">
        <v>0</v>
      </c>
      <c r="M50" s="8" t="n">
        <v>0</v>
      </c>
      <c r="N50" s="8"/>
      <c r="O50" s="8" t="n">
        <v>1</v>
      </c>
      <c r="P50" s="10" t="n">
        <v>4.23</v>
      </c>
      <c r="Q50" s="8" t="n">
        <v>1432</v>
      </c>
      <c r="R50" s="8" t="n">
        <v>118</v>
      </c>
      <c r="S50" s="8" t="s">
        <v>169</v>
      </c>
      <c r="T50" s="8"/>
      <c r="U50" s="8"/>
      <c r="V50" s="8" t="s">
        <v>155</v>
      </c>
      <c r="W50" s="8"/>
      <c r="X50" s="8" t="s">
        <v>170</v>
      </c>
      <c r="Y50" s="8" t="s">
        <v>678</v>
      </c>
      <c r="Z50" s="8"/>
    </row>
    <row r="51" customFormat="false" ht="15" hidden="false" customHeight="false" outlineLevel="0" collapsed="false">
      <c r="A51" s="8" t="s">
        <v>168</v>
      </c>
      <c r="B51" s="8" t="s">
        <v>15</v>
      </c>
      <c r="C51" s="8" t="s">
        <v>16</v>
      </c>
      <c r="D51" s="8" t="s">
        <v>615</v>
      </c>
      <c r="E51" s="8" t="s">
        <v>35</v>
      </c>
      <c r="F51" s="8" t="s">
        <v>53</v>
      </c>
      <c r="G51" s="8" t="s">
        <v>30</v>
      </c>
      <c r="H51" s="8" t="s">
        <v>30</v>
      </c>
      <c r="I51" s="8" t="n">
        <f aca="false">IF(EXACT(G51,H51),1,0)</f>
        <v>1</v>
      </c>
      <c r="J51" s="8" t="n">
        <v>1</v>
      </c>
      <c r="K51" s="8" t="s">
        <v>92</v>
      </c>
      <c r="L51" s="8" t="n">
        <v>0</v>
      </c>
      <c r="M51" s="8" t="n">
        <v>0</v>
      </c>
      <c r="N51" s="8"/>
      <c r="O51" s="8" t="n">
        <v>1</v>
      </c>
      <c r="P51" s="10" t="n">
        <v>3.87</v>
      </c>
      <c r="Q51" s="8" t="n">
        <v>1432</v>
      </c>
      <c r="R51" s="8" t="n">
        <v>126</v>
      </c>
      <c r="S51" s="8" t="s">
        <v>169</v>
      </c>
      <c r="T51" s="8"/>
      <c r="U51" s="8"/>
      <c r="V51" s="8" t="s">
        <v>155</v>
      </c>
      <c r="W51" s="8"/>
      <c r="X51" s="8" t="s">
        <v>170</v>
      </c>
      <c r="Y51" s="8" t="s">
        <v>679</v>
      </c>
      <c r="Z51" s="8"/>
    </row>
    <row r="52" customFormat="false" ht="15" hidden="false" customHeight="false" outlineLevel="0" collapsed="false">
      <c r="A52" s="8" t="s">
        <v>168</v>
      </c>
      <c r="B52" s="8" t="s">
        <v>15</v>
      </c>
      <c r="C52" s="8" t="s">
        <v>16</v>
      </c>
      <c r="D52" s="8" t="s">
        <v>615</v>
      </c>
      <c r="E52" s="8" t="s">
        <v>35</v>
      </c>
      <c r="F52" s="8" t="s">
        <v>53</v>
      </c>
      <c r="G52" s="8" t="s">
        <v>30</v>
      </c>
      <c r="H52" s="8" t="s">
        <v>30</v>
      </c>
      <c r="I52" s="8" t="n">
        <f aca="false">IF(EXACT(G52,H52),1,0)</f>
        <v>1</v>
      </c>
      <c r="J52" s="8" t="n">
        <v>2</v>
      </c>
      <c r="K52" s="8" t="s">
        <v>92</v>
      </c>
      <c r="L52" s="8" t="n">
        <v>0</v>
      </c>
      <c r="M52" s="8" t="n">
        <v>0</v>
      </c>
      <c r="N52" s="8"/>
      <c r="O52" s="8" t="n">
        <v>1</v>
      </c>
      <c r="P52" s="10" t="n">
        <v>4.52</v>
      </c>
      <c r="Q52" s="8" t="n">
        <v>1432</v>
      </c>
      <c r="R52" s="8" t="n">
        <v>118</v>
      </c>
      <c r="S52" s="8" t="s">
        <v>169</v>
      </c>
      <c r="T52" s="8"/>
      <c r="U52" s="8"/>
      <c r="V52" s="8" t="s">
        <v>155</v>
      </c>
      <c r="W52" s="8"/>
      <c r="X52" s="8" t="s">
        <v>170</v>
      </c>
      <c r="Y52" s="8" t="s">
        <v>678</v>
      </c>
      <c r="Z52" s="8"/>
    </row>
    <row r="53" customFormat="false" ht="15" hidden="false" customHeight="false" outlineLevel="0" collapsed="false">
      <c r="A53" s="8" t="s">
        <v>171</v>
      </c>
      <c r="B53" s="8" t="s">
        <v>15</v>
      </c>
      <c r="C53" s="8" t="s">
        <v>16</v>
      </c>
      <c r="D53" s="8" t="s">
        <v>615</v>
      </c>
      <c r="E53" s="8" t="s">
        <v>35</v>
      </c>
      <c r="F53" s="8" t="s">
        <v>53</v>
      </c>
      <c r="G53" s="8" t="s">
        <v>30</v>
      </c>
      <c r="H53" s="8" t="s">
        <v>31</v>
      </c>
      <c r="I53" s="8" t="n">
        <f aca="false">IF(EXACT(G53,H53),1,0)</f>
        <v>0</v>
      </c>
      <c r="J53" s="8" t="n">
        <v>0</v>
      </c>
      <c r="K53" s="8" t="s">
        <v>140</v>
      </c>
      <c r="L53" s="8" t="n">
        <v>4</v>
      </c>
      <c r="M53" s="8" t="n">
        <v>0</v>
      </c>
      <c r="N53" s="8"/>
      <c r="O53" s="8" t="n">
        <v>1</v>
      </c>
      <c r="P53" s="10" t="n">
        <v>19.4</v>
      </c>
      <c r="Q53" s="8" t="n">
        <v>1384</v>
      </c>
      <c r="R53" s="8" t="n">
        <v>863</v>
      </c>
      <c r="S53" s="8" t="s">
        <v>172</v>
      </c>
      <c r="T53" s="8"/>
      <c r="U53" s="8"/>
      <c r="V53" s="8" t="s">
        <v>155</v>
      </c>
      <c r="W53" s="8"/>
      <c r="X53" s="8" t="s">
        <v>173</v>
      </c>
      <c r="Y53" s="8" t="s">
        <v>680</v>
      </c>
      <c r="Z53" s="8" t="s">
        <v>681</v>
      </c>
    </row>
    <row r="54" customFormat="false" ht="15" hidden="false" customHeight="false" outlineLevel="0" collapsed="false">
      <c r="A54" s="8" t="s">
        <v>171</v>
      </c>
      <c r="B54" s="8" t="s">
        <v>15</v>
      </c>
      <c r="C54" s="8" t="s">
        <v>16</v>
      </c>
      <c r="D54" s="8" t="s">
        <v>615</v>
      </c>
      <c r="E54" s="8" t="s">
        <v>35</v>
      </c>
      <c r="F54" s="8" t="s">
        <v>53</v>
      </c>
      <c r="G54" s="8" t="s">
        <v>30</v>
      </c>
      <c r="H54" s="8" t="s">
        <v>31</v>
      </c>
      <c r="I54" s="8" t="n">
        <f aca="false">IF(EXACT(G54,H54),1,0)</f>
        <v>0</v>
      </c>
      <c r="J54" s="8" t="n">
        <v>1</v>
      </c>
      <c r="K54" s="8" t="s">
        <v>140</v>
      </c>
      <c r="L54" s="8" t="n">
        <v>3</v>
      </c>
      <c r="M54" s="8" t="n">
        <v>0</v>
      </c>
      <c r="N54" s="8"/>
      <c r="O54" s="8" t="n">
        <v>1</v>
      </c>
      <c r="P54" s="10" t="n">
        <v>18.52</v>
      </c>
      <c r="Q54" s="8" t="n">
        <v>1384</v>
      </c>
      <c r="R54" s="8" t="n">
        <v>784</v>
      </c>
      <c r="S54" s="8" t="s">
        <v>172</v>
      </c>
      <c r="T54" s="8"/>
      <c r="U54" s="8"/>
      <c r="V54" s="8" t="s">
        <v>155</v>
      </c>
      <c r="W54" s="8"/>
      <c r="X54" s="8" t="s">
        <v>173</v>
      </c>
      <c r="Y54" s="8" t="s">
        <v>682</v>
      </c>
      <c r="Z54" s="8" t="s">
        <v>683</v>
      </c>
    </row>
    <row r="55" customFormat="false" ht="15" hidden="false" customHeight="false" outlineLevel="0" collapsed="false">
      <c r="A55" s="8" t="s">
        <v>171</v>
      </c>
      <c r="B55" s="8" t="s">
        <v>15</v>
      </c>
      <c r="C55" s="8" t="s">
        <v>16</v>
      </c>
      <c r="D55" s="8" t="s">
        <v>615</v>
      </c>
      <c r="E55" s="8" t="s">
        <v>35</v>
      </c>
      <c r="F55" s="8" t="s">
        <v>53</v>
      </c>
      <c r="G55" s="8" t="s">
        <v>30</v>
      </c>
      <c r="H55" s="8" t="s">
        <v>31</v>
      </c>
      <c r="I55" s="8" t="n">
        <f aca="false">IF(EXACT(G55,H55),1,0)</f>
        <v>0</v>
      </c>
      <c r="J55" s="8" t="n">
        <v>2</v>
      </c>
      <c r="K55" s="8" t="s">
        <v>140</v>
      </c>
      <c r="L55" s="8" t="n">
        <v>3</v>
      </c>
      <c r="M55" s="8" t="n">
        <v>0</v>
      </c>
      <c r="N55" s="8"/>
      <c r="O55" s="8" t="n">
        <v>1</v>
      </c>
      <c r="P55" s="10" t="n">
        <v>18.65</v>
      </c>
      <c r="Q55" s="8" t="n">
        <v>1384</v>
      </c>
      <c r="R55" s="8" t="n">
        <v>831</v>
      </c>
      <c r="S55" s="8" t="s">
        <v>172</v>
      </c>
      <c r="T55" s="8"/>
      <c r="U55" s="8"/>
      <c r="V55" s="8" t="s">
        <v>155</v>
      </c>
      <c r="W55" s="8"/>
      <c r="X55" s="8" t="s">
        <v>173</v>
      </c>
      <c r="Y55" s="8" t="s">
        <v>684</v>
      </c>
      <c r="Z55" s="8" t="s">
        <v>685</v>
      </c>
    </row>
    <row r="56" customFormat="false" ht="15" hidden="false" customHeight="false" outlineLevel="0" collapsed="false">
      <c r="A56" s="8" t="s">
        <v>174</v>
      </c>
      <c r="B56" s="8" t="s">
        <v>15</v>
      </c>
      <c r="C56" s="8" t="s">
        <v>16</v>
      </c>
      <c r="D56" s="8" t="s">
        <v>615</v>
      </c>
      <c r="E56" s="8" t="s">
        <v>35</v>
      </c>
      <c r="F56" s="8" t="s">
        <v>56</v>
      </c>
      <c r="G56" s="8" t="s">
        <v>30</v>
      </c>
      <c r="H56" s="8" t="s">
        <v>30</v>
      </c>
      <c r="I56" s="8" t="n">
        <f aca="false">IF(EXACT(G56,H56),1,0)</f>
        <v>1</v>
      </c>
      <c r="J56" s="8" t="n">
        <v>0</v>
      </c>
      <c r="K56" s="8" t="s">
        <v>92</v>
      </c>
      <c r="L56" s="8" t="n">
        <v>0</v>
      </c>
      <c r="M56" s="8" t="n">
        <v>0</v>
      </c>
      <c r="N56" s="8"/>
      <c r="O56" s="8" t="n">
        <v>1</v>
      </c>
      <c r="P56" s="10" t="n">
        <v>4.5</v>
      </c>
      <c r="Q56" s="8" t="n">
        <v>1269</v>
      </c>
      <c r="R56" s="8" t="n">
        <v>99</v>
      </c>
      <c r="S56" s="8" t="s">
        <v>105</v>
      </c>
      <c r="T56" s="8" t="s">
        <v>175</v>
      </c>
      <c r="U56" s="8" t="s">
        <v>176</v>
      </c>
      <c r="V56" s="8"/>
      <c r="W56" s="8" t="s">
        <v>177</v>
      </c>
      <c r="X56" s="8" t="s">
        <v>178</v>
      </c>
      <c r="Y56" s="8" t="s">
        <v>686</v>
      </c>
      <c r="Z56" s="8"/>
    </row>
    <row r="57" customFormat="false" ht="15" hidden="false" customHeight="false" outlineLevel="0" collapsed="false">
      <c r="A57" s="8" t="s">
        <v>174</v>
      </c>
      <c r="B57" s="8" t="s">
        <v>15</v>
      </c>
      <c r="C57" s="8" t="s">
        <v>16</v>
      </c>
      <c r="D57" s="8" t="s">
        <v>615</v>
      </c>
      <c r="E57" s="8" t="s">
        <v>35</v>
      </c>
      <c r="F57" s="8" t="s">
        <v>56</v>
      </c>
      <c r="G57" s="8" t="s">
        <v>30</v>
      </c>
      <c r="H57" s="8" t="s">
        <v>30</v>
      </c>
      <c r="I57" s="8" t="n">
        <f aca="false">IF(EXACT(G57,H57),1,0)</f>
        <v>1</v>
      </c>
      <c r="J57" s="8" t="n">
        <v>1</v>
      </c>
      <c r="K57" s="8" t="s">
        <v>92</v>
      </c>
      <c r="L57" s="8" t="n">
        <v>0</v>
      </c>
      <c r="M57" s="8" t="n">
        <v>0</v>
      </c>
      <c r="N57" s="8"/>
      <c r="O57" s="8" t="n">
        <v>1</v>
      </c>
      <c r="P57" s="10" t="n">
        <v>3.33</v>
      </c>
      <c r="Q57" s="8" t="n">
        <v>1269</v>
      </c>
      <c r="R57" s="8" t="n">
        <v>99</v>
      </c>
      <c r="S57" s="8" t="s">
        <v>105</v>
      </c>
      <c r="T57" s="8" t="s">
        <v>175</v>
      </c>
      <c r="U57" s="8" t="s">
        <v>176</v>
      </c>
      <c r="V57" s="8"/>
      <c r="W57" s="8" t="s">
        <v>177</v>
      </c>
      <c r="X57" s="8" t="s">
        <v>178</v>
      </c>
      <c r="Y57" s="8" t="s">
        <v>687</v>
      </c>
      <c r="Z57" s="8"/>
    </row>
    <row r="58" customFormat="false" ht="15" hidden="false" customHeight="false" outlineLevel="0" collapsed="false">
      <c r="A58" s="8" t="s">
        <v>174</v>
      </c>
      <c r="B58" s="8" t="s">
        <v>15</v>
      </c>
      <c r="C58" s="8" t="s">
        <v>16</v>
      </c>
      <c r="D58" s="8" t="s">
        <v>615</v>
      </c>
      <c r="E58" s="8" t="s">
        <v>35</v>
      </c>
      <c r="F58" s="8" t="s">
        <v>56</v>
      </c>
      <c r="G58" s="8" t="s">
        <v>30</v>
      </c>
      <c r="H58" s="8" t="s">
        <v>30</v>
      </c>
      <c r="I58" s="8" t="n">
        <f aca="false">IF(EXACT(G58,H58),1,0)</f>
        <v>1</v>
      </c>
      <c r="J58" s="8" t="n">
        <v>2</v>
      </c>
      <c r="K58" s="8" t="s">
        <v>92</v>
      </c>
      <c r="L58" s="8" t="n">
        <v>0</v>
      </c>
      <c r="M58" s="8" t="n">
        <v>0</v>
      </c>
      <c r="N58" s="8"/>
      <c r="O58" s="8" t="n">
        <v>1</v>
      </c>
      <c r="P58" s="10" t="n">
        <v>3.7</v>
      </c>
      <c r="Q58" s="8" t="n">
        <v>1269</v>
      </c>
      <c r="R58" s="8" t="n">
        <v>105</v>
      </c>
      <c r="S58" s="8" t="s">
        <v>105</v>
      </c>
      <c r="T58" s="8" t="s">
        <v>175</v>
      </c>
      <c r="U58" s="8" t="s">
        <v>176</v>
      </c>
      <c r="V58" s="8"/>
      <c r="W58" s="8" t="s">
        <v>177</v>
      </c>
      <c r="X58" s="8" t="s">
        <v>178</v>
      </c>
      <c r="Y58" s="8" t="s">
        <v>688</v>
      </c>
      <c r="Z58" s="8"/>
    </row>
    <row r="59" customFormat="false" ht="15" hidden="false" customHeight="false" outlineLevel="0" collapsed="false">
      <c r="A59" s="8" t="s">
        <v>179</v>
      </c>
      <c r="B59" s="8" t="s">
        <v>15</v>
      </c>
      <c r="C59" s="8" t="s">
        <v>16</v>
      </c>
      <c r="D59" s="8" t="s">
        <v>615</v>
      </c>
      <c r="E59" s="8" t="s">
        <v>35</v>
      </c>
      <c r="F59" s="8" t="s">
        <v>56</v>
      </c>
      <c r="G59" s="8" t="s">
        <v>30</v>
      </c>
      <c r="H59" s="8" t="s">
        <v>30</v>
      </c>
      <c r="I59" s="8" t="n">
        <f aca="false">IF(EXACT(G59,H59),1,0)</f>
        <v>1</v>
      </c>
      <c r="J59" s="8" t="n">
        <v>0</v>
      </c>
      <c r="K59" s="8" t="s">
        <v>92</v>
      </c>
      <c r="L59" s="8" t="n">
        <v>0</v>
      </c>
      <c r="M59" s="8" t="n">
        <v>0</v>
      </c>
      <c r="N59" s="8"/>
      <c r="O59" s="8" t="n">
        <v>1</v>
      </c>
      <c r="P59" s="10" t="n">
        <v>3.95</v>
      </c>
      <c r="Q59" s="8" t="n">
        <v>1694</v>
      </c>
      <c r="R59" s="8" t="n">
        <v>100</v>
      </c>
      <c r="S59" s="8" t="s">
        <v>180</v>
      </c>
      <c r="T59" s="8" t="s">
        <v>175</v>
      </c>
      <c r="U59" s="8" t="s">
        <v>176</v>
      </c>
      <c r="V59" s="8"/>
      <c r="W59" s="8" t="s">
        <v>181</v>
      </c>
      <c r="X59" s="8" t="s">
        <v>182</v>
      </c>
      <c r="Y59" s="8" t="s">
        <v>689</v>
      </c>
      <c r="Z59" s="8"/>
    </row>
    <row r="60" customFormat="false" ht="15" hidden="false" customHeight="false" outlineLevel="0" collapsed="false">
      <c r="A60" s="8" t="s">
        <v>179</v>
      </c>
      <c r="B60" s="8" t="s">
        <v>15</v>
      </c>
      <c r="C60" s="8" t="s">
        <v>16</v>
      </c>
      <c r="D60" s="8" t="s">
        <v>615</v>
      </c>
      <c r="E60" s="8" t="s">
        <v>35</v>
      </c>
      <c r="F60" s="8" t="s">
        <v>56</v>
      </c>
      <c r="G60" s="8" t="s">
        <v>30</v>
      </c>
      <c r="H60" s="8" t="s">
        <v>30</v>
      </c>
      <c r="I60" s="8" t="n">
        <f aca="false">IF(EXACT(G60,H60),1,0)</f>
        <v>1</v>
      </c>
      <c r="J60" s="8" t="n">
        <v>1</v>
      </c>
      <c r="K60" s="8" t="s">
        <v>92</v>
      </c>
      <c r="L60" s="8" t="n">
        <v>0</v>
      </c>
      <c r="M60" s="8" t="n">
        <v>0</v>
      </c>
      <c r="N60" s="8"/>
      <c r="O60" s="8" t="n">
        <v>1</v>
      </c>
      <c r="P60" s="10" t="n">
        <v>3.37</v>
      </c>
      <c r="Q60" s="8" t="n">
        <v>1694</v>
      </c>
      <c r="R60" s="8" t="n">
        <v>95</v>
      </c>
      <c r="S60" s="8" t="s">
        <v>180</v>
      </c>
      <c r="T60" s="8" t="s">
        <v>175</v>
      </c>
      <c r="U60" s="8" t="s">
        <v>176</v>
      </c>
      <c r="V60" s="8"/>
      <c r="W60" s="8" t="s">
        <v>181</v>
      </c>
      <c r="X60" s="8" t="s">
        <v>182</v>
      </c>
      <c r="Y60" s="8" t="s">
        <v>690</v>
      </c>
      <c r="Z60" s="8"/>
    </row>
    <row r="61" customFormat="false" ht="15" hidden="false" customHeight="false" outlineLevel="0" collapsed="false">
      <c r="A61" s="8" t="s">
        <v>179</v>
      </c>
      <c r="B61" s="8" t="s">
        <v>15</v>
      </c>
      <c r="C61" s="8" t="s">
        <v>16</v>
      </c>
      <c r="D61" s="8" t="s">
        <v>615</v>
      </c>
      <c r="E61" s="8" t="s">
        <v>35</v>
      </c>
      <c r="F61" s="8" t="s">
        <v>56</v>
      </c>
      <c r="G61" s="8" t="s">
        <v>30</v>
      </c>
      <c r="H61" s="8" t="s">
        <v>30</v>
      </c>
      <c r="I61" s="8" t="n">
        <f aca="false">IF(EXACT(G61,H61),1,0)</f>
        <v>1</v>
      </c>
      <c r="J61" s="8" t="n">
        <v>2</v>
      </c>
      <c r="K61" s="8" t="s">
        <v>92</v>
      </c>
      <c r="L61" s="8" t="n">
        <v>0</v>
      </c>
      <c r="M61" s="8" t="n">
        <v>0</v>
      </c>
      <c r="N61" s="8"/>
      <c r="O61" s="8" t="n">
        <v>1</v>
      </c>
      <c r="P61" s="10" t="n">
        <v>3.69</v>
      </c>
      <c r="Q61" s="8" t="n">
        <v>1694</v>
      </c>
      <c r="R61" s="8" t="n">
        <v>94</v>
      </c>
      <c r="S61" s="8" t="s">
        <v>180</v>
      </c>
      <c r="T61" s="8" t="s">
        <v>175</v>
      </c>
      <c r="U61" s="8" t="s">
        <v>176</v>
      </c>
      <c r="V61" s="8"/>
      <c r="W61" s="8" t="s">
        <v>181</v>
      </c>
      <c r="X61" s="8" t="s">
        <v>182</v>
      </c>
      <c r="Y61" s="8" t="s">
        <v>691</v>
      </c>
      <c r="Z61" s="8"/>
    </row>
    <row r="62" customFormat="false" ht="15" hidden="false" customHeight="false" outlineLevel="0" collapsed="false">
      <c r="A62" s="8" t="s">
        <v>184</v>
      </c>
      <c r="B62" s="8" t="s">
        <v>15</v>
      </c>
      <c r="C62" s="8" t="s">
        <v>16</v>
      </c>
      <c r="D62" s="8" t="s">
        <v>615</v>
      </c>
      <c r="E62" s="8" t="s">
        <v>35</v>
      </c>
      <c r="F62" s="8" t="s">
        <v>56</v>
      </c>
      <c r="G62" s="8" t="s">
        <v>32</v>
      </c>
      <c r="H62" s="8" t="s">
        <v>32</v>
      </c>
      <c r="I62" s="8" t="n">
        <f aca="false">IF(EXACT(G62,H62),1,0)</f>
        <v>1</v>
      </c>
      <c r="J62" s="8" t="n">
        <v>0</v>
      </c>
      <c r="K62" s="8" t="s">
        <v>92</v>
      </c>
      <c r="L62" s="8" t="n">
        <v>0</v>
      </c>
      <c r="M62" s="8" t="n">
        <v>0</v>
      </c>
      <c r="N62" s="8"/>
      <c r="O62" s="8" t="n">
        <v>1</v>
      </c>
      <c r="P62" s="10" t="n">
        <v>3.81</v>
      </c>
      <c r="Q62" s="8" t="n">
        <v>1261</v>
      </c>
      <c r="R62" s="8" t="n">
        <v>83</v>
      </c>
      <c r="S62" s="8" t="s">
        <v>132</v>
      </c>
      <c r="T62" s="8" t="s">
        <v>175</v>
      </c>
      <c r="U62" s="8" t="s">
        <v>176</v>
      </c>
      <c r="V62" s="8"/>
      <c r="W62" s="8" t="s">
        <v>185</v>
      </c>
      <c r="X62" s="8" t="s">
        <v>186</v>
      </c>
      <c r="Y62" s="8" t="s">
        <v>692</v>
      </c>
      <c r="Z62" s="8"/>
    </row>
    <row r="63" customFormat="false" ht="15" hidden="false" customHeight="false" outlineLevel="0" collapsed="false">
      <c r="A63" s="8" t="s">
        <v>184</v>
      </c>
      <c r="B63" s="8" t="s">
        <v>15</v>
      </c>
      <c r="C63" s="8" t="s">
        <v>16</v>
      </c>
      <c r="D63" s="8" t="s">
        <v>615</v>
      </c>
      <c r="E63" s="8" t="s">
        <v>35</v>
      </c>
      <c r="F63" s="8" t="s">
        <v>56</v>
      </c>
      <c r="G63" s="8" t="s">
        <v>32</v>
      </c>
      <c r="H63" s="8" t="s">
        <v>32</v>
      </c>
      <c r="I63" s="8" t="n">
        <f aca="false">IF(EXACT(G63,H63),1,0)</f>
        <v>1</v>
      </c>
      <c r="J63" s="8" t="n">
        <v>1</v>
      </c>
      <c r="K63" s="8" t="s">
        <v>92</v>
      </c>
      <c r="L63" s="8" t="n">
        <v>0</v>
      </c>
      <c r="M63" s="8" t="n">
        <v>0</v>
      </c>
      <c r="N63" s="8"/>
      <c r="O63" s="8" t="n">
        <v>1</v>
      </c>
      <c r="P63" s="10" t="n">
        <v>2.7</v>
      </c>
      <c r="Q63" s="8" t="n">
        <v>1261</v>
      </c>
      <c r="R63" s="8" t="n">
        <v>77</v>
      </c>
      <c r="S63" s="8" t="s">
        <v>132</v>
      </c>
      <c r="T63" s="8" t="s">
        <v>175</v>
      </c>
      <c r="U63" s="8" t="s">
        <v>176</v>
      </c>
      <c r="V63" s="8"/>
      <c r="W63" s="8" t="s">
        <v>185</v>
      </c>
      <c r="X63" s="8" t="s">
        <v>186</v>
      </c>
      <c r="Y63" s="8" t="s">
        <v>693</v>
      </c>
      <c r="Z63" s="8"/>
    </row>
    <row r="64" customFormat="false" ht="15" hidden="false" customHeight="false" outlineLevel="0" collapsed="false">
      <c r="A64" s="8" t="s">
        <v>184</v>
      </c>
      <c r="B64" s="8" t="s">
        <v>15</v>
      </c>
      <c r="C64" s="8" t="s">
        <v>16</v>
      </c>
      <c r="D64" s="8" t="s">
        <v>615</v>
      </c>
      <c r="E64" s="8" t="s">
        <v>35</v>
      </c>
      <c r="F64" s="8" t="s">
        <v>56</v>
      </c>
      <c r="G64" s="8" t="s">
        <v>32</v>
      </c>
      <c r="H64" s="8" t="s">
        <v>32</v>
      </c>
      <c r="I64" s="8" t="n">
        <f aca="false">IF(EXACT(G64,H64),1,0)</f>
        <v>1</v>
      </c>
      <c r="J64" s="8" t="n">
        <v>2</v>
      </c>
      <c r="K64" s="8" t="s">
        <v>92</v>
      </c>
      <c r="L64" s="8" t="n">
        <v>0</v>
      </c>
      <c r="M64" s="8" t="n">
        <v>0</v>
      </c>
      <c r="N64" s="8"/>
      <c r="O64" s="8" t="n">
        <v>1</v>
      </c>
      <c r="P64" s="10" t="n">
        <v>2.76</v>
      </c>
      <c r="Q64" s="8" t="n">
        <v>1261</v>
      </c>
      <c r="R64" s="8" t="n">
        <v>83</v>
      </c>
      <c r="S64" s="8" t="s">
        <v>132</v>
      </c>
      <c r="T64" s="8" t="s">
        <v>175</v>
      </c>
      <c r="U64" s="8" t="s">
        <v>176</v>
      </c>
      <c r="V64" s="8"/>
      <c r="W64" s="8" t="s">
        <v>185</v>
      </c>
      <c r="X64" s="8" t="s">
        <v>186</v>
      </c>
      <c r="Y64" s="8" t="s">
        <v>694</v>
      </c>
      <c r="Z64" s="8"/>
    </row>
    <row r="65" customFormat="false" ht="15" hidden="false" customHeight="false" outlineLevel="0" collapsed="false">
      <c r="A65" s="8" t="s">
        <v>187</v>
      </c>
      <c r="B65" s="8" t="s">
        <v>15</v>
      </c>
      <c r="C65" s="8" t="s">
        <v>16</v>
      </c>
      <c r="D65" s="8" t="s">
        <v>615</v>
      </c>
      <c r="E65" s="8" t="s">
        <v>35</v>
      </c>
      <c r="F65" s="8" t="s">
        <v>56</v>
      </c>
      <c r="G65" s="8" t="s">
        <v>32</v>
      </c>
      <c r="H65" s="8" t="s">
        <v>31</v>
      </c>
      <c r="I65" s="8" t="n">
        <f aca="false">IF(EXACT(G65,H65),1,0)</f>
        <v>0</v>
      </c>
      <c r="J65" s="8" t="n">
        <v>0</v>
      </c>
      <c r="K65" s="8" t="s">
        <v>140</v>
      </c>
      <c r="L65" s="8" t="n">
        <v>2</v>
      </c>
      <c r="M65" s="8" t="n">
        <v>0</v>
      </c>
      <c r="N65" s="8"/>
      <c r="O65" s="8" t="n">
        <v>1</v>
      </c>
      <c r="P65" s="10" t="n">
        <v>11.97</v>
      </c>
      <c r="Q65" s="8" t="n">
        <v>1312</v>
      </c>
      <c r="R65" s="8" t="n">
        <v>506</v>
      </c>
      <c r="S65" s="8" t="s">
        <v>94</v>
      </c>
      <c r="T65" s="8" t="s">
        <v>175</v>
      </c>
      <c r="U65" s="8" t="s">
        <v>176</v>
      </c>
      <c r="V65" s="8"/>
      <c r="W65" s="8" t="s">
        <v>188</v>
      </c>
      <c r="X65" s="8" t="s">
        <v>189</v>
      </c>
      <c r="Y65" s="8" t="s">
        <v>695</v>
      </c>
      <c r="Z65" s="8" t="s">
        <v>696</v>
      </c>
    </row>
    <row r="66" customFormat="false" ht="15" hidden="false" customHeight="false" outlineLevel="0" collapsed="false">
      <c r="A66" s="8" t="s">
        <v>187</v>
      </c>
      <c r="B66" s="8" t="s">
        <v>15</v>
      </c>
      <c r="C66" s="8" t="s">
        <v>16</v>
      </c>
      <c r="D66" s="8" t="s">
        <v>615</v>
      </c>
      <c r="E66" s="8" t="s">
        <v>35</v>
      </c>
      <c r="F66" s="8" t="s">
        <v>56</v>
      </c>
      <c r="G66" s="8" t="s">
        <v>32</v>
      </c>
      <c r="H66" s="8" t="s">
        <v>31</v>
      </c>
      <c r="I66" s="8" t="n">
        <f aca="false">IF(EXACT(G66,H66),1,0)</f>
        <v>0</v>
      </c>
      <c r="J66" s="8" t="n">
        <v>1</v>
      </c>
      <c r="K66" s="8" t="s">
        <v>140</v>
      </c>
      <c r="L66" s="8" t="n">
        <v>2</v>
      </c>
      <c r="M66" s="8" t="n">
        <v>0</v>
      </c>
      <c r="N66" s="8"/>
      <c r="O66" s="8" t="n">
        <v>1</v>
      </c>
      <c r="P66" s="10" t="n">
        <v>10.59</v>
      </c>
      <c r="Q66" s="8" t="n">
        <v>1312</v>
      </c>
      <c r="R66" s="8" t="n">
        <v>488</v>
      </c>
      <c r="S66" s="8" t="s">
        <v>94</v>
      </c>
      <c r="T66" s="8" t="s">
        <v>175</v>
      </c>
      <c r="U66" s="8" t="s">
        <v>176</v>
      </c>
      <c r="V66" s="8"/>
      <c r="W66" s="8" t="s">
        <v>188</v>
      </c>
      <c r="X66" s="8" t="s">
        <v>189</v>
      </c>
      <c r="Y66" s="8" t="s">
        <v>697</v>
      </c>
      <c r="Z66" s="8" t="s">
        <v>698</v>
      </c>
    </row>
    <row r="67" customFormat="false" ht="15" hidden="false" customHeight="false" outlineLevel="0" collapsed="false">
      <c r="A67" s="8" t="s">
        <v>187</v>
      </c>
      <c r="B67" s="8" t="s">
        <v>15</v>
      </c>
      <c r="C67" s="8" t="s">
        <v>16</v>
      </c>
      <c r="D67" s="8" t="s">
        <v>615</v>
      </c>
      <c r="E67" s="8" t="s">
        <v>35</v>
      </c>
      <c r="F67" s="8" t="s">
        <v>56</v>
      </c>
      <c r="G67" s="8" t="s">
        <v>32</v>
      </c>
      <c r="H67" s="8" t="s">
        <v>31</v>
      </c>
      <c r="I67" s="8" t="n">
        <f aca="false">IF(EXACT(G67,H67),1,0)</f>
        <v>0</v>
      </c>
      <c r="J67" s="8" t="n">
        <v>2</v>
      </c>
      <c r="K67" s="8" t="s">
        <v>140</v>
      </c>
      <c r="L67" s="8" t="n">
        <v>2</v>
      </c>
      <c r="M67" s="8" t="n">
        <v>0</v>
      </c>
      <c r="N67" s="8"/>
      <c r="O67" s="8" t="n">
        <v>1</v>
      </c>
      <c r="P67" s="10" t="n">
        <v>10.68</v>
      </c>
      <c r="Q67" s="8" t="n">
        <v>1312</v>
      </c>
      <c r="R67" s="8" t="n">
        <v>488</v>
      </c>
      <c r="S67" s="8" t="s">
        <v>94</v>
      </c>
      <c r="T67" s="8" t="s">
        <v>175</v>
      </c>
      <c r="U67" s="8" t="s">
        <v>176</v>
      </c>
      <c r="V67" s="8"/>
      <c r="W67" s="8" t="s">
        <v>188</v>
      </c>
      <c r="X67" s="8" t="s">
        <v>189</v>
      </c>
      <c r="Y67" s="8" t="s">
        <v>699</v>
      </c>
      <c r="Z67" s="8" t="s">
        <v>700</v>
      </c>
    </row>
    <row r="68" customFormat="false" ht="15" hidden="false" customHeight="false" outlineLevel="0" collapsed="false">
      <c r="A68" s="8" t="s">
        <v>191</v>
      </c>
      <c r="B68" s="8" t="s">
        <v>15</v>
      </c>
      <c r="C68" s="8" t="s">
        <v>16</v>
      </c>
      <c r="D68" s="8" t="s">
        <v>615</v>
      </c>
      <c r="E68" s="8" t="s">
        <v>35</v>
      </c>
      <c r="F68" s="8" t="s">
        <v>56</v>
      </c>
      <c r="G68" s="8" t="s">
        <v>31</v>
      </c>
      <c r="H68" s="8" t="s">
        <v>31</v>
      </c>
      <c r="I68" s="8" t="n">
        <f aca="false">IF(EXACT(G68,H68),1,0)</f>
        <v>1</v>
      </c>
      <c r="J68" s="8" t="n">
        <v>0</v>
      </c>
      <c r="K68" s="8" t="s">
        <v>140</v>
      </c>
      <c r="L68" s="8" t="n">
        <v>1</v>
      </c>
      <c r="M68" s="8" t="n">
        <v>0</v>
      </c>
      <c r="N68" s="8"/>
      <c r="O68" s="8" t="n">
        <v>1</v>
      </c>
      <c r="P68" s="10" t="n">
        <v>8.96</v>
      </c>
      <c r="Q68" s="8" t="n">
        <v>1318</v>
      </c>
      <c r="R68" s="8" t="n">
        <v>354</v>
      </c>
      <c r="S68" s="8" t="s">
        <v>117</v>
      </c>
      <c r="T68" s="8" t="s">
        <v>175</v>
      </c>
      <c r="U68" s="8" t="s">
        <v>176</v>
      </c>
      <c r="V68" s="8"/>
      <c r="W68" s="8" t="s">
        <v>192</v>
      </c>
      <c r="X68" s="8" t="s">
        <v>193</v>
      </c>
      <c r="Y68" s="8" t="s">
        <v>701</v>
      </c>
      <c r="Z68" s="8" t="s">
        <v>702</v>
      </c>
    </row>
    <row r="69" customFormat="false" ht="15" hidden="false" customHeight="false" outlineLevel="0" collapsed="false">
      <c r="A69" s="8" t="s">
        <v>191</v>
      </c>
      <c r="B69" s="8" t="s">
        <v>15</v>
      </c>
      <c r="C69" s="8" t="s">
        <v>16</v>
      </c>
      <c r="D69" s="8" t="s">
        <v>615</v>
      </c>
      <c r="E69" s="8" t="s">
        <v>35</v>
      </c>
      <c r="F69" s="8" t="s">
        <v>56</v>
      </c>
      <c r="G69" s="8" t="s">
        <v>31</v>
      </c>
      <c r="H69" s="8" t="s">
        <v>31</v>
      </c>
      <c r="I69" s="8" t="n">
        <f aca="false">IF(EXACT(G69,H69),1,0)</f>
        <v>1</v>
      </c>
      <c r="J69" s="8" t="n">
        <v>1</v>
      </c>
      <c r="K69" s="8" t="s">
        <v>140</v>
      </c>
      <c r="L69" s="8" t="n">
        <v>1</v>
      </c>
      <c r="M69" s="8" t="n">
        <v>0</v>
      </c>
      <c r="N69" s="8"/>
      <c r="O69" s="8" t="n">
        <v>1</v>
      </c>
      <c r="P69" s="10" t="n">
        <v>7.58</v>
      </c>
      <c r="Q69" s="8" t="n">
        <v>1318</v>
      </c>
      <c r="R69" s="8" t="n">
        <v>335</v>
      </c>
      <c r="S69" s="8" t="s">
        <v>117</v>
      </c>
      <c r="T69" s="8" t="s">
        <v>175</v>
      </c>
      <c r="U69" s="8" t="s">
        <v>176</v>
      </c>
      <c r="V69" s="8"/>
      <c r="W69" s="8" t="s">
        <v>192</v>
      </c>
      <c r="X69" s="8" t="s">
        <v>193</v>
      </c>
      <c r="Y69" s="8" t="s">
        <v>703</v>
      </c>
      <c r="Z69" s="8" t="s">
        <v>704</v>
      </c>
    </row>
    <row r="70" customFormat="false" ht="15" hidden="false" customHeight="false" outlineLevel="0" collapsed="false">
      <c r="A70" s="8" t="s">
        <v>191</v>
      </c>
      <c r="B70" s="8" t="s">
        <v>15</v>
      </c>
      <c r="C70" s="8" t="s">
        <v>16</v>
      </c>
      <c r="D70" s="8" t="s">
        <v>615</v>
      </c>
      <c r="E70" s="8" t="s">
        <v>35</v>
      </c>
      <c r="F70" s="8" t="s">
        <v>56</v>
      </c>
      <c r="G70" s="8" t="s">
        <v>31</v>
      </c>
      <c r="H70" s="8" t="s">
        <v>31</v>
      </c>
      <c r="I70" s="8" t="n">
        <f aca="false">IF(EXACT(G70,H70),1,0)</f>
        <v>1</v>
      </c>
      <c r="J70" s="8" t="n">
        <v>2</v>
      </c>
      <c r="K70" s="8" t="s">
        <v>140</v>
      </c>
      <c r="L70" s="8" t="n">
        <v>1</v>
      </c>
      <c r="M70" s="8" t="n">
        <v>0</v>
      </c>
      <c r="N70" s="8"/>
      <c r="O70" s="8" t="n">
        <v>1</v>
      </c>
      <c r="P70" s="10" t="n">
        <v>8.2</v>
      </c>
      <c r="Q70" s="8" t="n">
        <v>1318</v>
      </c>
      <c r="R70" s="8" t="n">
        <v>349</v>
      </c>
      <c r="S70" s="8" t="s">
        <v>117</v>
      </c>
      <c r="T70" s="8" t="s">
        <v>175</v>
      </c>
      <c r="U70" s="8" t="s">
        <v>176</v>
      </c>
      <c r="V70" s="8"/>
      <c r="W70" s="8" t="s">
        <v>192</v>
      </c>
      <c r="X70" s="8" t="s">
        <v>193</v>
      </c>
      <c r="Y70" s="8" t="s">
        <v>705</v>
      </c>
      <c r="Z70" s="8" t="s">
        <v>706</v>
      </c>
    </row>
    <row r="71" customFormat="false" ht="15" hidden="false" customHeight="false" outlineLevel="0" collapsed="false">
      <c r="A71" s="8" t="s">
        <v>194</v>
      </c>
      <c r="B71" s="8" t="s">
        <v>15</v>
      </c>
      <c r="C71" s="8" t="s">
        <v>16</v>
      </c>
      <c r="D71" s="8" t="s">
        <v>615</v>
      </c>
      <c r="E71" s="8" t="s">
        <v>35</v>
      </c>
      <c r="F71" s="8" t="s">
        <v>56</v>
      </c>
      <c r="G71" s="8" t="s">
        <v>31</v>
      </c>
      <c r="H71" s="8" t="s">
        <v>31</v>
      </c>
      <c r="I71" s="8" t="n">
        <f aca="false">IF(EXACT(G71,H71),1,0)</f>
        <v>1</v>
      </c>
      <c r="J71" s="8" t="n">
        <v>0</v>
      </c>
      <c r="K71" s="8" t="s">
        <v>140</v>
      </c>
      <c r="L71" s="8" t="n">
        <v>2</v>
      </c>
      <c r="M71" s="8" t="n">
        <v>0</v>
      </c>
      <c r="N71" s="8"/>
      <c r="O71" s="8" t="n">
        <v>1</v>
      </c>
      <c r="P71" s="10" t="n">
        <v>12.81</v>
      </c>
      <c r="Q71" s="8" t="n">
        <v>1400</v>
      </c>
      <c r="R71" s="8" t="n">
        <v>547</v>
      </c>
      <c r="S71" s="8" t="s">
        <v>195</v>
      </c>
      <c r="T71" s="8"/>
      <c r="U71" s="8"/>
      <c r="V71" s="8" t="s">
        <v>155</v>
      </c>
      <c r="W71" s="8"/>
      <c r="X71" s="8" t="s">
        <v>196</v>
      </c>
      <c r="Y71" s="8" t="s">
        <v>707</v>
      </c>
      <c r="Z71" s="8" t="s">
        <v>708</v>
      </c>
    </row>
    <row r="72" customFormat="false" ht="15" hidden="false" customHeight="false" outlineLevel="0" collapsed="false">
      <c r="A72" s="8" t="s">
        <v>194</v>
      </c>
      <c r="B72" s="8" t="s">
        <v>15</v>
      </c>
      <c r="C72" s="8" t="s">
        <v>16</v>
      </c>
      <c r="D72" s="8" t="s">
        <v>615</v>
      </c>
      <c r="E72" s="8" t="s">
        <v>35</v>
      </c>
      <c r="F72" s="8" t="s">
        <v>56</v>
      </c>
      <c r="G72" s="8" t="s">
        <v>31</v>
      </c>
      <c r="H72" s="8" t="s">
        <v>31</v>
      </c>
      <c r="I72" s="8" t="n">
        <f aca="false">IF(EXACT(G72,H72),1,0)</f>
        <v>1</v>
      </c>
      <c r="J72" s="8" t="n">
        <v>1</v>
      </c>
      <c r="K72" s="8" t="s">
        <v>140</v>
      </c>
      <c r="L72" s="8" t="n">
        <v>1</v>
      </c>
      <c r="M72" s="8" t="n">
        <v>0</v>
      </c>
      <c r="N72" s="8"/>
      <c r="O72" s="8" t="n">
        <v>1</v>
      </c>
      <c r="P72" s="10" t="n">
        <v>7.04</v>
      </c>
      <c r="Q72" s="8" t="n">
        <v>1400</v>
      </c>
      <c r="R72" s="8" t="n">
        <v>309</v>
      </c>
      <c r="S72" s="8" t="s">
        <v>195</v>
      </c>
      <c r="T72" s="8"/>
      <c r="U72" s="8"/>
      <c r="V72" s="8" t="s">
        <v>155</v>
      </c>
      <c r="W72" s="8"/>
      <c r="X72" s="8" t="s">
        <v>196</v>
      </c>
      <c r="Y72" s="8" t="s">
        <v>709</v>
      </c>
      <c r="Z72" s="8" t="s">
        <v>710</v>
      </c>
    </row>
    <row r="73" customFormat="false" ht="15" hidden="false" customHeight="false" outlineLevel="0" collapsed="false">
      <c r="A73" s="8" t="s">
        <v>194</v>
      </c>
      <c r="B73" s="8" t="s">
        <v>15</v>
      </c>
      <c r="C73" s="8" t="s">
        <v>16</v>
      </c>
      <c r="D73" s="8" t="s">
        <v>615</v>
      </c>
      <c r="E73" s="8" t="s">
        <v>35</v>
      </c>
      <c r="F73" s="8" t="s">
        <v>56</v>
      </c>
      <c r="G73" s="8" t="s">
        <v>31</v>
      </c>
      <c r="H73" s="8" t="s">
        <v>31</v>
      </c>
      <c r="I73" s="8" t="n">
        <f aca="false">IF(EXACT(G73,H73),1,0)</f>
        <v>1</v>
      </c>
      <c r="J73" s="8" t="n">
        <v>2</v>
      </c>
      <c r="K73" s="8" t="s">
        <v>140</v>
      </c>
      <c r="L73" s="8" t="n">
        <v>1</v>
      </c>
      <c r="M73" s="8" t="n">
        <v>0</v>
      </c>
      <c r="N73" s="8"/>
      <c r="O73" s="8" t="n">
        <v>1</v>
      </c>
      <c r="P73" s="10" t="n">
        <v>7.52</v>
      </c>
      <c r="Q73" s="8" t="n">
        <v>1400</v>
      </c>
      <c r="R73" s="8" t="n">
        <v>317</v>
      </c>
      <c r="S73" s="8" t="s">
        <v>195</v>
      </c>
      <c r="T73" s="8"/>
      <c r="U73" s="8"/>
      <c r="V73" s="8" t="s">
        <v>155</v>
      </c>
      <c r="W73" s="8"/>
      <c r="X73" s="8" t="s">
        <v>196</v>
      </c>
      <c r="Y73" s="8" t="s">
        <v>711</v>
      </c>
      <c r="Z73" s="8" t="s">
        <v>712</v>
      </c>
    </row>
    <row r="74" customFormat="false" ht="15" hidden="false" customHeight="false" outlineLevel="0" collapsed="false">
      <c r="A74" s="8" t="s">
        <v>197</v>
      </c>
      <c r="B74" s="8" t="s">
        <v>15</v>
      </c>
      <c r="C74" s="8" t="s">
        <v>16</v>
      </c>
      <c r="D74" s="8" t="s">
        <v>615</v>
      </c>
      <c r="E74" s="8" t="s">
        <v>35</v>
      </c>
      <c r="F74" s="8" t="s">
        <v>58</v>
      </c>
      <c r="G74" s="8" t="s">
        <v>31</v>
      </c>
      <c r="H74" s="8" t="s">
        <v>31</v>
      </c>
      <c r="I74" s="8" t="n">
        <f aca="false">IF(EXACT(G74,H74),1,0)</f>
        <v>1</v>
      </c>
      <c r="J74" s="8" t="n">
        <v>0</v>
      </c>
      <c r="K74" s="8" t="s">
        <v>116</v>
      </c>
      <c r="L74" s="8" t="n">
        <v>1</v>
      </c>
      <c r="M74" s="8" t="n">
        <v>0</v>
      </c>
      <c r="N74" s="8"/>
      <c r="O74" s="8" t="n">
        <v>1</v>
      </c>
      <c r="P74" s="10" t="n">
        <v>8.09</v>
      </c>
      <c r="Q74" s="8" t="n">
        <v>1439</v>
      </c>
      <c r="R74" s="8" t="n">
        <v>318</v>
      </c>
      <c r="S74" s="8" t="s">
        <v>198</v>
      </c>
      <c r="T74" s="8"/>
      <c r="U74" s="8"/>
      <c r="V74" s="8" t="s">
        <v>155</v>
      </c>
      <c r="W74" s="8"/>
      <c r="X74" s="8" t="s">
        <v>199</v>
      </c>
      <c r="Y74" s="8" t="s">
        <v>713</v>
      </c>
      <c r="Z74" s="8" t="s">
        <v>714</v>
      </c>
    </row>
    <row r="75" customFormat="false" ht="15" hidden="false" customHeight="false" outlineLevel="0" collapsed="false">
      <c r="A75" s="8" t="s">
        <v>197</v>
      </c>
      <c r="B75" s="8" t="s">
        <v>15</v>
      </c>
      <c r="C75" s="8" t="s">
        <v>16</v>
      </c>
      <c r="D75" s="8" t="s">
        <v>615</v>
      </c>
      <c r="E75" s="8" t="s">
        <v>35</v>
      </c>
      <c r="F75" s="8" t="s">
        <v>58</v>
      </c>
      <c r="G75" s="8" t="s">
        <v>31</v>
      </c>
      <c r="H75" s="8" t="s">
        <v>31</v>
      </c>
      <c r="I75" s="8" t="n">
        <f aca="false">IF(EXACT(G75,H75),1,0)</f>
        <v>1</v>
      </c>
      <c r="J75" s="8" t="n">
        <v>1</v>
      </c>
      <c r="K75" s="8" t="s">
        <v>116</v>
      </c>
      <c r="L75" s="8" t="n">
        <v>1</v>
      </c>
      <c r="M75" s="8" t="n">
        <v>0</v>
      </c>
      <c r="N75" s="8"/>
      <c r="O75" s="8" t="n">
        <v>1</v>
      </c>
      <c r="P75" s="10" t="n">
        <v>6.45</v>
      </c>
      <c r="Q75" s="8" t="n">
        <v>1439</v>
      </c>
      <c r="R75" s="8" t="n">
        <v>290</v>
      </c>
      <c r="S75" s="8" t="s">
        <v>198</v>
      </c>
      <c r="T75" s="8"/>
      <c r="U75" s="8"/>
      <c r="V75" s="8" t="s">
        <v>155</v>
      </c>
      <c r="W75" s="8"/>
      <c r="X75" s="8" t="s">
        <v>199</v>
      </c>
      <c r="Y75" s="8" t="s">
        <v>715</v>
      </c>
      <c r="Z75" s="8" t="s">
        <v>716</v>
      </c>
    </row>
    <row r="76" customFormat="false" ht="15" hidden="false" customHeight="false" outlineLevel="0" collapsed="false">
      <c r="A76" s="8" t="s">
        <v>197</v>
      </c>
      <c r="B76" s="8" t="s">
        <v>15</v>
      </c>
      <c r="C76" s="8" t="s">
        <v>16</v>
      </c>
      <c r="D76" s="8" t="s">
        <v>615</v>
      </c>
      <c r="E76" s="8" t="s">
        <v>35</v>
      </c>
      <c r="F76" s="8" t="s">
        <v>58</v>
      </c>
      <c r="G76" s="8" t="s">
        <v>31</v>
      </c>
      <c r="H76" s="8" t="s">
        <v>31</v>
      </c>
      <c r="I76" s="8" t="n">
        <f aca="false">IF(EXACT(G76,H76),1,0)</f>
        <v>1</v>
      </c>
      <c r="J76" s="8" t="n">
        <v>2</v>
      </c>
      <c r="K76" s="8" t="s">
        <v>116</v>
      </c>
      <c r="L76" s="8" t="n">
        <v>1</v>
      </c>
      <c r="M76" s="8" t="n">
        <v>0</v>
      </c>
      <c r="N76" s="8"/>
      <c r="O76" s="8" t="n">
        <v>1</v>
      </c>
      <c r="P76" s="10" t="n">
        <v>6.61</v>
      </c>
      <c r="Q76" s="8" t="n">
        <v>1439</v>
      </c>
      <c r="R76" s="8" t="n">
        <v>293</v>
      </c>
      <c r="S76" s="8" t="s">
        <v>198</v>
      </c>
      <c r="T76" s="8"/>
      <c r="U76" s="8"/>
      <c r="V76" s="8" t="s">
        <v>155</v>
      </c>
      <c r="W76" s="8"/>
      <c r="X76" s="8" t="s">
        <v>199</v>
      </c>
      <c r="Y76" s="8" t="s">
        <v>717</v>
      </c>
      <c r="Z76" s="8" t="s">
        <v>718</v>
      </c>
    </row>
    <row r="77" customFormat="false" ht="15" hidden="false" customHeight="false" outlineLevel="0" collapsed="false">
      <c r="A77" s="8" t="s">
        <v>200</v>
      </c>
      <c r="B77" s="8" t="s">
        <v>15</v>
      </c>
      <c r="C77" s="8" t="s">
        <v>16</v>
      </c>
      <c r="D77" s="8" t="s">
        <v>615</v>
      </c>
      <c r="E77" s="8" t="s">
        <v>35</v>
      </c>
      <c r="F77" s="8" t="s">
        <v>58</v>
      </c>
      <c r="G77" s="8" t="s">
        <v>31</v>
      </c>
      <c r="H77" s="8" t="s">
        <v>31</v>
      </c>
      <c r="I77" s="8" t="n">
        <f aca="false">IF(EXACT(G77,H77),1,0)</f>
        <v>1</v>
      </c>
      <c r="J77" s="8" t="n">
        <v>0</v>
      </c>
      <c r="K77" s="8" t="s">
        <v>116</v>
      </c>
      <c r="L77" s="8" t="n">
        <v>1</v>
      </c>
      <c r="M77" s="8" t="n">
        <v>0</v>
      </c>
      <c r="N77" s="8"/>
      <c r="O77" s="8" t="n">
        <v>1</v>
      </c>
      <c r="P77" s="10" t="n">
        <v>7.67</v>
      </c>
      <c r="Q77" s="8" t="n">
        <v>1359</v>
      </c>
      <c r="R77" s="8" t="n">
        <v>315</v>
      </c>
      <c r="S77" s="8" t="s">
        <v>201</v>
      </c>
      <c r="T77" s="8"/>
      <c r="U77" s="8"/>
      <c r="V77" s="8" t="s">
        <v>155</v>
      </c>
      <c r="W77" s="8"/>
      <c r="X77" s="8" t="s">
        <v>202</v>
      </c>
      <c r="Y77" s="8" t="s">
        <v>719</v>
      </c>
      <c r="Z77" s="8" t="s">
        <v>720</v>
      </c>
    </row>
    <row r="78" customFormat="false" ht="15" hidden="false" customHeight="false" outlineLevel="0" collapsed="false">
      <c r="A78" s="8" t="s">
        <v>200</v>
      </c>
      <c r="B78" s="8" t="s">
        <v>15</v>
      </c>
      <c r="C78" s="8" t="s">
        <v>16</v>
      </c>
      <c r="D78" s="8" t="s">
        <v>615</v>
      </c>
      <c r="E78" s="8" t="s">
        <v>35</v>
      </c>
      <c r="F78" s="8" t="s">
        <v>58</v>
      </c>
      <c r="G78" s="8" t="s">
        <v>31</v>
      </c>
      <c r="H78" s="8" t="s">
        <v>31</v>
      </c>
      <c r="I78" s="8" t="n">
        <f aca="false">IF(EXACT(G78,H78),1,0)</f>
        <v>1</v>
      </c>
      <c r="J78" s="8" t="n">
        <v>1</v>
      </c>
      <c r="K78" s="8" t="s">
        <v>116</v>
      </c>
      <c r="L78" s="8" t="n">
        <v>2</v>
      </c>
      <c r="M78" s="8" t="n">
        <v>0</v>
      </c>
      <c r="N78" s="8"/>
      <c r="O78" s="8" t="n">
        <v>1</v>
      </c>
      <c r="P78" s="10" t="n">
        <v>9.86</v>
      </c>
      <c r="Q78" s="8" t="n">
        <v>1359</v>
      </c>
      <c r="R78" s="8" t="n">
        <v>454</v>
      </c>
      <c r="S78" s="8" t="s">
        <v>201</v>
      </c>
      <c r="T78" s="8"/>
      <c r="U78" s="8"/>
      <c r="V78" s="8" t="s">
        <v>155</v>
      </c>
      <c r="W78" s="8"/>
      <c r="X78" s="8" t="s">
        <v>202</v>
      </c>
      <c r="Y78" s="8" t="s">
        <v>721</v>
      </c>
      <c r="Z78" s="8" t="s">
        <v>722</v>
      </c>
    </row>
    <row r="79" customFormat="false" ht="15" hidden="false" customHeight="false" outlineLevel="0" collapsed="false">
      <c r="A79" s="8" t="s">
        <v>200</v>
      </c>
      <c r="B79" s="8" t="s">
        <v>15</v>
      </c>
      <c r="C79" s="8" t="s">
        <v>16</v>
      </c>
      <c r="D79" s="8" t="s">
        <v>615</v>
      </c>
      <c r="E79" s="8" t="s">
        <v>35</v>
      </c>
      <c r="F79" s="8" t="s">
        <v>58</v>
      </c>
      <c r="G79" s="8" t="s">
        <v>31</v>
      </c>
      <c r="H79" s="8" t="s">
        <v>31</v>
      </c>
      <c r="I79" s="8" t="n">
        <f aca="false">IF(EXACT(G79,H79),1,0)</f>
        <v>1</v>
      </c>
      <c r="J79" s="8" t="n">
        <v>2</v>
      </c>
      <c r="K79" s="8" t="s">
        <v>116</v>
      </c>
      <c r="L79" s="8" t="n">
        <v>2</v>
      </c>
      <c r="M79" s="8" t="n">
        <v>0</v>
      </c>
      <c r="N79" s="8"/>
      <c r="O79" s="8" t="n">
        <v>1</v>
      </c>
      <c r="P79" s="10" t="n">
        <v>12.85</v>
      </c>
      <c r="Q79" s="8" t="n">
        <v>1359</v>
      </c>
      <c r="R79" s="8" t="n">
        <v>574</v>
      </c>
      <c r="S79" s="8" t="s">
        <v>201</v>
      </c>
      <c r="T79" s="8"/>
      <c r="U79" s="8"/>
      <c r="V79" s="8" t="s">
        <v>155</v>
      </c>
      <c r="W79" s="8"/>
      <c r="X79" s="8" t="s">
        <v>202</v>
      </c>
      <c r="Y79" s="8" t="s">
        <v>723</v>
      </c>
      <c r="Z79" s="8" t="s">
        <v>724</v>
      </c>
    </row>
    <row r="80" customFormat="false" ht="15" hidden="false" customHeight="false" outlineLevel="0" collapsed="false">
      <c r="A80" s="8" t="s">
        <v>203</v>
      </c>
      <c r="B80" s="8" t="s">
        <v>15</v>
      </c>
      <c r="C80" s="8" t="s">
        <v>16</v>
      </c>
      <c r="D80" s="8" t="s">
        <v>615</v>
      </c>
      <c r="E80" s="8" t="s">
        <v>35</v>
      </c>
      <c r="F80" s="8" t="s">
        <v>58</v>
      </c>
      <c r="G80" s="8" t="s">
        <v>32</v>
      </c>
      <c r="H80" s="8" t="s">
        <v>32</v>
      </c>
      <c r="I80" s="8" t="n">
        <f aca="false">IF(EXACT(G80,H80),1,0)</f>
        <v>1</v>
      </c>
      <c r="J80" s="8" t="n">
        <v>0</v>
      </c>
      <c r="K80" s="8" t="s">
        <v>92</v>
      </c>
      <c r="L80" s="8" t="n">
        <v>0</v>
      </c>
      <c r="M80" s="8" t="n">
        <v>0</v>
      </c>
      <c r="N80" s="8"/>
      <c r="O80" s="8" t="n">
        <v>1</v>
      </c>
      <c r="P80" s="10" t="n">
        <v>2.74</v>
      </c>
      <c r="Q80" s="8" t="n">
        <v>1310</v>
      </c>
      <c r="R80" s="8" t="n">
        <v>77</v>
      </c>
      <c r="S80" s="8" t="s">
        <v>204</v>
      </c>
      <c r="T80" s="8"/>
      <c r="U80" s="8"/>
      <c r="V80" s="8" t="s">
        <v>155</v>
      </c>
      <c r="W80" s="8"/>
      <c r="X80" s="8" t="s">
        <v>205</v>
      </c>
      <c r="Y80" s="8" t="s">
        <v>725</v>
      </c>
      <c r="Z80" s="8"/>
    </row>
    <row r="81" customFormat="false" ht="15" hidden="false" customHeight="false" outlineLevel="0" collapsed="false">
      <c r="A81" s="8" t="s">
        <v>203</v>
      </c>
      <c r="B81" s="8" t="s">
        <v>15</v>
      </c>
      <c r="C81" s="8" t="s">
        <v>16</v>
      </c>
      <c r="D81" s="8" t="s">
        <v>615</v>
      </c>
      <c r="E81" s="8" t="s">
        <v>35</v>
      </c>
      <c r="F81" s="8" t="s">
        <v>58</v>
      </c>
      <c r="G81" s="8" t="s">
        <v>32</v>
      </c>
      <c r="H81" s="8" t="s">
        <v>32</v>
      </c>
      <c r="I81" s="8" t="n">
        <f aca="false">IF(EXACT(G81,H81),1,0)</f>
        <v>1</v>
      </c>
      <c r="J81" s="8" t="n">
        <v>1</v>
      </c>
      <c r="K81" s="8" t="s">
        <v>92</v>
      </c>
      <c r="L81" s="8" t="n">
        <v>0</v>
      </c>
      <c r="M81" s="8" t="n">
        <v>0</v>
      </c>
      <c r="N81" s="8"/>
      <c r="O81" s="8" t="n">
        <v>1</v>
      </c>
      <c r="P81" s="10" t="n">
        <v>2.92</v>
      </c>
      <c r="Q81" s="8" t="n">
        <v>1310</v>
      </c>
      <c r="R81" s="8" t="n">
        <v>89</v>
      </c>
      <c r="S81" s="8" t="s">
        <v>204</v>
      </c>
      <c r="T81" s="8"/>
      <c r="U81" s="8"/>
      <c r="V81" s="8" t="s">
        <v>155</v>
      </c>
      <c r="W81" s="8"/>
      <c r="X81" s="8" t="s">
        <v>205</v>
      </c>
      <c r="Y81" s="8" t="s">
        <v>726</v>
      </c>
      <c r="Z81" s="8"/>
    </row>
    <row r="82" customFormat="false" ht="15" hidden="false" customHeight="false" outlineLevel="0" collapsed="false">
      <c r="A82" s="8" t="s">
        <v>203</v>
      </c>
      <c r="B82" s="8" t="s">
        <v>15</v>
      </c>
      <c r="C82" s="8" t="s">
        <v>16</v>
      </c>
      <c r="D82" s="8" t="s">
        <v>615</v>
      </c>
      <c r="E82" s="8" t="s">
        <v>35</v>
      </c>
      <c r="F82" s="8" t="s">
        <v>58</v>
      </c>
      <c r="G82" s="8" t="s">
        <v>32</v>
      </c>
      <c r="H82" s="8" t="s">
        <v>32</v>
      </c>
      <c r="I82" s="8" t="n">
        <f aca="false">IF(EXACT(G82,H82),1,0)</f>
        <v>1</v>
      </c>
      <c r="J82" s="8" t="n">
        <v>2</v>
      </c>
      <c r="K82" s="8" t="s">
        <v>92</v>
      </c>
      <c r="L82" s="8" t="n">
        <v>0</v>
      </c>
      <c r="M82" s="8" t="n">
        <v>0</v>
      </c>
      <c r="N82" s="8"/>
      <c r="O82" s="8" t="n">
        <v>1</v>
      </c>
      <c r="P82" s="10" t="n">
        <v>3.07</v>
      </c>
      <c r="Q82" s="8" t="n">
        <v>1310</v>
      </c>
      <c r="R82" s="8" t="n">
        <v>77</v>
      </c>
      <c r="S82" s="8" t="s">
        <v>204</v>
      </c>
      <c r="T82" s="8"/>
      <c r="U82" s="8"/>
      <c r="V82" s="8" t="s">
        <v>155</v>
      </c>
      <c r="W82" s="8"/>
      <c r="X82" s="8" t="s">
        <v>205</v>
      </c>
      <c r="Y82" s="8" t="s">
        <v>725</v>
      </c>
      <c r="Z82" s="8"/>
    </row>
    <row r="83" customFormat="false" ht="15" hidden="false" customHeight="false" outlineLevel="0" collapsed="false">
      <c r="A83" s="8" t="s">
        <v>206</v>
      </c>
      <c r="B83" s="8" t="s">
        <v>15</v>
      </c>
      <c r="C83" s="8" t="s">
        <v>16</v>
      </c>
      <c r="D83" s="8" t="s">
        <v>615</v>
      </c>
      <c r="E83" s="8" t="s">
        <v>35</v>
      </c>
      <c r="F83" s="8" t="s">
        <v>58</v>
      </c>
      <c r="G83" s="8" t="s">
        <v>32</v>
      </c>
      <c r="H83" s="8" t="s">
        <v>32</v>
      </c>
      <c r="I83" s="8" t="n">
        <f aca="false">IF(EXACT(G83,H83),1,0)</f>
        <v>1</v>
      </c>
      <c r="J83" s="8" t="n">
        <v>0</v>
      </c>
      <c r="K83" s="8" t="s">
        <v>92</v>
      </c>
      <c r="L83" s="8" t="n">
        <v>0</v>
      </c>
      <c r="M83" s="8" t="n">
        <v>0</v>
      </c>
      <c r="N83" s="8"/>
      <c r="O83" s="8" t="n">
        <v>1</v>
      </c>
      <c r="P83" s="10" t="n">
        <v>4.3</v>
      </c>
      <c r="Q83" s="8" t="n">
        <v>1301</v>
      </c>
      <c r="R83" s="8" t="n">
        <v>79</v>
      </c>
      <c r="S83" s="8" t="s">
        <v>207</v>
      </c>
      <c r="T83" s="8"/>
      <c r="U83" s="8"/>
      <c r="V83" s="8" t="s">
        <v>155</v>
      </c>
      <c r="W83" s="8"/>
      <c r="X83" s="8" t="s">
        <v>208</v>
      </c>
      <c r="Y83" s="8" t="s">
        <v>727</v>
      </c>
      <c r="Z83" s="8"/>
    </row>
    <row r="84" customFormat="false" ht="15" hidden="false" customHeight="false" outlineLevel="0" collapsed="false">
      <c r="A84" s="8" t="s">
        <v>206</v>
      </c>
      <c r="B84" s="8" t="s">
        <v>15</v>
      </c>
      <c r="C84" s="8" t="s">
        <v>16</v>
      </c>
      <c r="D84" s="8" t="s">
        <v>615</v>
      </c>
      <c r="E84" s="8" t="s">
        <v>35</v>
      </c>
      <c r="F84" s="8" t="s">
        <v>58</v>
      </c>
      <c r="G84" s="8" t="s">
        <v>32</v>
      </c>
      <c r="H84" s="8" t="s">
        <v>32</v>
      </c>
      <c r="I84" s="8" t="n">
        <f aca="false">IF(EXACT(G84,H84),1,0)</f>
        <v>1</v>
      </c>
      <c r="J84" s="8" t="n">
        <v>1</v>
      </c>
      <c r="K84" s="8" t="s">
        <v>92</v>
      </c>
      <c r="L84" s="8" t="n">
        <v>0</v>
      </c>
      <c r="M84" s="8" t="n">
        <v>0</v>
      </c>
      <c r="N84" s="8"/>
      <c r="O84" s="8" t="n">
        <v>1</v>
      </c>
      <c r="P84" s="10" t="n">
        <v>2.93</v>
      </c>
      <c r="Q84" s="8" t="n">
        <v>1301</v>
      </c>
      <c r="R84" s="8" t="n">
        <v>79</v>
      </c>
      <c r="S84" s="8" t="s">
        <v>207</v>
      </c>
      <c r="T84" s="8"/>
      <c r="U84" s="8"/>
      <c r="V84" s="8" t="s">
        <v>155</v>
      </c>
      <c r="W84" s="8"/>
      <c r="X84" s="8" t="s">
        <v>208</v>
      </c>
      <c r="Y84" s="8" t="s">
        <v>727</v>
      </c>
      <c r="Z84" s="8"/>
    </row>
    <row r="85" customFormat="false" ht="15" hidden="false" customHeight="false" outlineLevel="0" collapsed="false">
      <c r="A85" s="8" t="s">
        <v>206</v>
      </c>
      <c r="B85" s="8" t="s">
        <v>15</v>
      </c>
      <c r="C85" s="8" t="s">
        <v>16</v>
      </c>
      <c r="D85" s="8" t="s">
        <v>615</v>
      </c>
      <c r="E85" s="8" t="s">
        <v>35</v>
      </c>
      <c r="F85" s="8" t="s">
        <v>58</v>
      </c>
      <c r="G85" s="8" t="s">
        <v>32</v>
      </c>
      <c r="H85" s="8" t="s">
        <v>32</v>
      </c>
      <c r="I85" s="8" t="n">
        <f aca="false">IF(EXACT(G85,H85),1,0)</f>
        <v>1</v>
      </c>
      <c r="J85" s="8" t="n">
        <v>2</v>
      </c>
      <c r="K85" s="8" t="s">
        <v>92</v>
      </c>
      <c r="L85" s="8" t="n">
        <v>0</v>
      </c>
      <c r="M85" s="8" t="n">
        <v>0</v>
      </c>
      <c r="N85" s="8"/>
      <c r="O85" s="8" t="n">
        <v>1</v>
      </c>
      <c r="P85" s="10" t="n">
        <v>2.7</v>
      </c>
      <c r="Q85" s="8" t="n">
        <v>1301</v>
      </c>
      <c r="R85" s="8" t="n">
        <v>79</v>
      </c>
      <c r="S85" s="8" t="s">
        <v>207</v>
      </c>
      <c r="T85" s="8"/>
      <c r="U85" s="8"/>
      <c r="V85" s="8" t="s">
        <v>155</v>
      </c>
      <c r="W85" s="8"/>
      <c r="X85" s="8" t="s">
        <v>208</v>
      </c>
      <c r="Y85" s="8" t="s">
        <v>727</v>
      </c>
      <c r="Z85" s="8"/>
    </row>
    <row r="86" customFormat="false" ht="15" hidden="false" customHeight="false" outlineLevel="0" collapsed="false">
      <c r="A86" s="8" t="s">
        <v>209</v>
      </c>
      <c r="B86" s="8" t="s">
        <v>15</v>
      </c>
      <c r="C86" s="8" t="s">
        <v>16</v>
      </c>
      <c r="D86" s="8" t="s">
        <v>615</v>
      </c>
      <c r="E86" s="8" t="s">
        <v>35</v>
      </c>
      <c r="F86" s="8" t="s">
        <v>58</v>
      </c>
      <c r="G86" s="8" t="s">
        <v>30</v>
      </c>
      <c r="H86" s="8" t="s">
        <v>30</v>
      </c>
      <c r="I86" s="8" t="n">
        <f aca="false">IF(EXACT(G86,H86),1,0)</f>
        <v>1</v>
      </c>
      <c r="J86" s="8" t="n">
        <v>0</v>
      </c>
      <c r="K86" s="8" t="s">
        <v>92</v>
      </c>
      <c r="L86" s="8" t="n">
        <v>0</v>
      </c>
      <c r="M86" s="8" t="n">
        <v>0</v>
      </c>
      <c r="N86" s="8"/>
      <c r="O86" s="8" t="n">
        <v>1</v>
      </c>
      <c r="P86" s="10" t="n">
        <v>3.24</v>
      </c>
      <c r="Q86" s="8" t="n">
        <v>1366</v>
      </c>
      <c r="R86" s="8" t="n">
        <v>85</v>
      </c>
      <c r="S86" s="8" t="s">
        <v>210</v>
      </c>
      <c r="T86" s="8"/>
      <c r="U86" s="8"/>
      <c r="V86" s="8" t="s">
        <v>155</v>
      </c>
      <c r="W86" s="8"/>
      <c r="X86" s="8" t="s">
        <v>211</v>
      </c>
      <c r="Y86" s="8" t="s">
        <v>728</v>
      </c>
      <c r="Z86" s="8"/>
    </row>
    <row r="87" customFormat="false" ht="15" hidden="false" customHeight="false" outlineLevel="0" collapsed="false">
      <c r="A87" s="8" t="s">
        <v>209</v>
      </c>
      <c r="B87" s="8" t="s">
        <v>15</v>
      </c>
      <c r="C87" s="8" t="s">
        <v>16</v>
      </c>
      <c r="D87" s="8" t="s">
        <v>615</v>
      </c>
      <c r="E87" s="8" t="s">
        <v>35</v>
      </c>
      <c r="F87" s="8" t="s">
        <v>58</v>
      </c>
      <c r="G87" s="8" t="s">
        <v>30</v>
      </c>
      <c r="H87" s="8" t="s">
        <v>30</v>
      </c>
      <c r="I87" s="8" t="n">
        <f aca="false">IF(EXACT(G87,H87),1,0)</f>
        <v>1</v>
      </c>
      <c r="J87" s="8" t="n">
        <v>1</v>
      </c>
      <c r="K87" s="8" t="s">
        <v>92</v>
      </c>
      <c r="L87" s="8" t="n">
        <v>0</v>
      </c>
      <c r="M87" s="8" t="n">
        <v>0</v>
      </c>
      <c r="N87" s="8"/>
      <c r="O87" s="8" t="n">
        <v>1</v>
      </c>
      <c r="P87" s="10" t="n">
        <v>2.9</v>
      </c>
      <c r="Q87" s="8" t="n">
        <v>1366</v>
      </c>
      <c r="R87" s="8" t="n">
        <v>86</v>
      </c>
      <c r="S87" s="8" t="s">
        <v>210</v>
      </c>
      <c r="T87" s="8"/>
      <c r="U87" s="8"/>
      <c r="V87" s="8" t="s">
        <v>155</v>
      </c>
      <c r="W87" s="8"/>
      <c r="X87" s="8" t="s">
        <v>211</v>
      </c>
      <c r="Y87" s="8" t="s">
        <v>729</v>
      </c>
      <c r="Z87" s="8"/>
    </row>
    <row r="88" customFormat="false" ht="15" hidden="false" customHeight="false" outlineLevel="0" collapsed="false">
      <c r="A88" s="8" t="s">
        <v>209</v>
      </c>
      <c r="B88" s="8" t="s">
        <v>15</v>
      </c>
      <c r="C88" s="8" t="s">
        <v>16</v>
      </c>
      <c r="D88" s="8" t="s">
        <v>615</v>
      </c>
      <c r="E88" s="8" t="s">
        <v>35</v>
      </c>
      <c r="F88" s="8" t="s">
        <v>58</v>
      </c>
      <c r="G88" s="8" t="s">
        <v>30</v>
      </c>
      <c r="H88" s="8" t="s">
        <v>30</v>
      </c>
      <c r="I88" s="8" t="n">
        <f aca="false">IF(EXACT(G88,H88),1,0)</f>
        <v>1</v>
      </c>
      <c r="J88" s="8" t="n">
        <v>2</v>
      </c>
      <c r="K88" s="8" t="s">
        <v>92</v>
      </c>
      <c r="L88" s="8" t="n">
        <v>0</v>
      </c>
      <c r="M88" s="8" t="n">
        <v>0</v>
      </c>
      <c r="N88" s="8"/>
      <c r="O88" s="8" t="n">
        <v>1</v>
      </c>
      <c r="P88" s="10" t="n">
        <v>2.89</v>
      </c>
      <c r="Q88" s="8" t="n">
        <v>1366</v>
      </c>
      <c r="R88" s="8" t="n">
        <v>86</v>
      </c>
      <c r="S88" s="8" t="s">
        <v>210</v>
      </c>
      <c r="T88" s="8"/>
      <c r="U88" s="8"/>
      <c r="V88" s="8" t="s">
        <v>155</v>
      </c>
      <c r="W88" s="8"/>
      <c r="X88" s="8" t="s">
        <v>211</v>
      </c>
      <c r="Y88" s="8" t="s">
        <v>730</v>
      </c>
      <c r="Z88" s="8"/>
    </row>
    <row r="89" customFormat="false" ht="15" hidden="false" customHeight="false" outlineLevel="0" collapsed="false">
      <c r="A89" s="8" t="s">
        <v>212</v>
      </c>
      <c r="B89" s="8" t="s">
        <v>15</v>
      </c>
      <c r="C89" s="8" t="s">
        <v>16</v>
      </c>
      <c r="D89" s="8" t="s">
        <v>615</v>
      </c>
      <c r="E89" s="8" t="s">
        <v>35</v>
      </c>
      <c r="F89" s="8" t="s">
        <v>58</v>
      </c>
      <c r="G89" s="8" t="s">
        <v>30</v>
      </c>
      <c r="H89" s="8" t="s">
        <v>30</v>
      </c>
      <c r="I89" s="8" t="n">
        <f aca="false">IF(EXACT(G89,H89),1,0)</f>
        <v>1</v>
      </c>
      <c r="J89" s="8" t="n">
        <v>0</v>
      </c>
      <c r="K89" s="8" t="s">
        <v>92</v>
      </c>
      <c r="L89" s="8" t="n">
        <v>0</v>
      </c>
      <c r="M89" s="8" t="n">
        <v>0</v>
      </c>
      <c r="N89" s="8"/>
      <c r="O89" s="8" t="n">
        <v>1</v>
      </c>
      <c r="P89" s="10" t="n">
        <v>3.29</v>
      </c>
      <c r="Q89" s="8" t="n">
        <v>1434</v>
      </c>
      <c r="R89" s="8" t="n">
        <v>85</v>
      </c>
      <c r="S89" s="8" t="s">
        <v>213</v>
      </c>
      <c r="T89" s="8"/>
      <c r="U89" s="8"/>
      <c r="V89" s="8" t="s">
        <v>155</v>
      </c>
      <c r="W89" s="8"/>
      <c r="X89" s="8" t="s">
        <v>214</v>
      </c>
      <c r="Y89" s="8" t="s">
        <v>731</v>
      </c>
      <c r="Z89" s="8"/>
    </row>
    <row r="90" customFormat="false" ht="15" hidden="false" customHeight="false" outlineLevel="0" collapsed="false">
      <c r="A90" s="8" t="s">
        <v>212</v>
      </c>
      <c r="B90" s="8" t="s">
        <v>15</v>
      </c>
      <c r="C90" s="8" t="s">
        <v>16</v>
      </c>
      <c r="D90" s="8" t="s">
        <v>615</v>
      </c>
      <c r="E90" s="8" t="s">
        <v>35</v>
      </c>
      <c r="F90" s="8" t="s">
        <v>58</v>
      </c>
      <c r="G90" s="8" t="s">
        <v>30</v>
      </c>
      <c r="H90" s="8" t="s">
        <v>30</v>
      </c>
      <c r="I90" s="8" t="n">
        <f aca="false">IF(EXACT(G90,H90),1,0)</f>
        <v>1</v>
      </c>
      <c r="J90" s="8" t="n">
        <v>1</v>
      </c>
      <c r="K90" s="8" t="s">
        <v>92</v>
      </c>
      <c r="L90" s="8" t="n">
        <v>0</v>
      </c>
      <c r="M90" s="8" t="n">
        <v>0</v>
      </c>
      <c r="N90" s="8"/>
      <c r="O90" s="8" t="n">
        <v>1</v>
      </c>
      <c r="P90" s="10" t="n">
        <v>2.82</v>
      </c>
      <c r="Q90" s="8" t="n">
        <v>1434</v>
      </c>
      <c r="R90" s="8" t="n">
        <v>83</v>
      </c>
      <c r="S90" s="8" t="s">
        <v>213</v>
      </c>
      <c r="T90" s="8"/>
      <c r="U90" s="8"/>
      <c r="V90" s="8" t="s">
        <v>155</v>
      </c>
      <c r="W90" s="8"/>
      <c r="X90" s="8" t="s">
        <v>214</v>
      </c>
      <c r="Y90" s="8" t="s">
        <v>732</v>
      </c>
      <c r="Z90" s="8"/>
    </row>
    <row r="91" customFormat="false" ht="15" hidden="false" customHeight="false" outlineLevel="0" collapsed="false">
      <c r="A91" s="8" t="s">
        <v>212</v>
      </c>
      <c r="B91" s="8" t="s">
        <v>15</v>
      </c>
      <c r="C91" s="8" t="s">
        <v>16</v>
      </c>
      <c r="D91" s="8" t="s">
        <v>615</v>
      </c>
      <c r="E91" s="8" t="s">
        <v>35</v>
      </c>
      <c r="F91" s="8" t="s">
        <v>58</v>
      </c>
      <c r="G91" s="8" t="s">
        <v>30</v>
      </c>
      <c r="H91" s="8" t="s">
        <v>30</v>
      </c>
      <c r="I91" s="8" t="n">
        <f aca="false">IF(EXACT(G91,H91),1,0)</f>
        <v>1</v>
      </c>
      <c r="J91" s="8" t="n">
        <v>2</v>
      </c>
      <c r="K91" s="8" t="s">
        <v>92</v>
      </c>
      <c r="L91" s="8" t="n">
        <v>0</v>
      </c>
      <c r="M91" s="8" t="n">
        <v>0</v>
      </c>
      <c r="N91" s="8"/>
      <c r="O91" s="8" t="n">
        <v>1</v>
      </c>
      <c r="P91" s="10" t="n">
        <v>3.46</v>
      </c>
      <c r="Q91" s="8" t="n">
        <v>1434</v>
      </c>
      <c r="R91" s="8" t="n">
        <v>89</v>
      </c>
      <c r="S91" s="8" t="s">
        <v>213</v>
      </c>
      <c r="T91" s="8"/>
      <c r="U91" s="8"/>
      <c r="V91" s="8" t="s">
        <v>155</v>
      </c>
      <c r="W91" s="8"/>
      <c r="X91" s="8" t="s">
        <v>214</v>
      </c>
      <c r="Y91" s="8" t="s">
        <v>733</v>
      </c>
      <c r="Z91" s="8"/>
    </row>
    <row r="92" customFormat="false" ht="15" hidden="false" customHeight="false" outlineLevel="0" collapsed="false">
      <c r="A92" s="8" t="s">
        <v>215</v>
      </c>
      <c r="B92" s="8" t="s">
        <v>15</v>
      </c>
      <c r="C92" s="8" t="s">
        <v>16</v>
      </c>
      <c r="D92" s="8" t="s">
        <v>615</v>
      </c>
      <c r="E92" s="8" t="s">
        <v>36</v>
      </c>
      <c r="F92" s="8" t="s">
        <v>46</v>
      </c>
      <c r="G92" s="8" t="s">
        <v>30</v>
      </c>
      <c r="H92" s="8" t="s">
        <v>30</v>
      </c>
      <c r="I92" s="8" t="n">
        <f aca="false">IF(EXACT(G92,H92),1,0)</f>
        <v>1</v>
      </c>
      <c r="J92" s="8" t="n">
        <v>0</v>
      </c>
      <c r="K92" s="8" t="s">
        <v>92</v>
      </c>
      <c r="L92" s="8" t="n">
        <v>0</v>
      </c>
      <c r="M92" s="8" t="n">
        <v>0</v>
      </c>
      <c r="N92" s="8"/>
      <c r="O92" s="8" t="n">
        <v>1</v>
      </c>
      <c r="P92" s="10" t="n">
        <v>4.88</v>
      </c>
      <c r="Q92" s="8" t="n">
        <v>1338</v>
      </c>
      <c r="R92" s="8" t="n">
        <v>87</v>
      </c>
      <c r="S92" s="8" t="s">
        <v>216</v>
      </c>
      <c r="T92" s="8" t="s">
        <v>217</v>
      </c>
      <c r="U92" s="8" t="s">
        <v>218</v>
      </c>
      <c r="V92" s="8"/>
      <c r="W92" s="8" t="s">
        <v>219</v>
      </c>
      <c r="X92" s="8" t="s">
        <v>220</v>
      </c>
      <c r="Y92" s="8" t="s">
        <v>734</v>
      </c>
      <c r="Z92" s="8"/>
    </row>
    <row r="93" customFormat="false" ht="15" hidden="false" customHeight="false" outlineLevel="0" collapsed="false">
      <c r="A93" s="8" t="s">
        <v>215</v>
      </c>
      <c r="B93" s="8" t="s">
        <v>15</v>
      </c>
      <c r="C93" s="8" t="s">
        <v>16</v>
      </c>
      <c r="D93" s="8" t="s">
        <v>615</v>
      </c>
      <c r="E93" s="8" t="s">
        <v>36</v>
      </c>
      <c r="F93" s="8" t="s">
        <v>46</v>
      </c>
      <c r="G93" s="8" t="s">
        <v>30</v>
      </c>
      <c r="H93" s="8" t="s">
        <v>30</v>
      </c>
      <c r="I93" s="8" t="n">
        <f aca="false">IF(EXACT(G93,H93),1,0)</f>
        <v>1</v>
      </c>
      <c r="J93" s="8" t="n">
        <v>1</v>
      </c>
      <c r="K93" s="8" t="s">
        <v>92</v>
      </c>
      <c r="L93" s="8" t="n">
        <v>0</v>
      </c>
      <c r="M93" s="8" t="n">
        <v>0</v>
      </c>
      <c r="N93" s="8"/>
      <c r="O93" s="8" t="n">
        <v>1</v>
      </c>
      <c r="P93" s="10" t="n">
        <v>2.95</v>
      </c>
      <c r="Q93" s="8" t="n">
        <v>1338</v>
      </c>
      <c r="R93" s="8" t="n">
        <v>88</v>
      </c>
      <c r="S93" s="8" t="s">
        <v>216</v>
      </c>
      <c r="T93" s="8" t="s">
        <v>217</v>
      </c>
      <c r="U93" s="8" t="s">
        <v>218</v>
      </c>
      <c r="V93" s="8"/>
      <c r="W93" s="8" t="s">
        <v>219</v>
      </c>
      <c r="X93" s="8" t="s">
        <v>220</v>
      </c>
      <c r="Y93" s="8" t="s">
        <v>735</v>
      </c>
      <c r="Z93" s="8"/>
    </row>
    <row r="94" customFormat="false" ht="15" hidden="false" customHeight="false" outlineLevel="0" collapsed="false">
      <c r="A94" s="8" t="s">
        <v>215</v>
      </c>
      <c r="B94" s="8" t="s">
        <v>15</v>
      </c>
      <c r="C94" s="8" t="s">
        <v>16</v>
      </c>
      <c r="D94" s="8" t="s">
        <v>615</v>
      </c>
      <c r="E94" s="8" t="s">
        <v>36</v>
      </c>
      <c r="F94" s="8" t="s">
        <v>46</v>
      </c>
      <c r="G94" s="8" t="s">
        <v>30</v>
      </c>
      <c r="H94" s="8" t="s">
        <v>30</v>
      </c>
      <c r="I94" s="8" t="n">
        <f aca="false">IF(EXACT(G94,H94),1,0)</f>
        <v>1</v>
      </c>
      <c r="J94" s="8" t="n">
        <v>2</v>
      </c>
      <c r="K94" s="8" t="s">
        <v>92</v>
      </c>
      <c r="L94" s="8" t="n">
        <v>0</v>
      </c>
      <c r="M94" s="8" t="n">
        <v>0</v>
      </c>
      <c r="N94" s="8"/>
      <c r="O94" s="8" t="n">
        <v>1</v>
      </c>
      <c r="P94" s="10" t="n">
        <v>2.95</v>
      </c>
      <c r="Q94" s="8" t="n">
        <v>1338</v>
      </c>
      <c r="R94" s="8" t="n">
        <v>90</v>
      </c>
      <c r="S94" s="8" t="s">
        <v>216</v>
      </c>
      <c r="T94" s="8" t="s">
        <v>217</v>
      </c>
      <c r="U94" s="8" t="s">
        <v>218</v>
      </c>
      <c r="V94" s="8"/>
      <c r="W94" s="8" t="s">
        <v>219</v>
      </c>
      <c r="X94" s="8" t="s">
        <v>220</v>
      </c>
      <c r="Y94" s="8" t="s">
        <v>736</v>
      </c>
      <c r="Z94" s="8"/>
    </row>
    <row r="95" customFormat="false" ht="15" hidden="false" customHeight="false" outlineLevel="0" collapsed="false">
      <c r="A95" s="8" t="s">
        <v>221</v>
      </c>
      <c r="B95" s="8" t="s">
        <v>15</v>
      </c>
      <c r="C95" s="8" t="s">
        <v>16</v>
      </c>
      <c r="D95" s="8" t="s">
        <v>615</v>
      </c>
      <c r="E95" s="8" t="s">
        <v>36</v>
      </c>
      <c r="F95" s="8" t="s">
        <v>46</v>
      </c>
      <c r="G95" s="8" t="s">
        <v>31</v>
      </c>
      <c r="H95" s="8" t="s">
        <v>31</v>
      </c>
      <c r="I95" s="8" t="n">
        <f aca="false">IF(EXACT(G95,H95),1,0)</f>
        <v>1</v>
      </c>
      <c r="J95" s="8" t="n">
        <v>0</v>
      </c>
      <c r="K95" s="8" t="s">
        <v>737</v>
      </c>
      <c r="L95" s="8" t="n">
        <v>1</v>
      </c>
      <c r="M95" s="8" t="n">
        <v>0</v>
      </c>
      <c r="N95" s="8"/>
      <c r="O95" s="8" t="n">
        <v>1</v>
      </c>
      <c r="P95" s="10" t="n">
        <v>7.91</v>
      </c>
      <c r="Q95" s="8" t="n">
        <v>1321</v>
      </c>
      <c r="R95" s="8" t="n">
        <v>305</v>
      </c>
      <c r="S95" s="8" t="s">
        <v>222</v>
      </c>
      <c r="T95" s="8" t="s">
        <v>217</v>
      </c>
      <c r="U95" s="8" t="s">
        <v>223</v>
      </c>
      <c r="V95" s="8"/>
      <c r="W95" s="8" t="s">
        <v>224</v>
      </c>
      <c r="X95" s="8" t="s">
        <v>225</v>
      </c>
      <c r="Y95" s="8" t="s">
        <v>738</v>
      </c>
      <c r="Z95" s="8" t="s">
        <v>739</v>
      </c>
    </row>
    <row r="96" customFormat="false" ht="15" hidden="false" customHeight="false" outlineLevel="0" collapsed="false">
      <c r="A96" s="8" t="s">
        <v>221</v>
      </c>
      <c r="B96" s="8" t="s">
        <v>15</v>
      </c>
      <c r="C96" s="8" t="s">
        <v>16</v>
      </c>
      <c r="D96" s="8" t="s">
        <v>615</v>
      </c>
      <c r="E96" s="8" t="s">
        <v>36</v>
      </c>
      <c r="F96" s="8" t="s">
        <v>46</v>
      </c>
      <c r="G96" s="8" t="s">
        <v>31</v>
      </c>
      <c r="H96" s="8" t="s">
        <v>31</v>
      </c>
      <c r="I96" s="8" t="n">
        <f aca="false">IF(EXACT(G96,H96),1,0)</f>
        <v>1</v>
      </c>
      <c r="J96" s="8" t="n">
        <v>1</v>
      </c>
      <c r="K96" s="8" t="s">
        <v>737</v>
      </c>
      <c r="L96" s="8" t="n">
        <v>2</v>
      </c>
      <c r="M96" s="8" t="n">
        <v>0</v>
      </c>
      <c r="N96" s="8"/>
      <c r="O96" s="8" t="n">
        <v>1</v>
      </c>
      <c r="P96" s="10" t="n">
        <v>10.94</v>
      </c>
      <c r="Q96" s="8" t="n">
        <v>1321</v>
      </c>
      <c r="R96" s="8" t="n">
        <v>502</v>
      </c>
      <c r="S96" s="8" t="s">
        <v>222</v>
      </c>
      <c r="T96" s="8" t="s">
        <v>217</v>
      </c>
      <c r="U96" s="8" t="s">
        <v>223</v>
      </c>
      <c r="V96" s="8"/>
      <c r="W96" s="8" t="s">
        <v>224</v>
      </c>
      <c r="X96" s="8" t="s">
        <v>225</v>
      </c>
      <c r="Y96" s="8" t="s">
        <v>740</v>
      </c>
      <c r="Z96" s="8" t="s">
        <v>741</v>
      </c>
    </row>
    <row r="97" customFormat="false" ht="15" hidden="false" customHeight="false" outlineLevel="0" collapsed="false">
      <c r="A97" s="8" t="s">
        <v>221</v>
      </c>
      <c r="B97" s="8" t="s">
        <v>15</v>
      </c>
      <c r="C97" s="8" t="s">
        <v>16</v>
      </c>
      <c r="D97" s="8" t="s">
        <v>615</v>
      </c>
      <c r="E97" s="8" t="s">
        <v>36</v>
      </c>
      <c r="F97" s="8" t="s">
        <v>46</v>
      </c>
      <c r="G97" s="8" t="s">
        <v>31</v>
      </c>
      <c r="H97" s="8" t="s">
        <v>31</v>
      </c>
      <c r="I97" s="8" t="n">
        <f aca="false">IF(EXACT(G97,H97),1,0)</f>
        <v>1</v>
      </c>
      <c r="J97" s="8" t="n">
        <v>2</v>
      </c>
      <c r="K97" s="8" t="s">
        <v>737</v>
      </c>
      <c r="L97" s="8" t="n">
        <v>1</v>
      </c>
      <c r="M97" s="8" t="n">
        <v>0</v>
      </c>
      <c r="N97" s="8"/>
      <c r="O97" s="8" t="n">
        <v>1</v>
      </c>
      <c r="P97" s="10" t="n">
        <v>7.64</v>
      </c>
      <c r="Q97" s="8" t="n">
        <v>1321</v>
      </c>
      <c r="R97" s="8" t="n">
        <v>276</v>
      </c>
      <c r="S97" s="8" t="s">
        <v>222</v>
      </c>
      <c r="T97" s="8" t="s">
        <v>217</v>
      </c>
      <c r="U97" s="8" t="s">
        <v>223</v>
      </c>
      <c r="V97" s="8"/>
      <c r="W97" s="8" t="s">
        <v>224</v>
      </c>
      <c r="X97" s="8" t="s">
        <v>225</v>
      </c>
      <c r="Y97" s="8" t="s">
        <v>742</v>
      </c>
      <c r="Z97" s="8" t="s">
        <v>743</v>
      </c>
    </row>
    <row r="98" customFormat="false" ht="15" hidden="false" customHeight="false" outlineLevel="0" collapsed="false">
      <c r="A98" s="8" t="s">
        <v>227</v>
      </c>
      <c r="B98" s="8" t="s">
        <v>15</v>
      </c>
      <c r="C98" s="8" t="s">
        <v>16</v>
      </c>
      <c r="D98" s="8" t="s">
        <v>615</v>
      </c>
      <c r="E98" s="8" t="s">
        <v>36</v>
      </c>
      <c r="F98" s="8" t="s">
        <v>46</v>
      </c>
      <c r="G98" s="8" t="s">
        <v>31</v>
      </c>
      <c r="H98" s="8" t="s">
        <v>31</v>
      </c>
      <c r="I98" s="8" t="n">
        <f aca="false">IF(EXACT(G98,H98),1,0)</f>
        <v>1</v>
      </c>
      <c r="J98" s="8" t="n">
        <v>0</v>
      </c>
      <c r="K98" s="8" t="s">
        <v>737</v>
      </c>
      <c r="L98" s="8" t="n">
        <v>1</v>
      </c>
      <c r="M98" s="8" t="n">
        <v>0</v>
      </c>
      <c r="N98" s="8"/>
      <c r="O98" s="8" t="n">
        <v>1</v>
      </c>
      <c r="P98" s="10" t="n">
        <v>8.35</v>
      </c>
      <c r="Q98" s="8" t="n">
        <v>1321</v>
      </c>
      <c r="R98" s="8" t="n">
        <v>290</v>
      </c>
      <c r="S98" s="8" t="s">
        <v>228</v>
      </c>
      <c r="T98" s="8" t="s">
        <v>217</v>
      </c>
      <c r="U98" s="8" t="s">
        <v>223</v>
      </c>
      <c r="V98" s="8"/>
      <c r="W98" s="8" t="s">
        <v>229</v>
      </c>
      <c r="X98" s="8" t="s">
        <v>230</v>
      </c>
      <c r="Y98" s="8" t="s">
        <v>744</v>
      </c>
      <c r="Z98" s="8" t="s">
        <v>745</v>
      </c>
    </row>
    <row r="99" customFormat="false" ht="15" hidden="false" customHeight="false" outlineLevel="0" collapsed="false">
      <c r="A99" s="8" t="s">
        <v>227</v>
      </c>
      <c r="B99" s="8" t="s">
        <v>15</v>
      </c>
      <c r="C99" s="8" t="s">
        <v>16</v>
      </c>
      <c r="D99" s="8" t="s">
        <v>615</v>
      </c>
      <c r="E99" s="8" t="s">
        <v>36</v>
      </c>
      <c r="F99" s="8" t="s">
        <v>46</v>
      </c>
      <c r="G99" s="8" t="s">
        <v>31</v>
      </c>
      <c r="H99" s="8" t="s">
        <v>31</v>
      </c>
      <c r="I99" s="8" t="n">
        <f aca="false">IF(EXACT(G99,H99),1,0)</f>
        <v>1</v>
      </c>
      <c r="J99" s="8" t="n">
        <v>1</v>
      </c>
      <c r="K99" s="8" t="s">
        <v>737</v>
      </c>
      <c r="L99" s="8" t="n">
        <v>1</v>
      </c>
      <c r="M99" s="8" t="n">
        <v>0</v>
      </c>
      <c r="N99" s="8"/>
      <c r="O99" s="8" t="n">
        <v>1</v>
      </c>
      <c r="P99" s="10" t="n">
        <v>7.84</v>
      </c>
      <c r="Q99" s="8" t="n">
        <v>1321</v>
      </c>
      <c r="R99" s="8" t="n">
        <v>307</v>
      </c>
      <c r="S99" s="8" t="s">
        <v>228</v>
      </c>
      <c r="T99" s="8" t="s">
        <v>217</v>
      </c>
      <c r="U99" s="8" t="s">
        <v>223</v>
      </c>
      <c r="V99" s="8"/>
      <c r="W99" s="8" t="s">
        <v>229</v>
      </c>
      <c r="X99" s="8" t="s">
        <v>230</v>
      </c>
      <c r="Y99" s="8" t="s">
        <v>746</v>
      </c>
      <c r="Z99" s="8" t="s">
        <v>747</v>
      </c>
    </row>
    <row r="100" customFormat="false" ht="15" hidden="false" customHeight="false" outlineLevel="0" collapsed="false">
      <c r="A100" s="8" t="s">
        <v>227</v>
      </c>
      <c r="B100" s="8" t="s">
        <v>15</v>
      </c>
      <c r="C100" s="8" t="s">
        <v>16</v>
      </c>
      <c r="D100" s="8" t="s">
        <v>615</v>
      </c>
      <c r="E100" s="8" t="s">
        <v>36</v>
      </c>
      <c r="F100" s="8" t="s">
        <v>46</v>
      </c>
      <c r="G100" s="8" t="s">
        <v>31</v>
      </c>
      <c r="H100" s="8" t="s">
        <v>31</v>
      </c>
      <c r="I100" s="8" t="n">
        <f aca="false">IF(EXACT(G100,H100),1,0)</f>
        <v>1</v>
      </c>
      <c r="J100" s="8" t="n">
        <v>2</v>
      </c>
      <c r="K100" s="8" t="s">
        <v>737</v>
      </c>
      <c r="L100" s="8" t="n">
        <v>5</v>
      </c>
      <c r="M100" s="8" t="n">
        <v>0</v>
      </c>
      <c r="N100" s="8"/>
      <c r="O100" s="8" t="n">
        <v>1</v>
      </c>
      <c r="P100" s="10" t="n">
        <v>15.66</v>
      </c>
      <c r="Q100" s="8" t="n">
        <v>1321</v>
      </c>
      <c r="R100" s="8" t="n">
        <v>747</v>
      </c>
      <c r="S100" s="8" t="s">
        <v>228</v>
      </c>
      <c r="T100" s="8" t="s">
        <v>217</v>
      </c>
      <c r="U100" s="8" t="s">
        <v>223</v>
      </c>
      <c r="V100" s="8"/>
      <c r="W100" s="8" t="s">
        <v>229</v>
      </c>
      <c r="X100" s="8" t="s">
        <v>230</v>
      </c>
      <c r="Y100" s="8" t="s">
        <v>748</v>
      </c>
      <c r="Z100" s="8" t="s">
        <v>749</v>
      </c>
    </row>
    <row r="101" customFormat="false" ht="15" hidden="false" customHeight="false" outlineLevel="0" collapsed="false">
      <c r="A101" s="8" t="s">
        <v>231</v>
      </c>
      <c r="B101" s="8" t="s">
        <v>15</v>
      </c>
      <c r="C101" s="8" t="s">
        <v>16</v>
      </c>
      <c r="D101" s="8" t="s">
        <v>615</v>
      </c>
      <c r="E101" s="8" t="s">
        <v>36</v>
      </c>
      <c r="F101" s="8" t="s">
        <v>46</v>
      </c>
      <c r="G101" s="8" t="s">
        <v>30</v>
      </c>
      <c r="H101" s="8" t="s">
        <v>30</v>
      </c>
      <c r="I101" s="8" t="n">
        <f aca="false">IF(EXACT(G101,H101),1,0)</f>
        <v>1</v>
      </c>
      <c r="J101" s="8" t="n">
        <v>0</v>
      </c>
      <c r="K101" s="8" t="s">
        <v>92</v>
      </c>
      <c r="L101" s="8" t="n">
        <v>0</v>
      </c>
      <c r="M101" s="8" t="n">
        <v>0</v>
      </c>
      <c r="N101" s="8"/>
      <c r="O101" s="8" t="n">
        <v>1</v>
      </c>
      <c r="P101" s="10" t="n">
        <v>3.22</v>
      </c>
      <c r="Q101" s="8" t="n">
        <v>1336</v>
      </c>
      <c r="R101" s="8" t="n">
        <v>86</v>
      </c>
      <c r="S101" s="8" t="s">
        <v>232</v>
      </c>
      <c r="T101" s="8" t="s">
        <v>217</v>
      </c>
      <c r="U101" s="8" t="s">
        <v>218</v>
      </c>
      <c r="V101" s="8"/>
      <c r="W101" s="8" t="s">
        <v>233</v>
      </c>
      <c r="X101" s="8" t="s">
        <v>234</v>
      </c>
      <c r="Y101" s="8" t="s">
        <v>750</v>
      </c>
      <c r="Z101" s="8"/>
    </row>
    <row r="102" customFormat="false" ht="15" hidden="false" customHeight="false" outlineLevel="0" collapsed="false">
      <c r="A102" s="8" t="s">
        <v>231</v>
      </c>
      <c r="B102" s="8" t="s">
        <v>15</v>
      </c>
      <c r="C102" s="8" t="s">
        <v>16</v>
      </c>
      <c r="D102" s="8" t="s">
        <v>615</v>
      </c>
      <c r="E102" s="8" t="s">
        <v>36</v>
      </c>
      <c r="F102" s="8" t="s">
        <v>46</v>
      </c>
      <c r="G102" s="8" t="s">
        <v>30</v>
      </c>
      <c r="H102" s="8" t="s">
        <v>30</v>
      </c>
      <c r="I102" s="8" t="n">
        <f aca="false">IF(EXACT(G102,H102),1,0)</f>
        <v>1</v>
      </c>
      <c r="J102" s="8" t="n">
        <v>1</v>
      </c>
      <c r="K102" s="8" t="s">
        <v>92</v>
      </c>
      <c r="L102" s="8" t="n">
        <v>0</v>
      </c>
      <c r="M102" s="8" t="n">
        <v>0</v>
      </c>
      <c r="N102" s="8"/>
      <c r="O102" s="8" t="n">
        <v>1</v>
      </c>
      <c r="P102" s="10" t="n">
        <v>3.59</v>
      </c>
      <c r="Q102" s="8" t="n">
        <v>1336</v>
      </c>
      <c r="R102" s="8" t="n">
        <v>89</v>
      </c>
      <c r="S102" s="8" t="s">
        <v>232</v>
      </c>
      <c r="T102" s="8" t="s">
        <v>217</v>
      </c>
      <c r="U102" s="8" t="s">
        <v>218</v>
      </c>
      <c r="V102" s="8"/>
      <c r="W102" s="8" t="s">
        <v>233</v>
      </c>
      <c r="X102" s="8" t="s">
        <v>234</v>
      </c>
      <c r="Y102" s="8" t="s">
        <v>751</v>
      </c>
      <c r="Z102" s="8"/>
    </row>
    <row r="103" customFormat="false" ht="15" hidden="false" customHeight="false" outlineLevel="0" collapsed="false">
      <c r="A103" s="8" t="s">
        <v>231</v>
      </c>
      <c r="B103" s="8" t="s">
        <v>15</v>
      </c>
      <c r="C103" s="8" t="s">
        <v>16</v>
      </c>
      <c r="D103" s="8" t="s">
        <v>615</v>
      </c>
      <c r="E103" s="8" t="s">
        <v>36</v>
      </c>
      <c r="F103" s="8" t="s">
        <v>46</v>
      </c>
      <c r="G103" s="8" t="s">
        <v>30</v>
      </c>
      <c r="H103" s="8" t="s">
        <v>30</v>
      </c>
      <c r="I103" s="8" t="n">
        <f aca="false">IF(EXACT(G103,H103),1,0)</f>
        <v>1</v>
      </c>
      <c r="J103" s="8" t="n">
        <v>2</v>
      </c>
      <c r="K103" s="8" t="s">
        <v>92</v>
      </c>
      <c r="L103" s="8" t="n">
        <v>0</v>
      </c>
      <c r="M103" s="8" t="n">
        <v>0</v>
      </c>
      <c r="N103" s="8"/>
      <c r="O103" s="8" t="n">
        <v>1</v>
      </c>
      <c r="P103" s="10" t="n">
        <v>9.87</v>
      </c>
      <c r="Q103" s="8" t="n">
        <v>1336</v>
      </c>
      <c r="R103" s="8" t="n">
        <v>97</v>
      </c>
      <c r="S103" s="8" t="s">
        <v>232</v>
      </c>
      <c r="T103" s="8" t="s">
        <v>217</v>
      </c>
      <c r="U103" s="8" t="s">
        <v>218</v>
      </c>
      <c r="V103" s="8"/>
      <c r="W103" s="8" t="s">
        <v>233</v>
      </c>
      <c r="X103" s="8" t="s">
        <v>234</v>
      </c>
      <c r="Y103" s="8" t="s">
        <v>752</v>
      </c>
      <c r="Z103" s="8"/>
    </row>
    <row r="104" customFormat="false" ht="15" hidden="false" customHeight="false" outlineLevel="0" collapsed="false">
      <c r="A104" s="8" t="s">
        <v>235</v>
      </c>
      <c r="B104" s="8" t="s">
        <v>15</v>
      </c>
      <c r="C104" s="8" t="s">
        <v>16</v>
      </c>
      <c r="D104" s="8" t="s">
        <v>615</v>
      </c>
      <c r="E104" s="8" t="s">
        <v>36</v>
      </c>
      <c r="F104" s="8" t="s">
        <v>46</v>
      </c>
      <c r="G104" s="8" t="s">
        <v>32</v>
      </c>
      <c r="H104" s="8" t="s">
        <v>32</v>
      </c>
      <c r="I104" s="8" t="n">
        <f aca="false">IF(EXACT(G104,H104),1,0)</f>
        <v>1</v>
      </c>
      <c r="J104" s="8" t="n">
        <v>0</v>
      </c>
      <c r="K104" s="8" t="s">
        <v>92</v>
      </c>
      <c r="L104" s="8" t="n">
        <v>0</v>
      </c>
      <c r="M104" s="8" t="n">
        <v>0</v>
      </c>
      <c r="N104" s="8"/>
      <c r="O104" s="8" t="n">
        <v>1</v>
      </c>
      <c r="P104" s="10" t="n">
        <v>3.62</v>
      </c>
      <c r="Q104" s="8" t="n">
        <v>1332</v>
      </c>
      <c r="R104" s="8" t="n">
        <v>88</v>
      </c>
      <c r="S104" s="8" t="s">
        <v>125</v>
      </c>
      <c r="T104" s="8" t="s">
        <v>217</v>
      </c>
      <c r="U104" s="8" t="s">
        <v>218</v>
      </c>
      <c r="V104" s="8"/>
      <c r="W104" s="8" t="s">
        <v>236</v>
      </c>
      <c r="X104" s="8" t="s">
        <v>237</v>
      </c>
      <c r="Y104" s="8" t="s">
        <v>753</v>
      </c>
      <c r="Z104" s="8"/>
    </row>
    <row r="105" customFormat="false" ht="15" hidden="false" customHeight="false" outlineLevel="0" collapsed="false">
      <c r="A105" s="8" t="s">
        <v>235</v>
      </c>
      <c r="B105" s="8" t="s">
        <v>15</v>
      </c>
      <c r="C105" s="8" t="s">
        <v>16</v>
      </c>
      <c r="D105" s="8" t="s">
        <v>615</v>
      </c>
      <c r="E105" s="8" t="s">
        <v>36</v>
      </c>
      <c r="F105" s="8" t="s">
        <v>46</v>
      </c>
      <c r="G105" s="8" t="s">
        <v>32</v>
      </c>
      <c r="H105" s="8" t="s">
        <v>32</v>
      </c>
      <c r="I105" s="8" t="n">
        <f aca="false">IF(EXACT(G105,H105),1,0)</f>
        <v>1</v>
      </c>
      <c r="J105" s="8" t="n">
        <v>1</v>
      </c>
      <c r="K105" s="8" t="s">
        <v>92</v>
      </c>
      <c r="L105" s="8" t="n">
        <v>0</v>
      </c>
      <c r="M105" s="8" t="n">
        <v>0</v>
      </c>
      <c r="N105" s="8"/>
      <c r="O105" s="8" t="n">
        <v>1</v>
      </c>
      <c r="P105" s="10" t="n">
        <v>3.13</v>
      </c>
      <c r="Q105" s="8" t="n">
        <v>1332</v>
      </c>
      <c r="R105" s="8" t="n">
        <v>92</v>
      </c>
      <c r="S105" s="8" t="s">
        <v>125</v>
      </c>
      <c r="T105" s="8" t="s">
        <v>217</v>
      </c>
      <c r="U105" s="8" t="s">
        <v>218</v>
      </c>
      <c r="V105" s="8"/>
      <c r="W105" s="8" t="s">
        <v>236</v>
      </c>
      <c r="X105" s="8" t="s">
        <v>237</v>
      </c>
      <c r="Y105" s="8" t="s">
        <v>754</v>
      </c>
      <c r="Z105" s="8"/>
    </row>
    <row r="106" customFormat="false" ht="15" hidden="false" customHeight="false" outlineLevel="0" collapsed="false">
      <c r="A106" s="8" t="s">
        <v>235</v>
      </c>
      <c r="B106" s="8" t="s">
        <v>15</v>
      </c>
      <c r="C106" s="8" t="s">
        <v>16</v>
      </c>
      <c r="D106" s="8" t="s">
        <v>615</v>
      </c>
      <c r="E106" s="8" t="s">
        <v>36</v>
      </c>
      <c r="F106" s="8" t="s">
        <v>46</v>
      </c>
      <c r="G106" s="8" t="s">
        <v>32</v>
      </c>
      <c r="H106" s="8" t="s">
        <v>32</v>
      </c>
      <c r="I106" s="8" t="n">
        <f aca="false">IF(EXACT(G106,H106),1,0)</f>
        <v>1</v>
      </c>
      <c r="J106" s="8" t="n">
        <v>2</v>
      </c>
      <c r="K106" s="8" t="s">
        <v>92</v>
      </c>
      <c r="L106" s="8" t="n">
        <v>0</v>
      </c>
      <c r="M106" s="8" t="n">
        <v>0</v>
      </c>
      <c r="N106" s="8"/>
      <c r="O106" s="8" t="n">
        <v>1</v>
      </c>
      <c r="P106" s="10" t="n">
        <v>3.13</v>
      </c>
      <c r="Q106" s="8" t="n">
        <v>1332</v>
      </c>
      <c r="R106" s="8" t="n">
        <v>95</v>
      </c>
      <c r="S106" s="8" t="s">
        <v>125</v>
      </c>
      <c r="T106" s="8" t="s">
        <v>217</v>
      </c>
      <c r="U106" s="8" t="s">
        <v>218</v>
      </c>
      <c r="V106" s="8"/>
      <c r="W106" s="8" t="s">
        <v>236</v>
      </c>
      <c r="X106" s="8" t="s">
        <v>237</v>
      </c>
      <c r="Y106" s="8" t="s">
        <v>755</v>
      </c>
      <c r="Z106" s="8"/>
    </row>
    <row r="107" customFormat="false" ht="15" hidden="false" customHeight="false" outlineLevel="0" collapsed="false">
      <c r="A107" s="8" t="s">
        <v>238</v>
      </c>
      <c r="B107" s="8" t="s">
        <v>15</v>
      </c>
      <c r="C107" s="8" t="s">
        <v>16</v>
      </c>
      <c r="D107" s="8" t="s">
        <v>615</v>
      </c>
      <c r="E107" s="8" t="s">
        <v>36</v>
      </c>
      <c r="F107" s="8" t="s">
        <v>46</v>
      </c>
      <c r="G107" s="8" t="s">
        <v>32</v>
      </c>
      <c r="H107" s="8" t="s">
        <v>32</v>
      </c>
      <c r="I107" s="8" t="n">
        <f aca="false">IF(EXACT(G107,H107),1,0)</f>
        <v>1</v>
      </c>
      <c r="J107" s="8" t="n">
        <v>0</v>
      </c>
      <c r="K107" s="8" t="s">
        <v>92</v>
      </c>
      <c r="L107" s="8" t="n">
        <v>0</v>
      </c>
      <c r="M107" s="8" t="n">
        <v>0</v>
      </c>
      <c r="N107" s="8"/>
      <c r="O107" s="8" t="n">
        <v>1</v>
      </c>
      <c r="P107" s="10" t="n">
        <v>3.39</v>
      </c>
      <c r="Q107" s="8" t="n">
        <v>1322</v>
      </c>
      <c r="R107" s="8" t="n">
        <v>89</v>
      </c>
      <c r="S107" s="8" t="s">
        <v>239</v>
      </c>
      <c r="T107" s="8" t="s">
        <v>217</v>
      </c>
      <c r="U107" s="8" t="s">
        <v>223</v>
      </c>
      <c r="V107" s="8"/>
      <c r="W107" s="8" t="s">
        <v>240</v>
      </c>
      <c r="X107" s="8" t="s">
        <v>241</v>
      </c>
      <c r="Y107" s="8" t="s">
        <v>756</v>
      </c>
      <c r="Z107" s="8"/>
    </row>
    <row r="108" customFormat="false" ht="15" hidden="false" customHeight="false" outlineLevel="0" collapsed="false">
      <c r="A108" s="8" t="s">
        <v>238</v>
      </c>
      <c r="B108" s="8" t="s">
        <v>15</v>
      </c>
      <c r="C108" s="8" t="s">
        <v>16</v>
      </c>
      <c r="D108" s="8" t="s">
        <v>615</v>
      </c>
      <c r="E108" s="8" t="s">
        <v>36</v>
      </c>
      <c r="F108" s="8" t="s">
        <v>46</v>
      </c>
      <c r="G108" s="8" t="s">
        <v>32</v>
      </c>
      <c r="H108" s="8" t="s">
        <v>32</v>
      </c>
      <c r="I108" s="8" t="n">
        <f aca="false">IF(EXACT(G108,H108),1,0)</f>
        <v>1</v>
      </c>
      <c r="J108" s="8" t="n">
        <v>1</v>
      </c>
      <c r="K108" s="8" t="s">
        <v>92</v>
      </c>
      <c r="L108" s="8" t="n">
        <v>0</v>
      </c>
      <c r="M108" s="8" t="n">
        <v>0</v>
      </c>
      <c r="N108" s="8"/>
      <c r="O108" s="8" t="n">
        <v>1</v>
      </c>
      <c r="P108" s="10" t="n">
        <v>4.56</v>
      </c>
      <c r="Q108" s="8" t="n">
        <v>1322</v>
      </c>
      <c r="R108" s="8" t="n">
        <v>87</v>
      </c>
      <c r="S108" s="8" t="s">
        <v>239</v>
      </c>
      <c r="T108" s="8" t="s">
        <v>217</v>
      </c>
      <c r="U108" s="8" t="s">
        <v>223</v>
      </c>
      <c r="V108" s="8"/>
      <c r="W108" s="8" t="s">
        <v>240</v>
      </c>
      <c r="X108" s="8" t="s">
        <v>241</v>
      </c>
      <c r="Y108" s="8" t="s">
        <v>757</v>
      </c>
      <c r="Z108" s="8"/>
    </row>
    <row r="109" customFormat="false" ht="15" hidden="false" customHeight="false" outlineLevel="0" collapsed="false">
      <c r="A109" s="8" t="s">
        <v>238</v>
      </c>
      <c r="B109" s="8" t="s">
        <v>15</v>
      </c>
      <c r="C109" s="8" t="s">
        <v>16</v>
      </c>
      <c r="D109" s="8" t="s">
        <v>615</v>
      </c>
      <c r="E109" s="8" t="s">
        <v>36</v>
      </c>
      <c r="F109" s="8" t="s">
        <v>46</v>
      </c>
      <c r="G109" s="8" t="s">
        <v>32</v>
      </c>
      <c r="H109" s="8" t="s">
        <v>32</v>
      </c>
      <c r="I109" s="8" t="n">
        <f aca="false">IF(EXACT(G109,H109),1,0)</f>
        <v>1</v>
      </c>
      <c r="J109" s="8" t="n">
        <v>2</v>
      </c>
      <c r="K109" s="8" t="s">
        <v>92</v>
      </c>
      <c r="L109" s="8" t="n">
        <v>0</v>
      </c>
      <c r="M109" s="8" t="n">
        <v>0</v>
      </c>
      <c r="N109" s="8"/>
      <c r="O109" s="8" t="n">
        <v>1</v>
      </c>
      <c r="P109" s="10" t="n">
        <v>2.83</v>
      </c>
      <c r="Q109" s="8" t="n">
        <v>1322</v>
      </c>
      <c r="R109" s="8" t="n">
        <v>76</v>
      </c>
      <c r="S109" s="8" t="s">
        <v>239</v>
      </c>
      <c r="T109" s="8" t="s">
        <v>217</v>
      </c>
      <c r="U109" s="8" t="s">
        <v>223</v>
      </c>
      <c r="V109" s="8"/>
      <c r="W109" s="8" t="s">
        <v>240</v>
      </c>
      <c r="X109" s="8" t="s">
        <v>241</v>
      </c>
      <c r="Y109" s="8" t="s">
        <v>758</v>
      </c>
      <c r="Z109" s="8"/>
    </row>
    <row r="110" customFormat="false" ht="15" hidden="false" customHeight="false" outlineLevel="0" collapsed="false">
      <c r="A110" s="8" t="s">
        <v>242</v>
      </c>
      <c r="B110" s="8" t="s">
        <v>15</v>
      </c>
      <c r="C110" s="8" t="s">
        <v>16</v>
      </c>
      <c r="D110" s="8" t="s">
        <v>615</v>
      </c>
      <c r="E110" s="8" t="s">
        <v>36</v>
      </c>
      <c r="F110" s="8" t="s">
        <v>48</v>
      </c>
      <c r="G110" s="8" t="s">
        <v>32</v>
      </c>
      <c r="H110" s="8" t="s">
        <v>32</v>
      </c>
      <c r="I110" s="8" t="n">
        <f aca="false">IF(EXACT(G110,H110),1,0)</f>
        <v>1</v>
      </c>
      <c r="J110" s="8" t="n">
        <v>0</v>
      </c>
      <c r="K110" s="8" t="s">
        <v>92</v>
      </c>
      <c r="L110" s="8" t="n">
        <v>0</v>
      </c>
      <c r="M110" s="8" t="n">
        <v>0</v>
      </c>
      <c r="N110" s="8"/>
      <c r="O110" s="8" t="n">
        <v>1</v>
      </c>
      <c r="P110" s="10" t="n">
        <v>4.27</v>
      </c>
      <c r="Q110" s="8" t="n">
        <v>1330</v>
      </c>
      <c r="R110" s="8" t="n">
        <v>83</v>
      </c>
      <c r="S110" s="8" t="s">
        <v>94</v>
      </c>
      <c r="T110" s="8" t="s">
        <v>243</v>
      </c>
      <c r="U110" s="8" t="s">
        <v>244</v>
      </c>
      <c r="V110" s="8"/>
      <c r="W110" s="8" t="s">
        <v>245</v>
      </c>
      <c r="X110" s="8" t="s">
        <v>246</v>
      </c>
      <c r="Y110" s="8" t="s">
        <v>759</v>
      </c>
      <c r="Z110" s="8"/>
    </row>
    <row r="111" customFormat="false" ht="15" hidden="false" customHeight="false" outlineLevel="0" collapsed="false">
      <c r="A111" s="8" t="s">
        <v>242</v>
      </c>
      <c r="B111" s="8" t="s">
        <v>15</v>
      </c>
      <c r="C111" s="8" t="s">
        <v>16</v>
      </c>
      <c r="D111" s="8" t="s">
        <v>615</v>
      </c>
      <c r="E111" s="8" t="s">
        <v>36</v>
      </c>
      <c r="F111" s="8" t="s">
        <v>48</v>
      </c>
      <c r="G111" s="8" t="s">
        <v>32</v>
      </c>
      <c r="H111" s="8" t="s">
        <v>32</v>
      </c>
      <c r="I111" s="8" t="n">
        <f aca="false">IF(EXACT(G111,H111),1,0)</f>
        <v>1</v>
      </c>
      <c r="J111" s="8" t="n">
        <v>1</v>
      </c>
      <c r="K111" s="8" t="s">
        <v>92</v>
      </c>
      <c r="L111" s="8" t="n">
        <v>0</v>
      </c>
      <c r="M111" s="8" t="n">
        <v>0</v>
      </c>
      <c r="N111" s="8"/>
      <c r="O111" s="8" t="n">
        <v>1</v>
      </c>
      <c r="P111" s="10" t="n">
        <v>2.64</v>
      </c>
      <c r="Q111" s="8" t="n">
        <v>1330</v>
      </c>
      <c r="R111" s="8" t="n">
        <v>76</v>
      </c>
      <c r="S111" s="8" t="s">
        <v>94</v>
      </c>
      <c r="T111" s="8" t="s">
        <v>243</v>
      </c>
      <c r="U111" s="8" t="s">
        <v>244</v>
      </c>
      <c r="V111" s="8"/>
      <c r="W111" s="8" t="s">
        <v>245</v>
      </c>
      <c r="X111" s="8" t="s">
        <v>246</v>
      </c>
      <c r="Y111" s="8" t="s">
        <v>760</v>
      </c>
      <c r="Z111" s="8"/>
    </row>
    <row r="112" customFormat="false" ht="15" hidden="false" customHeight="false" outlineLevel="0" collapsed="false">
      <c r="A112" s="8" t="s">
        <v>242</v>
      </c>
      <c r="B112" s="8" t="s">
        <v>15</v>
      </c>
      <c r="C112" s="8" t="s">
        <v>16</v>
      </c>
      <c r="D112" s="8" t="s">
        <v>615</v>
      </c>
      <c r="E112" s="8" t="s">
        <v>36</v>
      </c>
      <c r="F112" s="8" t="s">
        <v>48</v>
      </c>
      <c r="G112" s="8" t="s">
        <v>32</v>
      </c>
      <c r="H112" s="8" t="s">
        <v>32</v>
      </c>
      <c r="I112" s="8" t="n">
        <f aca="false">IF(EXACT(G112,H112),1,0)</f>
        <v>1</v>
      </c>
      <c r="J112" s="8" t="n">
        <v>2</v>
      </c>
      <c r="K112" s="8" t="s">
        <v>92</v>
      </c>
      <c r="L112" s="8" t="n">
        <v>0</v>
      </c>
      <c r="M112" s="8" t="n">
        <v>0</v>
      </c>
      <c r="N112" s="8"/>
      <c r="O112" s="8" t="n">
        <v>1</v>
      </c>
      <c r="P112" s="10" t="n">
        <v>3.03</v>
      </c>
      <c r="Q112" s="8" t="n">
        <v>1330</v>
      </c>
      <c r="R112" s="8" t="n">
        <v>77</v>
      </c>
      <c r="S112" s="8" t="s">
        <v>94</v>
      </c>
      <c r="T112" s="8" t="s">
        <v>243</v>
      </c>
      <c r="U112" s="8" t="s">
        <v>244</v>
      </c>
      <c r="V112" s="8"/>
      <c r="W112" s="8" t="s">
        <v>245</v>
      </c>
      <c r="X112" s="8" t="s">
        <v>246</v>
      </c>
      <c r="Y112" s="8" t="s">
        <v>761</v>
      </c>
      <c r="Z112" s="8"/>
    </row>
    <row r="113" customFormat="false" ht="15" hidden="false" customHeight="false" outlineLevel="0" collapsed="false">
      <c r="A113" s="8" t="s">
        <v>247</v>
      </c>
      <c r="B113" s="8" t="s">
        <v>15</v>
      </c>
      <c r="C113" s="8" t="s">
        <v>16</v>
      </c>
      <c r="D113" s="8" t="s">
        <v>615</v>
      </c>
      <c r="E113" s="8" t="s">
        <v>36</v>
      </c>
      <c r="F113" s="8" t="s">
        <v>48</v>
      </c>
      <c r="G113" s="8" t="s">
        <v>30</v>
      </c>
      <c r="H113" s="8" t="s">
        <v>30</v>
      </c>
      <c r="I113" s="8" t="n">
        <f aca="false">IF(EXACT(G113,H113),1,0)</f>
        <v>1</v>
      </c>
      <c r="J113" s="8" t="n">
        <v>0</v>
      </c>
      <c r="K113" s="8" t="s">
        <v>92</v>
      </c>
      <c r="L113" s="8" t="n">
        <v>0</v>
      </c>
      <c r="M113" s="8" t="n">
        <v>0</v>
      </c>
      <c r="N113" s="8"/>
      <c r="O113" s="8" t="n">
        <v>1</v>
      </c>
      <c r="P113" s="10" t="n">
        <v>3.55</v>
      </c>
      <c r="Q113" s="8" t="n">
        <v>1359</v>
      </c>
      <c r="R113" s="8" t="n">
        <v>99</v>
      </c>
      <c r="S113" s="8" t="s">
        <v>216</v>
      </c>
      <c r="T113" s="8" t="s">
        <v>243</v>
      </c>
      <c r="U113" s="8" t="s">
        <v>244</v>
      </c>
      <c r="V113" s="8"/>
      <c r="W113" s="8" t="s">
        <v>248</v>
      </c>
      <c r="X113" s="8" t="s">
        <v>249</v>
      </c>
      <c r="Y113" s="8" t="s">
        <v>762</v>
      </c>
      <c r="Z113" s="8"/>
    </row>
    <row r="114" customFormat="false" ht="15" hidden="false" customHeight="false" outlineLevel="0" collapsed="false">
      <c r="A114" s="8" t="s">
        <v>247</v>
      </c>
      <c r="B114" s="8" t="s">
        <v>15</v>
      </c>
      <c r="C114" s="8" t="s">
        <v>16</v>
      </c>
      <c r="D114" s="8" t="s">
        <v>615</v>
      </c>
      <c r="E114" s="8" t="s">
        <v>36</v>
      </c>
      <c r="F114" s="8" t="s">
        <v>48</v>
      </c>
      <c r="G114" s="8" t="s">
        <v>30</v>
      </c>
      <c r="H114" s="8" t="s">
        <v>30</v>
      </c>
      <c r="I114" s="8" t="n">
        <f aca="false">IF(EXACT(G114,H114),1,0)</f>
        <v>1</v>
      </c>
      <c r="J114" s="8" t="n">
        <v>1</v>
      </c>
      <c r="K114" s="8" t="s">
        <v>92</v>
      </c>
      <c r="L114" s="8" t="n">
        <v>0</v>
      </c>
      <c r="M114" s="8" t="n">
        <v>0</v>
      </c>
      <c r="N114" s="8"/>
      <c r="O114" s="8" t="n">
        <v>1</v>
      </c>
      <c r="P114" s="10" t="n">
        <v>7.38</v>
      </c>
      <c r="Q114" s="8" t="n">
        <v>1359</v>
      </c>
      <c r="R114" s="8" t="n">
        <v>110</v>
      </c>
      <c r="S114" s="8" t="s">
        <v>216</v>
      </c>
      <c r="T114" s="8" t="s">
        <v>243</v>
      </c>
      <c r="U114" s="8" t="s">
        <v>244</v>
      </c>
      <c r="V114" s="8"/>
      <c r="W114" s="8" t="s">
        <v>248</v>
      </c>
      <c r="X114" s="8" t="s">
        <v>249</v>
      </c>
      <c r="Y114" s="8" t="s">
        <v>763</v>
      </c>
      <c r="Z114" s="8"/>
    </row>
    <row r="115" customFormat="false" ht="15" hidden="false" customHeight="false" outlineLevel="0" collapsed="false">
      <c r="A115" s="8" t="s">
        <v>247</v>
      </c>
      <c r="B115" s="8" t="s">
        <v>15</v>
      </c>
      <c r="C115" s="8" t="s">
        <v>16</v>
      </c>
      <c r="D115" s="8" t="s">
        <v>615</v>
      </c>
      <c r="E115" s="8" t="s">
        <v>36</v>
      </c>
      <c r="F115" s="8" t="s">
        <v>48</v>
      </c>
      <c r="G115" s="8" t="s">
        <v>30</v>
      </c>
      <c r="H115" s="8" t="s">
        <v>30</v>
      </c>
      <c r="I115" s="8" t="n">
        <f aca="false">IF(EXACT(G115,H115),1,0)</f>
        <v>1</v>
      </c>
      <c r="J115" s="8" t="n">
        <v>2</v>
      </c>
      <c r="K115" s="8" t="s">
        <v>92</v>
      </c>
      <c r="L115" s="8" t="n">
        <v>0</v>
      </c>
      <c r="M115" s="8" t="n">
        <v>0</v>
      </c>
      <c r="N115" s="8"/>
      <c r="O115" s="8" t="n">
        <v>1</v>
      </c>
      <c r="P115" s="10" t="n">
        <v>4.18</v>
      </c>
      <c r="Q115" s="8" t="n">
        <v>1359</v>
      </c>
      <c r="R115" s="8" t="n">
        <v>102</v>
      </c>
      <c r="S115" s="8" t="s">
        <v>216</v>
      </c>
      <c r="T115" s="8" t="s">
        <v>243</v>
      </c>
      <c r="U115" s="8" t="s">
        <v>244</v>
      </c>
      <c r="V115" s="8"/>
      <c r="W115" s="8" t="s">
        <v>248</v>
      </c>
      <c r="X115" s="8" t="s">
        <v>249</v>
      </c>
      <c r="Y115" s="8" t="s">
        <v>764</v>
      </c>
      <c r="Z115" s="8"/>
    </row>
    <row r="116" customFormat="false" ht="15" hidden="false" customHeight="false" outlineLevel="0" collapsed="false">
      <c r="A116" s="8" t="s">
        <v>250</v>
      </c>
      <c r="B116" s="8" t="s">
        <v>15</v>
      </c>
      <c r="C116" s="8" t="s">
        <v>16</v>
      </c>
      <c r="D116" s="8" t="s">
        <v>615</v>
      </c>
      <c r="E116" s="8" t="s">
        <v>36</v>
      </c>
      <c r="F116" s="8" t="s">
        <v>48</v>
      </c>
      <c r="G116" s="8" t="s">
        <v>32</v>
      </c>
      <c r="H116" s="8" t="s">
        <v>31</v>
      </c>
      <c r="I116" s="8" t="n">
        <f aca="false">IF(EXACT(G116,H116),1,0)</f>
        <v>0</v>
      </c>
      <c r="J116" s="8" t="n">
        <v>0</v>
      </c>
      <c r="K116" s="8" t="s">
        <v>140</v>
      </c>
      <c r="L116" s="8" t="n">
        <v>1</v>
      </c>
      <c r="M116" s="8" t="n">
        <v>0</v>
      </c>
      <c r="N116" s="8"/>
      <c r="O116" s="8" t="n">
        <v>1</v>
      </c>
      <c r="P116" s="10" t="n">
        <v>7.88</v>
      </c>
      <c r="Q116" s="8" t="n">
        <v>1378</v>
      </c>
      <c r="R116" s="8" t="n">
        <v>303</v>
      </c>
      <c r="S116" s="8" t="s">
        <v>251</v>
      </c>
      <c r="T116" s="8" t="s">
        <v>243</v>
      </c>
      <c r="U116" s="8" t="s">
        <v>244</v>
      </c>
      <c r="V116" s="8"/>
      <c r="W116" s="8" t="s">
        <v>252</v>
      </c>
      <c r="X116" s="8" t="s">
        <v>253</v>
      </c>
      <c r="Y116" s="8" t="s">
        <v>765</v>
      </c>
      <c r="Z116" s="8" t="s">
        <v>766</v>
      </c>
    </row>
    <row r="117" customFormat="false" ht="15" hidden="false" customHeight="false" outlineLevel="0" collapsed="false">
      <c r="A117" s="8" t="s">
        <v>250</v>
      </c>
      <c r="B117" s="8" t="s">
        <v>15</v>
      </c>
      <c r="C117" s="8" t="s">
        <v>16</v>
      </c>
      <c r="D117" s="8" t="s">
        <v>615</v>
      </c>
      <c r="E117" s="8" t="s">
        <v>36</v>
      </c>
      <c r="F117" s="8" t="s">
        <v>48</v>
      </c>
      <c r="G117" s="8" t="s">
        <v>32</v>
      </c>
      <c r="H117" s="8" t="s">
        <v>32</v>
      </c>
      <c r="I117" s="8" t="n">
        <f aca="false">IF(EXACT(G117,H117),1,0)</f>
        <v>1</v>
      </c>
      <c r="J117" s="8" t="n">
        <v>1</v>
      </c>
      <c r="K117" s="8" t="s">
        <v>92</v>
      </c>
      <c r="L117" s="8" t="n">
        <v>0</v>
      </c>
      <c r="M117" s="8" t="n">
        <v>0</v>
      </c>
      <c r="N117" s="8"/>
      <c r="O117" s="8" t="n">
        <v>1</v>
      </c>
      <c r="P117" s="10" t="n">
        <v>11.06</v>
      </c>
      <c r="Q117" s="8" t="n">
        <v>1378</v>
      </c>
      <c r="R117" s="8" t="n">
        <v>79</v>
      </c>
      <c r="S117" s="8" t="s">
        <v>251</v>
      </c>
      <c r="T117" s="8" t="s">
        <v>243</v>
      </c>
      <c r="U117" s="8" t="s">
        <v>244</v>
      </c>
      <c r="V117" s="8"/>
      <c r="W117" s="8" t="s">
        <v>252</v>
      </c>
      <c r="X117" s="8" t="s">
        <v>253</v>
      </c>
      <c r="Y117" s="8" t="s">
        <v>767</v>
      </c>
      <c r="Z117" s="8"/>
    </row>
    <row r="118" customFormat="false" ht="15" hidden="false" customHeight="false" outlineLevel="0" collapsed="false">
      <c r="A118" s="8" t="s">
        <v>250</v>
      </c>
      <c r="B118" s="8" t="s">
        <v>15</v>
      </c>
      <c r="C118" s="8" t="s">
        <v>16</v>
      </c>
      <c r="D118" s="8" t="s">
        <v>615</v>
      </c>
      <c r="E118" s="8" t="s">
        <v>36</v>
      </c>
      <c r="F118" s="8" t="s">
        <v>48</v>
      </c>
      <c r="G118" s="8" t="s">
        <v>32</v>
      </c>
      <c r="H118" s="8" t="s">
        <v>32</v>
      </c>
      <c r="I118" s="8" t="n">
        <f aca="false">IF(EXACT(G118,H118),1,0)</f>
        <v>1</v>
      </c>
      <c r="J118" s="8" t="n">
        <v>2</v>
      </c>
      <c r="K118" s="8" t="s">
        <v>92</v>
      </c>
      <c r="L118" s="8" t="n">
        <v>0</v>
      </c>
      <c r="M118" s="8" t="n">
        <v>0</v>
      </c>
      <c r="N118" s="8"/>
      <c r="O118" s="8" t="n">
        <v>1</v>
      </c>
      <c r="P118" s="10" t="n">
        <v>2.52</v>
      </c>
      <c r="Q118" s="8" t="n">
        <v>1378</v>
      </c>
      <c r="R118" s="8" t="n">
        <v>75</v>
      </c>
      <c r="S118" s="8" t="s">
        <v>251</v>
      </c>
      <c r="T118" s="8" t="s">
        <v>243</v>
      </c>
      <c r="U118" s="8" t="s">
        <v>244</v>
      </c>
      <c r="V118" s="8"/>
      <c r="W118" s="8" t="s">
        <v>252</v>
      </c>
      <c r="X118" s="8" t="s">
        <v>253</v>
      </c>
      <c r="Y118" s="8" t="s">
        <v>768</v>
      </c>
      <c r="Z118" s="8"/>
    </row>
    <row r="119" customFormat="false" ht="15" hidden="false" customHeight="false" outlineLevel="0" collapsed="false">
      <c r="A119" s="8" t="s">
        <v>254</v>
      </c>
      <c r="B119" s="8" t="s">
        <v>15</v>
      </c>
      <c r="C119" s="8" t="s">
        <v>16</v>
      </c>
      <c r="D119" s="8" t="s">
        <v>615</v>
      </c>
      <c r="E119" s="8" t="s">
        <v>36</v>
      </c>
      <c r="F119" s="8" t="s">
        <v>48</v>
      </c>
      <c r="G119" s="8" t="s">
        <v>31</v>
      </c>
      <c r="H119" s="8" t="s">
        <v>31</v>
      </c>
      <c r="I119" s="8" t="n">
        <f aca="false">IF(EXACT(G119,H119),1,0)</f>
        <v>1</v>
      </c>
      <c r="J119" s="8" t="n">
        <v>0</v>
      </c>
      <c r="K119" s="8" t="s">
        <v>140</v>
      </c>
      <c r="L119" s="8" t="n">
        <v>5</v>
      </c>
      <c r="M119" s="8" t="n">
        <v>0</v>
      </c>
      <c r="N119" s="8"/>
      <c r="O119" s="8" t="n">
        <v>1</v>
      </c>
      <c r="P119" s="10" t="n">
        <v>74.83</v>
      </c>
      <c r="Q119" s="8" t="n">
        <v>1371</v>
      </c>
      <c r="R119" s="8" t="n">
        <v>729</v>
      </c>
      <c r="S119" s="8" t="s">
        <v>255</v>
      </c>
      <c r="T119" s="8" t="s">
        <v>256</v>
      </c>
      <c r="U119" s="8" t="s">
        <v>257</v>
      </c>
      <c r="V119" s="8"/>
      <c r="W119" s="8" t="s">
        <v>258</v>
      </c>
      <c r="X119" s="8" t="s">
        <v>259</v>
      </c>
      <c r="Y119" s="8" t="s">
        <v>769</v>
      </c>
      <c r="Z119" s="8" t="s">
        <v>770</v>
      </c>
    </row>
    <row r="120" customFormat="false" ht="15" hidden="false" customHeight="false" outlineLevel="0" collapsed="false">
      <c r="A120" s="8" t="s">
        <v>254</v>
      </c>
      <c r="B120" s="8" t="s">
        <v>15</v>
      </c>
      <c r="C120" s="8" t="s">
        <v>16</v>
      </c>
      <c r="D120" s="8" t="s">
        <v>615</v>
      </c>
      <c r="E120" s="8" t="s">
        <v>36</v>
      </c>
      <c r="F120" s="8" t="s">
        <v>48</v>
      </c>
      <c r="G120" s="8" t="s">
        <v>31</v>
      </c>
      <c r="H120" s="8" t="s">
        <v>31</v>
      </c>
      <c r="I120" s="8" t="n">
        <f aca="false">IF(EXACT(G120,H120),1,0)</f>
        <v>1</v>
      </c>
      <c r="J120" s="8" t="n">
        <v>1</v>
      </c>
      <c r="K120" s="8" t="s">
        <v>140</v>
      </c>
      <c r="L120" s="8" t="n">
        <v>2</v>
      </c>
      <c r="M120" s="8" t="n">
        <v>0</v>
      </c>
      <c r="N120" s="8"/>
      <c r="O120" s="8" t="n">
        <v>1</v>
      </c>
      <c r="P120" s="10" t="n">
        <v>11.58</v>
      </c>
      <c r="Q120" s="8" t="n">
        <v>1371</v>
      </c>
      <c r="R120" s="8" t="n">
        <v>478</v>
      </c>
      <c r="S120" s="8" t="s">
        <v>255</v>
      </c>
      <c r="T120" s="8" t="s">
        <v>256</v>
      </c>
      <c r="U120" s="8" t="s">
        <v>257</v>
      </c>
      <c r="V120" s="8"/>
      <c r="W120" s="8" t="s">
        <v>258</v>
      </c>
      <c r="X120" s="8" t="s">
        <v>259</v>
      </c>
      <c r="Y120" s="8" t="s">
        <v>771</v>
      </c>
      <c r="Z120" s="8" t="s">
        <v>772</v>
      </c>
    </row>
    <row r="121" customFormat="false" ht="15" hidden="false" customHeight="false" outlineLevel="0" collapsed="false">
      <c r="A121" s="8" t="s">
        <v>254</v>
      </c>
      <c r="B121" s="8" t="s">
        <v>15</v>
      </c>
      <c r="C121" s="8" t="s">
        <v>16</v>
      </c>
      <c r="D121" s="8" t="s">
        <v>615</v>
      </c>
      <c r="E121" s="8" t="s">
        <v>36</v>
      </c>
      <c r="F121" s="8" t="s">
        <v>48</v>
      </c>
      <c r="G121" s="8" t="s">
        <v>31</v>
      </c>
      <c r="H121" s="8" t="s">
        <v>31</v>
      </c>
      <c r="I121" s="8" t="n">
        <f aca="false">IF(EXACT(G121,H121),1,0)</f>
        <v>1</v>
      </c>
      <c r="J121" s="8" t="n">
        <v>2</v>
      </c>
      <c r="K121" s="8" t="s">
        <v>140</v>
      </c>
      <c r="L121" s="8" t="n">
        <v>3</v>
      </c>
      <c r="M121" s="8" t="n">
        <v>0</v>
      </c>
      <c r="N121" s="8"/>
      <c r="O121" s="8" t="n">
        <v>1</v>
      </c>
      <c r="P121" s="10" t="n">
        <v>13.17</v>
      </c>
      <c r="Q121" s="8" t="n">
        <v>1371</v>
      </c>
      <c r="R121" s="8" t="n">
        <v>644</v>
      </c>
      <c r="S121" s="8" t="s">
        <v>255</v>
      </c>
      <c r="T121" s="8" t="s">
        <v>256</v>
      </c>
      <c r="U121" s="8" t="s">
        <v>257</v>
      </c>
      <c r="V121" s="8"/>
      <c r="W121" s="8" t="s">
        <v>258</v>
      </c>
      <c r="X121" s="8" t="s">
        <v>259</v>
      </c>
      <c r="Y121" s="8" t="s">
        <v>773</v>
      </c>
      <c r="Z121" s="8" t="s">
        <v>774</v>
      </c>
    </row>
    <row r="122" customFormat="false" ht="15" hidden="false" customHeight="false" outlineLevel="0" collapsed="false">
      <c r="A122" s="8" t="s">
        <v>261</v>
      </c>
      <c r="B122" s="8" t="s">
        <v>15</v>
      </c>
      <c r="C122" s="8" t="s">
        <v>16</v>
      </c>
      <c r="D122" s="8" t="s">
        <v>615</v>
      </c>
      <c r="E122" s="8" t="s">
        <v>36</v>
      </c>
      <c r="F122" s="8" t="s">
        <v>48</v>
      </c>
      <c r="G122" s="8" t="s">
        <v>30</v>
      </c>
      <c r="H122" s="8" t="s">
        <v>31</v>
      </c>
      <c r="I122" s="8" t="n">
        <f aca="false">IF(EXACT(G122,H122),1,0)</f>
        <v>0</v>
      </c>
      <c r="J122" s="8" t="n">
        <v>0</v>
      </c>
      <c r="K122" s="8" t="s">
        <v>140</v>
      </c>
      <c r="L122" s="8" t="n">
        <v>1</v>
      </c>
      <c r="M122" s="8" t="n">
        <v>0</v>
      </c>
      <c r="N122" s="8"/>
      <c r="O122" s="8" t="n">
        <v>1</v>
      </c>
      <c r="P122" s="10" t="n">
        <v>12.37</v>
      </c>
      <c r="Q122" s="8" t="n">
        <v>1370</v>
      </c>
      <c r="R122" s="8" t="n">
        <v>554</v>
      </c>
      <c r="S122" s="8" t="s">
        <v>262</v>
      </c>
      <c r="T122" s="8" t="s">
        <v>256</v>
      </c>
      <c r="U122" s="8" t="s">
        <v>257</v>
      </c>
      <c r="V122" s="8"/>
      <c r="W122" s="8" t="s">
        <v>263</v>
      </c>
      <c r="X122" s="8" t="s">
        <v>264</v>
      </c>
      <c r="Y122" s="8" t="s">
        <v>775</v>
      </c>
      <c r="Z122" s="8" t="s">
        <v>776</v>
      </c>
    </row>
    <row r="123" customFormat="false" ht="15" hidden="false" customHeight="false" outlineLevel="0" collapsed="false">
      <c r="A123" s="8" t="s">
        <v>261</v>
      </c>
      <c r="B123" s="8" t="s">
        <v>15</v>
      </c>
      <c r="C123" s="8" t="s">
        <v>16</v>
      </c>
      <c r="D123" s="8" t="s">
        <v>615</v>
      </c>
      <c r="E123" s="8" t="s">
        <v>36</v>
      </c>
      <c r="F123" s="8" t="s">
        <v>48</v>
      </c>
      <c r="G123" s="8" t="s">
        <v>30</v>
      </c>
      <c r="H123" s="8" t="s">
        <v>31</v>
      </c>
      <c r="I123" s="8" t="n">
        <f aca="false">IF(EXACT(G123,H123),1,0)</f>
        <v>0</v>
      </c>
      <c r="J123" s="8" t="n">
        <v>1</v>
      </c>
      <c r="K123" s="8" t="s">
        <v>116</v>
      </c>
      <c r="L123" s="8" t="n">
        <v>5</v>
      </c>
      <c r="M123" s="8" t="n">
        <v>0</v>
      </c>
      <c r="N123" s="8"/>
      <c r="O123" s="8" t="n">
        <v>1</v>
      </c>
      <c r="P123" s="10" t="n">
        <v>15.98</v>
      </c>
      <c r="Q123" s="8" t="n">
        <v>1370</v>
      </c>
      <c r="R123" s="8" t="n">
        <v>742</v>
      </c>
      <c r="S123" s="8" t="s">
        <v>262</v>
      </c>
      <c r="T123" s="8" t="s">
        <v>256</v>
      </c>
      <c r="U123" s="8" t="s">
        <v>257</v>
      </c>
      <c r="V123" s="8"/>
      <c r="W123" s="8" t="s">
        <v>263</v>
      </c>
      <c r="X123" s="8" t="s">
        <v>264</v>
      </c>
      <c r="Y123" s="8" t="s">
        <v>777</v>
      </c>
      <c r="Z123" s="8" t="s">
        <v>778</v>
      </c>
    </row>
    <row r="124" customFormat="false" ht="15" hidden="false" customHeight="false" outlineLevel="0" collapsed="false">
      <c r="A124" s="8" t="s">
        <v>261</v>
      </c>
      <c r="B124" s="8" t="s">
        <v>15</v>
      </c>
      <c r="C124" s="8" t="s">
        <v>16</v>
      </c>
      <c r="D124" s="8" t="s">
        <v>615</v>
      </c>
      <c r="E124" s="8" t="s">
        <v>36</v>
      </c>
      <c r="F124" s="8" t="s">
        <v>48</v>
      </c>
      <c r="G124" s="8" t="s">
        <v>30</v>
      </c>
      <c r="H124" s="8" t="s">
        <v>31</v>
      </c>
      <c r="I124" s="8" t="n">
        <f aca="false">IF(EXACT(G124,H124),1,0)</f>
        <v>0</v>
      </c>
      <c r="J124" s="8" t="n">
        <v>2</v>
      </c>
      <c r="K124" s="8" t="s">
        <v>116</v>
      </c>
      <c r="L124" s="8" t="n">
        <v>3</v>
      </c>
      <c r="M124" s="8" t="n">
        <v>0</v>
      </c>
      <c r="N124" s="8"/>
      <c r="O124" s="8" t="n">
        <v>1</v>
      </c>
      <c r="P124" s="10" t="n">
        <v>16.83</v>
      </c>
      <c r="Q124" s="8" t="n">
        <v>1370</v>
      </c>
      <c r="R124" s="8" t="n">
        <v>757</v>
      </c>
      <c r="S124" s="8" t="s">
        <v>262</v>
      </c>
      <c r="T124" s="8" t="s">
        <v>256</v>
      </c>
      <c r="U124" s="8" t="s">
        <v>257</v>
      </c>
      <c r="V124" s="8"/>
      <c r="W124" s="8" t="s">
        <v>263</v>
      </c>
      <c r="X124" s="8" t="s">
        <v>264</v>
      </c>
      <c r="Y124" s="8" t="s">
        <v>779</v>
      </c>
      <c r="Z124" s="8" t="s">
        <v>780</v>
      </c>
    </row>
    <row r="125" customFormat="false" ht="15" hidden="false" customHeight="false" outlineLevel="0" collapsed="false">
      <c r="A125" s="8" t="s">
        <v>265</v>
      </c>
      <c r="B125" s="8" t="s">
        <v>15</v>
      </c>
      <c r="C125" s="8" t="s">
        <v>16</v>
      </c>
      <c r="D125" s="8" t="s">
        <v>615</v>
      </c>
      <c r="E125" s="8" t="s">
        <v>36</v>
      </c>
      <c r="F125" s="8" t="s">
        <v>48</v>
      </c>
      <c r="G125" s="8" t="s">
        <v>31</v>
      </c>
      <c r="H125" s="8" t="s">
        <v>31</v>
      </c>
      <c r="I125" s="8" t="n">
        <f aca="false">IF(EXACT(G125,H125),1,0)</f>
        <v>1</v>
      </c>
      <c r="J125" s="8" t="n">
        <v>0</v>
      </c>
      <c r="K125" s="8" t="s">
        <v>140</v>
      </c>
      <c r="L125" s="8" t="n">
        <v>1</v>
      </c>
      <c r="M125" s="8" t="n">
        <v>0</v>
      </c>
      <c r="N125" s="8"/>
      <c r="O125" s="8" t="n">
        <v>1</v>
      </c>
      <c r="P125" s="10" t="n">
        <v>17.42</v>
      </c>
      <c r="Q125" s="8" t="n">
        <v>1344</v>
      </c>
      <c r="R125" s="8" t="n">
        <v>302</v>
      </c>
      <c r="S125" s="8" t="s">
        <v>117</v>
      </c>
      <c r="T125" s="8" t="s">
        <v>256</v>
      </c>
      <c r="U125" s="8" t="s">
        <v>257</v>
      </c>
      <c r="V125" s="8"/>
      <c r="W125" s="8" t="s">
        <v>266</v>
      </c>
      <c r="X125" s="8" t="s">
        <v>267</v>
      </c>
      <c r="Y125" s="8" t="s">
        <v>781</v>
      </c>
      <c r="Z125" s="8" t="s">
        <v>782</v>
      </c>
    </row>
    <row r="126" customFormat="false" ht="15" hidden="false" customHeight="false" outlineLevel="0" collapsed="false">
      <c r="A126" s="8" t="s">
        <v>265</v>
      </c>
      <c r="B126" s="8" t="s">
        <v>15</v>
      </c>
      <c r="C126" s="8" t="s">
        <v>16</v>
      </c>
      <c r="D126" s="8" t="s">
        <v>615</v>
      </c>
      <c r="E126" s="8" t="s">
        <v>36</v>
      </c>
      <c r="F126" s="8" t="s">
        <v>48</v>
      </c>
      <c r="G126" s="8" t="s">
        <v>31</v>
      </c>
      <c r="H126" s="8" t="s">
        <v>31</v>
      </c>
      <c r="I126" s="8" t="n">
        <f aca="false">IF(EXACT(G126,H126),1,0)</f>
        <v>1</v>
      </c>
      <c r="J126" s="8" t="n">
        <v>1</v>
      </c>
      <c r="K126" s="8" t="s">
        <v>140</v>
      </c>
      <c r="L126" s="8" t="n">
        <v>1</v>
      </c>
      <c r="M126" s="8" t="n">
        <v>0</v>
      </c>
      <c r="N126" s="8"/>
      <c r="O126" s="8" t="n">
        <v>1</v>
      </c>
      <c r="P126" s="10" t="n">
        <v>5.95</v>
      </c>
      <c r="Q126" s="8" t="n">
        <v>1344</v>
      </c>
      <c r="R126" s="8" t="n">
        <v>257</v>
      </c>
      <c r="S126" s="8" t="s">
        <v>117</v>
      </c>
      <c r="T126" s="8" t="s">
        <v>256</v>
      </c>
      <c r="U126" s="8" t="s">
        <v>257</v>
      </c>
      <c r="V126" s="8"/>
      <c r="W126" s="8" t="s">
        <v>266</v>
      </c>
      <c r="X126" s="8" t="s">
        <v>267</v>
      </c>
      <c r="Y126" s="8" t="s">
        <v>783</v>
      </c>
      <c r="Z126" s="8" t="s">
        <v>784</v>
      </c>
    </row>
    <row r="127" customFormat="false" ht="15" hidden="false" customHeight="false" outlineLevel="0" collapsed="false">
      <c r="A127" s="8" t="s">
        <v>265</v>
      </c>
      <c r="B127" s="8" t="s">
        <v>15</v>
      </c>
      <c r="C127" s="8" t="s">
        <v>16</v>
      </c>
      <c r="D127" s="8" t="s">
        <v>615</v>
      </c>
      <c r="E127" s="8" t="s">
        <v>36</v>
      </c>
      <c r="F127" s="8" t="s">
        <v>48</v>
      </c>
      <c r="G127" s="8" t="s">
        <v>31</v>
      </c>
      <c r="H127" s="8" t="s">
        <v>31</v>
      </c>
      <c r="I127" s="8" t="n">
        <f aca="false">IF(EXACT(G127,H127),1,0)</f>
        <v>1</v>
      </c>
      <c r="J127" s="8" t="n">
        <v>2</v>
      </c>
      <c r="K127" s="8" t="s">
        <v>140</v>
      </c>
      <c r="L127" s="8" t="n">
        <v>1</v>
      </c>
      <c r="M127" s="8" t="n">
        <v>0</v>
      </c>
      <c r="N127" s="8"/>
      <c r="O127" s="8" t="n">
        <v>1</v>
      </c>
      <c r="P127" s="10" t="n">
        <v>6.56</v>
      </c>
      <c r="Q127" s="8" t="n">
        <v>1344</v>
      </c>
      <c r="R127" s="8" t="n">
        <v>264</v>
      </c>
      <c r="S127" s="8" t="s">
        <v>117</v>
      </c>
      <c r="T127" s="8" t="s">
        <v>256</v>
      </c>
      <c r="U127" s="8" t="s">
        <v>257</v>
      </c>
      <c r="V127" s="8"/>
      <c r="W127" s="8" t="s">
        <v>266</v>
      </c>
      <c r="X127" s="8" t="s">
        <v>267</v>
      </c>
      <c r="Y127" s="8" t="s">
        <v>785</v>
      </c>
      <c r="Z127" s="8" t="s">
        <v>786</v>
      </c>
    </row>
    <row r="128" customFormat="false" ht="15" hidden="false" customHeight="false" outlineLevel="0" collapsed="false">
      <c r="A128" s="8" t="s">
        <v>268</v>
      </c>
      <c r="B128" s="8" t="s">
        <v>15</v>
      </c>
      <c r="C128" s="8" t="s">
        <v>16</v>
      </c>
      <c r="D128" s="8" t="s">
        <v>615</v>
      </c>
      <c r="E128" s="8" t="s">
        <v>36</v>
      </c>
      <c r="F128" s="8" t="s">
        <v>47</v>
      </c>
      <c r="G128" s="8" t="s">
        <v>30</v>
      </c>
      <c r="H128" s="8" t="s">
        <v>30</v>
      </c>
      <c r="I128" s="8" t="n">
        <f aca="false">IF(EXACT(G128,H128),1,0)</f>
        <v>1</v>
      </c>
      <c r="J128" s="8" t="n">
        <v>0</v>
      </c>
      <c r="K128" s="8" t="s">
        <v>92</v>
      </c>
      <c r="L128" s="8" t="n">
        <v>0</v>
      </c>
      <c r="M128" s="8" t="n">
        <v>0</v>
      </c>
      <c r="N128" s="8"/>
      <c r="O128" s="8" t="n">
        <v>1</v>
      </c>
      <c r="P128" s="10" t="n">
        <v>3.34</v>
      </c>
      <c r="Q128" s="8" t="n">
        <v>1342</v>
      </c>
      <c r="R128" s="8" t="n">
        <v>76</v>
      </c>
      <c r="S128" s="8" t="s">
        <v>262</v>
      </c>
      <c r="T128" s="8" t="s">
        <v>269</v>
      </c>
      <c r="U128" s="8" t="s">
        <v>270</v>
      </c>
      <c r="V128" s="8"/>
      <c r="W128" s="8" t="s">
        <v>271</v>
      </c>
      <c r="X128" s="8" t="s">
        <v>272</v>
      </c>
      <c r="Y128" s="8" t="s">
        <v>787</v>
      </c>
      <c r="Z128" s="8"/>
    </row>
    <row r="129" customFormat="false" ht="15" hidden="false" customHeight="false" outlineLevel="0" collapsed="false">
      <c r="A129" s="8" t="s">
        <v>268</v>
      </c>
      <c r="B129" s="8" t="s">
        <v>15</v>
      </c>
      <c r="C129" s="8" t="s">
        <v>16</v>
      </c>
      <c r="D129" s="8" t="s">
        <v>615</v>
      </c>
      <c r="E129" s="8" t="s">
        <v>36</v>
      </c>
      <c r="F129" s="8" t="s">
        <v>47</v>
      </c>
      <c r="G129" s="8" t="s">
        <v>30</v>
      </c>
      <c r="H129" s="8" t="s">
        <v>30</v>
      </c>
      <c r="I129" s="8" t="n">
        <f aca="false">IF(EXACT(G129,H129),1,0)</f>
        <v>1</v>
      </c>
      <c r="J129" s="8" t="n">
        <v>1</v>
      </c>
      <c r="K129" s="8" t="s">
        <v>92</v>
      </c>
      <c r="L129" s="8" t="n">
        <v>0</v>
      </c>
      <c r="M129" s="8" t="n">
        <v>0</v>
      </c>
      <c r="N129" s="8"/>
      <c r="O129" s="8" t="n">
        <v>1</v>
      </c>
      <c r="P129" s="10" t="n">
        <v>3.04</v>
      </c>
      <c r="Q129" s="8" t="n">
        <v>1342</v>
      </c>
      <c r="R129" s="8" t="n">
        <v>97</v>
      </c>
      <c r="S129" s="8" t="s">
        <v>262</v>
      </c>
      <c r="T129" s="8" t="s">
        <v>269</v>
      </c>
      <c r="U129" s="8" t="s">
        <v>270</v>
      </c>
      <c r="V129" s="8"/>
      <c r="W129" s="8" t="s">
        <v>271</v>
      </c>
      <c r="X129" s="8" t="s">
        <v>272</v>
      </c>
      <c r="Y129" s="8" t="s">
        <v>788</v>
      </c>
      <c r="Z129" s="8"/>
    </row>
    <row r="130" customFormat="false" ht="15" hidden="false" customHeight="false" outlineLevel="0" collapsed="false">
      <c r="A130" s="8" t="s">
        <v>268</v>
      </c>
      <c r="B130" s="8" t="s">
        <v>15</v>
      </c>
      <c r="C130" s="8" t="s">
        <v>16</v>
      </c>
      <c r="D130" s="8" t="s">
        <v>615</v>
      </c>
      <c r="E130" s="8" t="s">
        <v>36</v>
      </c>
      <c r="F130" s="8" t="s">
        <v>47</v>
      </c>
      <c r="G130" s="8" t="s">
        <v>30</v>
      </c>
      <c r="H130" s="8" t="s">
        <v>30</v>
      </c>
      <c r="I130" s="8" t="n">
        <f aca="false">IF(EXACT(G130,H130),1,0)</f>
        <v>1</v>
      </c>
      <c r="J130" s="8" t="n">
        <v>2</v>
      </c>
      <c r="K130" s="8" t="s">
        <v>92</v>
      </c>
      <c r="L130" s="8" t="n">
        <v>0</v>
      </c>
      <c r="M130" s="8" t="n">
        <v>0</v>
      </c>
      <c r="N130" s="8"/>
      <c r="O130" s="8" t="n">
        <v>1</v>
      </c>
      <c r="P130" s="10" t="n">
        <v>10.51</v>
      </c>
      <c r="Q130" s="8" t="n">
        <v>1342</v>
      </c>
      <c r="R130" s="8" t="n">
        <v>82</v>
      </c>
      <c r="S130" s="8" t="s">
        <v>262</v>
      </c>
      <c r="T130" s="8" t="s">
        <v>269</v>
      </c>
      <c r="U130" s="8" t="s">
        <v>270</v>
      </c>
      <c r="V130" s="8"/>
      <c r="W130" s="8" t="s">
        <v>271</v>
      </c>
      <c r="X130" s="8" t="s">
        <v>272</v>
      </c>
      <c r="Y130" s="8" t="s">
        <v>789</v>
      </c>
      <c r="Z130" s="8"/>
    </row>
    <row r="131" customFormat="false" ht="15" hidden="false" customHeight="false" outlineLevel="0" collapsed="false">
      <c r="A131" s="8" t="s">
        <v>273</v>
      </c>
      <c r="B131" s="8" t="s">
        <v>15</v>
      </c>
      <c r="C131" s="8" t="s">
        <v>16</v>
      </c>
      <c r="D131" s="8" t="s">
        <v>615</v>
      </c>
      <c r="E131" s="8" t="s">
        <v>36</v>
      </c>
      <c r="F131" s="8" t="s">
        <v>47</v>
      </c>
      <c r="G131" s="8" t="s">
        <v>30</v>
      </c>
      <c r="H131" s="8" t="s">
        <v>32</v>
      </c>
      <c r="I131" s="8" t="n">
        <f aca="false">IF(EXACT(G131,H131),1,0)</f>
        <v>0</v>
      </c>
      <c r="J131" s="8" t="n">
        <v>0</v>
      </c>
      <c r="K131" s="8" t="s">
        <v>92</v>
      </c>
      <c r="L131" s="8" t="n">
        <v>0</v>
      </c>
      <c r="M131" s="8" t="n">
        <v>0</v>
      </c>
      <c r="N131" s="8"/>
      <c r="O131" s="8" t="n">
        <v>1</v>
      </c>
      <c r="P131" s="10" t="n">
        <v>3.12</v>
      </c>
      <c r="Q131" s="8" t="n">
        <v>1326</v>
      </c>
      <c r="R131" s="8" t="n">
        <v>83</v>
      </c>
      <c r="S131" s="8" t="s">
        <v>274</v>
      </c>
      <c r="T131" s="8" t="s">
        <v>269</v>
      </c>
      <c r="U131" s="8" t="s">
        <v>270</v>
      </c>
      <c r="V131" s="8"/>
      <c r="W131" s="8" t="s">
        <v>275</v>
      </c>
      <c r="X131" s="8" t="s">
        <v>276</v>
      </c>
      <c r="Y131" s="8" t="s">
        <v>790</v>
      </c>
      <c r="Z131" s="8"/>
    </row>
    <row r="132" customFormat="false" ht="15" hidden="false" customHeight="false" outlineLevel="0" collapsed="false">
      <c r="A132" s="8" t="s">
        <v>273</v>
      </c>
      <c r="B132" s="8" t="s">
        <v>15</v>
      </c>
      <c r="C132" s="8" t="s">
        <v>16</v>
      </c>
      <c r="D132" s="8" t="s">
        <v>615</v>
      </c>
      <c r="E132" s="8" t="s">
        <v>36</v>
      </c>
      <c r="F132" s="8" t="s">
        <v>47</v>
      </c>
      <c r="G132" s="8" t="s">
        <v>30</v>
      </c>
      <c r="H132" s="8" t="s">
        <v>32</v>
      </c>
      <c r="I132" s="8" t="n">
        <f aca="false">IF(EXACT(G132,H132),1,0)</f>
        <v>0</v>
      </c>
      <c r="J132" s="8" t="n">
        <v>1</v>
      </c>
      <c r="K132" s="8" t="s">
        <v>92</v>
      </c>
      <c r="L132" s="8" t="n">
        <v>0</v>
      </c>
      <c r="M132" s="8" t="n">
        <v>0</v>
      </c>
      <c r="N132" s="8"/>
      <c r="O132" s="8" t="n">
        <v>1</v>
      </c>
      <c r="P132" s="10" t="n">
        <v>2.74</v>
      </c>
      <c r="Q132" s="8" t="n">
        <v>1326</v>
      </c>
      <c r="R132" s="8" t="n">
        <v>84</v>
      </c>
      <c r="S132" s="8" t="s">
        <v>274</v>
      </c>
      <c r="T132" s="8" t="s">
        <v>269</v>
      </c>
      <c r="U132" s="8" t="s">
        <v>270</v>
      </c>
      <c r="V132" s="8"/>
      <c r="W132" s="8" t="s">
        <v>275</v>
      </c>
      <c r="X132" s="8" t="s">
        <v>276</v>
      </c>
      <c r="Y132" s="8" t="s">
        <v>791</v>
      </c>
      <c r="Z132" s="8"/>
    </row>
    <row r="133" customFormat="false" ht="15" hidden="false" customHeight="false" outlineLevel="0" collapsed="false">
      <c r="A133" s="8" t="s">
        <v>273</v>
      </c>
      <c r="B133" s="8" t="s">
        <v>15</v>
      </c>
      <c r="C133" s="8" t="s">
        <v>16</v>
      </c>
      <c r="D133" s="8" t="s">
        <v>615</v>
      </c>
      <c r="E133" s="8" t="s">
        <v>36</v>
      </c>
      <c r="F133" s="8" t="s">
        <v>47</v>
      </c>
      <c r="G133" s="8" t="s">
        <v>30</v>
      </c>
      <c r="H133" s="8" t="s">
        <v>32</v>
      </c>
      <c r="I133" s="8" t="n">
        <f aca="false">IF(EXACT(G133,H133),1,0)</f>
        <v>0</v>
      </c>
      <c r="J133" s="8" t="n">
        <v>2</v>
      </c>
      <c r="K133" s="8" t="s">
        <v>92</v>
      </c>
      <c r="L133" s="8" t="n">
        <v>0</v>
      </c>
      <c r="M133" s="8" t="n">
        <v>0</v>
      </c>
      <c r="N133" s="8"/>
      <c r="O133" s="8" t="n">
        <v>1</v>
      </c>
      <c r="P133" s="10" t="n">
        <v>2.86</v>
      </c>
      <c r="Q133" s="8" t="n">
        <v>1326</v>
      </c>
      <c r="R133" s="8" t="n">
        <v>83</v>
      </c>
      <c r="S133" s="8" t="s">
        <v>274</v>
      </c>
      <c r="T133" s="8" t="s">
        <v>269</v>
      </c>
      <c r="U133" s="8" t="s">
        <v>270</v>
      </c>
      <c r="V133" s="8"/>
      <c r="W133" s="8" t="s">
        <v>275</v>
      </c>
      <c r="X133" s="8" t="s">
        <v>276</v>
      </c>
      <c r="Y133" s="8" t="s">
        <v>790</v>
      </c>
      <c r="Z133" s="8"/>
    </row>
    <row r="134" customFormat="false" ht="15" hidden="false" customHeight="false" outlineLevel="0" collapsed="false">
      <c r="A134" s="8" t="s">
        <v>277</v>
      </c>
      <c r="B134" s="8" t="s">
        <v>15</v>
      </c>
      <c r="C134" s="8" t="s">
        <v>16</v>
      </c>
      <c r="D134" s="8" t="s">
        <v>615</v>
      </c>
      <c r="E134" s="8" t="s">
        <v>36</v>
      </c>
      <c r="F134" s="8" t="s">
        <v>47</v>
      </c>
      <c r="G134" s="8" t="s">
        <v>31</v>
      </c>
      <c r="H134" s="8" t="s">
        <v>31</v>
      </c>
      <c r="I134" s="8" t="n">
        <f aca="false">IF(EXACT(G134,H134),1,0)</f>
        <v>1</v>
      </c>
      <c r="J134" s="8" t="n">
        <v>0</v>
      </c>
      <c r="K134" s="8" t="s">
        <v>116</v>
      </c>
      <c r="L134" s="8" t="n">
        <v>2</v>
      </c>
      <c r="M134" s="8" t="n">
        <v>0</v>
      </c>
      <c r="N134" s="8"/>
      <c r="O134" s="8" t="n">
        <v>1</v>
      </c>
      <c r="P134" s="10" t="n">
        <v>9.17</v>
      </c>
      <c r="Q134" s="8" t="n">
        <v>1332</v>
      </c>
      <c r="R134" s="8" t="n">
        <v>404</v>
      </c>
      <c r="S134" s="8" t="s">
        <v>278</v>
      </c>
      <c r="T134" s="8" t="s">
        <v>269</v>
      </c>
      <c r="U134" s="8" t="s">
        <v>270</v>
      </c>
      <c r="V134" s="8"/>
      <c r="W134" s="8" t="s">
        <v>279</v>
      </c>
      <c r="X134" s="8" t="s">
        <v>280</v>
      </c>
      <c r="Y134" s="8" t="s">
        <v>792</v>
      </c>
      <c r="Z134" s="8" t="s">
        <v>793</v>
      </c>
    </row>
    <row r="135" customFormat="false" ht="15" hidden="false" customHeight="false" outlineLevel="0" collapsed="false">
      <c r="A135" s="8" t="s">
        <v>277</v>
      </c>
      <c r="B135" s="8" t="s">
        <v>15</v>
      </c>
      <c r="C135" s="8" t="s">
        <v>16</v>
      </c>
      <c r="D135" s="8" t="s">
        <v>615</v>
      </c>
      <c r="E135" s="8" t="s">
        <v>36</v>
      </c>
      <c r="F135" s="8" t="s">
        <v>47</v>
      </c>
      <c r="G135" s="8" t="s">
        <v>31</v>
      </c>
      <c r="H135" s="8" t="s">
        <v>31</v>
      </c>
      <c r="I135" s="8" t="n">
        <f aca="false">IF(EXACT(G135,H135),1,0)</f>
        <v>1</v>
      </c>
      <c r="J135" s="8" t="n">
        <v>1</v>
      </c>
      <c r="K135" s="8" t="s">
        <v>116</v>
      </c>
      <c r="L135" s="8" t="n">
        <v>2</v>
      </c>
      <c r="M135" s="8" t="n">
        <v>0</v>
      </c>
      <c r="N135" s="8"/>
      <c r="O135" s="8" t="n">
        <v>1</v>
      </c>
      <c r="P135" s="10" t="n">
        <v>8.32</v>
      </c>
      <c r="Q135" s="8" t="n">
        <v>1332</v>
      </c>
      <c r="R135" s="8" t="n">
        <v>383</v>
      </c>
      <c r="S135" s="8" t="s">
        <v>278</v>
      </c>
      <c r="T135" s="8" t="s">
        <v>269</v>
      </c>
      <c r="U135" s="8" t="s">
        <v>270</v>
      </c>
      <c r="V135" s="8"/>
      <c r="W135" s="8" t="s">
        <v>279</v>
      </c>
      <c r="X135" s="8" t="s">
        <v>280</v>
      </c>
      <c r="Y135" s="8" t="s">
        <v>794</v>
      </c>
      <c r="Z135" s="8" t="s">
        <v>795</v>
      </c>
    </row>
    <row r="136" customFormat="false" ht="15" hidden="false" customHeight="false" outlineLevel="0" collapsed="false">
      <c r="A136" s="8" t="s">
        <v>277</v>
      </c>
      <c r="B136" s="8" t="s">
        <v>15</v>
      </c>
      <c r="C136" s="8" t="s">
        <v>16</v>
      </c>
      <c r="D136" s="8" t="s">
        <v>615</v>
      </c>
      <c r="E136" s="8" t="s">
        <v>36</v>
      </c>
      <c r="F136" s="8" t="s">
        <v>47</v>
      </c>
      <c r="G136" s="8" t="s">
        <v>31</v>
      </c>
      <c r="H136" s="8" t="s">
        <v>31</v>
      </c>
      <c r="I136" s="8" t="n">
        <f aca="false">IF(EXACT(G136,H136),1,0)</f>
        <v>1</v>
      </c>
      <c r="J136" s="8" t="n">
        <v>2</v>
      </c>
      <c r="K136" s="8" t="s">
        <v>116</v>
      </c>
      <c r="L136" s="8" t="n">
        <v>2</v>
      </c>
      <c r="M136" s="8" t="n">
        <v>0</v>
      </c>
      <c r="N136" s="8"/>
      <c r="O136" s="8" t="n">
        <v>1</v>
      </c>
      <c r="P136" s="10" t="n">
        <v>9.42</v>
      </c>
      <c r="Q136" s="8" t="n">
        <v>1332</v>
      </c>
      <c r="R136" s="8" t="n">
        <v>404</v>
      </c>
      <c r="S136" s="8" t="s">
        <v>278</v>
      </c>
      <c r="T136" s="8" t="s">
        <v>269</v>
      </c>
      <c r="U136" s="8" t="s">
        <v>270</v>
      </c>
      <c r="V136" s="8"/>
      <c r="W136" s="8" t="s">
        <v>279</v>
      </c>
      <c r="X136" s="8" t="s">
        <v>280</v>
      </c>
      <c r="Y136" s="8" t="s">
        <v>796</v>
      </c>
      <c r="Z136" s="8" t="s">
        <v>797</v>
      </c>
    </row>
    <row r="137" customFormat="false" ht="15" hidden="false" customHeight="false" outlineLevel="0" collapsed="false">
      <c r="A137" s="8" t="s">
        <v>281</v>
      </c>
      <c r="B137" s="8" t="s">
        <v>15</v>
      </c>
      <c r="C137" s="8" t="s">
        <v>16</v>
      </c>
      <c r="D137" s="8" t="s">
        <v>615</v>
      </c>
      <c r="E137" s="8" t="s">
        <v>36</v>
      </c>
      <c r="F137" s="8" t="s">
        <v>47</v>
      </c>
      <c r="G137" s="8" t="s">
        <v>32</v>
      </c>
      <c r="H137" s="8" t="s">
        <v>32</v>
      </c>
      <c r="I137" s="8" t="n">
        <f aca="false">IF(EXACT(G137,H137),1,0)</f>
        <v>1</v>
      </c>
      <c r="J137" s="8" t="n">
        <v>0</v>
      </c>
      <c r="K137" s="8" t="s">
        <v>92</v>
      </c>
      <c r="L137" s="8" t="n">
        <v>0</v>
      </c>
      <c r="M137" s="8" t="n">
        <v>0</v>
      </c>
      <c r="N137" s="8"/>
      <c r="O137" s="8" t="n">
        <v>1</v>
      </c>
      <c r="P137" s="10" t="n">
        <v>2.85</v>
      </c>
      <c r="Q137" s="8" t="n">
        <v>1354</v>
      </c>
      <c r="R137" s="8" t="n">
        <v>75</v>
      </c>
      <c r="S137" s="8" t="s">
        <v>101</v>
      </c>
      <c r="T137" s="8" t="s">
        <v>269</v>
      </c>
      <c r="U137" s="8" t="s">
        <v>270</v>
      </c>
      <c r="V137" s="8"/>
      <c r="W137" s="8" t="s">
        <v>282</v>
      </c>
      <c r="X137" s="8" t="s">
        <v>283</v>
      </c>
      <c r="Y137" s="8" t="s">
        <v>798</v>
      </c>
      <c r="Z137" s="8"/>
    </row>
    <row r="138" customFormat="false" ht="15" hidden="false" customHeight="false" outlineLevel="0" collapsed="false">
      <c r="A138" s="8" t="s">
        <v>281</v>
      </c>
      <c r="B138" s="8" t="s">
        <v>15</v>
      </c>
      <c r="C138" s="8" t="s">
        <v>16</v>
      </c>
      <c r="D138" s="8" t="s">
        <v>615</v>
      </c>
      <c r="E138" s="8" t="s">
        <v>36</v>
      </c>
      <c r="F138" s="8" t="s">
        <v>47</v>
      </c>
      <c r="G138" s="8" t="s">
        <v>32</v>
      </c>
      <c r="H138" s="8" t="s">
        <v>32</v>
      </c>
      <c r="I138" s="8" t="n">
        <f aca="false">IF(EXACT(G138,H138),1,0)</f>
        <v>1</v>
      </c>
      <c r="J138" s="8" t="n">
        <v>1</v>
      </c>
      <c r="K138" s="8" t="s">
        <v>92</v>
      </c>
      <c r="L138" s="8" t="n">
        <v>0</v>
      </c>
      <c r="M138" s="8" t="n">
        <v>0</v>
      </c>
      <c r="N138" s="8"/>
      <c r="O138" s="8" t="n">
        <v>1</v>
      </c>
      <c r="P138" s="10" t="n">
        <v>3.08</v>
      </c>
      <c r="Q138" s="8" t="n">
        <v>1354</v>
      </c>
      <c r="R138" s="8" t="n">
        <v>77</v>
      </c>
      <c r="S138" s="8" t="s">
        <v>101</v>
      </c>
      <c r="T138" s="8" t="s">
        <v>269</v>
      </c>
      <c r="U138" s="8" t="s">
        <v>270</v>
      </c>
      <c r="V138" s="8"/>
      <c r="W138" s="8" t="s">
        <v>282</v>
      </c>
      <c r="X138" s="8" t="s">
        <v>283</v>
      </c>
      <c r="Y138" s="8" t="s">
        <v>799</v>
      </c>
      <c r="Z138" s="8"/>
    </row>
    <row r="139" customFormat="false" ht="15" hidden="false" customHeight="false" outlineLevel="0" collapsed="false">
      <c r="A139" s="8" t="s">
        <v>281</v>
      </c>
      <c r="B139" s="8" t="s">
        <v>15</v>
      </c>
      <c r="C139" s="8" t="s">
        <v>16</v>
      </c>
      <c r="D139" s="8" t="s">
        <v>615</v>
      </c>
      <c r="E139" s="8" t="s">
        <v>36</v>
      </c>
      <c r="F139" s="8" t="s">
        <v>47</v>
      </c>
      <c r="G139" s="8" t="s">
        <v>32</v>
      </c>
      <c r="H139" s="8" t="s">
        <v>32</v>
      </c>
      <c r="I139" s="8" t="n">
        <f aca="false">IF(EXACT(G139,H139),1,0)</f>
        <v>1</v>
      </c>
      <c r="J139" s="8" t="n">
        <v>2</v>
      </c>
      <c r="K139" s="8" t="s">
        <v>92</v>
      </c>
      <c r="L139" s="8" t="n">
        <v>0</v>
      </c>
      <c r="M139" s="8" t="n">
        <v>0</v>
      </c>
      <c r="N139" s="8"/>
      <c r="O139" s="8" t="n">
        <v>1</v>
      </c>
      <c r="P139" s="10" t="n">
        <v>2.77</v>
      </c>
      <c r="Q139" s="8" t="n">
        <v>1354</v>
      </c>
      <c r="R139" s="8" t="n">
        <v>72</v>
      </c>
      <c r="S139" s="8" t="s">
        <v>101</v>
      </c>
      <c r="T139" s="8" t="s">
        <v>269</v>
      </c>
      <c r="U139" s="8" t="s">
        <v>270</v>
      </c>
      <c r="V139" s="8"/>
      <c r="W139" s="8" t="s">
        <v>282</v>
      </c>
      <c r="X139" s="8" t="s">
        <v>283</v>
      </c>
      <c r="Y139" s="8" t="s">
        <v>800</v>
      </c>
      <c r="Z139" s="8"/>
    </row>
    <row r="140" customFormat="false" ht="15" hidden="false" customHeight="false" outlineLevel="0" collapsed="false">
      <c r="A140" s="8" t="s">
        <v>284</v>
      </c>
      <c r="B140" s="8" t="s">
        <v>15</v>
      </c>
      <c r="C140" s="8" t="s">
        <v>16</v>
      </c>
      <c r="D140" s="8" t="s">
        <v>615</v>
      </c>
      <c r="E140" s="8" t="s">
        <v>36</v>
      </c>
      <c r="F140" s="8" t="s">
        <v>47</v>
      </c>
      <c r="G140" s="8" t="s">
        <v>32</v>
      </c>
      <c r="H140" s="8" t="s">
        <v>32</v>
      </c>
      <c r="I140" s="8" t="n">
        <f aca="false">IF(EXACT(G140,H140),1,0)</f>
        <v>1</v>
      </c>
      <c r="J140" s="8" t="n">
        <v>0</v>
      </c>
      <c r="K140" s="8" t="s">
        <v>92</v>
      </c>
      <c r="L140" s="8" t="n">
        <v>0</v>
      </c>
      <c r="M140" s="8" t="n">
        <v>0</v>
      </c>
      <c r="N140" s="8"/>
      <c r="O140" s="8" t="n">
        <v>1</v>
      </c>
      <c r="P140" s="10" t="n">
        <v>5.28</v>
      </c>
      <c r="Q140" s="8" t="n">
        <v>1327</v>
      </c>
      <c r="R140" s="8" t="n">
        <v>83</v>
      </c>
      <c r="S140" s="8" t="s">
        <v>132</v>
      </c>
      <c r="T140" s="8" t="s">
        <v>269</v>
      </c>
      <c r="U140" s="8" t="s">
        <v>270</v>
      </c>
      <c r="V140" s="8"/>
      <c r="W140" s="8" t="s">
        <v>285</v>
      </c>
      <c r="X140" s="8" t="s">
        <v>286</v>
      </c>
      <c r="Y140" s="8" t="s">
        <v>801</v>
      </c>
      <c r="Z140" s="8"/>
    </row>
    <row r="141" customFormat="false" ht="15" hidden="false" customHeight="false" outlineLevel="0" collapsed="false">
      <c r="A141" s="8" t="s">
        <v>284</v>
      </c>
      <c r="B141" s="8" t="s">
        <v>15</v>
      </c>
      <c r="C141" s="8" t="s">
        <v>16</v>
      </c>
      <c r="D141" s="8" t="s">
        <v>615</v>
      </c>
      <c r="E141" s="8" t="s">
        <v>36</v>
      </c>
      <c r="F141" s="8" t="s">
        <v>47</v>
      </c>
      <c r="G141" s="8" t="s">
        <v>32</v>
      </c>
      <c r="H141" s="8" t="s">
        <v>32</v>
      </c>
      <c r="I141" s="8" t="n">
        <f aca="false">IF(EXACT(G141,H141),1,0)</f>
        <v>1</v>
      </c>
      <c r="J141" s="8" t="n">
        <v>1</v>
      </c>
      <c r="K141" s="8" t="s">
        <v>92</v>
      </c>
      <c r="L141" s="8" t="n">
        <v>0</v>
      </c>
      <c r="M141" s="8" t="n">
        <v>0</v>
      </c>
      <c r="N141" s="8"/>
      <c r="O141" s="8" t="n">
        <v>1</v>
      </c>
      <c r="P141" s="10" t="n">
        <v>2.94</v>
      </c>
      <c r="Q141" s="8" t="n">
        <v>1327</v>
      </c>
      <c r="R141" s="8" t="n">
        <v>85</v>
      </c>
      <c r="S141" s="8" t="s">
        <v>132</v>
      </c>
      <c r="T141" s="8" t="s">
        <v>269</v>
      </c>
      <c r="U141" s="8" t="s">
        <v>270</v>
      </c>
      <c r="V141" s="8"/>
      <c r="W141" s="8" t="s">
        <v>285</v>
      </c>
      <c r="X141" s="8" t="s">
        <v>286</v>
      </c>
      <c r="Y141" s="8" t="s">
        <v>802</v>
      </c>
      <c r="Z141" s="8"/>
    </row>
    <row r="142" customFormat="false" ht="15" hidden="false" customHeight="false" outlineLevel="0" collapsed="false">
      <c r="A142" s="8" t="s">
        <v>284</v>
      </c>
      <c r="B142" s="8" t="s">
        <v>15</v>
      </c>
      <c r="C142" s="8" t="s">
        <v>16</v>
      </c>
      <c r="D142" s="8" t="s">
        <v>615</v>
      </c>
      <c r="E142" s="8" t="s">
        <v>36</v>
      </c>
      <c r="F142" s="8" t="s">
        <v>47</v>
      </c>
      <c r="G142" s="8" t="s">
        <v>32</v>
      </c>
      <c r="H142" s="8" t="s">
        <v>32</v>
      </c>
      <c r="I142" s="8" t="n">
        <f aca="false">IF(EXACT(G142,H142),1,0)</f>
        <v>1</v>
      </c>
      <c r="J142" s="8" t="n">
        <v>2</v>
      </c>
      <c r="K142" s="8" t="s">
        <v>92</v>
      </c>
      <c r="L142" s="8" t="n">
        <v>0</v>
      </c>
      <c r="M142" s="8" t="n">
        <v>0</v>
      </c>
      <c r="N142" s="8"/>
      <c r="O142" s="8" t="n">
        <v>1</v>
      </c>
      <c r="P142" s="10" t="n">
        <v>2.71</v>
      </c>
      <c r="Q142" s="8" t="n">
        <v>1327</v>
      </c>
      <c r="R142" s="8" t="n">
        <v>85</v>
      </c>
      <c r="S142" s="8" t="s">
        <v>132</v>
      </c>
      <c r="T142" s="8" t="s">
        <v>269</v>
      </c>
      <c r="U142" s="8" t="s">
        <v>270</v>
      </c>
      <c r="V142" s="8"/>
      <c r="W142" s="8" t="s">
        <v>285</v>
      </c>
      <c r="X142" s="8" t="s">
        <v>286</v>
      </c>
      <c r="Y142" s="8" t="s">
        <v>802</v>
      </c>
      <c r="Z142" s="8"/>
    </row>
    <row r="143" customFormat="false" ht="15" hidden="false" customHeight="false" outlineLevel="0" collapsed="false">
      <c r="A143" s="8" t="s">
        <v>287</v>
      </c>
      <c r="B143" s="8" t="s">
        <v>15</v>
      </c>
      <c r="C143" s="8" t="s">
        <v>16</v>
      </c>
      <c r="D143" s="8" t="s">
        <v>615</v>
      </c>
      <c r="E143" s="8" t="s">
        <v>36</v>
      </c>
      <c r="F143" s="8" t="s">
        <v>47</v>
      </c>
      <c r="G143" s="8" t="s">
        <v>31</v>
      </c>
      <c r="H143" s="8" t="s">
        <v>31</v>
      </c>
      <c r="I143" s="8" t="n">
        <f aca="false">IF(EXACT(G143,H143),1,0)</f>
        <v>1</v>
      </c>
      <c r="J143" s="8" t="n">
        <v>0</v>
      </c>
      <c r="K143" s="8" t="s">
        <v>116</v>
      </c>
      <c r="L143" s="8" t="n">
        <v>1</v>
      </c>
      <c r="M143" s="8" t="n">
        <v>0</v>
      </c>
      <c r="N143" s="8"/>
      <c r="O143" s="8" t="n">
        <v>1</v>
      </c>
      <c r="P143" s="10" t="n">
        <v>7.14</v>
      </c>
      <c r="Q143" s="8" t="n">
        <v>1402</v>
      </c>
      <c r="R143" s="8" t="n">
        <v>286</v>
      </c>
      <c r="S143" s="8" t="s">
        <v>222</v>
      </c>
      <c r="T143" s="8" t="s">
        <v>269</v>
      </c>
      <c r="U143" s="8" t="s">
        <v>270</v>
      </c>
      <c r="V143" s="8"/>
      <c r="W143" s="8" t="s">
        <v>288</v>
      </c>
      <c r="X143" s="8" t="s">
        <v>289</v>
      </c>
      <c r="Y143" s="8" t="s">
        <v>803</v>
      </c>
      <c r="Z143" s="8" t="s">
        <v>804</v>
      </c>
    </row>
    <row r="144" customFormat="false" ht="15" hidden="false" customHeight="false" outlineLevel="0" collapsed="false">
      <c r="A144" s="8" t="s">
        <v>287</v>
      </c>
      <c r="B144" s="8" t="s">
        <v>15</v>
      </c>
      <c r="C144" s="8" t="s">
        <v>16</v>
      </c>
      <c r="D144" s="8" t="s">
        <v>615</v>
      </c>
      <c r="E144" s="8" t="s">
        <v>36</v>
      </c>
      <c r="F144" s="8" t="s">
        <v>47</v>
      </c>
      <c r="G144" s="8" t="s">
        <v>31</v>
      </c>
      <c r="H144" s="8" t="s">
        <v>31</v>
      </c>
      <c r="I144" s="8" t="n">
        <f aca="false">IF(EXACT(G144,H144),1,0)</f>
        <v>1</v>
      </c>
      <c r="J144" s="8" t="n">
        <v>1</v>
      </c>
      <c r="K144" s="8" t="s">
        <v>116</v>
      </c>
      <c r="L144" s="8" t="n">
        <v>1</v>
      </c>
      <c r="M144" s="8" t="n">
        <v>0</v>
      </c>
      <c r="N144" s="8"/>
      <c r="O144" s="8" t="n">
        <v>1</v>
      </c>
      <c r="P144" s="10" t="n">
        <v>6.53</v>
      </c>
      <c r="Q144" s="8" t="n">
        <v>1402</v>
      </c>
      <c r="R144" s="8" t="n">
        <v>282</v>
      </c>
      <c r="S144" s="8" t="s">
        <v>222</v>
      </c>
      <c r="T144" s="8" t="s">
        <v>269</v>
      </c>
      <c r="U144" s="8" t="s">
        <v>270</v>
      </c>
      <c r="V144" s="8"/>
      <c r="W144" s="8" t="s">
        <v>288</v>
      </c>
      <c r="X144" s="8" t="s">
        <v>289</v>
      </c>
      <c r="Y144" s="8" t="s">
        <v>805</v>
      </c>
      <c r="Z144" s="8" t="s">
        <v>806</v>
      </c>
    </row>
    <row r="145" customFormat="false" ht="15" hidden="false" customHeight="false" outlineLevel="0" collapsed="false">
      <c r="A145" s="8" t="s">
        <v>287</v>
      </c>
      <c r="B145" s="8" t="s">
        <v>15</v>
      </c>
      <c r="C145" s="8" t="s">
        <v>16</v>
      </c>
      <c r="D145" s="8" t="s">
        <v>615</v>
      </c>
      <c r="E145" s="8" t="s">
        <v>36</v>
      </c>
      <c r="F145" s="8" t="s">
        <v>47</v>
      </c>
      <c r="G145" s="8" t="s">
        <v>31</v>
      </c>
      <c r="H145" s="8" t="s">
        <v>31</v>
      </c>
      <c r="I145" s="8" t="n">
        <f aca="false">IF(EXACT(G145,H145),1,0)</f>
        <v>1</v>
      </c>
      <c r="J145" s="8" t="n">
        <v>2</v>
      </c>
      <c r="K145" s="8" t="s">
        <v>116</v>
      </c>
      <c r="L145" s="8" t="n">
        <v>5</v>
      </c>
      <c r="M145" s="8" t="n">
        <v>0</v>
      </c>
      <c r="N145" s="8"/>
      <c r="O145" s="8" t="n">
        <v>1</v>
      </c>
      <c r="P145" s="10" t="n">
        <v>17.63</v>
      </c>
      <c r="Q145" s="8" t="n">
        <v>1402</v>
      </c>
      <c r="R145" s="8" t="n">
        <v>666</v>
      </c>
      <c r="S145" s="8" t="s">
        <v>222</v>
      </c>
      <c r="T145" s="8" t="s">
        <v>269</v>
      </c>
      <c r="U145" s="8" t="s">
        <v>270</v>
      </c>
      <c r="V145" s="8"/>
      <c r="W145" s="8" t="s">
        <v>288</v>
      </c>
      <c r="X145" s="8" t="s">
        <v>289</v>
      </c>
      <c r="Y145" s="8" t="s">
        <v>807</v>
      </c>
      <c r="Z145" s="8" t="s">
        <v>808</v>
      </c>
    </row>
    <row r="146" customFormat="false" ht="15" hidden="false" customHeight="false" outlineLevel="0" collapsed="false">
      <c r="A146" s="8" t="s">
        <v>290</v>
      </c>
      <c r="B146" s="8" t="s">
        <v>15</v>
      </c>
      <c r="C146" s="8" t="s">
        <v>16</v>
      </c>
      <c r="D146" s="8" t="s">
        <v>615</v>
      </c>
      <c r="E146" s="8" t="s">
        <v>36</v>
      </c>
      <c r="F146" s="8" t="s">
        <v>51</v>
      </c>
      <c r="G146" s="8" t="s">
        <v>32</v>
      </c>
      <c r="H146" s="8" t="s">
        <v>32</v>
      </c>
      <c r="I146" s="8" t="n">
        <f aca="false">IF(EXACT(G146,H146),1,0)</f>
        <v>1</v>
      </c>
      <c r="J146" s="8" t="n">
        <v>0</v>
      </c>
      <c r="K146" s="8" t="s">
        <v>92</v>
      </c>
      <c r="L146" s="8" t="n">
        <v>0</v>
      </c>
      <c r="M146" s="8" t="n">
        <v>0</v>
      </c>
      <c r="N146" s="8"/>
      <c r="O146" s="8" t="n">
        <v>1</v>
      </c>
      <c r="P146" s="10" t="n">
        <v>3.64</v>
      </c>
      <c r="Q146" s="8" t="n">
        <v>1369</v>
      </c>
      <c r="R146" s="8" t="n">
        <v>93</v>
      </c>
      <c r="S146" s="8" t="s">
        <v>101</v>
      </c>
      <c r="T146" s="8" t="s">
        <v>291</v>
      </c>
      <c r="U146" s="8" t="s">
        <v>292</v>
      </c>
      <c r="V146" s="8"/>
      <c r="W146" s="8" t="s">
        <v>293</v>
      </c>
      <c r="X146" s="8" t="s">
        <v>294</v>
      </c>
      <c r="Y146" s="8" t="s">
        <v>809</v>
      </c>
      <c r="Z146" s="8"/>
    </row>
    <row r="147" customFormat="false" ht="15" hidden="false" customHeight="false" outlineLevel="0" collapsed="false">
      <c r="A147" s="8" t="s">
        <v>290</v>
      </c>
      <c r="B147" s="8" t="s">
        <v>15</v>
      </c>
      <c r="C147" s="8" t="s">
        <v>16</v>
      </c>
      <c r="D147" s="8" t="s">
        <v>615</v>
      </c>
      <c r="E147" s="8" t="s">
        <v>36</v>
      </c>
      <c r="F147" s="8" t="s">
        <v>51</v>
      </c>
      <c r="G147" s="8" t="s">
        <v>32</v>
      </c>
      <c r="H147" s="8" t="s">
        <v>32</v>
      </c>
      <c r="I147" s="8" t="n">
        <f aca="false">IF(EXACT(G147,H147),1,0)</f>
        <v>1</v>
      </c>
      <c r="J147" s="8" t="n">
        <v>1</v>
      </c>
      <c r="K147" s="8" t="s">
        <v>92</v>
      </c>
      <c r="L147" s="8" t="n">
        <v>0</v>
      </c>
      <c r="M147" s="8" t="n">
        <v>0</v>
      </c>
      <c r="N147" s="8"/>
      <c r="O147" s="8" t="n">
        <v>1</v>
      </c>
      <c r="P147" s="10" t="n">
        <v>12.64</v>
      </c>
      <c r="Q147" s="8" t="n">
        <v>1369</v>
      </c>
      <c r="R147" s="8" t="n">
        <v>78</v>
      </c>
      <c r="S147" s="8" t="s">
        <v>101</v>
      </c>
      <c r="T147" s="8" t="s">
        <v>291</v>
      </c>
      <c r="U147" s="8" t="s">
        <v>292</v>
      </c>
      <c r="V147" s="8"/>
      <c r="W147" s="8" t="s">
        <v>293</v>
      </c>
      <c r="X147" s="8" t="s">
        <v>294</v>
      </c>
      <c r="Y147" s="8" t="s">
        <v>810</v>
      </c>
      <c r="Z147" s="8"/>
    </row>
    <row r="148" customFormat="false" ht="15" hidden="false" customHeight="false" outlineLevel="0" collapsed="false">
      <c r="A148" s="8" t="s">
        <v>290</v>
      </c>
      <c r="B148" s="8" t="s">
        <v>15</v>
      </c>
      <c r="C148" s="8" t="s">
        <v>16</v>
      </c>
      <c r="D148" s="8" t="s">
        <v>615</v>
      </c>
      <c r="E148" s="8" t="s">
        <v>36</v>
      </c>
      <c r="F148" s="8" t="s">
        <v>51</v>
      </c>
      <c r="G148" s="8" t="s">
        <v>32</v>
      </c>
      <c r="H148" s="8" t="s">
        <v>32</v>
      </c>
      <c r="I148" s="8" t="n">
        <f aca="false">IF(EXACT(G148,H148),1,0)</f>
        <v>1</v>
      </c>
      <c r="J148" s="8" t="n">
        <v>2</v>
      </c>
      <c r="K148" s="8" t="s">
        <v>92</v>
      </c>
      <c r="L148" s="8" t="n">
        <v>0</v>
      </c>
      <c r="M148" s="8" t="n">
        <v>0</v>
      </c>
      <c r="N148" s="8"/>
      <c r="O148" s="8" t="n">
        <v>1</v>
      </c>
      <c r="P148" s="10" t="n">
        <v>3.21</v>
      </c>
      <c r="Q148" s="8" t="n">
        <v>1369</v>
      </c>
      <c r="R148" s="8" t="n">
        <v>93</v>
      </c>
      <c r="S148" s="8" t="s">
        <v>101</v>
      </c>
      <c r="T148" s="8" t="s">
        <v>291</v>
      </c>
      <c r="U148" s="8" t="s">
        <v>292</v>
      </c>
      <c r="V148" s="8"/>
      <c r="W148" s="8" t="s">
        <v>293</v>
      </c>
      <c r="X148" s="8" t="s">
        <v>294</v>
      </c>
      <c r="Y148" s="8" t="s">
        <v>811</v>
      </c>
      <c r="Z148" s="8"/>
    </row>
    <row r="149" customFormat="false" ht="15" hidden="false" customHeight="false" outlineLevel="0" collapsed="false">
      <c r="A149" s="8" t="s">
        <v>295</v>
      </c>
      <c r="B149" s="8" t="s">
        <v>15</v>
      </c>
      <c r="C149" s="8" t="s">
        <v>16</v>
      </c>
      <c r="D149" s="8" t="s">
        <v>615</v>
      </c>
      <c r="E149" s="8" t="s">
        <v>36</v>
      </c>
      <c r="F149" s="8" t="s">
        <v>51</v>
      </c>
      <c r="G149" s="8" t="s">
        <v>30</v>
      </c>
      <c r="H149" s="8" t="s">
        <v>30</v>
      </c>
      <c r="I149" s="8" t="n">
        <f aca="false">IF(EXACT(G149,H149),1,0)</f>
        <v>1</v>
      </c>
      <c r="J149" s="8" t="n">
        <v>0</v>
      </c>
      <c r="K149" s="8" t="s">
        <v>92</v>
      </c>
      <c r="L149" s="8" t="n">
        <v>0</v>
      </c>
      <c r="M149" s="8" t="n">
        <v>0</v>
      </c>
      <c r="N149" s="8"/>
      <c r="O149" s="8" t="n">
        <v>1</v>
      </c>
      <c r="P149" s="10" t="n">
        <v>3.46</v>
      </c>
      <c r="Q149" s="8" t="n">
        <v>1439</v>
      </c>
      <c r="R149" s="8" t="n">
        <v>93</v>
      </c>
      <c r="S149" s="8" t="s">
        <v>110</v>
      </c>
      <c r="T149" s="8" t="s">
        <v>291</v>
      </c>
      <c r="U149" s="8" t="s">
        <v>292</v>
      </c>
      <c r="V149" s="8"/>
      <c r="W149" s="8" t="s">
        <v>296</v>
      </c>
      <c r="X149" s="8" t="s">
        <v>297</v>
      </c>
      <c r="Y149" s="8" t="s">
        <v>812</v>
      </c>
      <c r="Z149" s="8"/>
    </row>
    <row r="150" customFormat="false" ht="15" hidden="false" customHeight="false" outlineLevel="0" collapsed="false">
      <c r="A150" s="8" t="s">
        <v>295</v>
      </c>
      <c r="B150" s="8" t="s">
        <v>15</v>
      </c>
      <c r="C150" s="8" t="s">
        <v>16</v>
      </c>
      <c r="D150" s="8" t="s">
        <v>615</v>
      </c>
      <c r="E150" s="8" t="s">
        <v>36</v>
      </c>
      <c r="F150" s="8" t="s">
        <v>51</v>
      </c>
      <c r="G150" s="8" t="s">
        <v>30</v>
      </c>
      <c r="H150" s="8" t="s">
        <v>30</v>
      </c>
      <c r="I150" s="8" t="n">
        <f aca="false">IF(EXACT(G150,H150),1,0)</f>
        <v>1</v>
      </c>
      <c r="J150" s="8" t="n">
        <v>1</v>
      </c>
      <c r="K150" s="8" t="s">
        <v>92</v>
      </c>
      <c r="L150" s="8" t="n">
        <v>0</v>
      </c>
      <c r="M150" s="8" t="n">
        <v>0</v>
      </c>
      <c r="N150" s="8"/>
      <c r="O150" s="8" t="n">
        <v>1</v>
      </c>
      <c r="P150" s="10" t="n">
        <v>11.76</v>
      </c>
      <c r="Q150" s="8" t="n">
        <v>1439</v>
      </c>
      <c r="R150" s="8" t="n">
        <v>117</v>
      </c>
      <c r="S150" s="8" t="s">
        <v>110</v>
      </c>
      <c r="T150" s="8" t="s">
        <v>291</v>
      </c>
      <c r="U150" s="8" t="s">
        <v>292</v>
      </c>
      <c r="V150" s="8"/>
      <c r="W150" s="8" t="s">
        <v>296</v>
      </c>
      <c r="X150" s="8" t="s">
        <v>297</v>
      </c>
      <c r="Y150" s="8" t="s">
        <v>813</v>
      </c>
      <c r="Z150" s="8"/>
    </row>
    <row r="151" customFormat="false" ht="15" hidden="false" customHeight="false" outlineLevel="0" collapsed="false">
      <c r="A151" s="8" t="s">
        <v>295</v>
      </c>
      <c r="B151" s="8" t="s">
        <v>15</v>
      </c>
      <c r="C151" s="8" t="s">
        <v>16</v>
      </c>
      <c r="D151" s="8" t="s">
        <v>615</v>
      </c>
      <c r="E151" s="8" t="s">
        <v>36</v>
      </c>
      <c r="F151" s="8" t="s">
        <v>51</v>
      </c>
      <c r="G151" s="8" t="s">
        <v>30</v>
      </c>
      <c r="H151" s="8" t="s">
        <v>30</v>
      </c>
      <c r="I151" s="8" t="n">
        <f aca="false">IF(EXACT(G151,H151),1,0)</f>
        <v>1</v>
      </c>
      <c r="J151" s="8" t="n">
        <v>2</v>
      </c>
      <c r="K151" s="8" t="s">
        <v>92</v>
      </c>
      <c r="L151" s="8" t="n">
        <v>0</v>
      </c>
      <c r="M151" s="8" t="n">
        <v>0</v>
      </c>
      <c r="N151" s="8"/>
      <c r="O151" s="8" t="n">
        <v>1</v>
      </c>
      <c r="P151" s="10" t="n">
        <v>3.98</v>
      </c>
      <c r="Q151" s="8" t="n">
        <v>1439</v>
      </c>
      <c r="R151" s="8" t="n">
        <v>123</v>
      </c>
      <c r="S151" s="8" t="s">
        <v>110</v>
      </c>
      <c r="T151" s="8" t="s">
        <v>291</v>
      </c>
      <c r="U151" s="8" t="s">
        <v>292</v>
      </c>
      <c r="V151" s="8"/>
      <c r="W151" s="8" t="s">
        <v>296</v>
      </c>
      <c r="X151" s="8" t="s">
        <v>297</v>
      </c>
      <c r="Y151" s="8" t="s">
        <v>814</v>
      </c>
      <c r="Z151" s="8"/>
    </row>
    <row r="152" customFormat="false" ht="15" hidden="false" customHeight="false" outlineLevel="0" collapsed="false">
      <c r="A152" s="8" t="s">
        <v>298</v>
      </c>
      <c r="B152" s="8" t="s">
        <v>15</v>
      </c>
      <c r="C152" s="8" t="s">
        <v>16</v>
      </c>
      <c r="D152" s="8" t="s">
        <v>615</v>
      </c>
      <c r="E152" s="8" t="s">
        <v>36</v>
      </c>
      <c r="F152" s="8" t="s">
        <v>51</v>
      </c>
      <c r="G152" s="8" t="s">
        <v>30</v>
      </c>
      <c r="H152" s="8" t="s">
        <v>30</v>
      </c>
      <c r="I152" s="8" t="n">
        <f aca="false">IF(EXACT(G152,H152),1,0)</f>
        <v>1</v>
      </c>
      <c r="J152" s="8" t="n">
        <v>0</v>
      </c>
      <c r="K152" s="8" t="s">
        <v>92</v>
      </c>
      <c r="L152" s="8" t="n">
        <v>0</v>
      </c>
      <c r="M152" s="8" t="n">
        <v>0</v>
      </c>
      <c r="N152" s="8"/>
      <c r="O152" s="8" t="n">
        <v>1</v>
      </c>
      <c r="P152" s="10" t="n">
        <v>4.11</v>
      </c>
      <c r="Q152" s="8" t="n">
        <v>1433</v>
      </c>
      <c r="R152" s="8" t="n">
        <v>112</v>
      </c>
      <c r="S152" s="8" t="s">
        <v>150</v>
      </c>
      <c r="T152" s="8" t="s">
        <v>291</v>
      </c>
      <c r="U152" s="8" t="s">
        <v>292</v>
      </c>
      <c r="V152" s="8"/>
      <c r="W152" s="8" t="s">
        <v>299</v>
      </c>
      <c r="X152" s="8" t="s">
        <v>300</v>
      </c>
      <c r="Y152" s="8" t="s">
        <v>815</v>
      </c>
      <c r="Z152" s="8"/>
    </row>
    <row r="153" customFormat="false" ht="15" hidden="false" customHeight="false" outlineLevel="0" collapsed="false">
      <c r="A153" s="8" t="s">
        <v>298</v>
      </c>
      <c r="B153" s="8" t="s">
        <v>15</v>
      </c>
      <c r="C153" s="8" t="s">
        <v>16</v>
      </c>
      <c r="D153" s="8" t="s">
        <v>615</v>
      </c>
      <c r="E153" s="8" t="s">
        <v>36</v>
      </c>
      <c r="F153" s="8" t="s">
        <v>51</v>
      </c>
      <c r="G153" s="8" t="s">
        <v>30</v>
      </c>
      <c r="H153" s="8" t="s">
        <v>30</v>
      </c>
      <c r="I153" s="8" t="n">
        <f aca="false">IF(EXACT(G153,H153),1,0)</f>
        <v>1</v>
      </c>
      <c r="J153" s="8" t="n">
        <v>1</v>
      </c>
      <c r="K153" s="8" t="s">
        <v>92</v>
      </c>
      <c r="L153" s="8" t="n">
        <v>0</v>
      </c>
      <c r="M153" s="8" t="n">
        <v>0</v>
      </c>
      <c r="N153" s="8"/>
      <c r="O153" s="8" t="n">
        <v>1</v>
      </c>
      <c r="P153" s="10" t="n">
        <v>3.76</v>
      </c>
      <c r="Q153" s="8" t="n">
        <v>1433</v>
      </c>
      <c r="R153" s="8" t="n">
        <v>107</v>
      </c>
      <c r="S153" s="8" t="s">
        <v>150</v>
      </c>
      <c r="T153" s="8" t="s">
        <v>291</v>
      </c>
      <c r="U153" s="8" t="s">
        <v>292</v>
      </c>
      <c r="V153" s="8"/>
      <c r="W153" s="8" t="s">
        <v>299</v>
      </c>
      <c r="X153" s="8" t="s">
        <v>300</v>
      </c>
      <c r="Y153" s="8" t="s">
        <v>816</v>
      </c>
      <c r="Z153" s="8"/>
    </row>
    <row r="154" customFormat="false" ht="15" hidden="false" customHeight="false" outlineLevel="0" collapsed="false">
      <c r="A154" s="8" t="s">
        <v>298</v>
      </c>
      <c r="B154" s="8" t="s">
        <v>15</v>
      </c>
      <c r="C154" s="8" t="s">
        <v>16</v>
      </c>
      <c r="D154" s="8" t="s">
        <v>615</v>
      </c>
      <c r="E154" s="8" t="s">
        <v>36</v>
      </c>
      <c r="F154" s="8" t="s">
        <v>51</v>
      </c>
      <c r="G154" s="8" t="s">
        <v>30</v>
      </c>
      <c r="H154" s="8" t="s">
        <v>30</v>
      </c>
      <c r="I154" s="8" t="n">
        <f aca="false">IF(EXACT(G154,H154),1,0)</f>
        <v>1</v>
      </c>
      <c r="J154" s="8" t="n">
        <v>2</v>
      </c>
      <c r="K154" s="8" t="s">
        <v>92</v>
      </c>
      <c r="L154" s="8" t="n">
        <v>0</v>
      </c>
      <c r="M154" s="8" t="n">
        <v>0</v>
      </c>
      <c r="N154" s="8"/>
      <c r="O154" s="8" t="n">
        <v>1</v>
      </c>
      <c r="P154" s="10" t="n">
        <v>3.47</v>
      </c>
      <c r="Q154" s="8" t="n">
        <v>1433</v>
      </c>
      <c r="R154" s="8" t="n">
        <v>89</v>
      </c>
      <c r="S154" s="8" t="s">
        <v>150</v>
      </c>
      <c r="T154" s="8" t="s">
        <v>291</v>
      </c>
      <c r="U154" s="8" t="s">
        <v>292</v>
      </c>
      <c r="V154" s="8"/>
      <c r="W154" s="8" t="s">
        <v>299</v>
      </c>
      <c r="X154" s="8" t="s">
        <v>300</v>
      </c>
      <c r="Y154" s="8" t="s">
        <v>817</v>
      </c>
      <c r="Z154" s="8"/>
    </row>
    <row r="155" customFormat="false" ht="15" hidden="false" customHeight="false" outlineLevel="0" collapsed="false">
      <c r="A155" s="8" t="s">
        <v>301</v>
      </c>
      <c r="B155" s="8" t="s">
        <v>15</v>
      </c>
      <c r="C155" s="8" t="s">
        <v>16</v>
      </c>
      <c r="D155" s="8" t="s">
        <v>615</v>
      </c>
      <c r="E155" s="8" t="s">
        <v>36</v>
      </c>
      <c r="F155" s="8" t="s">
        <v>51</v>
      </c>
      <c r="G155" s="8" t="s">
        <v>32</v>
      </c>
      <c r="H155" s="8" t="s">
        <v>32</v>
      </c>
      <c r="I155" s="8" t="n">
        <f aca="false">IF(EXACT(G155,H155),1,0)</f>
        <v>1</v>
      </c>
      <c r="J155" s="8" t="n">
        <v>0</v>
      </c>
      <c r="K155" s="8" t="s">
        <v>92</v>
      </c>
      <c r="L155" s="8" t="n">
        <v>0</v>
      </c>
      <c r="M155" s="8" t="n">
        <v>0</v>
      </c>
      <c r="N155" s="8"/>
      <c r="O155" s="8" t="n">
        <v>1</v>
      </c>
      <c r="P155" s="10" t="n">
        <v>3.19</v>
      </c>
      <c r="Q155" s="8" t="n">
        <v>1395</v>
      </c>
      <c r="R155" s="8" t="n">
        <v>85</v>
      </c>
      <c r="S155" s="8" t="s">
        <v>132</v>
      </c>
      <c r="T155" s="8" t="s">
        <v>291</v>
      </c>
      <c r="U155" s="8" t="s">
        <v>292</v>
      </c>
      <c r="V155" s="8"/>
      <c r="W155" s="8" t="s">
        <v>302</v>
      </c>
      <c r="X155" s="8" t="s">
        <v>303</v>
      </c>
      <c r="Y155" s="8" t="s">
        <v>818</v>
      </c>
      <c r="Z155" s="8"/>
    </row>
    <row r="156" customFormat="false" ht="15" hidden="false" customHeight="false" outlineLevel="0" collapsed="false">
      <c r="A156" s="8" t="s">
        <v>301</v>
      </c>
      <c r="B156" s="8" t="s">
        <v>15</v>
      </c>
      <c r="C156" s="8" t="s">
        <v>16</v>
      </c>
      <c r="D156" s="8" t="s">
        <v>615</v>
      </c>
      <c r="E156" s="8" t="s">
        <v>36</v>
      </c>
      <c r="F156" s="8" t="s">
        <v>51</v>
      </c>
      <c r="G156" s="8" t="s">
        <v>32</v>
      </c>
      <c r="H156" s="8" t="s">
        <v>32</v>
      </c>
      <c r="I156" s="8" t="n">
        <f aca="false">IF(EXACT(G156,H156),1,0)</f>
        <v>1</v>
      </c>
      <c r="J156" s="8" t="n">
        <v>1</v>
      </c>
      <c r="K156" s="8" t="s">
        <v>92</v>
      </c>
      <c r="L156" s="8" t="n">
        <v>0</v>
      </c>
      <c r="M156" s="8" t="n">
        <v>0</v>
      </c>
      <c r="N156" s="8"/>
      <c r="O156" s="8" t="n">
        <v>1</v>
      </c>
      <c r="P156" s="10" t="n">
        <v>3.06</v>
      </c>
      <c r="Q156" s="8" t="n">
        <v>1395</v>
      </c>
      <c r="R156" s="8" t="n">
        <v>78</v>
      </c>
      <c r="S156" s="8" t="s">
        <v>132</v>
      </c>
      <c r="T156" s="8" t="s">
        <v>291</v>
      </c>
      <c r="U156" s="8" t="s">
        <v>292</v>
      </c>
      <c r="V156" s="8"/>
      <c r="W156" s="8" t="s">
        <v>302</v>
      </c>
      <c r="X156" s="8" t="s">
        <v>303</v>
      </c>
      <c r="Y156" s="8" t="s">
        <v>819</v>
      </c>
      <c r="Z156" s="8"/>
    </row>
    <row r="157" customFormat="false" ht="15" hidden="false" customHeight="false" outlineLevel="0" collapsed="false">
      <c r="A157" s="8" t="s">
        <v>301</v>
      </c>
      <c r="B157" s="8" t="s">
        <v>15</v>
      </c>
      <c r="C157" s="8" t="s">
        <v>16</v>
      </c>
      <c r="D157" s="8" t="s">
        <v>615</v>
      </c>
      <c r="E157" s="8" t="s">
        <v>36</v>
      </c>
      <c r="F157" s="8" t="s">
        <v>51</v>
      </c>
      <c r="G157" s="8" t="s">
        <v>32</v>
      </c>
      <c r="H157" s="8" t="s">
        <v>32</v>
      </c>
      <c r="I157" s="8" t="n">
        <f aca="false">IF(EXACT(G157,H157),1,0)</f>
        <v>1</v>
      </c>
      <c r="J157" s="8" t="n">
        <v>2</v>
      </c>
      <c r="K157" s="8" t="s">
        <v>92</v>
      </c>
      <c r="L157" s="8" t="n">
        <v>0</v>
      </c>
      <c r="M157" s="8" t="n">
        <v>0</v>
      </c>
      <c r="N157" s="8"/>
      <c r="O157" s="8" t="n">
        <v>1</v>
      </c>
      <c r="P157" s="10" t="n">
        <v>3.39</v>
      </c>
      <c r="Q157" s="8" t="n">
        <v>1395</v>
      </c>
      <c r="R157" s="8" t="n">
        <v>77</v>
      </c>
      <c r="S157" s="8" t="s">
        <v>132</v>
      </c>
      <c r="T157" s="8" t="s">
        <v>291</v>
      </c>
      <c r="U157" s="8" t="s">
        <v>292</v>
      </c>
      <c r="V157" s="8"/>
      <c r="W157" s="8" t="s">
        <v>302</v>
      </c>
      <c r="X157" s="8" t="s">
        <v>303</v>
      </c>
      <c r="Y157" s="8" t="s">
        <v>820</v>
      </c>
      <c r="Z157" s="8"/>
    </row>
    <row r="158" customFormat="false" ht="15" hidden="false" customHeight="false" outlineLevel="0" collapsed="false">
      <c r="A158" s="8" t="s">
        <v>304</v>
      </c>
      <c r="B158" s="8" t="s">
        <v>15</v>
      </c>
      <c r="C158" s="8" t="s">
        <v>16</v>
      </c>
      <c r="D158" s="8" t="s">
        <v>615</v>
      </c>
      <c r="E158" s="8" t="s">
        <v>36</v>
      </c>
      <c r="F158" s="8" t="s">
        <v>51</v>
      </c>
      <c r="G158" s="8" t="s">
        <v>31</v>
      </c>
      <c r="H158" s="8" t="s">
        <v>31</v>
      </c>
      <c r="I158" s="8" t="n">
        <f aca="false">IF(EXACT(G158,H158),1,0)</f>
        <v>1</v>
      </c>
      <c r="J158" s="8" t="n">
        <v>0</v>
      </c>
      <c r="K158" s="8" t="s">
        <v>140</v>
      </c>
      <c r="L158" s="8" t="n">
        <v>1</v>
      </c>
      <c r="M158" s="8" t="n">
        <v>0</v>
      </c>
      <c r="N158" s="8"/>
      <c r="O158" s="8" t="n">
        <v>1</v>
      </c>
      <c r="P158" s="10" t="n">
        <v>8.24</v>
      </c>
      <c r="Q158" s="8" t="n">
        <v>1412</v>
      </c>
      <c r="R158" s="8" t="n">
        <v>261</v>
      </c>
      <c r="S158" s="8" t="s">
        <v>117</v>
      </c>
      <c r="T158" s="8" t="s">
        <v>291</v>
      </c>
      <c r="U158" s="8" t="s">
        <v>292</v>
      </c>
      <c r="V158" s="8"/>
      <c r="W158" s="8" t="s">
        <v>305</v>
      </c>
      <c r="X158" s="8" t="s">
        <v>306</v>
      </c>
      <c r="Y158" s="8" t="s">
        <v>821</v>
      </c>
      <c r="Z158" s="8" t="s">
        <v>822</v>
      </c>
    </row>
    <row r="159" customFormat="false" ht="15" hidden="false" customHeight="false" outlineLevel="0" collapsed="false">
      <c r="A159" s="8" t="s">
        <v>304</v>
      </c>
      <c r="B159" s="8" t="s">
        <v>15</v>
      </c>
      <c r="C159" s="8" t="s">
        <v>16</v>
      </c>
      <c r="D159" s="8" t="s">
        <v>615</v>
      </c>
      <c r="E159" s="8" t="s">
        <v>36</v>
      </c>
      <c r="F159" s="8" t="s">
        <v>51</v>
      </c>
      <c r="G159" s="8" t="s">
        <v>31</v>
      </c>
      <c r="H159" s="8" t="s">
        <v>31</v>
      </c>
      <c r="I159" s="8" t="n">
        <f aca="false">IF(EXACT(G159,H159),1,0)</f>
        <v>1</v>
      </c>
      <c r="J159" s="8" t="n">
        <v>1</v>
      </c>
      <c r="K159" s="8" t="s">
        <v>140</v>
      </c>
      <c r="L159" s="8" t="n">
        <v>1</v>
      </c>
      <c r="M159" s="8" t="n">
        <v>0</v>
      </c>
      <c r="N159" s="8"/>
      <c r="O159" s="8" t="n">
        <v>1</v>
      </c>
      <c r="P159" s="10" t="n">
        <v>6.7</v>
      </c>
      <c r="Q159" s="8" t="n">
        <v>1412</v>
      </c>
      <c r="R159" s="8" t="n">
        <v>260</v>
      </c>
      <c r="S159" s="8" t="s">
        <v>117</v>
      </c>
      <c r="T159" s="8" t="s">
        <v>291</v>
      </c>
      <c r="U159" s="8" t="s">
        <v>292</v>
      </c>
      <c r="V159" s="8"/>
      <c r="W159" s="8" t="s">
        <v>305</v>
      </c>
      <c r="X159" s="8" t="s">
        <v>306</v>
      </c>
      <c r="Y159" s="8" t="s">
        <v>823</v>
      </c>
      <c r="Z159" s="8" t="s">
        <v>824</v>
      </c>
    </row>
    <row r="160" customFormat="false" ht="15" hidden="false" customHeight="false" outlineLevel="0" collapsed="false">
      <c r="A160" s="8" t="s">
        <v>304</v>
      </c>
      <c r="B160" s="8" t="s">
        <v>15</v>
      </c>
      <c r="C160" s="8" t="s">
        <v>16</v>
      </c>
      <c r="D160" s="8" t="s">
        <v>615</v>
      </c>
      <c r="E160" s="8" t="s">
        <v>36</v>
      </c>
      <c r="F160" s="8" t="s">
        <v>51</v>
      </c>
      <c r="G160" s="8" t="s">
        <v>31</v>
      </c>
      <c r="H160" s="8" t="s">
        <v>31</v>
      </c>
      <c r="I160" s="8" t="n">
        <f aca="false">IF(EXACT(G160,H160),1,0)</f>
        <v>1</v>
      </c>
      <c r="J160" s="8" t="n">
        <v>2</v>
      </c>
      <c r="K160" s="8" t="s">
        <v>140</v>
      </c>
      <c r="L160" s="8" t="n">
        <v>1</v>
      </c>
      <c r="M160" s="8" t="n">
        <v>0</v>
      </c>
      <c r="N160" s="8"/>
      <c r="O160" s="8" t="n">
        <v>1</v>
      </c>
      <c r="P160" s="10" t="n">
        <v>6.64</v>
      </c>
      <c r="Q160" s="8" t="n">
        <v>1412</v>
      </c>
      <c r="R160" s="8" t="n">
        <v>257</v>
      </c>
      <c r="S160" s="8" t="s">
        <v>117</v>
      </c>
      <c r="T160" s="8" t="s">
        <v>291</v>
      </c>
      <c r="U160" s="8" t="s">
        <v>292</v>
      </c>
      <c r="V160" s="8"/>
      <c r="W160" s="8" t="s">
        <v>305</v>
      </c>
      <c r="X160" s="8" t="s">
        <v>306</v>
      </c>
      <c r="Y160" s="8" t="s">
        <v>825</v>
      </c>
      <c r="Z160" s="8" t="s">
        <v>826</v>
      </c>
    </row>
    <row r="161" customFormat="false" ht="15" hidden="false" customHeight="false" outlineLevel="0" collapsed="false">
      <c r="A161" s="8" t="s">
        <v>307</v>
      </c>
      <c r="B161" s="8" t="s">
        <v>15</v>
      </c>
      <c r="C161" s="8" t="s">
        <v>16</v>
      </c>
      <c r="D161" s="8" t="s">
        <v>615</v>
      </c>
      <c r="E161" s="8" t="s">
        <v>36</v>
      </c>
      <c r="F161" s="8" t="s">
        <v>51</v>
      </c>
      <c r="G161" s="8" t="s">
        <v>31</v>
      </c>
      <c r="H161" s="8" t="s">
        <v>31</v>
      </c>
      <c r="I161" s="8" t="n">
        <f aca="false">IF(EXACT(G161,H161),1,0)</f>
        <v>1</v>
      </c>
      <c r="J161" s="8" t="n">
        <v>0</v>
      </c>
      <c r="K161" s="8" t="s">
        <v>140</v>
      </c>
      <c r="L161" s="8" t="n">
        <v>1</v>
      </c>
      <c r="M161" s="8" t="n">
        <v>0</v>
      </c>
      <c r="N161" s="8"/>
      <c r="O161" s="8" t="n">
        <v>1</v>
      </c>
      <c r="P161" s="10" t="n">
        <v>5.68</v>
      </c>
      <c r="Q161" s="8" t="n">
        <v>1356</v>
      </c>
      <c r="R161" s="8" t="n">
        <v>239</v>
      </c>
      <c r="S161" s="8" t="s">
        <v>308</v>
      </c>
      <c r="T161" s="8"/>
      <c r="U161" s="8"/>
      <c r="V161" s="8" t="s">
        <v>309</v>
      </c>
      <c r="W161" s="8"/>
      <c r="X161" s="8" t="s">
        <v>310</v>
      </c>
      <c r="Y161" s="8" t="s">
        <v>827</v>
      </c>
      <c r="Z161" s="8" t="s">
        <v>828</v>
      </c>
    </row>
    <row r="162" customFormat="false" ht="15" hidden="false" customHeight="false" outlineLevel="0" collapsed="false">
      <c r="A162" s="8" t="s">
        <v>307</v>
      </c>
      <c r="B162" s="8" t="s">
        <v>15</v>
      </c>
      <c r="C162" s="8" t="s">
        <v>16</v>
      </c>
      <c r="D162" s="8" t="s">
        <v>615</v>
      </c>
      <c r="E162" s="8" t="s">
        <v>36</v>
      </c>
      <c r="F162" s="8" t="s">
        <v>51</v>
      </c>
      <c r="G162" s="8" t="s">
        <v>31</v>
      </c>
      <c r="H162" s="8" t="s">
        <v>31</v>
      </c>
      <c r="I162" s="8" t="n">
        <f aca="false">IF(EXACT(G162,H162),1,0)</f>
        <v>1</v>
      </c>
      <c r="J162" s="8" t="n">
        <v>1</v>
      </c>
      <c r="K162" s="8" t="s">
        <v>140</v>
      </c>
      <c r="L162" s="8" t="n">
        <v>1</v>
      </c>
      <c r="M162" s="8" t="n">
        <v>0</v>
      </c>
      <c r="N162" s="8"/>
      <c r="O162" s="8" t="n">
        <v>1</v>
      </c>
      <c r="P162" s="10" t="n">
        <v>6.37</v>
      </c>
      <c r="Q162" s="8" t="n">
        <v>1356</v>
      </c>
      <c r="R162" s="8" t="n">
        <v>257</v>
      </c>
      <c r="S162" s="8" t="s">
        <v>308</v>
      </c>
      <c r="T162" s="8"/>
      <c r="U162" s="8"/>
      <c r="V162" s="8" t="s">
        <v>309</v>
      </c>
      <c r="W162" s="8"/>
      <c r="X162" s="8" t="s">
        <v>310</v>
      </c>
      <c r="Y162" s="8" t="s">
        <v>829</v>
      </c>
      <c r="Z162" s="8" t="s">
        <v>830</v>
      </c>
    </row>
    <row r="163" customFormat="false" ht="15" hidden="false" customHeight="false" outlineLevel="0" collapsed="false">
      <c r="A163" s="8" t="s">
        <v>307</v>
      </c>
      <c r="B163" s="8" t="s">
        <v>15</v>
      </c>
      <c r="C163" s="8" t="s">
        <v>16</v>
      </c>
      <c r="D163" s="8" t="s">
        <v>615</v>
      </c>
      <c r="E163" s="8" t="s">
        <v>36</v>
      </c>
      <c r="F163" s="8" t="s">
        <v>51</v>
      </c>
      <c r="G163" s="8" t="s">
        <v>31</v>
      </c>
      <c r="H163" s="8" t="s">
        <v>31</v>
      </c>
      <c r="I163" s="8" t="n">
        <f aca="false">IF(EXACT(G163,H163),1,0)</f>
        <v>1</v>
      </c>
      <c r="J163" s="8" t="n">
        <v>2</v>
      </c>
      <c r="K163" s="8" t="s">
        <v>140</v>
      </c>
      <c r="L163" s="8" t="n">
        <v>1</v>
      </c>
      <c r="M163" s="8" t="n">
        <v>0</v>
      </c>
      <c r="N163" s="8"/>
      <c r="O163" s="8" t="n">
        <v>1</v>
      </c>
      <c r="P163" s="10" t="n">
        <v>5.86</v>
      </c>
      <c r="Q163" s="8" t="n">
        <v>1356</v>
      </c>
      <c r="R163" s="8" t="n">
        <v>242</v>
      </c>
      <c r="S163" s="8" t="s">
        <v>308</v>
      </c>
      <c r="T163" s="8"/>
      <c r="U163" s="8"/>
      <c r="V163" s="8" t="s">
        <v>309</v>
      </c>
      <c r="W163" s="8"/>
      <c r="X163" s="8" t="s">
        <v>310</v>
      </c>
      <c r="Y163" s="8" t="s">
        <v>831</v>
      </c>
      <c r="Z163" s="8" t="s">
        <v>832</v>
      </c>
    </row>
    <row r="164" customFormat="false" ht="15" hidden="false" customHeight="false" outlineLevel="0" collapsed="false">
      <c r="A164" s="8" t="s">
        <v>312</v>
      </c>
      <c r="B164" s="8" t="s">
        <v>15</v>
      </c>
      <c r="C164" s="8" t="s">
        <v>16</v>
      </c>
      <c r="D164" s="8" t="s">
        <v>615</v>
      </c>
      <c r="E164" s="8" t="s">
        <v>36</v>
      </c>
      <c r="F164" s="8" t="s">
        <v>57</v>
      </c>
      <c r="G164" s="8" t="s">
        <v>31</v>
      </c>
      <c r="H164" s="8" t="s">
        <v>31</v>
      </c>
      <c r="I164" s="8" t="n">
        <f aca="false">IF(EXACT(G164,H164),1,0)</f>
        <v>1</v>
      </c>
      <c r="J164" s="8" t="n">
        <v>0</v>
      </c>
      <c r="K164" s="8" t="s">
        <v>116</v>
      </c>
      <c r="L164" s="8" t="n">
        <v>1</v>
      </c>
      <c r="M164" s="8" t="n">
        <v>0</v>
      </c>
      <c r="N164" s="8"/>
      <c r="O164" s="8" t="n">
        <v>1</v>
      </c>
      <c r="P164" s="10" t="n">
        <v>7.64</v>
      </c>
      <c r="Q164" s="8" t="n">
        <v>1418</v>
      </c>
      <c r="R164" s="8" t="n">
        <v>342</v>
      </c>
      <c r="S164" s="8" t="s">
        <v>313</v>
      </c>
      <c r="T164" s="8"/>
      <c r="U164" s="8"/>
      <c r="V164" s="8" t="s">
        <v>155</v>
      </c>
      <c r="W164" s="8"/>
      <c r="X164" s="8" t="s">
        <v>314</v>
      </c>
      <c r="Y164" s="8" t="s">
        <v>833</v>
      </c>
      <c r="Z164" s="8" t="s">
        <v>834</v>
      </c>
    </row>
    <row r="165" customFormat="false" ht="15" hidden="false" customHeight="false" outlineLevel="0" collapsed="false">
      <c r="A165" s="8" t="s">
        <v>312</v>
      </c>
      <c r="B165" s="8" t="s">
        <v>15</v>
      </c>
      <c r="C165" s="8" t="s">
        <v>16</v>
      </c>
      <c r="D165" s="8" t="s">
        <v>615</v>
      </c>
      <c r="E165" s="8" t="s">
        <v>36</v>
      </c>
      <c r="F165" s="8" t="s">
        <v>57</v>
      </c>
      <c r="G165" s="8" t="s">
        <v>31</v>
      </c>
      <c r="H165" s="8" t="s">
        <v>31</v>
      </c>
      <c r="I165" s="8" t="n">
        <f aca="false">IF(EXACT(G165,H165),1,0)</f>
        <v>1</v>
      </c>
      <c r="J165" s="8" t="n">
        <v>1</v>
      </c>
      <c r="K165" s="8" t="s">
        <v>116</v>
      </c>
      <c r="L165" s="8" t="n">
        <v>1</v>
      </c>
      <c r="M165" s="8" t="n">
        <v>0</v>
      </c>
      <c r="N165" s="8"/>
      <c r="O165" s="8" t="n">
        <v>1</v>
      </c>
      <c r="P165" s="10" t="n">
        <v>7.78</v>
      </c>
      <c r="Q165" s="8" t="n">
        <v>1418</v>
      </c>
      <c r="R165" s="8" t="n">
        <v>366</v>
      </c>
      <c r="S165" s="8" t="s">
        <v>313</v>
      </c>
      <c r="T165" s="8"/>
      <c r="U165" s="8"/>
      <c r="V165" s="8" t="s">
        <v>155</v>
      </c>
      <c r="W165" s="8"/>
      <c r="X165" s="8" t="s">
        <v>314</v>
      </c>
      <c r="Y165" s="8" t="s">
        <v>835</v>
      </c>
      <c r="Z165" s="8" t="s">
        <v>836</v>
      </c>
    </row>
    <row r="166" customFormat="false" ht="15" hidden="false" customHeight="false" outlineLevel="0" collapsed="false">
      <c r="A166" s="8" t="s">
        <v>312</v>
      </c>
      <c r="B166" s="8" t="s">
        <v>15</v>
      </c>
      <c r="C166" s="8" t="s">
        <v>16</v>
      </c>
      <c r="D166" s="8" t="s">
        <v>615</v>
      </c>
      <c r="E166" s="8" t="s">
        <v>36</v>
      </c>
      <c r="F166" s="8" t="s">
        <v>57</v>
      </c>
      <c r="G166" s="8" t="s">
        <v>31</v>
      </c>
      <c r="H166" s="8" t="s">
        <v>31</v>
      </c>
      <c r="I166" s="8" t="n">
        <f aca="false">IF(EXACT(G166,H166),1,0)</f>
        <v>1</v>
      </c>
      <c r="J166" s="8" t="n">
        <v>2</v>
      </c>
      <c r="K166" s="8" t="s">
        <v>116</v>
      </c>
      <c r="L166" s="8" t="n">
        <v>1</v>
      </c>
      <c r="M166" s="8" t="n">
        <v>0</v>
      </c>
      <c r="N166" s="8"/>
      <c r="O166" s="8" t="n">
        <v>1</v>
      </c>
      <c r="P166" s="10" t="n">
        <v>8.46</v>
      </c>
      <c r="Q166" s="8" t="n">
        <v>1418</v>
      </c>
      <c r="R166" s="8" t="n">
        <v>356</v>
      </c>
      <c r="S166" s="8" t="s">
        <v>313</v>
      </c>
      <c r="T166" s="8"/>
      <c r="U166" s="8"/>
      <c r="V166" s="8" t="s">
        <v>155</v>
      </c>
      <c r="W166" s="8"/>
      <c r="X166" s="8" t="s">
        <v>314</v>
      </c>
      <c r="Y166" s="8" t="s">
        <v>837</v>
      </c>
      <c r="Z166" s="8" t="s">
        <v>838</v>
      </c>
    </row>
    <row r="167" customFormat="false" ht="15" hidden="false" customHeight="false" outlineLevel="0" collapsed="false">
      <c r="A167" s="8" t="s">
        <v>315</v>
      </c>
      <c r="B167" s="8" t="s">
        <v>15</v>
      </c>
      <c r="C167" s="8" t="s">
        <v>16</v>
      </c>
      <c r="D167" s="8" t="s">
        <v>615</v>
      </c>
      <c r="E167" s="8" t="s">
        <v>36</v>
      </c>
      <c r="F167" s="8" t="s">
        <v>57</v>
      </c>
      <c r="G167" s="8" t="s">
        <v>31</v>
      </c>
      <c r="H167" s="8" t="s">
        <v>30</v>
      </c>
      <c r="I167" s="8" t="n">
        <f aca="false">IF(EXACT(G167,H167),1,0)</f>
        <v>0</v>
      </c>
      <c r="J167" s="8" t="n">
        <v>0</v>
      </c>
      <c r="K167" s="8" t="s">
        <v>92</v>
      </c>
      <c r="L167" s="8" t="n">
        <v>0</v>
      </c>
      <c r="M167" s="8" t="n">
        <v>0</v>
      </c>
      <c r="N167" s="8"/>
      <c r="O167" s="8" t="n">
        <v>1</v>
      </c>
      <c r="P167" s="10" t="n">
        <v>4.39</v>
      </c>
      <c r="Q167" s="8" t="n">
        <v>1416</v>
      </c>
      <c r="R167" s="8" t="n">
        <v>98</v>
      </c>
      <c r="S167" s="8" t="s">
        <v>316</v>
      </c>
      <c r="T167" s="8"/>
      <c r="U167" s="8"/>
      <c r="V167" s="8" t="s">
        <v>155</v>
      </c>
      <c r="W167" s="8"/>
      <c r="X167" s="8" t="s">
        <v>317</v>
      </c>
      <c r="Y167" s="8" t="s">
        <v>839</v>
      </c>
      <c r="Z167" s="8"/>
    </row>
    <row r="168" customFormat="false" ht="15" hidden="false" customHeight="false" outlineLevel="0" collapsed="false">
      <c r="A168" s="8" t="s">
        <v>315</v>
      </c>
      <c r="B168" s="8" t="s">
        <v>15</v>
      </c>
      <c r="C168" s="8" t="s">
        <v>16</v>
      </c>
      <c r="D168" s="8" t="s">
        <v>615</v>
      </c>
      <c r="E168" s="8" t="s">
        <v>36</v>
      </c>
      <c r="F168" s="8" t="s">
        <v>57</v>
      </c>
      <c r="G168" s="8" t="s">
        <v>31</v>
      </c>
      <c r="H168" s="8" t="s">
        <v>30</v>
      </c>
      <c r="I168" s="8" t="n">
        <f aca="false">IF(EXACT(G168,H168),1,0)</f>
        <v>0</v>
      </c>
      <c r="J168" s="8" t="n">
        <v>1</v>
      </c>
      <c r="K168" s="8" t="s">
        <v>92</v>
      </c>
      <c r="L168" s="8" t="n">
        <v>0</v>
      </c>
      <c r="M168" s="8" t="n">
        <v>0</v>
      </c>
      <c r="N168" s="8"/>
      <c r="O168" s="8" t="n">
        <v>1</v>
      </c>
      <c r="P168" s="10" t="n">
        <v>3.31</v>
      </c>
      <c r="Q168" s="8" t="n">
        <v>1416</v>
      </c>
      <c r="R168" s="8" t="n">
        <v>98</v>
      </c>
      <c r="S168" s="8" t="s">
        <v>316</v>
      </c>
      <c r="T168" s="8"/>
      <c r="U168" s="8"/>
      <c r="V168" s="8" t="s">
        <v>155</v>
      </c>
      <c r="W168" s="8"/>
      <c r="X168" s="8" t="s">
        <v>317</v>
      </c>
      <c r="Y168" s="8" t="s">
        <v>839</v>
      </c>
      <c r="Z168" s="8"/>
    </row>
    <row r="169" customFormat="false" ht="15" hidden="false" customHeight="false" outlineLevel="0" collapsed="false">
      <c r="A169" s="8" t="s">
        <v>315</v>
      </c>
      <c r="B169" s="8" t="s">
        <v>15</v>
      </c>
      <c r="C169" s="8" t="s">
        <v>16</v>
      </c>
      <c r="D169" s="8" t="s">
        <v>615</v>
      </c>
      <c r="E169" s="8" t="s">
        <v>36</v>
      </c>
      <c r="F169" s="8" t="s">
        <v>57</v>
      </c>
      <c r="G169" s="8" t="s">
        <v>31</v>
      </c>
      <c r="H169" s="8" t="s">
        <v>30</v>
      </c>
      <c r="I169" s="8" t="n">
        <f aca="false">IF(EXACT(G169,H169),1,0)</f>
        <v>0</v>
      </c>
      <c r="J169" s="8" t="n">
        <v>2</v>
      </c>
      <c r="K169" s="8" t="s">
        <v>92</v>
      </c>
      <c r="L169" s="8" t="n">
        <v>0</v>
      </c>
      <c r="M169" s="8" t="n">
        <v>0</v>
      </c>
      <c r="N169" s="8"/>
      <c r="O169" s="8" t="n">
        <v>1</v>
      </c>
      <c r="P169" s="10" t="n">
        <v>3.21</v>
      </c>
      <c r="Q169" s="8" t="n">
        <v>1416</v>
      </c>
      <c r="R169" s="8" t="n">
        <v>89</v>
      </c>
      <c r="S169" s="8" t="s">
        <v>316</v>
      </c>
      <c r="T169" s="8"/>
      <c r="U169" s="8"/>
      <c r="V169" s="8" t="s">
        <v>155</v>
      </c>
      <c r="W169" s="8"/>
      <c r="X169" s="8" t="s">
        <v>317</v>
      </c>
      <c r="Y169" s="8" t="s">
        <v>840</v>
      </c>
      <c r="Z169" s="8"/>
    </row>
    <row r="170" customFormat="false" ht="15" hidden="false" customHeight="false" outlineLevel="0" collapsed="false">
      <c r="A170" s="8" t="s">
        <v>318</v>
      </c>
      <c r="B170" s="8" t="s">
        <v>15</v>
      </c>
      <c r="C170" s="8" t="s">
        <v>16</v>
      </c>
      <c r="D170" s="8" t="s">
        <v>615</v>
      </c>
      <c r="E170" s="8" t="s">
        <v>36</v>
      </c>
      <c r="F170" s="8" t="s">
        <v>57</v>
      </c>
      <c r="G170" s="8" t="s">
        <v>32</v>
      </c>
      <c r="H170" s="8" t="s">
        <v>30</v>
      </c>
      <c r="I170" s="8" t="n">
        <f aca="false">IF(EXACT(G170,H170),1,0)</f>
        <v>0</v>
      </c>
      <c r="J170" s="8" t="n">
        <v>0</v>
      </c>
      <c r="K170" s="8" t="s">
        <v>92</v>
      </c>
      <c r="L170" s="8" t="n">
        <v>0</v>
      </c>
      <c r="M170" s="8" t="n">
        <v>0</v>
      </c>
      <c r="N170" s="8"/>
      <c r="O170" s="8" t="n">
        <v>1</v>
      </c>
      <c r="P170" s="10" t="n">
        <v>3.22</v>
      </c>
      <c r="Q170" s="8" t="n">
        <v>1362</v>
      </c>
      <c r="R170" s="8" t="n">
        <v>89</v>
      </c>
      <c r="S170" s="8" t="s">
        <v>319</v>
      </c>
      <c r="T170" s="8"/>
      <c r="U170" s="8"/>
      <c r="V170" s="8" t="s">
        <v>155</v>
      </c>
      <c r="W170" s="8"/>
      <c r="X170" s="8" t="s">
        <v>320</v>
      </c>
      <c r="Y170" s="8" t="s">
        <v>841</v>
      </c>
      <c r="Z170" s="8"/>
    </row>
    <row r="171" customFormat="false" ht="15" hidden="false" customHeight="false" outlineLevel="0" collapsed="false">
      <c r="A171" s="8" t="s">
        <v>318</v>
      </c>
      <c r="B171" s="8" t="s">
        <v>15</v>
      </c>
      <c r="C171" s="8" t="s">
        <v>16</v>
      </c>
      <c r="D171" s="8" t="s">
        <v>615</v>
      </c>
      <c r="E171" s="8" t="s">
        <v>36</v>
      </c>
      <c r="F171" s="8" t="s">
        <v>57</v>
      </c>
      <c r="G171" s="8" t="s">
        <v>32</v>
      </c>
      <c r="H171" s="8" t="s">
        <v>30</v>
      </c>
      <c r="I171" s="8" t="n">
        <f aca="false">IF(EXACT(G171,H171),1,0)</f>
        <v>0</v>
      </c>
      <c r="J171" s="8" t="n">
        <v>1</v>
      </c>
      <c r="K171" s="8" t="s">
        <v>92</v>
      </c>
      <c r="L171" s="8" t="n">
        <v>0</v>
      </c>
      <c r="M171" s="8" t="n">
        <v>0</v>
      </c>
      <c r="N171" s="8"/>
      <c r="O171" s="8" t="n">
        <v>1</v>
      </c>
      <c r="P171" s="10" t="n">
        <v>2.97</v>
      </c>
      <c r="Q171" s="8" t="n">
        <v>1362</v>
      </c>
      <c r="R171" s="8" t="n">
        <v>81</v>
      </c>
      <c r="S171" s="8" t="s">
        <v>319</v>
      </c>
      <c r="T171" s="8"/>
      <c r="U171" s="8"/>
      <c r="V171" s="8" t="s">
        <v>155</v>
      </c>
      <c r="W171" s="8"/>
      <c r="X171" s="8" t="s">
        <v>320</v>
      </c>
      <c r="Y171" s="8" t="s">
        <v>842</v>
      </c>
      <c r="Z171" s="8"/>
    </row>
    <row r="172" customFormat="false" ht="15" hidden="false" customHeight="false" outlineLevel="0" collapsed="false">
      <c r="A172" s="8" t="s">
        <v>318</v>
      </c>
      <c r="B172" s="8" t="s">
        <v>15</v>
      </c>
      <c r="C172" s="8" t="s">
        <v>16</v>
      </c>
      <c r="D172" s="8" t="s">
        <v>615</v>
      </c>
      <c r="E172" s="8" t="s">
        <v>36</v>
      </c>
      <c r="F172" s="8" t="s">
        <v>57</v>
      </c>
      <c r="G172" s="8" t="s">
        <v>32</v>
      </c>
      <c r="H172" s="8" t="s">
        <v>30</v>
      </c>
      <c r="I172" s="8" t="n">
        <f aca="false">IF(EXACT(G172,H172),1,0)</f>
        <v>0</v>
      </c>
      <c r="J172" s="8" t="n">
        <v>2</v>
      </c>
      <c r="K172" s="8" t="s">
        <v>92</v>
      </c>
      <c r="L172" s="8" t="n">
        <v>0</v>
      </c>
      <c r="M172" s="8" t="n">
        <v>0</v>
      </c>
      <c r="N172" s="8"/>
      <c r="O172" s="8" t="n">
        <v>1</v>
      </c>
      <c r="P172" s="10" t="n">
        <v>3.07</v>
      </c>
      <c r="Q172" s="8" t="n">
        <v>1362</v>
      </c>
      <c r="R172" s="8" t="n">
        <v>81</v>
      </c>
      <c r="S172" s="8" t="s">
        <v>319</v>
      </c>
      <c r="T172" s="8"/>
      <c r="U172" s="8"/>
      <c r="V172" s="8" t="s">
        <v>155</v>
      </c>
      <c r="W172" s="8"/>
      <c r="X172" s="8" t="s">
        <v>320</v>
      </c>
      <c r="Y172" s="8" t="s">
        <v>842</v>
      </c>
      <c r="Z172" s="8"/>
    </row>
    <row r="173" customFormat="false" ht="15" hidden="false" customHeight="false" outlineLevel="0" collapsed="false">
      <c r="A173" s="8" t="s">
        <v>321</v>
      </c>
      <c r="B173" s="8" t="s">
        <v>15</v>
      </c>
      <c r="C173" s="8" t="s">
        <v>16</v>
      </c>
      <c r="D173" s="8" t="s">
        <v>615</v>
      </c>
      <c r="E173" s="8" t="s">
        <v>36</v>
      </c>
      <c r="F173" s="8" t="s">
        <v>57</v>
      </c>
      <c r="G173" s="8" t="s">
        <v>32</v>
      </c>
      <c r="H173" s="8" t="s">
        <v>32</v>
      </c>
      <c r="I173" s="8" t="n">
        <f aca="false">IF(EXACT(G173,H173),1,0)</f>
        <v>1</v>
      </c>
      <c r="J173" s="8" t="n">
        <v>0</v>
      </c>
      <c r="K173" s="8" t="s">
        <v>92</v>
      </c>
      <c r="L173" s="8" t="n">
        <v>0</v>
      </c>
      <c r="M173" s="8" t="n">
        <v>0</v>
      </c>
      <c r="N173" s="8"/>
      <c r="O173" s="8" t="n">
        <v>1</v>
      </c>
      <c r="P173" s="10" t="n">
        <v>3.24</v>
      </c>
      <c r="Q173" s="8" t="n">
        <v>1407</v>
      </c>
      <c r="R173" s="8" t="n">
        <v>79</v>
      </c>
      <c r="S173" s="8" t="s">
        <v>322</v>
      </c>
      <c r="T173" s="8"/>
      <c r="U173" s="8"/>
      <c r="V173" s="8" t="s">
        <v>155</v>
      </c>
      <c r="W173" s="8"/>
      <c r="X173" s="8" t="s">
        <v>323</v>
      </c>
      <c r="Y173" s="8" t="s">
        <v>843</v>
      </c>
      <c r="Z173" s="8"/>
    </row>
    <row r="174" customFormat="false" ht="15" hidden="false" customHeight="false" outlineLevel="0" collapsed="false">
      <c r="A174" s="8" t="s">
        <v>321</v>
      </c>
      <c r="B174" s="8" t="s">
        <v>15</v>
      </c>
      <c r="C174" s="8" t="s">
        <v>16</v>
      </c>
      <c r="D174" s="8" t="s">
        <v>615</v>
      </c>
      <c r="E174" s="8" t="s">
        <v>36</v>
      </c>
      <c r="F174" s="8" t="s">
        <v>57</v>
      </c>
      <c r="G174" s="8" t="s">
        <v>32</v>
      </c>
      <c r="H174" s="8" t="s">
        <v>32</v>
      </c>
      <c r="I174" s="8" t="n">
        <f aca="false">IF(EXACT(G174,H174),1,0)</f>
        <v>1</v>
      </c>
      <c r="J174" s="8" t="n">
        <v>1</v>
      </c>
      <c r="K174" s="8" t="s">
        <v>92</v>
      </c>
      <c r="L174" s="8" t="n">
        <v>0</v>
      </c>
      <c r="M174" s="8" t="n">
        <v>0</v>
      </c>
      <c r="N174" s="8"/>
      <c r="O174" s="8" t="n">
        <v>1</v>
      </c>
      <c r="P174" s="10" t="n">
        <v>3.38</v>
      </c>
      <c r="Q174" s="8" t="n">
        <v>1407</v>
      </c>
      <c r="R174" s="8" t="n">
        <v>89</v>
      </c>
      <c r="S174" s="8" t="s">
        <v>322</v>
      </c>
      <c r="T174" s="8"/>
      <c r="U174" s="8"/>
      <c r="V174" s="8" t="s">
        <v>155</v>
      </c>
      <c r="W174" s="8"/>
      <c r="X174" s="8" t="s">
        <v>323</v>
      </c>
      <c r="Y174" s="8" t="s">
        <v>844</v>
      </c>
      <c r="Z174" s="8"/>
    </row>
    <row r="175" customFormat="false" ht="15" hidden="false" customHeight="false" outlineLevel="0" collapsed="false">
      <c r="A175" s="8" t="s">
        <v>321</v>
      </c>
      <c r="B175" s="8" t="s">
        <v>15</v>
      </c>
      <c r="C175" s="8" t="s">
        <v>16</v>
      </c>
      <c r="D175" s="8" t="s">
        <v>615</v>
      </c>
      <c r="E175" s="8" t="s">
        <v>36</v>
      </c>
      <c r="F175" s="8" t="s">
        <v>57</v>
      </c>
      <c r="G175" s="8" t="s">
        <v>32</v>
      </c>
      <c r="H175" s="8" t="s">
        <v>30</v>
      </c>
      <c r="I175" s="8" t="n">
        <f aca="false">IF(EXACT(G175,H175),1,0)</f>
        <v>0</v>
      </c>
      <c r="J175" s="8" t="n">
        <v>2</v>
      </c>
      <c r="K175" s="8" t="s">
        <v>92</v>
      </c>
      <c r="L175" s="8" t="n">
        <v>0</v>
      </c>
      <c r="M175" s="8" t="n">
        <v>0</v>
      </c>
      <c r="N175" s="8"/>
      <c r="O175" s="8" t="n">
        <v>1</v>
      </c>
      <c r="P175" s="10" t="n">
        <v>3.99</v>
      </c>
      <c r="Q175" s="8" t="n">
        <v>1407</v>
      </c>
      <c r="R175" s="8" t="n">
        <v>93</v>
      </c>
      <c r="S175" s="8" t="s">
        <v>322</v>
      </c>
      <c r="T175" s="8"/>
      <c r="U175" s="8"/>
      <c r="V175" s="8" t="s">
        <v>155</v>
      </c>
      <c r="W175" s="8"/>
      <c r="X175" s="8" t="s">
        <v>323</v>
      </c>
      <c r="Y175" s="8" t="s">
        <v>845</v>
      </c>
      <c r="Z175" s="8"/>
    </row>
    <row r="176" customFormat="false" ht="15" hidden="false" customHeight="false" outlineLevel="0" collapsed="false">
      <c r="A176" s="8" t="s">
        <v>324</v>
      </c>
      <c r="B176" s="8" t="s">
        <v>15</v>
      </c>
      <c r="C176" s="8" t="s">
        <v>16</v>
      </c>
      <c r="D176" s="8" t="s">
        <v>615</v>
      </c>
      <c r="E176" s="8" t="s">
        <v>36</v>
      </c>
      <c r="F176" s="8" t="s">
        <v>57</v>
      </c>
      <c r="G176" s="8" t="s">
        <v>30</v>
      </c>
      <c r="H176" s="8" t="s">
        <v>30</v>
      </c>
      <c r="I176" s="8" t="n">
        <f aca="false">IF(EXACT(G176,H176),1,0)</f>
        <v>1</v>
      </c>
      <c r="J176" s="8" t="n">
        <v>0</v>
      </c>
      <c r="K176" s="8" t="s">
        <v>92</v>
      </c>
      <c r="L176" s="8" t="n">
        <v>0</v>
      </c>
      <c r="M176" s="8" t="n">
        <v>0</v>
      </c>
      <c r="N176" s="8"/>
      <c r="O176" s="8" t="n">
        <v>1</v>
      </c>
      <c r="P176" s="10" t="n">
        <v>13.28</v>
      </c>
      <c r="Q176" s="8" t="n">
        <v>1450</v>
      </c>
      <c r="R176" s="8" t="n">
        <v>94</v>
      </c>
      <c r="S176" s="8" t="s">
        <v>325</v>
      </c>
      <c r="T176" s="8"/>
      <c r="U176" s="8"/>
      <c r="V176" s="8" t="s">
        <v>155</v>
      </c>
      <c r="W176" s="8"/>
      <c r="X176" s="8" t="s">
        <v>326</v>
      </c>
      <c r="Y176" s="8" t="s">
        <v>846</v>
      </c>
      <c r="Z176" s="8"/>
    </row>
    <row r="177" customFormat="false" ht="15" hidden="false" customHeight="false" outlineLevel="0" collapsed="false">
      <c r="A177" s="8" t="s">
        <v>324</v>
      </c>
      <c r="B177" s="8" t="s">
        <v>15</v>
      </c>
      <c r="C177" s="8" t="s">
        <v>16</v>
      </c>
      <c r="D177" s="8" t="s">
        <v>615</v>
      </c>
      <c r="E177" s="8" t="s">
        <v>36</v>
      </c>
      <c r="F177" s="8" t="s">
        <v>57</v>
      </c>
      <c r="G177" s="8" t="s">
        <v>30</v>
      </c>
      <c r="H177" s="8" t="s">
        <v>30</v>
      </c>
      <c r="I177" s="8" t="n">
        <f aca="false">IF(EXACT(G177,H177),1,0)</f>
        <v>1</v>
      </c>
      <c r="J177" s="8" t="n">
        <v>1</v>
      </c>
      <c r="K177" s="8" t="s">
        <v>92</v>
      </c>
      <c r="L177" s="8" t="n">
        <v>0</v>
      </c>
      <c r="M177" s="8" t="n">
        <v>0</v>
      </c>
      <c r="N177" s="8"/>
      <c r="O177" s="8" t="n">
        <v>1</v>
      </c>
      <c r="P177" s="10" t="n">
        <v>4.42</v>
      </c>
      <c r="Q177" s="8" t="n">
        <v>1450</v>
      </c>
      <c r="R177" s="8" t="n">
        <v>88</v>
      </c>
      <c r="S177" s="8" t="s">
        <v>325</v>
      </c>
      <c r="T177" s="8"/>
      <c r="U177" s="8"/>
      <c r="V177" s="8" t="s">
        <v>155</v>
      </c>
      <c r="W177" s="8"/>
      <c r="X177" s="8" t="s">
        <v>326</v>
      </c>
      <c r="Y177" s="8" t="s">
        <v>847</v>
      </c>
      <c r="Z177" s="8"/>
    </row>
    <row r="178" customFormat="false" ht="15" hidden="false" customHeight="false" outlineLevel="0" collapsed="false">
      <c r="A178" s="8" t="s">
        <v>324</v>
      </c>
      <c r="B178" s="8" t="s">
        <v>15</v>
      </c>
      <c r="C178" s="8" t="s">
        <v>16</v>
      </c>
      <c r="D178" s="8" t="s">
        <v>615</v>
      </c>
      <c r="E178" s="8" t="s">
        <v>36</v>
      </c>
      <c r="F178" s="8" t="s">
        <v>57</v>
      </c>
      <c r="G178" s="8" t="s">
        <v>30</v>
      </c>
      <c r="H178" s="8" t="s">
        <v>30</v>
      </c>
      <c r="I178" s="8" t="n">
        <f aca="false">IF(EXACT(G178,H178),1,0)</f>
        <v>1</v>
      </c>
      <c r="J178" s="8" t="n">
        <v>2</v>
      </c>
      <c r="K178" s="8" t="s">
        <v>92</v>
      </c>
      <c r="L178" s="8" t="n">
        <v>0</v>
      </c>
      <c r="M178" s="8" t="n">
        <v>0</v>
      </c>
      <c r="N178" s="8"/>
      <c r="O178" s="8" t="n">
        <v>1</v>
      </c>
      <c r="P178" s="10" t="n">
        <v>2.99</v>
      </c>
      <c r="Q178" s="8" t="n">
        <v>1450</v>
      </c>
      <c r="R178" s="8" t="n">
        <v>88</v>
      </c>
      <c r="S178" s="8" t="s">
        <v>325</v>
      </c>
      <c r="T178" s="8"/>
      <c r="U178" s="8"/>
      <c r="V178" s="8" t="s">
        <v>155</v>
      </c>
      <c r="W178" s="8"/>
      <c r="X178" s="8" t="s">
        <v>326</v>
      </c>
      <c r="Y178" s="8" t="s">
        <v>847</v>
      </c>
      <c r="Z178" s="8"/>
    </row>
    <row r="179" customFormat="false" ht="15" hidden="false" customHeight="false" outlineLevel="0" collapsed="false">
      <c r="A179" s="8" t="s">
        <v>327</v>
      </c>
      <c r="B179" s="8" t="s">
        <v>15</v>
      </c>
      <c r="C179" s="8" t="s">
        <v>16</v>
      </c>
      <c r="D179" s="8" t="s">
        <v>615</v>
      </c>
      <c r="E179" s="8" t="s">
        <v>36</v>
      </c>
      <c r="F179" s="8" t="s">
        <v>57</v>
      </c>
      <c r="G179" s="8" t="s">
        <v>30</v>
      </c>
      <c r="H179" s="8" t="s">
        <v>30</v>
      </c>
      <c r="I179" s="8" t="n">
        <f aca="false">IF(EXACT(G179,H179),1,0)</f>
        <v>1</v>
      </c>
      <c r="J179" s="8" t="n">
        <v>0</v>
      </c>
      <c r="K179" s="8" t="s">
        <v>92</v>
      </c>
      <c r="L179" s="8" t="n">
        <v>0</v>
      </c>
      <c r="M179" s="8" t="n">
        <v>0</v>
      </c>
      <c r="N179" s="8"/>
      <c r="O179" s="8" t="n">
        <v>1</v>
      </c>
      <c r="P179" s="10" t="n">
        <v>3.59</v>
      </c>
      <c r="Q179" s="8" t="n">
        <v>1448</v>
      </c>
      <c r="R179" s="8" t="n">
        <v>88</v>
      </c>
      <c r="S179" s="8" t="s">
        <v>328</v>
      </c>
      <c r="T179" s="8"/>
      <c r="U179" s="8"/>
      <c r="V179" s="8" t="s">
        <v>155</v>
      </c>
      <c r="W179" s="8"/>
      <c r="X179" s="8" t="s">
        <v>329</v>
      </c>
      <c r="Y179" s="8" t="s">
        <v>848</v>
      </c>
      <c r="Z179" s="8"/>
    </row>
    <row r="180" customFormat="false" ht="15" hidden="false" customHeight="false" outlineLevel="0" collapsed="false">
      <c r="A180" s="8" t="s">
        <v>327</v>
      </c>
      <c r="B180" s="8" t="s">
        <v>15</v>
      </c>
      <c r="C180" s="8" t="s">
        <v>16</v>
      </c>
      <c r="D180" s="8" t="s">
        <v>615</v>
      </c>
      <c r="E180" s="8" t="s">
        <v>36</v>
      </c>
      <c r="F180" s="8" t="s">
        <v>57</v>
      </c>
      <c r="G180" s="8" t="s">
        <v>30</v>
      </c>
      <c r="H180" s="8" t="s">
        <v>30</v>
      </c>
      <c r="I180" s="8" t="n">
        <f aca="false">IF(EXACT(G180,H180),1,0)</f>
        <v>1</v>
      </c>
      <c r="J180" s="8" t="n">
        <v>1</v>
      </c>
      <c r="K180" s="8" t="s">
        <v>92</v>
      </c>
      <c r="L180" s="8" t="n">
        <v>0</v>
      </c>
      <c r="M180" s="8" t="n">
        <v>0</v>
      </c>
      <c r="N180" s="8"/>
      <c r="O180" s="8" t="n">
        <v>1</v>
      </c>
      <c r="P180" s="10" t="n">
        <v>3.27</v>
      </c>
      <c r="Q180" s="8" t="n">
        <v>1448</v>
      </c>
      <c r="R180" s="8" t="n">
        <v>102</v>
      </c>
      <c r="S180" s="8" t="s">
        <v>328</v>
      </c>
      <c r="T180" s="8"/>
      <c r="U180" s="8"/>
      <c r="V180" s="8" t="s">
        <v>155</v>
      </c>
      <c r="W180" s="8"/>
      <c r="X180" s="8" t="s">
        <v>329</v>
      </c>
      <c r="Y180" s="8" t="s">
        <v>849</v>
      </c>
      <c r="Z180" s="8"/>
    </row>
    <row r="181" customFormat="false" ht="15" hidden="false" customHeight="false" outlineLevel="0" collapsed="false">
      <c r="A181" s="8" t="s">
        <v>327</v>
      </c>
      <c r="B181" s="8" t="s">
        <v>15</v>
      </c>
      <c r="C181" s="8" t="s">
        <v>16</v>
      </c>
      <c r="D181" s="8" t="s">
        <v>615</v>
      </c>
      <c r="E181" s="8" t="s">
        <v>36</v>
      </c>
      <c r="F181" s="8" t="s">
        <v>57</v>
      </c>
      <c r="G181" s="8" t="s">
        <v>30</v>
      </c>
      <c r="H181" s="8" t="s">
        <v>30</v>
      </c>
      <c r="I181" s="8" t="n">
        <f aca="false">IF(EXACT(G181,H181),1,0)</f>
        <v>1</v>
      </c>
      <c r="J181" s="8" t="n">
        <v>2</v>
      </c>
      <c r="K181" s="8" t="s">
        <v>92</v>
      </c>
      <c r="L181" s="8" t="n">
        <v>0</v>
      </c>
      <c r="M181" s="8" t="n">
        <v>0</v>
      </c>
      <c r="N181" s="8"/>
      <c r="O181" s="8" t="n">
        <v>1</v>
      </c>
      <c r="P181" s="10" t="n">
        <v>3.38</v>
      </c>
      <c r="Q181" s="8" t="n">
        <v>1448</v>
      </c>
      <c r="R181" s="8" t="n">
        <v>98</v>
      </c>
      <c r="S181" s="8" t="s">
        <v>328</v>
      </c>
      <c r="T181" s="8"/>
      <c r="U181" s="8"/>
      <c r="V181" s="8" t="s">
        <v>155</v>
      </c>
      <c r="W181" s="8"/>
      <c r="X181" s="8" t="s">
        <v>329</v>
      </c>
      <c r="Y181" s="8" t="s">
        <v>850</v>
      </c>
      <c r="Z181" s="8"/>
    </row>
    <row r="182" customFormat="false" ht="15" hidden="false" customHeight="false" outlineLevel="0" collapsed="false">
      <c r="A182" s="8" t="s">
        <v>330</v>
      </c>
      <c r="B182" s="8" t="s">
        <v>15</v>
      </c>
      <c r="C182" s="8" t="s">
        <v>16</v>
      </c>
      <c r="D182" s="8" t="s">
        <v>615</v>
      </c>
      <c r="E182" s="8" t="s">
        <v>37</v>
      </c>
      <c r="F182" s="8" t="s">
        <v>45</v>
      </c>
      <c r="G182" s="8" t="s">
        <v>31</v>
      </c>
      <c r="H182" s="8" t="s">
        <v>31</v>
      </c>
      <c r="I182" s="8" t="n">
        <f aca="false">IF(EXACT(G182,H182),1,0)</f>
        <v>1</v>
      </c>
      <c r="J182" s="8" t="n">
        <v>0</v>
      </c>
      <c r="K182" s="8" t="s">
        <v>140</v>
      </c>
      <c r="L182" s="8" t="n">
        <v>2</v>
      </c>
      <c r="M182" s="8" t="n">
        <v>0</v>
      </c>
      <c r="N182" s="8"/>
      <c r="O182" s="8" t="n">
        <v>1</v>
      </c>
      <c r="P182" s="10" t="n">
        <v>10.75</v>
      </c>
      <c r="Q182" s="8" t="n">
        <v>1206</v>
      </c>
      <c r="R182" s="8" t="n">
        <v>468</v>
      </c>
      <c r="S182" s="8" t="s">
        <v>255</v>
      </c>
      <c r="T182" s="8" t="s">
        <v>331</v>
      </c>
      <c r="U182" s="8" t="s">
        <v>332</v>
      </c>
      <c r="V182" s="8"/>
      <c r="W182" s="8" t="s">
        <v>333</v>
      </c>
      <c r="X182" s="8" t="s">
        <v>334</v>
      </c>
      <c r="Y182" s="8" t="s">
        <v>851</v>
      </c>
      <c r="Z182" s="8" t="s">
        <v>852</v>
      </c>
    </row>
    <row r="183" customFormat="false" ht="15" hidden="false" customHeight="false" outlineLevel="0" collapsed="false">
      <c r="A183" s="8" t="s">
        <v>330</v>
      </c>
      <c r="B183" s="8" t="s">
        <v>15</v>
      </c>
      <c r="C183" s="8" t="s">
        <v>16</v>
      </c>
      <c r="D183" s="8" t="s">
        <v>615</v>
      </c>
      <c r="E183" s="8" t="s">
        <v>37</v>
      </c>
      <c r="F183" s="8" t="s">
        <v>45</v>
      </c>
      <c r="G183" s="8" t="s">
        <v>31</v>
      </c>
      <c r="H183" s="8" t="s">
        <v>31</v>
      </c>
      <c r="I183" s="8" t="n">
        <f aca="false">IF(EXACT(G183,H183),1,0)</f>
        <v>1</v>
      </c>
      <c r="J183" s="8" t="n">
        <v>1</v>
      </c>
      <c r="K183" s="8" t="s">
        <v>140</v>
      </c>
      <c r="L183" s="8" t="n">
        <v>2</v>
      </c>
      <c r="M183" s="8" t="n">
        <v>0</v>
      </c>
      <c r="N183" s="8"/>
      <c r="O183" s="8" t="n">
        <v>1</v>
      </c>
      <c r="P183" s="10" t="n">
        <v>11.26</v>
      </c>
      <c r="Q183" s="8" t="n">
        <v>1206</v>
      </c>
      <c r="R183" s="8" t="n">
        <v>480</v>
      </c>
      <c r="S183" s="8" t="s">
        <v>255</v>
      </c>
      <c r="T183" s="8" t="s">
        <v>331</v>
      </c>
      <c r="U183" s="8" t="s">
        <v>332</v>
      </c>
      <c r="V183" s="8"/>
      <c r="W183" s="8" t="s">
        <v>333</v>
      </c>
      <c r="X183" s="8" t="s">
        <v>334</v>
      </c>
      <c r="Y183" s="8" t="s">
        <v>853</v>
      </c>
      <c r="Z183" s="8" t="s">
        <v>854</v>
      </c>
    </row>
    <row r="184" customFormat="false" ht="15" hidden="false" customHeight="false" outlineLevel="0" collapsed="false">
      <c r="A184" s="8" t="s">
        <v>330</v>
      </c>
      <c r="B184" s="8" t="s">
        <v>15</v>
      </c>
      <c r="C184" s="8" t="s">
        <v>16</v>
      </c>
      <c r="D184" s="8" t="s">
        <v>615</v>
      </c>
      <c r="E184" s="8" t="s">
        <v>37</v>
      </c>
      <c r="F184" s="8" t="s">
        <v>45</v>
      </c>
      <c r="G184" s="8" t="s">
        <v>31</v>
      </c>
      <c r="H184" s="8" t="s">
        <v>31</v>
      </c>
      <c r="I184" s="8" t="n">
        <f aca="false">IF(EXACT(G184,H184),1,0)</f>
        <v>1</v>
      </c>
      <c r="J184" s="8" t="n">
        <v>2</v>
      </c>
      <c r="K184" s="8" t="s">
        <v>737</v>
      </c>
      <c r="L184" s="8" t="n">
        <v>2</v>
      </c>
      <c r="M184" s="8" t="n">
        <v>0</v>
      </c>
      <c r="N184" s="8"/>
      <c r="O184" s="8" t="n">
        <v>1</v>
      </c>
      <c r="P184" s="10" t="n">
        <v>10.24</v>
      </c>
      <c r="Q184" s="8" t="n">
        <v>1206</v>
      </c>
      <c r="R184" s="8" t="n">
        <v>440</v>
      </c>
      <c r="S184" s="8" t="s">
        <v>255</v>
      </c>
      <c r="T184" s="8" t="s">
        <v>331</v>
      </c>
      <c r="U184" s="8" t="s">
        <v>332</v>
      </c>
      <c r="V184" s="8"/>
      <c r="W184" s="8" t="s">
        <v>333</v>
      </c>
      <c r="X184" s="8" t="s">
        <v>334</v>
      </c>
      <c r="Y184" s="8" t="s">
        <v>855</v>
      </c>
      <c r="Z184" s="8" t="s">
        <v>856</v>
      </c>
    </row>
    <row r="185" customFormat="false" ht="15" hidden="false" customHeight="false" outlineLevel="0" collapsed="false">
      <c r="A185" s="8" t="s">
        <v>336</v>
      </c>
      <c r="B185" s="8" t="s">
        <v>15</v>
      </c>
      <c r="C185" s="8" t="s">
        <v>16</v>
      </c>
      <c r="D185" s="8" t="s">
        <v>615</v>
      </c>
      <c r="E185" s="8" t="s">
        <v>37</v>
      </c>
      <c r="F185" s="8" t="s">
        <v>45</v>
      </c>
      <c r="G185" s="8" t="s">
        <v>32</v>
      </c>
      <c r="H185" s="8" t="s">
        <v>32</v>
      </c>
      <c r="I185" s="8" t="n">
        <f aca="false">IF(EXACT(G185,H185),1,0)</f>
        <v>1</v>
      </c>
      <c r="J185" s="8" t="n">
        <v>0</v>
      </c>
      <c r="K185" s="8" t="s">
        <v>92</v>
      </c>
      <c r="L185" s="8" t="n">
        <v>0</v>
      </c>
      <c r="M185" s="8" t="n">
        <v>0</v>
      </c>
      <c r="N185" s="8"/>
      <c r="O185" s="8" t="n">
        <v>1</v>
      </c>
      <c r="P185" s="10" t="n">
        <v>4.28</v>
      </c>
      <c r="Q185" s="8" t="n">
        <v>1270</v>
      </c>
      <c r="R185" s="8" t="n">
        <v>74</v>
      </c>
      <c r="S185" s="8" t="s">
        <v>94</v>
      </c>
      <c r="T185" s="8" t="s">
        <v>337</v>
      </c>
      <c r="U185" s="8" t="s">
        <v>338</v>
      </c>
      <c r="V185" s="8"/>
      <c r="W185" s="8" t="s">
        <v>339</v>
      </c>
      <c r="X185" s="8" t="s">
        <v>340</v>
      </c>
      <c r="Y185" s="8" t="s">
        <v>857</v>
      </c>
      <c r="Z185" s="8"/>
    </row>
    <row r="186" customFormat="false" ht="15" hidden="false" customHeight="false" outlineLevel="0" collapsed="false">
      <c r="A186" s="8" t="s">
        <v>336</v>
      </c>
      <c r="B186" s="8" t="s">
        <v>15</v>
      </c>
      <c r="C186" s="8" t="s">
        <v>16</v>
      </c>
      <c r="D186" s="8" t="s">
        <v>615</v>
      </c>
      <c r="E186" s="8" t="s">
        <v>37</v>
      </c>
      <c r="F186" s="8" t="s">
        <v>45</v>
      </c>
      <c r="G186" s="8" t="s">
        <v>32</v>
      </c>
      <c r="H186" s="8" t="s">
        <v>32</v>
      </c>
      <c r="I186" s="8" t="n">
        <f aca="false">IF(EXACT(G186,H186),1,0)</f>
        <v>1</v>
      </c>
      <c r="J186" s="8" t="n">
        <v>1</v>
      </c>
      <c r="K186" s="8" t="s">
        <v>92</v>
      </c>
      <c r="L186" s="8" t="n">
        <v>0</v>
      </c>
      <c r="M186" s="8" t="n">
        <v>0</v>
      </c>
      <c r="N186" s="8"/>
      <c r="O186" s="8" t="n">
        <v>1</v>
      </c>
      <c r="P186" s="10" t="n">
        <v>2.88</v>
      </c>
      <c r="Q186" s="8" t="n">
        <v>1270</v>
      </c>
      <c r="R186" s="8" t="n">
        <v>74</v>
      </c>
      <c r="S186" s="8" t="s">
        <v>94</v>
      </c>
      <c r="T186" s="8" t="s">
        <v>337</v>
      </c>
      <c r="U186" s="8" t="s">
        <v>338</v>
      </c>
      <c r="V186" s="8"/>
      <c r="W186" s="8" t="s">
        <v>339</v>
      </c>
      <c r="X186" s="8" t="s">
        <v>340</v>
      </c>
      <c r="Y186" s="8" t="s">
        <v>857</v>
      </c>
      <c r="Z186" s="8"/>
    </row>
    <row r="187" customFormat="false" ht="15" hidden="false" customHeight="false" outlineLevel="0" collapsed="false">
      <c r="A187" s="8" t="s">
        <v>336</v>
      </c>
      <c r="B187" s="8" t="s">
        <v>15</v>
      </c>
      <c r="C187" s="8" t="s">
        <v>16</v>
      </c>
      <c r="D187" s="8" t="s">
        <v>615</v>
      </c>
      <c r="E187" s="8" t="s">
        <v>37</v>
      </c>
      <c r="F187" s="8" t="s">
        <v>45</v>
      </c>
      <c r="G187" s="8" t="s">
        <v>32</v>
      </c>
      <c r="H187" s="8" t="s">
        <v>32</v>
      </c>
      <c r="I187" s="8" t="n">
        <f aca="false">IF(EXACT(G187,H187),1,0)</f>
        <v>1</v>
      </c>
      <c r="J187" s="8" t="n">
        <v>2</v>
      </c>
      <c r="K187" s="8" t="s">
        <v>92</v>
      </c>
      <c r="L187" s="8" t="n">
        <v>0</v>
      </c>
      <c r="M187" s="8" t="n">
        <v>0</v>
      </c>
      <c r="N187" s="8"/>
      <c r="O187" s="8" t="n">
        <v>1</v>
      </c>
      <c r="P187" s="10" t="n">
        <v>2.96</v>
      </c>
      <c r="Q187" s="8" t="n">
        <v>1270</v>
      </c>
      <c r="R187" s="8" t="n">
        <v>74</v>
      </c>
      <c r="S187" s="8" t="s">
        <v>94</v>
      </c>
      <c r="T187" s="8" t="s">
        <v>337</v>
      </c>
      <c r="U187" s="8" t="s">
        <v>338</v>
      </c>
      <c r="V187" s="8"/>
      <c r="W187" s="8" t="s">
        <v>339</v>
      </c>
      <c r="X187" s="8" t="s">
        <v>340</v>
      </c>
      <c r="Y187" s="8" t="s">
        <v>857</v>
      </c>
      <c r="Z187" s="8"/>
    </row>
    <row r="188" customFormat="false" ht="15" hidden="false" customHeight="false" outlineLevel="0" collapsed="false">
      <c r="A188" s="8" t="s">
        <v>341</v>
      </c>
      <c r="B188" s="8" t="s">
        <v>15</v>
      </c>
      <c r="C188" s="8" t="s">
        <v>16</v>
      </c>
      <c r="D188" s="8" t="s">
        <v>615</v>
      </c>
      <c r="E188" s="8" t="s">
        <v>37</v>
      </c>
      <c r="F188" s="8" t="s">
        <v>45</v>
      </c>
      <c r="G188" s="8" t="s">
        <v>32</v>
      </c>
      <c r="H188" s="8" t="s">
        <v>32</v>
      </c>
      <c r="I188" s="8" t="n">
        <f aca="false">IF(EXACT(G188,H188),1,0)</f>
        <v>1</v>
      </c>
      <c r="J188" s="8" t="n">
        <v>0</v>
      </c>
      <c r="K188" s="8" t="s">
        <v>92</v>
      </c>
      <c r="L188" s="8" t="n">
        <v>0</v>
      </c>
      <c r="M188" s="8" t="n">
        <v>0</v>
      </c>
      <c r="N188" s="8"/>
      <c r="O188" s="8" t="n">
        <v>1</v>
      </c>
      <c r="P188" s="10" t="n">
        <v>3.11</v>
      </c>
      <c r="Q188" s="8" t="n">
        <v>1234</v>
      </c>
      <c r="R188" s="8" t="n">
        <v>70</v>
      </c>
      <c r="S188" s="8" t="s">
        <v>125</v>
      </c>
      <c r="T188" s="8" t="s">
        <v>342</v>
      </c>
      <c r="U188" s="8" t="s">
        <v>343</v>
      </c>
      <c r="V188" s="8"/>
      <c r="W188" s="8" t="s">
        <v>344</v>
      </c>
      <c r="X188" s="8" t="s">
        <v>345</v>
      </c>
      <c r="Y188" s="8" t="s">
        <v>858</v>
      </c>
      <c r="Z188" s="8"/>
    </row>
    <row r="189" customFormat="false" ht="15" hidden="false" customHeight="false" outlineLevel="0" collapsed="false">
      <c r="A189" s="8" t="s">
        <v>341</v>
      </c>
      <c r="B189" s="8" t="s">
        <v>15</v>
      </c>
      <c r="C189" s="8" t="s">
        <v>16</v>
      </c>
      <c r="D189" s="8" t="s">
        <v>615</v>
      </c>
      <c r="E189" s="8" t="s">
        <v>37</v>
      </c>
      <c r="F189" s="8" t="s">
        <v>45</v>
      </c>
      <c r="G189" s="8" t="s">
        <v>32</v>
      </c>
      <c r="H189" s="8" t="s">
        <v>32</v>
      </c>
      <c r="I189" s="8" t="n">
        <f aca="false">IF(EXACT(G189,H189),1,0)</f>
        <v>1</v>
      </c>
      <c r="J189" s="8" t="n">
        <v>1</v>
      </c>
      <c r="K189" s="8" t="s">
        <v>92</v>
      </c>
      <c r="L189" s="8" t="n">
        <v>0</v>
      </c>
      <c r="M189" s="8" t="n">
        <v>0</v>
      </c>
      <c r="N189" s="8"/>
      <c r="O189" s="8" t="n">
        <v>1</v>
      </c>
      <c r="P189" s="10" t="n">
        <v>3.07</v>
      </c>
      <c r="Q189" s="8" t="n">
        <v>1234</v>
      </c>
      <c r="R189" s="8" t="n">
        <v>76</v>
      </c>
      <c r="S189" s="8" t="s">
        <v>125</v>
      </c>
      <c r="T189" s="8" t="s">
        <v>342</v>
      </c>
      <c r="U189" s="8" t="s">
        <v>343</v>
      </c>
      <c r="V189" s="8"/>
      <c r="W189" s="8" t="s">
        <v>344</v>
      </c>
      <c r="X189" s="8" t="s">
        <v>345</v>
      </c>
      <c r="Y189" s="8" t="s">
        <v>859</v>
      </c>
      <c r="Z189" s="8"/>
    </row>
    <row r="190" customFormat="false" ht="15" hidden="false" customHeight="false" outlineLevel="0" collapsed="false">
      <c r="A190" s="8" t="s">
        <v>341</v>
      </c>
      <c r="B190" s="8" t="s">
        <v>15</v>
      </c>
      <c r="C190" s="8" t="s">
        <v>16</v>
      </c>
      <c r="D190" s="8" t="s">
        <v>615</v>
      </c>
      <c r="E190" s="8" t="s">
        <v>37</v>
      </c>
      <c r="F190" s="8" t="s">
        <v>45</v>
      </c>
      <c r="G190" s="8" t="s">
        <v>32</v>
      </c>
      <c r="H190" s="8" t="s">
        <v>32</v>
      </c>
      <c r="I190" s="8" t="n">
        <f aca="false">IF(EXACT(G190,H190),1,0)</f>
        <v>1</v>
      </c>
      <c r="J190" s="8" t="n">
        <v>2</v>
      </c>
      <c r="K190" s="8" t="s">
        <v>92</v>
      </c>
      <c r="L190" s="8" t="n">
        <v>0</v>
      </c>
      <c r="M190" s="8" t="n">
        <v>0</v>
      </c>
      <c r="N190" s="8"/>
      <c r="O190" s="8" t="n">
        <v>1</v>
      </c>
      <c r="P190" s="10" t="n">
        <v>2.76</v>
      </c>
      <c r="Q190" s="8" t="n">
        <v>1234</v>
      </c>
      <c r="R190" s="8" t="n">
        <v>70</v>
      </c>
      <c r="S190" s="8" t="s">
        <v>125</v>
      </c>
      <c r="T190" s="8" t="s">
        <v>342</v>
      </c>
      <c r="U190" s="8" t="s">
        <v>343</v>
      </c>
      <c r="V190" s="8"/>
      <c r="W190" s="8" t="s">
        <v>344</v>
      </c>
      <c r="X190" s="8" t="s">
        <v>345</v>
      </c>
      <c r="Y190" s="8" t="s">
        <v>858</v>
      </c>
      <c r="Z190" s="8"/>
    </row>
    <row r="191" customFormat="false" ht="15" hidden="false" customHeight="false" outlineLevel="0" collapsed="false">
      <c r="A191" s="8" t="s">
        <v>346</v>
      </c>
      <c r="B191" s="8" t="s">
        <v>15</v>
      </c>
      <c r="C191" s="8" t="s">
        <v>16</v>
      </c>
      <c r="D191" s="8" t="s">
        <v>615</v>
      </c>
      <c r="E191" s="8" t="s">
        <v>37</v>
      </c>
      <c r="F191" s="8" t="s">
        <v>45</v>
      </c>
      <c r="G191" s="8" t="s">
        <v>31</v>
      </c>
      <c r="H191" s="8" t="s">
        <v>31</v>
      </c>
      <c r="I191" s="8" t="n">
        <f aca="false">IF(EXACT(G191,H191),1,0)</f>
        <v>1</v>
      </c>
      <c r="J191" s="8" t="n">
        <v>0</v>
      </c>
      <c r="K191" s="8" t="s">
        <v>737</v>
      </c>
      <c r="L191" s="8" t="n">
        <v>5</v>
      </c>
      <c r="M191" s="8" t="n">
        <v>0</v>
      </c>
      <c r="N191" s="8"/>
      <c r="O191" s="8" t="n">
        <v>1</v>
      </c>
      <c r="P191" s="10" t="n">
        <v>16.98</v>
      </c>
      <c r="Q191" s="8" t="n">
        <v>1215</v>
      </c>
      <c r="R191" s="8" t="n">
        <v>673</v>
      </c>
      <c r="S191" s="8" t="s">
        <v>347</v>
      </c>
      <c r="T191" s="8" t="s">
        <v>331</v>
      </c>
      <c r="U191" s="8" t="s">
        <v>332</v>
      </c>
      <c r="V191" s="8"/>
      <c r="W191" s="8" t="s">
        <v>348</v>
      </c>
      <c r="X191" s="8" t="s">
        <v>349</v>
      </c>
      <c r="Y191" s="8" t="s">
        <v>860</v>
      </c>
      <c r="Z191" s="8" t="s">
        <v>861</v>
      </c>
    </row>
    <row r="192" customFormat="false" ht="15" hidden="false" customHeight="false" outlineLevel="0" collapsed="false">
      <c r="A192" s="8" t="s">
        <v>346</v>
      </c>
      <c r="B192" s="8" t="s">
        <v>15</v>
      </c>
      <c r="C192" s="8" t="s">
        <v>16</v>
      </c>
      <c r="D192" s="8" t="s">
        <v>615</v>
      </c>
      <c r="E192" s="8" t="s">
        <v>37</v>
      </c>
      <c r="F192" s="8" t="s">
        <v>45</v>
      </c>
      <c r="G192" s="8" t="s">
        <v>31</v>
      </c>
      <c r="H192" s="8" t="s">
        <v>31</v>
      </c>
      <c r="I192" s="8" t="n">
        <f aca="false">IF(EXACT(G192,H192),1,0)</f>
        <v>1</v>
      </c>
      <c r="J192" s="8" t="n">
        <v>1</v>
      </c>
      <c r="K192" s="8" t="s">
        <v>140</v>
      </c>
      <c r="L192" s="8" t="n">
        <v>2</v>
      </c>
      <c r="M192" s="8" t="n">
        <v>0</v>
      </c>
      <c r="N192" s="8"/>
      <c r="O192" s="8" t="n">
        <v>1</v>
      </c>
      <c r="P192" s="10" t="n">
        <v>10.95</v>
      </c>
      <c r="Q192" s="8" t="n">
        <v>1215</v>
      </c>
      <c r="R192" s="8" t="n">
        <v>412</v>
      </c>
      <c r="S192" s="8" t="s">
        <v>347</v>
      </c>
      <c r="T192" s="8" t="s">
        <v>331</v>
      </c>
      <c r="U192" s="8" t="s">
        <v>332</v>
      </c>
      <c r="V192" s="8"/>
      <c r="W192" s="8" t="s">
        <v>348</v>
      </c>
      <c r="X192" s="8" t="s">
        <v>349</v>
      </c>
      <c r="Y192" s="8" t="s">
        <v>862</v>
      </c>
      <c r="Z192" s="8" t="s">
        <v>863</v>
      </c>
    </row>
    <row r="193" customFormat="false" ht="15" hidden="false" customHeight="false" outlineLevel="0" collapsed="false">
      <c r="A193" s="8" t="s">
        <v>346</v>
      </c>
      <c r="B193" s="8" t="s">
        <v>15</v>
      </c>
      <c r="C193" s="8" t="s">
        <v>16</v>
      </c>
      <c r="D193" s="8" t="s">
        <v>615</v>
      </c>
      <c r="E193" s="8" t="s">
        <v>37</v>
      </c>
      <c r="F193" s="8" t="s">
        <v>45</v>
      </c>
      <c r="G193" s="8" t="s">
        <v>31</v>
      </c>
      <c r="H193" s="8" t="s">
        <v>31</v>
      </c>
      <c r="I193" s="8" t="n">
        <f aca="false">IF(EXACT(G193,H193),1,0)</f>
        <v>1</v>
      </c>
      <c r="J193" s="8" t="n">
        <v>2</v>
      </c>
      <c r="K193" s="8" t="s">
        <v>737</v>
      </c>
      <c r="L193" s="8" t="n">
        <v>2</v>
      </c>
      <c r="M193" s="8" t="n">
        <v>0</v>
      </c>
      <c r="N193" s="8"/>
      <c r="O193" s="8" t="n">
        <v>1</v>
      </c>
      <c r="P193" s="10" t="n">
        <v>7.37</v>
      </c>
      <c r="Q193" s="8" t="n">
        <v>1215</v>
      </c>
      <c r="R193" s="8" t="n">
        <v>329</v>
      </c>
      <c r="S193" s="8" t="s">
        <v>347</v>
      </c>
      <c r="T193" s="8" t="s">
        <v>331</v>
      </c>
      <c r="U193" s="8" t="s">
        <v>332</v>
      </c>
      <c r="V193" s="8"/>
      <c r="W193" s="8" t="s">
        <v>348</v>
      </c>
      <c r="X193" s="8" t="s">
        <v>349</v>
      </c>
      <c r="Y193" s="8" t="s">
        <v>864</v>
      </c>
      <c r="Z193" s="8" t="s">
        <v>865</v>
      </c>
    </row>
    <row r="194" customFormat="false" ht="15" hidden="false" customHeight="false" outlineLevel="0" collapsed="false">
      <c r="A194" s="8" t="s">
        <v>351</v>
      </c>
      <c r="B194" s="8" t="s">
        <v>15</v>
      </c>
      <c r="C194" s="8" t="s">
        <v>16</v>
      </c>
      <c r="D194" s="8" t="s">
        <v>615</v>
      </c>
      <c r="E194" s="8" t="s">
        <v>37</v>
      </c>
      <c r="F194" s="8" t="s">
        <v>45</v>
      </c>
      <c r="G194" s="8" t="s">
        <v>30</v>
      </c>
      <c r="H194" s="8" t="s">
        <v>32</v>
      </c>
      <c r="I194" s="8" t="n">
        <f aca="false">IF(EXACT(G194,H194),1,0)</f>
        <v>0</v>
      </c>
      <c r="J194" s="8" t="n">
        <v>0</v>
      </c>
      <c r="K194" s="8" t="s">
        <v>92</v>
      </c>
      <c r="L194" s="8" t="n">
        <v>0</v>
      </c>
      <c r="M194" s="8" t="n">
        <v>0</v>
      </c>
      <c r="N194" s="8"/>
      <c r="O194" s="8" t="n">
        <v>1</v>
      </c>
      <c r="P194" s="10" t="n">
        <v>10.27</v>
      </c>
      <c r="Q194" s="8" t="n">
        <v>1277</v>
      </c>
      <c r="R194" s="8" t="n">
        <v>75</v>
      </c>
      <c r="S194" s="8" t="s">
        <v>110</v>
      </c>
      <c r="T194" s="8" t="s">
        <v>337</v>
      </c>
      <c r="U194" s="8" t="s">
        <v>338</v>
      </c>
      <c r="V194" s="8"/>
      <c r="W194" s="8" t="s">
        <v>352</v>
      </c>
      <c r="X194" s="8" t="s">
        <v>353</v>
      </c>
      <c r="Y194" s="8" t="s">
        <v>866</v>
      </c>
      <c r="Z194" s="8"/>
    </row>
    <row r="195" customFormat="false" ht="15" hidden="false" customHeight="false" outlineLevel="0" collapsed="false">
      <c r="A195" s="8" t="s">
        <v>351</v>
      </c>
      <c r="B195" s="8" t="s">
        <v>15</v>
      </c>
      <c r="C195" s="8" t="s">
        <v>16</v>
      </c>
      <c r="D195" s="8" t="s">
        <v>615</v>
      </c>
      <c r="E195" s="8" t="s">
        <v>37</v>
      </c>
      <c r="F195" s="8" t="s">
        <v>45</v>
      </c>
      <c r="G195" s="8" t="s">
        <v>30</v>
      </c>
      <c r="H195" s="8" t="s">
        <v>32</v>
      </c>
      <c r="I195" s="8" t="n">
        <f aca="false">IF(EXACT(G195,H195),1,0)</f>
        <v>0</v>
      </c>
      <c r="J195" s="8" t="n">
        <v>1</v>
      </c>
      <c r="K195" s="8" t="s">
        <v>92</v>
      </c>
      <c r="L195" s="8" t="n">
        <v>0</v>
      </c>
      <c r="M195" s="8" t="n">
        <v>0</v>
      </c>
      <c r="N195" s="8"/>
      <c r="O195" s="8" t="n">
        <v>1</v>
      </c>
      <c r="P195" s="10" t="n">
        <v>6.18</v>
      </c>
      <c r="Q195" s="8" t="n">
        <v>1277</v>
      </c>
      <c r="R195" s="8" t="n">
        <v>75</v>
      </c>
      <c r="S195" s="8" t="s">
        <v>110</v>
      </c>
      <c r="T195" s="8" t="s">
        <v>337</v>
      </c>
      <c r="U195" s="8" t="s">
        <v>338</v>
      </c>
      <c r="V195" s="8"/>
      <c r="W195" s="8" t="s">
        <v>352</v>
      </c>
      <c r="X195" s="8" t="s">
        <v>353</v>
      </c>
      <c r="Y195" s="8" t="s">
        <v>866</v>
      </c>
      <c r="Z195" s="8"/>
    </row>
    <row r="196" customFormat="false" ht="15" hidden="false" customHeight="false" outlineLevel="0" collapsed="false">
      <c r="A196" s="8" t="s">
        <v>351</v>
      </c>
      <c r="B196" s="8" t="s">
        <v>15</v>
      </c>
      <c r="C196" s="8" t="s">
        <v>16</v>
      </c>
      <c r="D196" s="8" t="s">
        <v>615</v>
      </c>
      <c r="E196" s="8" t="s">
        <v>37</v>
      </c>
      <c r="F196" s="8" t="s">
        <v>45</v>
      </c>
      <c r="G196" s="8" t="s">
        <v>30</v>
      </c>
      <c r="H196" s="8" t="s">
        <v>31</v>
      </c>
      <c r="I196" s="8" t="n">
        <f aca="false">IF(EXACT(G196,H196),1,0)</f>
        <v>0</v>
      </c>
      <c r="J196" s="8" t="n">
        <v>2</v>
      </c>
      <c r="K196" s="8" t="s">
        <v>737</v>
      </c>
      <c r="L196" s="8" t="n">
        <v>5</v>
      </c>
      <c r="M196" s="8" t="n">
        <v>0</v>
      </c>
      <c r="N196" s="8"/>
      <c r="O196" s="8" t="n">
        <v>1</v>
      </c>
      <c r="P196" s="10" t="n">
        <v>12.25</v>
      </c>
      <c r="Q196" s="8" t="n">
        <v>1277</v>
      </c>
      <c r="R196" s="8" t="n">
        <v>614</v>
      </c>
      <c r="S196" s="8" t="s">
        <v>110</v>
      </c>
      <c r="T196" s="8" t="s">
        <v>337</v>
      </c>
      <c r="U196" s="8" t="s">
        <v>338</v>
      </c>
      <c r="V196" s="8"/>
      <c r="W196" s="8" t="s">
        <v>352</v>
      </c>
      <c r="X196" s="8" t="s">
        <v>353</v>
      </c>
      <c r="Y196" s="8" t="s">
        <v>867</v>
      </c>
      <c r="Z196" s="8" t="s">
        <v>868</v>
      </c>
    </row>
    <row r="197" customFormat="false" ht="15" hidden="false" customHeight="false" outlineLevel="0" collapsed="false">
      <c r="A197" s="8" t="s">
        <v>354</v>
      </c>
      <c r="B197" s="8" t="s">
        <v>15</v>
      </c>
      <c r="C197" s="8" t="s">
        <v>16</v>
      </c>
      <c r="D197" s="8" t="s">
        <v>615</v>
      </c>
      <c r="E197" s="8" t="s">
        <v>37</v>
      </c>
      <c r="F197" s="8" t="s">
        <v>45</v>
      </c>
      <c r="G197" s="8" t="s">
        <v>30</v>
      </c>
      <c r="H197" s="8" t="s">
        <v>30</v>
      </c>
      <c r="I197" s="8" t="n">
        <f aca="false">IF(EXACT(G197,H197),1,0)</f>
        <v>1</v>
      </c>
      <c r="J197" s="8" t="n">
        <v>0</v>
      </c>
      <c r="K197" s="8" t="s">
        <v>92</v>
      </c>
      <c r="L197" s="8" t="n">
        <v>0</v>
      </c>
      <c r="M197" s="8" t="n">
        <v>0</v>
      </c>
      <c r="N197" s="8"/>
      <c r="O197" s="8" t="n">
        <v>1</v>
      </c>
      <c r="P197" s="10" t="n">
        <v>2.9</v>
      </c>
      <c r="Q197" s="8" t="n">
        <v>1268</v>
      </c>
      <c r="R197" s="8" t="n">
        <v>70</v>
      </c>
      <c r="S197" s="8" t="s">
        <v>216</v>
      </c>
      <c r="T197" s="8" t="s">
        <v>355</v>
      </c>
      <c r="U197" s="8" t="s">
        <v>356</v>
      </c>
      <c r="V197" s="8"/>
      <c r="W197" s="8" t="s">
        <v>357</v>
      </c>
      <c r="X197" s="8" t="s">
        <v>358</v>
      </c>
      <c r="Y197" s="8" t="s">
        <v>869</v>
      </c>
      <c r="Z197" s="8"/>
    </row>
    <row r="198" customFormat="false" ht="15" hidden="false" customHeight="false" outlineLevel="0" collapsed="false">
      <c r="A198" s="8" t="s">
        <v>354</v>
      </c>
      <c r="B198" s="8" t="s">
        <v>15</v>
      </c>
      <c r="C198" s="8" t="s">
        <v>16</v>
      </c>
      <c r="D198" s="8" t="s">
        <v>615</v>
      </c>
      <c r="E198" s="8" t="s">
        <v>37</v>
      </c>
      <c r="F198" s="8" t="s">
        <v>45</v>
      </c>
      <c r="G198" s="8" t="s">
        <v>30</v>
      </c>
      <c r="H198" s="8" t="s">
        <v>30</v>
      </c>
      <c r="I198" s="8" t="n">
        <f aca="false">IF(EXACT(G198,H198),1,0)</f>
        <v>1</v>
      </c>
      <c r="J198" s="8" t="n">
        <v>1</v>
      </c>
      <c r="K198" s="8" t="s">
        <v>92</v>
      </c>
      <c r="L198" s="8" t="n">
        <v>0</v>
      </c>
      <c r="M198" s="8" t="n">
        <v>0</v>
      </c>
      <c r="N198" s="8"/>
      <c r="O198" s="8" t="n">
        <v>1</v>
      </c>
      <c r="P198" s="10" t="n">
        <v>2.86</v>
      </c>
      <c r="Q198" s="8" t="n">
        <v>1268</v>
      </c>
      <c r="R198" s="8" t="n">
        <v>70</v>
      </c>
      <c r="S198" s="8" t="s">
        <v>216</v>
      </c>
      <c r="T198" s="8" t="s">
        <v>355</v>
      </c>
      <c r="U198" s="8" t="s">
        <v>356</v>
      </c>
      <c r="V198" s="8"/>
      <c r="W198" s="8" t="s">
        <v>357</v>
      </c>
      <c r="X198" s="8" t="s">
        <v>358</v>
      </c>
      <c r="Y198" s="8" t="s">
        <v>869</v>
      </c>
      <c r="Z198" s="8"/>
    </row>
    <row r="199" customFormat="false" ht="15" hidden="false" customHeight="false" outlineLevel="0" collapsed="false">
      <c r="A199" s="8" t="s">
        <v>354</v>
      </c>
      <c r="B199" s="8" t="s">
        <v>15</v>
      </c>
      <c r="C199" s="8" t="s">
        <v>16</v>
      </c>
      <c r="D199" s="8" t="s">
        <v>615</v>
      </c>
      <c r="E199" s="8" t="s">
        <v>37</v>
      </c>
      <c r="F199" s="8" t="s">
        <v>45</v>
      </c>
      <c r="G199" s="8" t="s">
        <v>30</v>
      </c>
      <c r="H199" s="8" t="s">
        <v>32</v>
      </c>
      <c r="I199" s="8" t="n">
        <f aca="false">IF(EXACT(G199,H199),1,0)</f>
        <v>0</v>
      </c>
      <c r="J199" s="8" t="n">
        <v>2</v>
      </c>
      <c r="K199" s="8" t="s">
        <v>92</v>
      </c>
      <c r="L199" s="8" t="n">
        <v>0</v>
      </c>
      <c r="M199" s="8" t="n">
        <v>0</v>
      </c>
      <c r="N199" s="8"/>
      <c r="O199" s="8" t="n">
        <v>1</v>
      </c>
      <c r="P199" s="10" t="n">
        <v>2.46</v>
      </c>
      <c r="Q199" s="8" t="n">
        <v>1268</v>
      </c>
      <c r="R199" s="8" t="n">
        <v>70</v>
      </c>
      <c r="S199" s="8" t="s">
        <v>216</v>
      </c>
      <c r="T199" s="8" t="s">
        <v>355</v>
      </c>
      <c r="U199" s="8" t="s">
        <v>356</v>
      </c>
      <c r="V199" s="8"/>
      <c r="W199" s="8" t="s">
        <v>357</v>
      </c>
      <c r="X199" s="8" t="s">
        <v>358</v>
      </c>
      <c r="Y199" s="8" t="s">
        <v>870</v>
      </c>
      <c r="Z199" s="8"/>
    </row>
    <row r="200" customFormat="false" ht="15" hidden="false" customHeight="false" outlineLevel="0" collapsed="false">
      <c r="A200" s="8" t="s">
        <v>290</v>
      </c>
      <c r="B200" s="8" t="s">
        <v>15</v>
      </c>
      <c r="C200" s="8" t="s">
        <v>16</v>
      </c>
      <c r="D200" s="8" t="s">
        <v>615</v>
      </c>
      <c r="E200" s="8" t="s">
        <v>37</v>
      </c>
      <c r="F200" s="8" t="s">
        <v>51</v>
      </c>
      <c r="G200" s="8" t="s">
        <v>32</v>
      </c>
      <c r="H200" s="8" t="s">
        <v>32</v>
      </c>
      <c r="I200" s="8" t="n">
        <f aca="false">IF(EXACT(G200,H200),1,0)</f>
        <v>1</v>
      </c>
      <c r="J200" s="8" t="n">
        <v>0</v>
      </c>
      <c r="K200" s="8" t="s">
        <v>92</v>
      </c>
      <c r="L200" s="8" t="n">
        <v>0</v>
      </c>
      <c r="M200" s="8" t="n">
        <v>0</v>
      </c>
      <c r="N200" s="8"/>
      <c r="O200" s="8" t="n">
        <v>1</v>
      </c>
      <c r="P200" s="10" t="n">
        <v>4.34</v>
      </c>
      <c r="Q200" s="8" t="n">
        <v>1241</v>
      </c>
      <c r="R200" s="8" t="n">
        <v>97</v>
      </c>
      <c r="S200" s="8" t="s">
        <v>101</v>
      </c>
      <c r="T200" s="8" t="s">
        <v>291</v>
      </c>
      <c r="U200" s="8" t="s">
        <v>292</v>
      </c>
      <c r="V200" s="8"/>
      <c r="W200" s="8" t="s">
        <v>293</v>
      </c>
      <c r="X200" s="8" t="s">
        <v>359</v>
      </c>
      <c r="Y200" s="8" t="s">
        <v>871</v>
      </c>
      <c r="Z200" s="8"/>
    </row>
    <row r="201" customFormat="false" ht="15" hidden="false" customHeight="false" outlineLevel="0" collapsed="false">
      <c r="A201" s="8" t="s">
        <v>290</v>
      </c>
      <c r="B201" s="8" t="s">
        <v>15</v>
      </c>
      <c r="C201" s="8" t="s">
        <v>16</v>
      </c>
      <c r="D201" s="8" t="s">
        <v>615</v>
      </c>
      <c r="E201" s="8" t="s">
        <v>37</v>
      </c>
      <c r="F201" s="8" t="s">
        <v>51</v>
      </c>
      <c r="G201" s="8" t="s">
        <v>32</v>
      </c>
      <c r="H201" s="8" t="s">
        <v>31</v>
      </c>
      <c r="I201" s="8" t="n">
        <f aca="false">IF(EXACT(G201,H201),1,0)</f>
        <v>0</v>
      </c>
      <c r="J201" s="8" t="n">
        <v>1</v>
      </c>
      <c r="K201" s="8" t="s">
        <v>737</v>
      </c>
      <c r="L201" s="8" t="n">
        <v>5</v>
      </c>
      <c r="M201" s="8" t="n">
        <v>0</v>
      </c>
      <c r="N201" s="8"/>
      <c r="O201" s="8" t="n">
        <v>1</v>
      </c>
      <c r="P201" s="10" t="n">
        <v>16.04</v>
      </c>
      <c r="Q201" s="8" t="n">
        <v>1241</v>
      </c>
      <c r="R201" s="8" t="n">
        <v>671</v>
      </c>
      <c r="S201" s="8" t="s">
        <v>101</v>
      </c>
      <c r="T201" s="8" t="s">
        <v>291</v>
      </c>
      <c r="U201" s="8" t="s">
        <v>292</v>
      </c>
      <c r="V201" s="8"/>
      <c r="W201" s="8" t="s">
        <v>293</v>
      </c>
      <c r="X201" s="8" t="s">
        <v>359</v>
      </c>
      <c r="Y201" s="8" t="s">
        <v>872</v>
      </c>
      <c r="Z201" s="8" t="s">
        <v>873</v>
      </c>
    </row>
    <row r="202" customFormat="false" ht="15" hidden="false" customHeight="false" outlineLevel="0" collapsed="false">
      <c r="A202" s="8" t="s">
        <v>290</v>
      </c>
      <c r="B202" s="8" t="s">
        <v>15</v>
      </c>
      <c r="C202" s="8" t="s">
        <v>16</v>
      </c>
      <c r="D202" s="8" t="s">
        <v>615</v>
      </c>
      <c r="E202" s="8" t="s">
        <v>37</v>
      </c>
      <c r="F202" s="8" t="s">
        <v>51</v>
      </c>
      <c r="G202" s="8" t="s">
        <v>32</v>
      </c>
      <c r="H202" s="8" t="s">
        <v>31</v>
      </c>
      <c r="I202" s="8" t="n">
        <f aca="false">IF(EXACT(G202,H202),1,0)</f>
        <v>0</v>
      </c>
      <c r="J202" s="8" t="n">
        <v>2</v>
      </c>
      <c r="K202" s="8" t="s">
        <v>116</v>
      </c>
      <c r="L202" s="8" t="n">
        <v>3</v>
      </c>
      <c r="M202" s="8" t="n">
        <v>0</v>
      </c>
      <c r="N202" s="8"/>
      <c r="O202" s="8" t="n">
        <v>1</v>
      </c>
      <c r="P202" s="10" t="n">
        <v>10.17</v>
      </c>
      <c r="Q202" s="8" t="n">
        <v>1241</v>
      </c>
      <c r="R202" s="8" t="n">
        <v>488</v>
      </c>
      <c r="S202" s="8" t="s">
        <v>101</v>
      </c>
      <c r="T202" s="8" t="s">
        <v>291</v>
      </c>
      <c r="U202" s="8" t="s">
        <v>292</v>
      </c>
      <c r="V202" s="8"/>
      <c r="W202" s="8" t="s">
        <v>293</v>
      </c>
      <c r="X202" s="8" t="s">
        <v>359</v>
      </c>
      <c r="Y202" s="8" t="s">
        <v>874</v>
      </c>
      <c r="Z202" s="8" t="s">
        <v>875</v>
      </c>
    </row>
    <row r="203" customFormat="false" ht="15" hidden="false" customHeight="false" outlineLevel="0" collapsed="false">
      <c r="A203" s="8" t="s">
        <v>295</v>
      </c>
      <c r="B203" s="8" t="s">
        <v>15</v>
      </c>
      <c r="C203" s="8" t="s">
        <v>16</v>
      </c>
      <c r="D203" s="8" t="s">
        <v>615</v>
      </c>
      <c r="E203" s="8" t="s">
        <v>37</v>
      </c>
      <c r="F203" s="8" t="s">
        <v>51</v>
      </c>
      <c r="G203" s="8" t="s">
        <v>30</v>
      </c>
      <c r="H203" s="8" t="s">
        <v>30</v>
      </c>
      <c r="I203" s="8" t="n">
        <f aca="false">IF(EXACT(G203,H203),1,0)</f>
        <v>1</v>
      </c>
      <c r="J203" s="8" t="n">
        <v>0</v>
      </c>
      <c r="K203" s="8" t="s">
        <v>92</v>
      </c>
      <c r="L203" s="8" t="n">
        <v>0</v>
      </c>
      <c r="M203" s="8" t="n">
        <v>0</v>
      </c>
      <c r="N203" s="8"/>
      <c r="O203" s="8" t="n">
        <v>1</v>
      </c>
      <c r="P203" s="10" t="n">
        <v>4.18</v>
      </c>
      <c r="Q203" s="8" t="n">
        <v>1311</v>
      </c>
      <c r="R203" s="8" t="n">
        <v>112</v>
      </c>
      <c r="S203" s="8" t="s">
        <v>110</v>
      </c>
      <c r="T203" s="8" t="s">
        <v>291</v>
      </c>
      <c r="U203" s="8" t="s">
        <v>292</v>
      </c>
      <c r="V203" s="8"/>
      <c r="W203" s="8" t="s">
        <v>296</v>
      </c>
      <c r="X203" s="8" t="s">
        <v>360</v>
      </c>
      <c r="Y203" s="8" t="s">
        <v>876</v>
      </c>
      <c r="Z203" s="8"/>
    </row>
    <row r="204" customFormat="false" ht="15" hidden="false" customHeight="false" outlineLevel="0" collapsed="false">
      <c r="A204" s="8" t="s">
        <v>295</v>
      </c>
      <c r="B204" s="8" t="s">
        <v>15</v>
      </c>
      <c r="C204" s="8" t="s">
        <v>16</v>
      </c>
      <c r="D204" s="8" t="s">
        <v>615</v>
      </c>
      <c r="E204" s="8" t="s">
        <v>37</v>
      </c>
      <c r="F204" s="8" t="s">
        <v>51</v>
      </c>
      <c r="G204" s="8" t="s">
        <v>30</v>
      </c>
      <c r="H204" s="8" t="s">
        <v>31</v>
      </c>
      <c r="I204" s="8" t="n">
        <f aca="false">IF(EXACT(G204,H204),1,0)</f>
        <v>0</v>
      </c>
      <c r="J204" s="8" t="n">
        <v>1</v>
      </c>
      <c r="K204" s="8" t="s">
        <v>737</v>
      </c>
      <c r="L204" s="8" t="n">
        <v>5</v>
      </c>
      <c r="M204" s="8" t="n">
        <v>0</v>
      </c>
      <c r="N204" s="8"/>
      <c r="O204" s="8" t="n">
        <v>1</v>
      </c>
      <c r="P204" s="10" t="n">
        <v>19.04</v>
      </c>
      <c r="Q204" s="8" t="n">
        <v>1311</v>
      </c>
      <c r="R204" s="8" t="n">
        <v>962</v>
      </c>
      <c r="S204" s="8" t="s">
        <v>110</v>
      </c>
      <c r="T204" s="8" t="s">
        <v>291</v>
      </c>
      <c r="U204" s="8" t="s">
        <v>292</v>
      </c>
      <c r="V204" s="8"/>
      <c r="W204" s="8" t="s">
        <v>296</v>
      </c>
      <c r="X204" s="8" t="s">
        <v>360</v>
      </c>
      <c r="Y204" s="8" t="s">
        <v>877</v>
      </c>
      <c r="Z204" s="8" t="s">
        <v>878</v>
      </c>
    </row>
    <row r="205" customFormat="false" ht="15" hidden="false" customHeight="false" outlineLevel="0" collapsed="false">
      <c r="A205" s="8" t="s">
        <v>295</v>
      </c>
      <c r="B205" s="8" t="s">
        <v>15</v>
      </c>
      <c r="C205" s="8" t="s">
        <v>16</v>
      </c>
      <c r="D205" s="8" t="s">
        <v>615</v>
      </c>
      <c r="E205" s="8" t="s">
        <v>37</v>
      </c>
      <c r="F205" s="8" t="s">
        <v>51</v>
      </c>
      <c r="G205" s="8" t="s">
        <v>30</v>
      </c>
      <c r="H205" s="8" t="s">
        <v>31</v>
      </c>
      <c r="I205" s="8" t="n">
        <f aca="false">IF(EXACT(G205,H205),1,0)</f>
        <v>0</v>
      </c>
      <c r="J205" s="8" t="n">
        <v>2</v>
      </c>
      <c r="K205" s="8" t="s">
        <v>737</v>
      </c>
      <c r="L205" s="8" t="n">
        <v>5</v>
      </c>
      <c r="M205" s="8" t="n">
        <v>0</v>
      </c>
      <c r="N205" s="8"/>
      <c r="O205" s="8" t="n">
        <v>1</v>
      </c>
      <c r="P205" s="10" t="n">
        <v>19.15</v>
      </c>
      <c r="Q205" s="8" t="n">
        <v>1311</v>
      </c>
      <c r="R205" s="8" t="n">
        <v>978</v>
      </c>
      <c r="S205" s="8" t="s">
        <v>110</v>
      </c>
      <c r="T205" s="8" t="s">
        <v>291</v>
      </c>
      <c r="U205" s="8" t="s">
        <v>292</v>
      </c>
      <c r="V205" s="8"/>
      <c r="W205" s="8" t="s">
        <v>296</v>
      </c>
      <c r="X205" s="8" t="s">
        <v>360</v>
      </c>
      <c r="Y205" s="8" t="s">
        <v>879</v>
      </c>
      <c r="Z205" s="8" t="s">
        <v>880</v>
      </c>
    </row>
    <row r="206" customFormat="false" ht="15" hidden="false" customHeight="false" outlineLevel="0" collapsed="false">
      <c r="A206" s="8" t="s">
        <v>298</v>
      </c>
      <c r="B206" s="8" t="s">
        <v>15</v>
      </c>
      <c r="C206" s="8" t="s">
        <v>16</v>
      </c>
      <c r="D206" s="8" t="s">
        <v>615</v>
      </c>
      <c r="E206" s="8" t="s">
        <v>37</v>
      </c>
      <c r="F206" s="8" t="s">
        <v>51</v>
      </c>
      <c r="G206" s="8" t="s">
        <v>30</v>
      </c>
      <c r="H206" s="8" t="s">
        <v>31</v>
      </c>
      <c r="I206" s="8" t="n">
        <f aca="false">IF(EXACT(G206,H206),1,0)</f>
        <v>0</v>
      </c>
      <c r="J206" s="8" t="n">
        <v>0</v>
      </c>
      <c r="K206" s="8" t="s">
        <v>737</v>
      </c>
      <c r="L206" s="8" t="n">
        <v>4</v>
      </c>
      <c r="M206" s="8" t="n">
        <v>0</v>
      </c>
      <c r="N206" s="8"/>
      <c r="O206" s="8" t="n">
        <v>1</v>
      </c>
      <c r="P206" s="10" t="n">
        <v>16.35</v>
      </c>
      <c r="Q206" s="8" t="n">
        <v>1305</v>
      </c>
      <c r="R206" s="8" t="n">
        <v>747</v>
      </c>
      <c r="S206" s="8" t="s">
        <v>150</v>
      </c>
      <c r="T206" s="8" t="s">
        <v>291</v>
      </c>
      <c r="U206" s="8" t="s">
        <v>292</v>
      </c>
      <c r="V206" s="8"/>
      <c r="W206" s="8" t="s">
        <v>299</v>
      </c>
      <c r="X206" s="8" t="s">
        <v>361</v>
      </c>
      <c r="Y206" s="8" t="s">
        <v>881</v>
      </c>
      <c r="Z206" s="8" t="s">
        <v>882</v>
      </c>
    </row>
    <row r="207" customFormat="false" ht="15" hidden="false" customHeight="false" outlineLevel="0" collapsed="false">
      <c r="A207" s="8" t="s">
        <v>298</v>
      </c>
      <c r="B207" s="8" t="s">
        <v>15</v>
      </c>
      <c r="C207" s="8" t="s">
        <v>16</v>
      </c>
      <c r="D207" s="8" t="s">
        <v>615</v>
      </c>
      <c r="E207" s="8" t="s">
        <v>37</v>
      </c>
      <c r="F207" s="8" t="s">
        <v>51</v>
      </c>
      <c r="G207" s="8" t="s">
        <v>30</v>
      </c>
      <c r="H207" s="8" t="s">
        <v>31</v>
      </c>
      <c r="I207" s="8" t="n">
        <f aca="false">IF(EXACT(G207,H207),1,0)</f>
        <v>0</v>
      </c>
      <c r="J207" s="8" t="n">
        <v>1</v>
      </c>
      <c r="K207" s="8" t="s">
        <v>737</v>
      </c>
      <c r="L207" s="8" t="n">
        <v>5</v>
      </c>
      <c r="M207" s="8" t="n">
        <v>0</v>
      </c>
      <c r="N207" s="8"/>
      <c r="O207" s="8" t="n">
        <v>1</v>
      </c>
      <c r="P207" s="10" t="n">
        <v>17.21</v>
      </c>
      <c r="Q207" s="8" t="n">
        <v>1305</v>
      </c>
      <c r="R207" s="8" t="n">
        <v>917</v>
      </c>
      <c r="S207" s="8" t="s">
        <v>150</v>
      </c>
      <c r="T207" s="8" t="s">
        <v>291</v>
      </c>
      <c r="U207" s="8" t="s">
        <v>292</v>
      </c>
      <c r="V207" s="8"/>
      <c r="W207" s="8" t="s">
        <v>299</v>
      </c>
      <c r="X207" s="8" t="s">
        <v>361</v>
      </c>
      <c r="Y207" s="8" t="s">
        <v>883</v>
      </c>
      <c r="Z207" s="8" t="s">
        <v>884</v>
      </c>
    </row>
    <row r="208" customFormat="false" ht="15" hidden="false" customHeight="false" outlineLevel="0" collapsed="false">
      <c r="A208" s="8" t="s">
        <v>298</v>
      </c>
      <c r="B208" s="8" t="s">
        <v>15</v>
      </c>
      <c r="C208" s="8" t="s">
        <v>16</v>
      </c>
      <c r="D208" s="8" t="s">
        <v>615</v>
      </c>
      <c r="E208" s="8" t="s">
        <v>37</v>
      </c>
      <c r="F208" s="8" t="s">
        <v>51</v>
      </c>
      <c r="G208" s="8" t="s">
        <v>30</v>
      </c>
      <c r="H208" s="8" t="s">
        <v>885</v>
      </c>
      <c r="I208" s="8" t="n">
        <f aca="false">IF(EXACT(G208,H208),1,0)</f>
        <v>0</v>
      </c>
      <c r="J208" s="8" t="n">
        <v>2</v>
      </c>
      <c r="K208" s="8" t="s">
        <v>92</v>
      </c>
      <c r="L208" s="8" t="n">
        <v>0</v>
      </c>
      <c r="M208" s="8" t="n">
        <v>0</v>
      </c>
      <c r="N208" s="8"/>
      <c r="O208" s="8" t="n">
        <v>1</v>
      </c>
      <c r="P208" s="10" t="n">
        <v>19.99</v>
      </c>
      <c r="Q208" s="8" t="n">
        <v>1305</v>
      </c>
      <c r="R208" s="8" t="n">
        <v>975</v>
      </c>
      <c r="S208" s="8" t="s">
        <v>150</v>
      </c>
      <c r="T208" s="8" t="s">
        <v>291</v>
      </c>
      <c r="U208" s="8" t="s">
        <v>292</v>
      </c>
      <c r="V208" s="8"/>
      <c r="W208" s="8" t="s">
        <v>299</v>
      </c>
      <c r="X208" s="8" t="s">
        <v>361</v>
      </c>
      <c r="Y208" s="8" t="s">
        <v>886</v>
      </c>
      <c r="Z208" s="8"/>
    </row>
    <row r="209" customFormat="false" ht="15" hidden="false" customHeight="false" outlineLevel="0" collapsed="false">
      <c r="A209" s="8" t="s">
        <v>301</v>
      </c>
      <c r="B209" s="8" t="s">
        <v>15</v>
      </c>
      <c r="C209" s="8" t="s">
        <v>16</v>
      </c>
      <c r="D209" s="8" t="s">
        <v>615</v>
      </c>
      <c r="E209" s="8" t="s">
        <v>37</v>
      </c>
      <c r="F209" s="8" t="s">
        <v>51</v>
      </c>
      <c r="G209" s="8" t="s">
        <v>32</v>
      </c>
      <c r="H209" s="8" t="s">
        <v>32</v>
      </c>
      <c r="I209" s="8" t="n">
        <f aca="false">IF(EXACT(G209,H209),1,0)</f>
        <v>1</v>
      </c>
      <c r="J209" s="8" t="n">
        <v>0</v>
      </c>
      <c r="K209" s="8" t="s">
        <v>92</v>
      </c>
      <c r="L209" s="8" t="n">
        <v>0</v>
      </c>
      <c r="M209" s="8" t="n">
        <v>0</v>
      </c>
      <c r="N209" s="8"/>
      <c r="O209" s="8" t="n">
        <v>1</v>
      </c>
      <c r="P209" s="10" t="n">
        <v>4.96</v>
      </c>
      <c r="Q209" s="8" t="n">
        <v>1267</v>
      </c>
      <c r="R209" s="8" t="n">
        <v>67</v>
      </c>
      <c r="S209" s="8" t="s">
        <v>132</v>
      </c>
      <c r="T209" s="8" t="s">
        <v>291</v>
      </c>
      <c r="U209" s="8" t="s">
        <v>292</v>
      </c>
      <c r="V209" s="8"/>
      <c r="W209" s="8" t="s">
        <v>302</v>
      </c>
      <c r="X209" s="8" t="s">
        <v>362</v>
      </c>
      <c r="Y209" s="8" t="s">
        <v>887</v>
      </c>
      <c r="Z209" s="8"/>
    </row>
    <row r="210" customFormat="false" ht="15" hidden="false" customHeight="false" outlineLevel="0" collapsed="false">
      <c r="A210" s="8" t="s">
        <v>301</v>
      </c>
      <c r="B210" s="8" t="s">
        <v>15</v>
      </c>
      <c r="C210" s="8" t="s">
        <v>16</v>
      </c>
      <c r="D210" s="8" t="s">
        <v>615</v>
      </c>
      <c r="E210" s="8" t="s">
        <v>37</v>
      </c>
      <c r="F210" s="8" t="s">
        <v>51</v>
      </c>
      <c r="G210" s="8" t="s">
        <v>32</v>
      </c>
      <c r="H210" s="8" t="s">
        <v>32</v>
      </c>
      <c r="I210" s="8" t="n">
        <f aca="false">IF(EXACT(G210,H210),1,0)</f>
        <v>1</v>
      </c>
      <c r="J210" s="8" t="n">
        <v>1</v>
      </c>
      <c r="K210" s="8" t="s">
        <v>92</v>
      </c>
      <c r="L210" s="8" t="n">
        <v>0</v>
      </c>
      <c r="M210" s="8" t="n">
        <v>0</v>
      </c>
      <c r="N210" s="8"/>
      <c r="O210" s="8" t="n">
        <v>1</v>
      </c>
      <c r="P210" s="10" t="n">
        <v>6.86</v>
      </c>
      <c r="Q210" s="8" t="n">
        <v>1267</v>
      </c>
      <c r="R210" s="8" t="n">
        <v>70</v>
      </c>
      <c r="S210" s="8" t="s">
        <v>132</v>
      </c>
      <c r="T210" s="8" t="s">
        <v>291</v>
      </c>
      <c r="U210" s="8" t="s">
        <v>292</v>
      </c>
      <c r="V210" s="8"/>
      <c r="W210" s="8" t="s">
        <v>302</v>
      </c>
      <c r="X210" s="8" t="s">
        <v>362</v>
      </c>
      <c r="Y210" s="8" t="s">
        <v>888</v>
      </c>
      <c r="Z210" s="8"/>
    </row>
    <row r="211" customFormat="false" ht="15" hidden="false" customHeight="false" outlineLevel="0" collapsed="false">
      <c r="A211" s="8" t="s">
        <v>301</v>
      </c>
      <c r="B211" s="8" t="s">
        <v>15</v>
      </c>
      <c r="C211" s="8" t="s">
        <v>16</v>
      </c>
      <c r="D211" s="8" t="s">
        <v>615</v>
      </c>
      <c r="E211" s="8" t="s">
        <v>37</v>
      </c>
      <c r="F211" s="8" t="s">
        <v>51</v>
      </c>
      <c r="G211" s="8" t="s">
        <v>32</v>
      </c>
      <c r="H211" s="8" t="s">
        <v>32</v>
      </c>
      <c r="I211" s="8" t="n">
        <f aca="false">IF(EXACT(G211,H211),1,0)</f>
        <v>1</v>
      </c>
      <c r="J211" s="8" t="n">
        <v>2</v>
      </c>
      <c r="K211" s="8" t="s">
        <v>92</v>
      </c>
      <c r="L211" s="8" t="n">
        <v>0</v>
      </c>
      <c r="M211" s="8" t="n">
        <v>0</v>
      </c>
      <c r="N211" s="8"/>
      <c r="O211" s="8" t="n">
        <v>1</v>
      </c>
      <c r="P211" s="10" t="n">
        <v>3.18</v>
      </c>
      <c r="Q211" s="8" t="n">
        <v>1267</v>
      </c>
      <c r="R211" s="8" t="n">
        <v>70</v>
      </c>
      <c r="S211" s="8" t="s">
        <v>132</v>
      </c>
      <c r="T211" s="8" t="s">
        <v>291</v>
      </c>
      <c r="U211" s="8" t="s">
        <v>292</v>
      </c>
      <c r="V211" s="8"/>
      <c r="W211" s="8" t="s">
        <v>302</v>
      </c>
      <c r="X211" s="8" t="s">
        <v>362</v>
      </c>
      <c r="Y211" s="8" t="s">
        <v>889</v>
      </c>
      <c r="Z211" s="8"/>
    </row>
    <row r="212" customFormat="false" ht="15" hidden="false" customHeight="false" outlineLevel="0" collapsed="false">
      <c r="A212" s="8" t="s">
        <v>304</v>
      </c>
      <c r="B212" s="8" t="s">
        <v>15</v>
      </c>
      <c r="C212" s="8" t="s">
        <v>16</v>
      </c>
      <c r="D212" s="8" t="s">
        <v>615</v>
      </c>
      <c r="E212" s="8" t="s">
        <v>37</v>
      </c>
      <c r="F212" s="8" t="s">
        <v>51</v>
      </c>
      <c r="G212" s="8" t="s">
        <v>31</v>
      </c>
      <c r="H212" s="8" t="s">
        <v>31</v>
      </c>
      <c r="I212" s="8" t="n">
        <f aca="false">IF(EXACT(G212,H212),1,0)</f>
        <v>1</v>
      </c>
      <c r="J212" s="8" t="n">
        <v>0</v>
      </c>
      <c r="K212" s="8" t="s">
        <v>116</v>
      </c>
      <c r="L212" s="8" t="n">
        <v>5</v>
      </c>
      <c r="M212" s="8" t="n">
        <v>0</v>
      </c>
      <c r="N212" s="8"/>
      <c r="O212" s="8" t="n">
        <v>1</v>
      </c>
      <c r="P212" s="10" t="n">
        <v>21.62</v>
      </c>
      <c r="Q212" s="8" t="n">
        <v>1284</v>
      </c>
      <c r="R212" s="8" t="n">
        <v>858</v>
      </c>
      <c r="S212" s="8" t="s">
        <v>117</v>
      </c>
      <c r="T212" s="8" t="s">
        <v>291</v>
      </c>
      <c r="U212" s="8" t="s">
        <v>292</v>
      </c>
      <c r="V212" s="8"/>
      <c r="W212" s="8" t="s">
        <v>305</v>
      </c>
      <c r="X212" s="8" t="s">
        <v>363</v>
      </c>
      <c r="Y212" s="8" t="s">
        <v>890</v>
      </c>
      <c r="Z212" s="8" t="s">
        <v>891</v>
      </c>
    </row>
    <row r="213" customFormat="false" ht="15" hidden="false" customHeight="false" outlineLevel="0" collapsed="false">
      <c r="A213" s="8" t="s">
        <v>304</v>
      </c>
      <c r="B213" s="8" t="s">
        <v>15</v>
      </c>
      <c r="C213" s="8" t="s">
        <v>16</v>
      </c>
      <c r="D213" s="8" t="s">
        <v>615</v>
      </c>
      <c r="E213" s="8" t="s">
        <v>37</v>
      </c>
      <c r="F213" s="8" t="s">
        <v>51</v>
      </c>
      <c r="G213" s="8" t="s">
        <v>31</v>
      </c>
      <c r="H213" s="8" t="s">
        <v>31</v>
      </c>
      <c r="I213" s="8" t="n">
        <f aca="false">IF(EXACT(G213,H213),1,0)</f>
        <v>1</v>
      </c>
      <c r="J213" s="8" t="n">
        <v>1</v>
      </c>
      <c r="K213" s="8" t="s">
        <v>116</v>
      </c>
      <c r="L213" s="8" t="n">
        <v>5</v>
      </c>
      <c r="M213" s="8" t="n">
        <v>0</v>
      </c>
      <c r="N213" s="8"/>
      <c r="O213" s="8" t="n">
        <v>1</v>
      </c>
      <c r="P213" s="10" t="n">
        <v>21.47</v>
      </c>
      <c r="Q213" s="8" t="n">
        <v>1284</v>
      </c>
      <c r="R213" s="8" t="n">
        <v>907</v>
      </c>
      <c r="S213" s="8" t="s">
        <v>117</v>
      </c>
      <c r="T213" s="8" t="s">
        <v>291</v>
      </c>
      <c r="U213" s="8" t="s">
        <v>292</v>
      </c>
      <c r="V213" s="8"/>
      <c r="W213" s="8" t="s">
        <v>305</v>
      </c>
      <c r="X213" s="8" t="s">
        <v>363</v>
      </c>
      <c r="Y213" s="8" t="s">
        <v>892</v>
      </c>
      <c r="Z213" s="8" t="s">
        <v>893</v>
      </c>
    </row>
    <row r="214" customFormat="false" ht="15" hidden="false" customHeight="false" outlineLevel="0" collapsed="false">
      <c r="A214" s="8" t="s">
        <v>304</v>
      </c>
      <c r="B214" s="8" t="s">
        <v>15</v>
      </c>
      <c r="C214" s="8" t="s">
        <v>16</v>
      </c>
      <c r="D214" s="8" t="s">
        <v>615</v>
      </c>
      <c r="E214" s="8" t="s">
        <v>37</v>
      </c>
      <c r="F214" s="8" t="s">
        <v>51</v>
      </c>
      <c r="G214" s="8" t="s">
        <v>31</v>
      </c>
      <c r="H214" s="8" t="s">
        <v>31</v>
      </c>
      <c r="I214" s="8" t="n">
        <f aca="false">IF(EXACT(G214,H214),1,0)</f>
        <v>1</v>
      </c>
      <c r="J214" s="8" t="n">
        <v>2</v>
      </c>
      <c r="K214" s="8" t="s">
        <v>116</v>
      </c>
      <c r="L214" s="8" t="n">
        <v>5</v>
      </c>
      <c r="M214" s="8" t="n">
        <v>0</v>
      </c>
      <c r="N214" s="8"/>
      <c r="O214" s="8" t="n">
        <v>1</v>
      </c>
      <c r="P214" s="10" t="n">
        <v>16.7</v>
      </c>
      <c r="Q214" s="8" t="n">
        <v>1284</v>
      </c>
      <c r="R214" s="8" t="n">
        <v>780</v>
      </c>
      <c r="S214" s="8" t="s">
        <v>117</v>
      </c>
      <c r="T214" s="8" t="s">
        <v>291</v>
      </c>
      <c r="U214" s="8" t="s">
        <v>292</v>
      </c>
      <c r="V214" s="8"/>
      <c r="W214" s="8" t="s">
        <v>305</v>
      </c>
      <c r="X214" s="8" t="s">
        <v>363</v>
      </c>
      <c r="Y214" s="8" t="s">
        <v>894</v>
      </c>
      <c r="Z214" s="8" t="s">
        <v>895</v>
      </c>
    </row>
    <row r="215" customFormat="false" ht="15" hidden="false" customHeight="false" outlineLevel="0" collapsed="false">
      <c r="A215" s="8" t="s">
        <v>307</v>
      </c>
      <c r="B215" s="8" t="s">
        <v>15</v>
      </c>
      <c r="C215" s="8" t="s">
        <v>16</v>
      </c>
      <c r="D215" s="8" t="s">
        <v>615</v>
      </c>
      <c r="E215" s="8" t="s">
        <v>37</v>
      </c>
      <c r="F215" s="8" t="s">
        <v>51</v>
      </c>
      <c r="G215" s="8" t="s">
        <v>31</v>
      </c>
      <c r="H215" s="8" t="s">
        <v>31</v>
      </c>
      <c r="I215" s="8" t="n">
        <f aca="false">IF(EXACT(G215,H215),1,0)</f>
        <v>1</v>
      </c>
      <c r="J215" s="8" t="n">
        <v>0</v>
      </c>
      <c r="K215" s="8" t="s">
        <v>116</v>
      </c>
      <c r="L215" s="8" t="n">
        <v>2</v>
      </c>
      <c r="M215" s="8" t="n">
        <v>0</v>
      </c>
      <c r="N215" s="8"/>
      <c r="O215" s="8" t="n">
        <v>1</v>
      </c>
      <c r="P215" s="10" t="n">
        <v>10.76</v>
      </c>
      <c r="Q215" s="8" t="n">
        <v>1228</v>
      </c>
      <c r="R215" s="8" t="n">
        <v>398</v>
      </c>
      <c r="S215" s="8" t="s">
        <v>308</v>
      </c>
      <c r="T215" s="8"/>
      <c r="U215" s="8"/>
      <c r="V215" s="8" t="s">
        <v>309</v>
      </c>
      <c r="W215" s="8"/>
      <c r="X215" s="8" t="s">
        <v>364</v>
      </c>
      <c r="Y215" s="8" t="s">
        <v>896</v>
      </c>
      <c r="Z215" s="8" t="s">
        <v>897</v>
      </c>
    </row>
    <row r="216" customFormat="false" ht="15" hidden="false" customHeight="false" outlineLevel="0" collapsed="false">
      <c r="A216" s="8" t="s">
        <v>307</v>
      </c>
      <c r="B216" s="8" t="s">
        <v>15</v>
      </c>
      <c r="C216" s="8" t="s">
        <v>16</v>
      </c>
      <c r="D216" s="8" t="s">
        <v>615</v>
      </c>
      <c r="E216" s="8" t="s">
        <v>37</v>
      </c>
      <c r="F216" s="8" t="s">
        <v>51</v>
      </c>
      <c r="G216" s="8" t="s">
        <v>31</v>
      </c>
      <c r="H216" s="8" t="s">
        <v>31</v>
      </c>
      <c r="I216" s="8" t="n">
        <f aca="false">IF(EXACT(G216,H216),1,0)</f>
        <v>1</v>
      </c>
      <c r="J216" s="8" t="n">
        <v>1</v>
      </c>
      <c r="K216" s="8" t="s">
        <v>116</v>
      </c>
      <c r="L216" s="8" t="n">
        <v>2</v>
      </c>
      <c r="M216" s="8" t="n">
        <v>0</v>
      </c>
      <c r="N216" s="8"/>
      <c r="O216" s="8" t="n">
        <v>1</v>
      </c>
      <c r="P216" s="10" t="n">
        <v>10.14</v>
      </c>
      <c r="Q216" s="8" t="n">
        <v>1228</v>
      </c>
      <c r="R216" s="8" t="n">
        <v>361</v>
      </c>
      <c r="S216" s="8" t="s">
        <v>308</v>
      </c>
      <c r="T216" s="8"/>
      <c r="U216" s="8"/>
      <c r="V216" s="8" t="s">
        <v>309</v>
      </c>
      <c r="W216" s="8"/>
      <c r="X216" s="8" t="s">
        <v>364</v>
      </c>
      <c r="Y216" s="8" t="s">
        <v>898</v>
      </c>
      <c r="Z216" s="8" t="s">
        <v>899</v>
      </c>
    </row>
    <row r="217" customFormat="false" ht="15" hidden="false" customHeight="false" outlineLevel="0" collapsed="false">
      <c r="A217" s="8" t="s">
        <v>307</v>
      </c>
      <c r="B217" s="8" t="s">
        <v>15</v>
      </c>
      <c r="C217" s="8" t="s">
        <v>16</v>
      </c>
      <c r="D217" s="8" t="s">
        <v>615</v>
      </c>
      <c r="E217" s="8" t="s">
        <v>37</v>
      </c>
      <c r="F217" s="8" t="s">
        <v>51</v>
      </c>
      <c r="G217" s="8" t="s">
        <v>31</v>
      </c>
      <c r="H217" s="8" t="s">
        <v>31</v>
      </c>
      <c r="I217" s="8" t="n">
        <f aca="false">IF(EXACT(G217,H217),1,0)</f>
        <v>1</v>
      </c>
      <c r="J217" s="8" t="n">
        <v>2</v>
      </c>
      <c r="K217" s="8" t="s">
        <v>116</v>
      </c>
      <c r="L217" s="8" t="n">
        <v>5</v>
      </c>
      <c r="M217" s="8" t="n">
        <v>0</v>
      </c>
      <c r="N217" s="8"/>
      <c r="O217" s="8" t="n">
        <v>1</v>
      </c>
      <c r="P217" s="10" t="n">
        <v>13.55</v>
      </c>
      <c r="Q217" s="8" t="n">
        <v>1228</v>
      </c>
      <c r="R217" s="8" t="n">
        <v>726</v>
      </c>
      <c r="S217" s="8" t="s">
        <v>308</v>
      </c>
      <c r="T217" s="8"/>
      <c r="U217" s="8"/>
      <c r="V217" s="8" t="s">
        <v>309</v>
      </c>
      <c r="W217" s="8"/>
      <c r="X217" s="8" t="s">
        <v>364</v>
      </c>
      <c r="Y217" s="8" t="s">
        <v>900</v>
      </c>
      <c r="Z217" s="8" t="s">
        <v>901</v>
      </c>
    </row>
    <row r="218" customFormat="false" ht="15" hidden="false" customHeight="false" outlineLevel="0" collapsed="false">
      <c r="A218" s="8" t="s">
        <v>365</v>
      </c>
      <c r="B218" s="8" t="s">
        <v>15</v>
      </c>
      <c r="C218" s="8" t="s">
        <v>16</v>
      </c>
      <c r="D218" s="8" t="s">
        <v>615</v>
      </c>
      <c r="E218" s="8" t="s">
        <v>37</v>
      </c>
      <c r="F218" s="8" t="s">
        <v>55</v>
      </c>
      <c r="G218" s="8" t="s">
        <v>30</v>
      </c>
      <c r="H218" s="8" t="s">
        <v>30</v>
      </c>
      <c r="I218" s="8" t="n">
        <f aca="false">IF(EXACT(G218,H218),1,0)</f>
        <v>1</v>
      </c>
      <c r="J218" s="8" t="n">
        <v>0</v>
      </c>
      <c r="K218" s="8" t="s">
        <v>92</v>
      </c>
      <c r="L218" s="8" t="n">
        <v>0</v>
      </c>
      <c r="M218" s="8" t="n">
        <v>0</v>
      </c>
      <c r="N218" s="8"/>
      <c r="O218" s="8" t="n">
        <v>1</v>
      </c>
      <c r="P218" s="10" t="n">
        <v>3.05</v>
      </c>
      <c r="Q218" s="8" t="n">
        <v>1176</v>
      </c>
      <c r="R218" s="8" t="n">
        <v>73</v>
      </c>
      <c r="S218" s="8" t="s">
        <v>366</v>
      </c>
      <c r="T218" s="8" t="s">
        <v>367</v>
      </c>
      <c r="U218" s="8" t="s">
        <v>368</v>
      </c>
      <c r="V218" s="8"/>
      <c r="W218" s="8" t="s">
        <v>369</v>
      </c>
      <c r="X218" s="8" t="s">
        <v>370</v>
      </c>
      <c r="Y218" s="8" t="s">
        <v>902</v>
      </c>
      <c r="Z218" s="8"/>
    </row>
    <row r="219" customFormat="false" ht="15" hidden="false" customHeight="false" outlineLevel="0" collapsed="false">
      <c r="A219" s="8" t="s">
        <v>365</v>
      </c>
      <c r="B219" s="8" t="s">
        <v>15</v>
      </c>
      <c r="C219" s="8" t="s">
        <v>16</v>
      </c>
      <c r="D219" s="8" t="s">
        <v>615</v>
      </c>
      <c r="E219" s="8" t="s">
        <v>37</v>
      </c>
      <c r="F219" s="8" t="s">
        <v>55</v>
      </c>
      <c r="G219" s="8" t="s">
        <v>30</v>
      </c>
      <c r="H219" s="8" t="s">
        <v>30</v>
      </c>
      <c r="I219" s="8" t="n">
        <f aca="false">IF(EXACT(G219,H219),1,0)</f>
        <v>1</v>
      </c>
      <c r="J219" s="8" t="n">
        <v>1</v>
      </c>
      <c r="K219" s="8" t="s">
        <v>92</v>
      </c>
      <c r="L219" s="8" t="n">
        <v>0</v>
      </c>
      <c r="M219" s="8" t="n">
        <v>0</v>
      </c>
      <c r="N219" s="8"/>
      <c r="O219" s="8" t="n">
        <v>1</v>
      </c>
      <c r="P219" s="10" t="n">
        <v>2.87</v>
      </c>
      <c r="Q219" s="8" t="n">
        <v>1176</v>
      </c>
      <c r="R219" s="8" t="n">
        <v>76</v>
      </c>
      <c r="S219" s="8" t="s">
        <v>366</v>
      </c>
      <c r="T219" s="8" t="s">
        <v>367</v>
      </c>
      <c r="U219" s="8" t="s">
        <v>368</v>
      </c>
      <c r="V219" s="8"/>
      <c r="W219" s="8" t="s">
        <v>369</v>
      </c>
      <c r="X219" s="8" t="s">
        <v>370</v>
      </c>
      <c r="Y219" s="8" t="s">
        <v>903</v>
      </c>
      <c r="Z219" s="8"/>
    </row>
    <row r="220" customFormat="false" ht="15" hidden="false" customHeight="false" outlineLevel="0" collapsed="false">
      <c r="A220" s="8" t="s">
        <v>365</v>
      </c>
      <c r="B220" s="8" t="s">
        <v>15</v>
      </c>
      <c r="C220" s="8" t="s">
        <v>16</v>
      </c>
      <c r="D220" s="8" t="s">
        <v>615</v>
      </c>
      <c r="E220" s="8" t="s">
        <v>37</v>
      </c>
      <c r="F220" s="8" t="s">
        <v>55</v>
      </c>
      <c r="G220" s="8" t="s">
        <v>30</v>
      </c>
      <c r="H220" s="8" t="s">
        <v>30</v>
      </c>
      <c r="I220" s="8" t="n">
        <f aca="false">IF(EXACT(G220,H220),1,0)</f>
        <v>1</v>
      </c>
      <c r="J220" s="8" t="n">
        <v>2</v>
      </c>
      <c r="K220" s="8" t="s">
        <v>92</v>
      </c>
      <c r="L220" s="8" t="n">
        <v>0</v>
      </c>
      <c r="M220" s="8" t="n">
        <v>0</v>
      </c>
      <c r="N220" s="8"/>
      <c r="O220" s="8" t="n">
        <v>1</v>
      </c>
      <c r="P220" s="10" t="n">
        <v>3.17</v>
      </c>
      <c r="Q220" s="8" t="n">
        <v>1176</v>
      </c>
      <c r="R220" s="8" t="n">
        <v>88</v>
      </c>
      <c r="S220" s="8" t="s">
        <v>366</v>
      </c>
      <c r="T220" s="8" t="s">
        <v>367</v>
      </c>
      <c r="U220" s="8" t="s">
        <v>368</v>
      </c>
      <c r="V220" s="8"/>
      <c r="W220" s="8" t="s">
        <v>369</v>
      </c>
      <c r="X220" s="8" t="s">
        <v>370</v>
      </c>
      <c r="Y220" s="8" t="s">
        <v>904</v>
      </c>
      <c r="Z220" s="8"/>
    </row>
    <row r="221" customFormat="false" ht="15" hidden="false" customHeight="false" outlineLevel="0" collapsed="false">
      <c r="A221" s="8" t="s">
        <v>371</v>
      </c>
      <c r="B221" s="8" t="s">
        <v>15</v>
      </c>
      <c r="C221" s="8" t="s">
        <v>16</v>
      </c>
      <c r="D221" s="8" t="s">
        <v>615</v>
      </c>
      <c r="E221" s="8" t="s">
        <v>37</v>
      </c>
      <c r="F221" s="8" t="s">
        <v>55</v>
      </c>
      <c r="G221" s="8" t="s">
        <v>30</v>
      </c>
      <c r="H221" s="8" t="s">
        <v>31</v>
      </c>
      <c r="I221" s="8" t="n">
        <f aca="false">IF(EXACT(G221,H221),1,0)</f>
        <v>0</v>
      </c>
      <c r="J221" s="8" t="n">
        <v>0</v>
      </c>
      <c r="K221" s="8" t="s">
        <v>737</v>
      </c>
      <c r="L221" s="8" t="n">
        <v>5</v>
      </c>
      <c r="M221" s="8" t="n">
        <v>0</v>
      </c>
      <c r="N221" s="8"/>
      <c r="O221" s="8" t="n">
        <v>1</v>
      </c>
      <c r="P221" s="10" t="n">
        <v>14.89</v>
      </c>
      <c r="Q221" s="8" t="n">
        <v>1256</v>
      </c>
      <c r="R221" s="8" t="n">
        <v>694</v>
      </c>
      <c r="S221" s="8" t="s">
        <v>180</v>
      </c>
      <c r="T221" s="8" t="s">
        <v>372</v>
      </c>
      <c r="U221" s="8" t="s">
        <v>373</v>
      </c>
      <c r="V221" s="8"/>
      <c r="W221" s="8" t="s">
        <v>374</v>
      </c>
      <c r="X221" s="8" t="s">
        <v>375</v>
      </c>
      <c r="Y221" s="8" t="s">
        <v>905</v>
      </c>
      <c r="Z221" s="8" t="s">
        <v>906</v>
      </c>
    </row>
    <row r="222" customFormat="false" ht="15" hidden="false" customHeight="false" outlineLevel="0" collapsed="false">
      <c r="A222" s="8" t="s">
        <v>371</v>
      </c>
      <c r="B222" s="8" t="s">
        <v>15</v>
      </c>
      <c r="C222" s="8" t="s">
        <v>16</v>
      </c>
      <c r="D222" s="8" t="s">
        <v>615</v>
      </c>
      <c r="E222" s="8" t="s">
        <v>37</v>
      </c>
      <c r="F222" s="8" t="s">
        <v>55</v>
      </c>
      <c r="G222" s="8" t="s">
        <v>30</v>
      </c>
      <c r="H222" s="8" t="s">
        <v>31</v>
      </c>
      <c r="I222" s="8" t="n">
        <f aca="false">IF(EXACT(G222,H222),1,0)</f>
        <v>0</v>
      </c>
      <c r="J222" s="8" t="n">
        <v>1</v>
      </c>
      <c r="K222" s="8" t="s">
        <v>737</v>
      </c>
      <c r="L222" s="8" t="n">
        <v>5</v>
      </c>
      <c r="M222" s="8" t="n">
        <v>0</v>
      </c>
      <c r="N222" s="8"/>
      <c r="O222" s="8" t="n">
        <v>1</v>
      </c>
      <c r="P222" s="10" t="n">
        <v>13.1</v>
      </c>
      <c r="Q222" s="8" t="n">
        <v>1256</v>
      </c>
      <c r="R222" s="8" t="n">
        <v>657</v>
      </c>
      <c r="S222" s="8" t="s">
        <v>180</v>
      </c>
      <c r="T222" s="8" t="s">
        <v>372</v>
      </c>
      <c r="U222" s="8" t="s">
        <v>373</v>
      </c>
      <c r="V222" s="8"/>
      <c r="W222" s="8" t="s">
        <v>374</v>
      </c>
      <c r="X222" s="8" t="s">
        <v>375</v>
      </c>
      <c r="Y222" s="8" t="s">
        <v>907</v>
      </c>
      <c r="Z222" s="8" t="s">
        <v>908</v>
      </c>
    </row>
    <row r="223" customFormat="false" ht="15" hidden="false" customHeight="false" outlineLevel="0" collapsed="false">
      <c r="A223" s="8" t="s">
        <v>371</v>
      </c>
      <c r="B223" s="8" t="s">
        <v>15</v>
      </c>
      <c r="C223" s="8" t="s">
        <v>16</v>
      </c>
      <c r="D223" s="8" t="s">
        <v>615</v>
      </c>
      <c r="E223" s="8" t="s">
        <v>37</v>
      </c>
      <c r="F223" s="8" t="s">
        <v>55</v>
      </c>
      <c r="G223" s="8" t="s">
        <v>30</v>
      </c>
      <c r="H223" s="8" t="s">
        <v>31</v>
      </c>
      <c r="I223" s="8" t="n">
        <f aca="false">IF(EXACT(G223,H223),1,0)</f>
        <v>0</v>
      </c>
      <c r="J223" s="8" t="n">
        <v>2</v>
      </c>
      <c r="K223" s="8" t="s">
        <v>737</v>
      </c>
      <c r="L223" s="8" t="n">
        <v>5</v>
      </c>
      <c r="M223" s="8" t="n">
        <v>0</v>
      </c>
      <c r="N223" s="8"/>
      <c r="O223" s="8" t="n">
        <v>1</v>
      </c>
      <c r="P223" s="10" t="n">
        <v>16.23</v>
      </c>
      <c r="Q223" s="8" t="n">
        <v>1256</v>
      </c>
      <c r="R223" s="8" t="n">
        <v>792</v>
      </c>
      <c r="S223" s="8" t="s">
        <v>180</v>
      </c>
      <c r="T223" s="8" t="s">
        <v>372</v>
      </c>
      <c r="U223" s="8" t="s">
        <v>373</v>
      </c>
      <c r="V223" s="8"/>
      <c r="W223" s="8" t="s">
        <v>374</v>
      </c>
      <c r="X223" s="8" t="s">
        <v>375</v>
      </c>
      <c r="Y223" s="8" t="s">
        <v>909</v>
      </c>
      <c r="Z223" s="8" t="s">
        <v>910</v>
      </c>
    </row>
    <row r="224" customFormat="false" ht="15" hidden="false" customHeight="false" outlineLevel="0" collapsed="false">
      <c r="A224" s="8" t="s">
        <v>376</v>
      </c>
      <c r="B224" s="8" t="s">
        <v>15</v>
      </c>
      <c r="C224" s="8" t="s">
        <v>16</v>
      </c>
      <c r="D224" s="8" t="s">
        <v>615</v>
      </c>
      <c r="E224" s="8" t="s">
        <v>37</v>
      </c>
      <c r="F224" s="8" t="s">
        <v>55</v>
      </c>
      <c r="G224" s="8" t="s">
        <v>32</v>
      </c>
      <c r="H224" s="8" t="s">
        <v>31</v>
      </c>
      <c r="I224" s="8" t="n">
        <f aca="false">IF(EXACT(G224,H224),1,0)</f>
        <v>0</v>
      </c>
      <c r="J224" s="8" t="n">
        <v>0</v>
      </c>
      <c r="K224" s="8" t="s">
        <v>140</v>
      </c>
      <c r="L224" s="8" t="n">
        <v>5</v>
      </c>
      <c r="M224" s="8" t="n">
        <v>0</v>
      </c>
      <c r="N224" s="8"/>
      <c r="O224" s="8" t="n">
        <v>1</v>
      </c>
      <c r="P224" s="10" t="n">
        <v>12.38</v>
      </c>
      <c r="Q224" s="8" t="n">
        <v>1172</v>
      </c>
      <c r="R224" s="8" t="n">
        <v>656</v>
      </c>
      <c r="S224" s="8" t="s">
        <v>132</v>
      </c>
      <c r="T224" s="8" t="s">
        <v>367</v>
      </c>
      <c r="U224" s="8" t="s">
        <v>368</v>
      </c>
      <c r="V224" s="8"/>
      <c r="W224" s="8" t="s">
        <v>377</v>
      </c>
      <c r="X224" s="8" t="s">
        <v>378</v>
      </c>
      <c r="Y224" s="8" t="s">
        <v>911</v>
      </c>
      <c r="Z224" s="8" t="s">
        <v>912</v>
      </c>
    </row>
    <row r="225" customFormat="false" ht="15" hidden="false" customHeight="false" outlineLevel="0" collapsed="false">
      <c r="A225" s="8" t="s">
        <v>376</v>
      </c>
      <c r="B225" s="8" t="s">
        <v>15</v>
      </c>
      <c r="C225" s="8" t="s">
        <v>16</v>
      </c>
      <c r="D225" s="8" t="s">
        <v>615</v>
      </c>
      <c r="E225" s="8" t="s">
        <v>37</v>
      </c>
      <c r="F225" s="8" t="s">
        <v>55</v>
      </c>
      <c r="G225" s="8" t="s">
        <v>32</v>
      </c>
      <c r="H225" s="8" t="s">
        <v>31</v>
      </c>
      <c r="I225" s="8" t="n">
        <f aca="false">IF(EXACT(G225,H225),1,0)</f>
        <v>0</v>
      </c>
      <c r="J225" s="8" t="n">
        <v>1</v>
      </c>
      <c r="K225" s="8" t="s">
        <v>140</v>
      </c>
      <c r="L225" s="8" t="n">
        <v>6</v>
      </c>
      <c r="M225" s="8" t="n">
        <v>0</v>
      </c>
      <c r="N225" s="8"/>
      <c r="O225" s="8" t="n">
        <v>1</v>
      </c>
      <c r="P225" s="10" t="n">
        <v>15.76</v>
      </c>
      <c r="Q225" s="8" t="n">
        <v>1172</v>
      </c>
      <c r="R225" s="8" t="n">
        <v>833</v>
      </c>
      <c r="S225" s="8" t="s">
        <v>132</v>
      </c>
      <c r="T225" s="8" t="s">
        <v>367</v>
      </c>
      <c r="U225" s="8" t="s">
        <v>368</v>
      </c>
      <c r="V225" s="8"/>
      <c r="W225" s="8" t="s">
        <v>377</v>
      </c>
      <c r="X225" s="8" t="s">
        <v>378</v>
      </c>
      <c r="Y225" s="8" t="s">
        <v>913</v>
      </c>
      <c r="Z225" s="8" t="s">
        <v>914</v>
      </c>
    </row>
    <row r="226" customFormat="false" ht="15" hidden="false" customHeight="false" outlineLevel="0" collapsed="false">
      <c r="A226" s="8" t="s">
        <v>376</v>
      </c>
      <c r="B226" s="8" t="s">
        <v>15</v>
      </c>
      <c r="C226" s="8" t="s">
        <v>16</v>
      </c>
      <c r="D226" s="8" t="s">
        <v>615</v>
      </c>
      <c r="E226" s="8" t="s">
        <v>37</v>
      </c>
      <c r="F226" s="8" t="s">
        <v>55</v>
      </c>
      <c r="G226" s="8" t="s">
        <v>32</v>
      </c>
      <c r="H226" s="8" t="s">
        <v>31</v>
      </c>
      <c r="I226" s="8" t="n">
        <f aca="false">IF(EXACT(G226,H226),1,0)</f>
        <v>0</v>
      </c>
      <c r="J226" s="8" t="n">
        <v>2</v>
      </c>
      <c r="K226" s="8" t="s">
        <v>140</v>
      </c>
      <c r="L226" s="8" t="n">
        <v>5</v>
      </c>
      <c r="M226" s="8" t="n">
        <v>0</v>
      </c>
      <c r="N226" s="8"/>
      <c r="O226" s="8" t="n">
        <v>1</v>
      </c>
      <c r="P226" s="10" t="n">
        <v>13.41</v>
      </c>
      <c r="Q226" s="8" t="n">
        <v>1172</v>
      </c>
      <c r="R226" s="8" t="n">
        <v>661</v>
      </c>
      <c r="S226" s="8" t="s">
        <v>132</v>
      </c>
      <c r="T226" s="8" t="s">
        <v>367</v>
      </c>
      <c r="U226" s="8" t="s">
        <v>368</v>
      </c>
      <c r="V226" s="8"/>
      <c r="W226" s="8" t="s">
        <v>377</v>
      </c>
      <c r="X226" s="8" t="s">
        <v>378</v>
      </c>
      <c r="Y226" s="8" t="s">
        <v>915</v>
      </c>
      <c r="Z226" s="8" t="s">
        <v>916</v>
      </c>
    </row>
    <row r="227" customFormat="false" ht="15" hidden="false" customHeight="false" outlineLevel="0" collapsed="false">
      <c r="A227" s="8" t="s">
        <v>379</v>
      </c>
      <c r="B227" s="8" t="s">
        <v>15</v>
      </c>
      <c r="C227" s="8" t="s">
        <v>16</v>
      </c>
      <c r="D227" s="8" t="s">
        <v>615</v>
      </c>
      <c r="E227" s="8" t="s">
        <v>37</v>
      </c>
      <c r="F227" s="8" t="s">
        <v>55</v>
      </c>
      <c r="G227" s="8" t="s">
        <v>31</v>
      </c>
      <c r="H227" s="8" t="s">
        <v>31</v>
      </c>
      <c r="I227" s="8" t="n">
        <f aca="false">IF(EXACT(G227,H227),1,0)</f>
        <v>1</v>
      </c>
      <c r="J227" s="8" t="n">
        <v>0</v>
      </c>
      <c r="K227" s="8" t="s">
        <v>140</v>
      </c>
      <c r="L227" s="8" t="n">
        <v>5</v>
      </c>
      <c r="M227" s="8" t="n">
        <v>0</v>
      </c>
      <c r="N227" s="8"/>
      <c r="O227" s="8" t="n">
        <v>1</v>
      </c>
      <c r="P227" s="10" t="n">
        <v>12.78</v>
      </c>
      <c r="Q227" s="8" t="n">
        <v>1178</v>
      </c>
      <c r="R227" s="8" t="n">
        <v>637</v>
      </c>
      <c r="S227" s="8" t="s">
        <v>255</v>
      </c>
      <c r="T227" s="8" t="s">
        <v>367</v>
      </c>
      <c r="U227" s="8" t="s">
        <v>368</v>
      </c>
      <c r="V227" s="8"/>
      <c r="W227" s="8" t="s">
        <v>380</v>
      </c>
      <c r="X227" s="8" t="s">
        <v>381</v>
      </c>
      <c r="Y227" s="8" t="s">
        <v>917</v>
      </c>
      <c r="Z227" s="8" t="s">
        <v>918</v>
      </c>
    </row>
    <row r="228" customFormat="false" ht="15" hidden="false" customHeight="false" outlineLevel="0" collapsed="false">
      <c r="A228" s="8" t="s">
        <v>379</v>
      </c>
      <c r="B228" s="8" t="s">
        <v>15</v>
      </c>
      <c r="C228" s="8" t="s">
        <v>16</v>
      </c>
      <c r="D228" s="8" t="s">
        <v>615</v>
      </c>
      <c r="E228" s="8" t="s">
        <v>37</v>
      </c>
      <c r="F228" s="8" t="s">
        <v>55</v>
      </c>
      <c r="G228" s="8" t="s">
        <v>31</v>
      </c>
      <c r="H228" s="8" t="s">
        <v>31</v>
      </c>
      <c r="I228" s="8" t="n">
        <f aca="false">IF(EXACT(G228,H228),1,0)</f>
        <v>1</v>
      </c>
      <c r="J228" s="8" t="n">
        <v>1</v>
      </c>
      <c r="K228" s="8" t="s">
        <v>140</v>
      </c>
      <c r="L228" s="8" t="n">
        <v>5</v>
      </c>
      <c r="M228" s="8" t="n">
        <v>0</v>
      </c>
      <c r="N228" s="8"/>
      <c r="O228" s="8" t="n">
        <v>1</v>
      </c>
      <c r="P228" s="10" t="n">
        <v>15.05</v>
      </c>
      <c r="Q228" s="8" t="n">
        <v>1178</v>
      </c>
      <c r="R228" s="8" t="n">
        <v>745</v>
      </c>
      <c r="S228" s="8" t="s">
        <v>255</v>
      </c>
      <c r="T228" s="8" t="s">
        <v>367</v>
      </c>
      <c r="U228" s="8" t="s">
        <v>368</v>
      </c>
      <c r="V228" s="8"/>
      <c r="W228" s="8" t="s">
        <v>380</v>
      </c>
      <c r="X228" s="8" t="s">
        <v>381</v>
      </c>
      <c r="Y228" s="8" t="s">
        <v>919</v>
      </c>
      <c r="Z228" s="8" t="s">
        <v>920</v>
      </c>
    </row>
    <row r="229" customFormat="false" ht="15" hidden="false" customHeight="false" outlineLevel="0" collapsed="false">
      <c r="A229" s="8" t="s">
        <v>379</v>
      </c>
      <c r="B229" s="8" t="s">
        <v>15</v>
      </c>
      <c r="C229" s="8" t="s">
        <v>16</v>
      </c>
      <c r="D229" s="8" t="s">
        <v>615</v>
      </c>
      <c r="E229" s="8" t="s">
        <v>37</v>
      </c>
      <c r="F229" s="8" t="s">
        <v>55</v>
      </c>
      <c r="G229" s="8" t="s">
        <v>31</v>
      </c>
      <c r="H229" s="8" t="s">
        <v>31</v>
      </c>
      <c r="I229" s="8" t="n">
        <f aca="false">IF(EXACT(G229,H229),1,0)</f>
        <v>1</v>
      </c>
      <c r="J229" s="8" t="n">
        <v>2</v>
      </c>
      <c r="K229" s="8" t="s">
        <v>140</v>
      </c>
      <c r="L229" s="8" t="n">
        <v>5</v>
      </c>
      <c r="M229" s="8" t="n">
        <v>0</v>
      </c>
      <c r="N229" s="8"/>
      <c r="O229" s="8" t="n">
        <v>1</v>
      </c>
      <c r="P229" s="10" t="n">
        <v>13.83</v>
      </c>
      <c r="Q229" s="8" t="n">
        <v>1178</v>
      </c>
      <c r="R229" s="8" t="n">
        <v>738</v>
      </c>
      <c r="S229" s="8" t="s">
        <v>255</v>
      </c>
      <c r="T229" s="8" t="s">
        <v>367</v>
      </c>
      <c r="U229" s="8" t="s">
        <v>368</v>
      </c>
      <c r="V229" s="8"/>
      <c r="W229" s="8" t="s">
        <v>380</v>
      </c>
      <c r="X229" s="8" t="s">
        <v>381</v>
      </c>
      <c r="Y229" s="8" t="s">
        <v>921</v>
      </c>
      <c r="Z229" s="8" t="s">
        <v>922</v>
      </c>
    </row>
    <row r="230" customFormat="false" ht="15" hidden="false" customHeight="false" outlineLevel="0" collapsed="false">
      <c r="A230" s="8" t="s">
        <v>383</v>
      </c>
      <c r="B230" s="8" t="s">
        <v>15</v>
      </c>
      <c r="C230" s="8" t="s">
        <v>16</v>
      </c>
      <c r="D230" s="8" t="s">
        <v>615</v>
      </c>
      <c r="E230" s="8" t="s">
        <v>37</v>
      </c>
      <c r="F230" s="8" t="s">
        <v>55</v>
      </c>
      <c r="G230" s="8" t="s">
        <v>32</v>
      </c>
      <c r="H230" s="8" t="s">
        <v>31</v>
      </c>
      <c r="I230" s="8" t="n">
        <f aca="false">IF(EXACT(G230,H230),1,0)</f>
        <v>0</v>
      </c>
      <c r="J230" s="8" t="n">
        <v>0</v>
      </c>
      <c r="K230" s="8" t="s">
        <v>140</v>
      </c>
      <c r="L230" s="8" t="n">
        <v>5</v>
      </c>
      <c r="M230" s="8" t="n">
        <v>0</v>
      </c>
      <c r="N230" s="8"/>
      <c r="O230" s="8" t="n">
        <v>1</v>
      </c>
      <c r="P230" s="10" t="n">
        <v>13.88</v>
      </c>
      <c r="Q230" s="8" t="n">
        <v>1165</v>
      </c>
      <c r="R230" s="8" t="n">
        <v>669</v>
      </c>
      <c r="S230" s="8" t="s">
        <v>384</v>
      </c>
      <c r="T230" s="8" t="s">
        <v>372</v>
      </c>
      <c r="U230" s="8" t="s">
        <v>373</v>
      </c>
      <c r="V230" s="8"/>
      <c r="W230" s="8" t="s">
        <v>385</v>
      </c>
      <c r="X230" s="8" t="s">
        <v>386</v>
      </c>
      <c r="Y230" s="8" t="s">
        <v>923</v>
      </c>
      <c r="Z230" s="8" t="s">
        <v>924</v>
      </c>
    </row>
    <row r="231" customFormat="false" ht="15" hidden="false" customHeight="false" outlineLevel="0" collapsed="false">
      <c r="A231" s="8" t="s">
        <v>383</v>
      </c>
      <c r="B231" s="8" t="s">
        <v>15</v>
      </c>
      <c r="C231" s="8" t="s">
        <v>16</v>
      </c>
      <c r="D231" s="8" t="s">
        <v>615</v>
      </c>
      <c r="E231" s="8" t="s">
        <v>37</v>
      </c>
      <c r="F231" s="8" t="s">
        <v>55</v>
      </c>
      <c r="G231" s="8" t="s">
        <v>32</v>
      </c>
      <c r="H231" s="8" t="s">
        <v>31</v>
      </c>
      <c r="I231" s="8" t="n">
        <f aca="false">IF(EXACT(G231,H231),1,0)</f>
        <v>0</v>
      </c>
      <c r="J231" s="8" t="n">
        <v>1</v>
      </c>
      <c r="K231" s="8" t="s">
        <v>140</v>
      </c>
      <c r="L231" s="8" t="n">
        <v>5</v>
      </c>
      <c r="M231" s="8" t="n">
        <v>0</v>
      </c>
      <c r="N231" s="8"/>
      <c r="O231" s="8" t="n">
        <v>1</v>
      </c>
      <c r="P231" s="10" t="n">
        <v>12.86</v>
      </c>
      <c r="Q231" s="8" t="n">
        <v>1165</v>
      </c>
      <c r="R231" s="8" t="n">
        <v>651</v>
      </c>
      <c r="S231" s="8" t="s">
        <v>384</v>
      </c>
      <c r="T231" s="8" t="s">
        <v>372</v>
      </c>
      <c r="U231" s="8" t="s">
        <v>373</v>
      </c>
      <c r="V231" s="8"/>
      <c r="W231" s="8" t="s">
        <v>385</v>
      </c>
      <c r="X231" s="8" t="s">
        <v>386</v>
      </c>
      <c r="Y231" s="8" t="s">
        <v>925</v>
      </c>
      <c r="Z231" s="8" t="s">
        <v>926</v>
      </c>
    </row>
    <row r="232" customFormat="false" ht="15" hidden="false" customHeight="false" outlineLevel="0" collapsed="false">
      <c r="A232" s="8" t="s">
        <v>383</v>
      </c>
      <c r="B232" s="8" t="s">
        <v>15</v>
      </c>
      <c r="C232" s="8" t="s">
        <v>16</v>
      </c>
      <c r="D232" s="8" t="s">
        <v>615</v>
      </c>
      <c r="E232" s="8" t="s">
        <v>37</v>
      </c>
      <c r="F232" s="8" t="s">
        <v>55</v>
      </c>
      <c r="G232" s="8" t="s">
        <v>32</v>
      </c>
      <c r="H232" s="8" t="s">
        <v>31</v>
      </c>
      <c r="I232" s="8" t="n">
        <f aca="false">IF(EXACT(G232,H232),1,0)</f>
        <v>0</v>
      </c>
      <c r="J232" s="8" t="n">
        <v>2</v>
      </c>
      <c r="K232" s="8" t="s">
        <v>140</v>
      </c>
      <c r="L232" s="8" t="n">
        <v>5</v>
      </c>
      <c r="M232" s="8" t="n">
        <v>0</v>
      </c>
      <c r="N232" s="8"/>
      <c r="O232" s="8" t="n">
        <v>1</v>
      </c>
      <c r="P232" s="10" t="n">
        <v>12.39</v>
      </c>
      <c r="Q232" s="8" t="n">
        <v>1165</v>
      </c>
      <c r="R232" s="8" t="n">
        <v>612</v>
      </c>
      <c r="S232" s="8" t="s">
        <v>384</v>
      </c>
      <c r="T232" s="8" t="s">
        <v>372</v>
      </c>
      <c r="U232" s="8" t="s">
        <v>373</v>
      </c>
      <c r="V232" s="8"/>
      <c r="W232" s="8" t="s">
        <v>385</v>
      </c>
      <c r="X232" s="8" t="s">
        <v>386</v>
      </c>
      <c r="Y232" s="8" t="s">
        <v>927</v>
      </c>
      <c r="Z232" s="8" t="s">
        <v>928</v>
      </c>
    </row>
    <row r="233" customFormat="false" ht="15" hidden="false" customHeight="false" outlineLevel="0" collapsed="false">
      <c r="A233" s="8" t="s">
        <v>387</v>
      </c>
      <c r="B233" s="8" t="s">
        <v>15</v>
      </c>
      <c r="C233" s="8" t="s">
        <v>16</v>
      </c>
      <c r="D233" s="8" t="s">
        <v>615</v>
      </c>
      <c r="E233" s="8" t="s">
        <v>37</v>
      </c>
      <c r="F233" s="8" t="s">
        <v>55</v>
      </c>
      <c r="G233" s="8" t="s">
        <v>31</v>
      </c>
      <c r="H233" s="8" t="s">
        <v>31</v>
      </c>
      <c r="I233" s="8" t="n">
        <f aca="false">IF(EXACT(G233,H233),1,0)</f>
        <v>1</v>
      </c>
      <c r="J233" s="8" t="n">
        <v>0</v>
      </c>
      <c r="K233" s="8" t="s">
        <v>737</v>
      </c>
      <c r="L233" s="8" t="n">
        <v>5</v>
      </c>
      <c r="M233" s="8" t="n">
        <v>0</v>
      </c>
      <c r="N233" s="8"/>
      <c r="O233" s="8" t="n">
        <v>1</v>
      </c>
      <c r="P233" s="10" t="n">
        <v>11.45</v>
      </c>
      <c r="Q233" s="8" t="n">
        <v>1201</v>
      </c>
      <c r="R233" s="8" t="n">
        <v>588</v>
      </c>
      <c r="S233" s="8" t="s">
        <v>388</v>
      </c>
      <c r="T233" s="8" t="s">
        <v>367</v>
      </c>
      <c r="U233" s="8" t="s">
        <v>368</v>
      </c>
      <c r="V233" s="8"/>
      <c r="W233" s="8" t="s">
        <v>389</v>
      </c>
      <c r="X233" s="8" t="s">
        <v>390</v>
      </c>
      <c r="Y233" s="8" t="s">
        <v>929</v>
      </c>
      <c r="Z233" s="8" t="s">
        <v>930</v>
      </c>
    </row>
    <row r="234" customFormat="false" ht="15" hidden="false" customHeight="false" outlineLevel="0" collapsed="false">
      <c r="A234" s="8" t="s">
        <v>387</v>
      </c>
      <c r="B234" s="8" t="s">
        <v>15</v>
      </c>
      <c r="C234" s="8" t="s">
        <v>16</v>
      </c>
      <c r="D234" s="8" t="s">
        <v>615</v>
      </c>
      <c r="E234" s="8" t="s">
        <v>37</v>
      </c>
      <c r="F234" s="8" t="s">
        <v>55</v>
      </c>
      <c r="G234" s="8" t="s">
        <v>31</v>
      </c>
      <c r="H234" s="8" t="s">
        <v>31</v>
      </c>
      <c r="I234" s="8" t="n">
        <f aca="false">IF(EXACT(G234,H234),1,0)</f>
        <v>1</v>
      </c>
      <c r="J234" s="8" t="n">
        <v>1</v>
      </c>
      <c r="K234" s="8" t="s">
        <v>737</v>
      </c>
      <c r="L234" s="8" t="n">
        <v>5</v>
      </c>
      <c r="M234" s="8" t="n">
        <v>0</v>
      </c>
      <c r="N234" s="8"/>
      <c r="O234" s="8" t="n">
        <v>1</v>
      </c>
      <c r="P234" s="10" t="n">
        <v>14.23</v>
      </c>
      <c r="Q234" s="8" t="n">
        <v>1201</v>
      </c>
      <c r="R234" s="8" t="n">
        <v>650</v>
      </c>
      <c r="S234" s="8" t="s">
        <v>388</v>
      </c>
      <c r="T234" s="8" t="s">
        <v>367</v>
      </c>
      <c r="U234" s="8" t="s">
        <v>368</v>
      </c>
      <c r="V234" s="8"/>
      <c r="W234" s="8" t="s">
        <v>389</v>
      </c>
      <c r="X234" s="8" t="s">
        <v>390</v>
      </c>
      <c r="Y234" s="8" t="s">
        <v>931</v>
      </c>
      <c r="Z234" s="8" t="s">
        <v>932</v>
      </c>
    </row>
    <row r="235" customFormat="false" ht="15" hidden="false" customHeight="false" outlineLevel="0" collapsed="false">
      <c r="A235" s="8" t="s">
        <v>387</v>
      </c>
      <c r="B235" s="8" t="s">
        <v>15</v>
      </c>
      <c r="C235" s="8" t="s">
        <v>16</v>
      </c>
      <c r="D235" s="8" t="s">
        <v>615</v>
      </c>
      <c r="E235" s="8" t="s">
        <v>37</v>
      </c>
      <c r="F235" s="8" t="s">
        <v>55</v>
      </c>
      <c r="G235" s="8" t="s">
        <v>31</v>
      </c>
      <c r="H235" s="8" t="s">
        <v>31</v>
      </c>
      <c r="I235" s="8" t="n">
        <f aca="false">IF(EXACT(G235,H235),1,0)</f>
        <v>1</v>
      </c>
      <c r="J235" s="8" t="n">
        <v>2</v>
      </c>
      <c r="K235" s="8" t="s">
        <v>737</v>
      </c>
      <c r="L235" s="8" t="n">
        <v>5</v>
      </c>
      <c r="M235" s="8" t="n">
        <v>0</v>
      </c>
      <c r="N235" s="8"/>
      <c r="O235" s="8" t="n">
        <v>1</v>
      </c>
      <c r="P235" s="10" t="n">
        <v>11.88</v>
      </c>
      <c r="Q235" s="8" t="n">
        <v>1201</v>
      </c>
      <c r="R235" s="8" t="n">
        <v>595</v>
      </c>
      <c r="S235" s="8" t="s">
        <v>388</v>
      </c>
      <c r="T235" s="8" t="s">
        <v>367</v>
      </c>
      <c r="U235" s="8" t="s">
        <v>368</v>
      </c>
      <c r="V235" s="8"/>
      <c r="W235" s="8" t="s">
        <v>389</v>
      </c>
      <c r="X235" s="8" t="s">
        <v>390</v>
      </c>
      <c r="Y235" s="8" t="s">
        <v>933</v>
      </c>
      <c r="Z235" s="8" t="s">
        <v>934</v>
      </c>
    </row>
    <row r="236" customFormat="false" ht="15" hidden="false" customHeight="false" outlineLevel="0" collapsed="false">
      <c r="A236" s="8" t="s">
        <v>391</v>
      </c>
      <c r="B236" s="8" t="s">
        <v>15</v>
      </c>
      <c r="C236" s="8" t="s">
        <v>16</v>
      </c>
      <c r="D236" s="8" t="s">
        <v>615</v>
      </c>
      <c r="E236" s="8" t="s">
        <v>37</v>
      </c>
      <c r="F236" s="8" t="s">
        <v>59</v>
      </c>
      <c r="G236" s="8" t="s">
        <v>31</v>
      </c>
      <c r="H236" s="8" t="s">
        <v>31</v>
      </c>
      <c r="I236" s="8" t="n">
        <f aca="false">IF(EXACT(G236,H236),1,0)</f>
        <v>1</v>
      </c>
      <c r="J236" s="8" t="n">
        <v>0</v>
      </c>
      <c r="K236" s="8" t="s">
        <v>737</v>
      </c>
      <c r="L236" s="8" t="n">
        <v>5</v>
      </c>
      <c r="M236" s="8" t="n">
        <v>0</v>
      </c>
      <c r="N236" s="8"/>
      <c r="O236" s="8" t="n">
        <v>1</v>
      </c>
      <c r="P236" s="10" t="n">
        <v>23.51</v>
      </c>
      <c r="Q236" s="8" t="n">
        <v>1290</v>
      </c>
      <c r="R236" s="8" t="n">
        <v>1027</v>
      </c>
      <c r="S236" s="8" t="s">
        <v>392</v>
      </c>
      <c r="T236" s="8"/>
      <c r="U236" s="8"/>
      <c r="V236" s="8" t="s">
        <v>155</v>
      </c>
      <c r="W236" s="8"/>
      <c r="X236" s="8" t="s">
        <v>393</v>
      </c>
      <c r="Y236" s="8" t="s">
        <v>935</v>
      </c>
      <c r="Z236" s="8" t="s">
        <v>936</v>
      </c>
    </row>
    <row r="237" customFormat="false" ht="15" hidden="false" customHeight="false" outlineLevel="0" collapsed="false">
      <c r="A237" s="8" t="s">
        <v>391</v>
      </c>
      <c r="B237" s="8" t="s">
        <v>15</v>
      </c>
      <c r="C237" s="8" t="s">
        <v>16</v>
      </c>
      <c r="D237" s="8" t="s">
        <v>615</v>
      </c>
      <c r="E237" s="8" t="s">
        <v>37</v>
      </c>
      <c r="F237" s="8" t="s">
        <v>59</v>
      </c>
      <c r="G237" s="8" t="s">
        <v>31</v>
      </c>
      <c r="H237" s="8" t="s">
        <v>31</v>
      </c>
      <c r="I237" s="8" t="n">
        <f aca="false">IF(EXACT(G237,H237),1,0)</f>
        <v>1</v>
      </c>
      <c r="J237" s="8" t="n">
        <v>1</v>
      </c>
      <c r="K237" s="8" t="s">
        <v>737</v>
      </c>
      <c r="L237" s="8" t="n">
        <v>5</v>
      </c>
      <c r="M237" s="8" t="n">
        <v>0</v>
      </c>
      <c r="N237" s="8"/>
      <c r="O237" s="8" t="n">
        <v>1</v>
      </c>
      <c r="P237" s="10" t="n">
        <v>21.69</v>
      </c>
      <c r="Q237" s="8" t="n">
        <v>1290</v>
      </c>
      <c r="R237" s="8" t="n">
        <v>988</v>
      </c>
      <c r="S237" s="8" t="s">
        <v>392</v>
      </c>
      <c r="T237" s="8"/>
      <c r="U237" s="8"/>
      <c r="V237" s="8" t="s">
        <v>155</v>
      </c>
      <c r="W237" s="8"/>
      <c r="X237" s="8" t="s">
        <v>393</v>
      </c>
      <c r="Y237" s="8" t="s">
        <v>937</v>
      </c>
      <c r="Z237" s="8" t="s">
        <v>938</v>
      </c>
    </row>
    <row r="238" customFormat="false" ht="15" hidden="false" customHeight="false" outlineLevel="0" collapsed="false">
      <c r="A238" s="8" t="s">
        <v>391</v>
      </c>
      <c r="B238" s="8" t="s">
        <v>15</v>
      </c>
      <c r="C238" s="8" t="s">
        <v>16</v>
      </c>
      <c r="D238" s="8" t="s">
        <v>615</v>
      </c>
      <c r="E238" s="8" t="s">
        <v>37</v>
      </c>
      <c r="F238" s="8" t="s">
        <v>59</v>
      </c>
      <c r="G238" s="8" t="s">
        <v>31</v>
      </c>
      <c r="H238" s="8" t="s">
        <v>31</v>
      </c>
      <c r="I238" s="8" t="n">
        <f aca="false">IF(EXACT(G238,H238),1,0)</f>
        <v>1</v>
      </c>
      <c r="J238" s="8" t="n">
        <v>2</v>
      </c>
      <c r="K238" s="8" t="s">
        <v>737</v>
      </c>
      <c r="L238" s="8" t="n">
        <v>5</v>
      </c>
      <c r="M238" s="8" t="n">
        <v>0</v>
      </c>
      <c r="N238" s="8"/>
      <c r="O238" s="8" t="n">
        <v>1</v>
      </c>
      <c r="P238" s="10" t="n">
        <v>18.84</v>
      </c>
      <c r="Q238" s="8" t="n">
        <v>1290</v>
      </c>
      <c r="R238" s="8" t="n">
        <v>964</v>
      </c>
      <c r="S238" s="8" t="s">
        <v>392</v>
      </c>
      <c r="T238" s="8"/>
      <c r="U238" s="8"/>
      <c r="V238" s="8" t="s">
        <v>155</v>
      </c>
      <c r="W238" s="8"/>
      <c r="X238" s="8" t="s">
        <v>393</v>
      </c>
      <c r="Y238" s="8" t="s">
        <v>939</v>
      </c>
      <c r="Z238" s="8" t="s">
        <v>940</v>
      </c>
    </row>
    <row r="239" customFormat="false" ht="15" hidden="false" customHeight="false" outlineLevel="0" collapsed="false">
      <c r="A239" s="8" t="s">
        <v>395</v>
      </c>
      <c r="B239" s="8" t="s">
        <v>15</v>
      </c>
      <c r="C239" s="8" t="s">
        <v>16</v>
      </c>
      <c r="D239" s="8" t="s">
        <v>615</v>
      </c>
      <c r="E239" s="8" t="s">
        <v>37</v>
      </c>
      <c r="F239" s="8" t="s">
        <v>59</v>
      </c>
      <c r="G239" s="8" t="s">
        <v>31</v>
      </c>
      <c r="H239" s="8" t="s">
        <v>31</v>
      </c>
      <c r="I239" s="8" t="n">
        <f aca="false">IF(EXACT(G239,H239),1,0)</f>
        <v>1</v>
      </c>
      <c r="J239" s="8" t="n">
        <v>0</v>
      </c>
      <c r="K239" s="8" t="s">
        <v>737</v>
      </c>
      <c r="L239" s="8" t="n">
        <v>1</v>
      </c>
      <c r="M239" s="8" t="n">
        <v>0</v>
      </c>
      <c r="N239" s="8"/>
      <c r="O239" s="8" t="n">
        <v>1</v>
      </c>
      <c r="P239" s="10" t="n">
        <v>7.9</v>
      </c>
      <c r="Q239" s="8" t="n">
        <v>1272</v>
      </c>
      <c r="R239" s="8" t="n">
        <v>242</v>
      </c>
      <c r="S239" s="8" t="s">
        <v>396</v>
      </c>
      <c r="T239" s="8"/>
      <c r="U239" s="8"/>
      <c r="V239" s="8" t="s">
        <v>155</v>
      </c>
      <c r="W239" s="8"/>
      <c r="X239" s="8" t="s">
        <v>397</v>
      </c>
      <c r="Y239" s="8" t="s">
        <v>941</v>
      </c>
      <c r="Z239" s="8" t="s">
        <v>942</v>
      </c>
    </row>
    <row r="240" customFormat="false" ht="15" hidden="false" customHeight="false" outlineLevel="0" collapsed="false">
      <c r="A240" s="8" t="s">
        <v>395</v>
      </c>
      <c r="B240" s="8" t="s">
        <v>15</v>
      </c>
      <c r="C240" s="8" t="s">
        <v>16</v>
      </c>
      <c r="D240" s="8" t="s">
        <v>615</v>
      </c>
      <c r="E240" s="8" t="s">
        <v>37</v>
      </c>
      <c r="F240" s="8" t="s">
        <v>59</v>
      </c>
      <c r="G240" s="8" t="s">
        <v>31</v>
      </c>
      <c r="H240" s="8" t="s">
        <v>31</v>
      </c>
      <c r="I240" s="8" t="n">
        <f aca="false">IF(EXACT(G240,H240),1,0)</f>
        <v>1</v>
      </c>
      <c r="J240" s="8" t="n">
        <v>1</v>
      </c>
      <c r="K240" s="8" t="s">
        <v>737</v>
      </c>
      <c r="L240" s="8" t="n">
        <v>1</v>
      </c>
      <c r="M240" s="8" t="n">
        <v>0</v>
      </c>
      <c r="N240" s="8"/>
      <c r="O240" s="8" t="n">
        <v>1</v>
      </c>
      <c r="P240" s="10" t="n">
        <v>8.09</v>
      </c>
      <c r="Q240" s="8" t="n">
        <v>1272</v>
      </c>
      <c r="R240" s="8" t="n">
        <v>267</v>
      </c>
      <c r="S240" s="8" t="s">
        <v>396</v>
      </c>
      <c r="T240" s="8"/>
      <c r="U240" s="8"/>
      <c r="V240" s="8" t="s">
        <v>155</v>
      </c>
      <c r="W240" s="8"/>
      <c r="X240" s="8" t="s">
        <v>397</v>
      </c>
      <c r="Y240" s="8" t="s">
        <v>943</v>
      </c>
      <c r="Z240" s="8" t="s">
        <v>944</v>
      </c>
    </row>
    <row r="241" customFormat="false" ht="15" hidden="false" customHeight="false" outlineLevel="0" collapsed="false">
      <c r="A241" s="8" t="s">
        <v>395</v>
      </c>
      <c r="B241" s="8" t="s">
        <v>15</v>
      </c>
      <c r="C241" s="8" t="s">
        <v>16</v>
      </c>
      <c r="D241" s="8" t="s">
        <v>615</v>
      </c>
      <c r="E241" s="8" t="s">
        <v>37</v>
      </c>
      <c r="F241" s="8" t="s">
        <v>59</v>
      </c>
      <c r="G241" s="8" t="s">
        <v>31</v>
      </c>
      <c r="H241" s="8" t="s">
        <v>31</v>
      </c>
      <c r="I241" s="8" t="n">
        <f aca="false">IF(EXACT(G241,H241),1,0)</f>
        <v>1</v>
      </c>
      <c r="J241" s="8" t="n">
        <v>2</v>
      </c>
      <c r="K241" s="8" t="s">
        <v>737</v>
      </c>
      <c r="L241" s="8" t="n">
        <v>1</v>
      </c>
      <c r="M241" s="8" t="n">
        <v>0</v>
      </c>
      <c r="N241" s="8"/>
      <c r="O241" s="8" t="n">
        <v>1</v>
      </c>
      <c r="P241" s="10" t="n">
        <v>6.04</v>
      </c>
      <c r="Q241" s="8" t="n">
        <v>1272</v>
      </c>
      <c r="R241" s="8" t="n">
        <v>266</v>
      </c>
      <c r="S241" s="8" t="s">
        <v>396</v>
      </c>
      <c r="T241" s="8"/>
      <c r="U241" s="8"/>
      <c r="V241" s="8" t="s">
        <v>155</v>
      </c>
      <c r="W241" s="8"/>
      <c r="X241" s="8" t="s">
        <v>397</v>
      </c>
      <c r="Y241" s="8" t="s">
        <v>945</v>
      </c>
      <c r="Z241" s="8" t="s">
        <v>944</v>
      </c>
    </row>
    <row r="242" customFormat="false" ht="15" hidden="false" customHeight="false" outlineLevel="0" collapsed="false">
      <c r="A242" s="8" t="s">
        <v>399</v>
      </c>
      <c r="B242" s="8" t="s">
        <v>15</v>
      </c>
      <c r="C242" s="8" t="s">
        <v>16</v>
      </c>
      <c r="D242" s="8" t="s">
        <v>615</v>
      </c>
      <c r="E242" s="8" t="s">
        <v>37</v>
      </c>
      <c r="F242" s="8" t="s">
        <v>59</v>
      </c>
      <c r="G242" s="8" t="s">
        <v>32</v>
      </c>
      <c r="H242" s="8" t="s">
        <v>30</v>
      </c>
      <c r="I242" s="8" t="n">
        <f aca="false">IF(EXACT(G242,H242),1,0)</f>
        <v>0</v>
      </c>
      <c r="J242" s="8" t="n">
        <v>0</v>
      </c>
      <c r="K242" s="8" t="s">
        <v>92</v>
      </c>
      <c r="L242" s="8" t="n">
        <v>0</v>
      </c>
      <c r="M242" s="8" t="n">
        <v>0</v>
      </c>
      <c r="N242" s="8"/>
      <c r="O242" s="8" t="n">
        <v>1</v>
      </c>
      <c r="P242" s="10" t="n">
        <v>3.76</v>
      </c>
      <c r="Q242" s="8" t="n">
        <v>1277</v>
      </c>
      <c r="R242" s="8" t="n">
        <v>69</v>
      </c>
      <c r="S242" s="8" t="s">
        <v>400</v>
      </c>
      <c r="T242" s="8"/>
      <c r="U242" s="8"/>
      <c r="V242" s="8" t="s">
        <v>155</v>
      </c>
      <c r="W242" s="8"/>
      <c r="X242" s="8" t="s">
        <v>401</v>
      </c>
      <c r="Y242" s="8" t="s">
        <v>946</v>
      </c>
      <c r="Z242" s="8"/>
    </row>
    <row r="243" customFormat="false" ht="15" hidden="false" customHeight="false" outlineLevel="0" collapsed="false">
      <c r="A243" s="8" t="s">
        <v>399</v>
      </c>
      <c r="B243" s="8" t="s">
        <v>15</v>
      </c>
      <c r="C243" s="8" t="s">
        <v>16</v>
      </c>
      <c r="D243" s="8" t="s">
        <v>615</v>
      </c>
      <c r="E243" s="8" t="s">
        <v>37</v>
      </c>
      <c r="F243" s="8" t="s">
        <v>59</v>
      </c>
      <c r="G243" s="8" t="s">
        <v>32</v>
      </c>
      <c r="H243" s="8" t="s">
        <v>30</v>
      </c>
      <c r="I243" s="8" t="n">
        <f aca="false">IF(EXACT(G243,H243),1,0)</f>
        <v>0</v>
      </c>
      <c r="J243" s="8" t="n">
        <v>1</v>
      </c>
      <c r="K243" s="8" t="s">
        <v>92</v>
      </c>
      <c r="L243" s="8" t="n">
        <v>0</v>
      </c>
      <c r="M243" s="8" t="n">
        <v>0</v>
      </c>
      <c r="N243" s="8"/>
      <c r="O243" s="8" t="n">
        <v>1</v>
      </c>
      <c r="P243" s="10" t="n">
        <v>2.95</v>
      </c>
      <c r="Q243" s="8" t="n">
        <v>1277</v>
      </c>
      <c r="R243" s="8" t="n">
        <v>71</v>
      </c>
      <c r="S243" s="8" t="s">
        <v>400</v>
      </c>
      <c r="T243" s="8"/>
      <c r="U243" s="8"/>
      <c r="V243" s="8" t="s">
        <v>155</v>
      </c>
      <c r="W243" s="8"/>
      <c r="X243" s="8" t="s">
        <v>401</v>
      </c>
      <c r="Y243" s="8" t="s">
        <v>947</v>
      </c>
      <c r="Z243" s="8"/>
    </row>
    <row r="244" customFormat="false" ht="15" hidden="false" customHeight="false" outlineLevel="0" collapsed="false">
      <c r="A244" s="8" t="s">
        <v>399</v>
      </c>
      <c r="B244" s="8" t="s">
        <v>15</v>
      </c>
      <c r="C244" s="8" t="s">
        <v>16</v>
      </c>
      <c r="D244" s="8" t="s">
        <v>615</v>
      </c>
      <c r="E244" s="8" t="s">
        <v>37</v>
      </c>
      <c r="F244" s="8" t="s">
        <v>59</v>
      </c>
      <c r="G244" s="8" t="s">
        <v>32</v>
      </c>
      <c r="H244" s="8" t="s">
        <v>30</v>
      </c>
      <c r="I244" s="8" t="n">
        <f aca="false">IF(EXACT(G244,H244),1,0)</f>
        <v>0</v>
      </c>
      <c r="J244" s="8" t="n">
        <v>2</v>
      </c>
      <c r="K244" s="8" t="s">
        <v>92</v>
      </c>
      <c r="L244" s="8" t="n">
        <v>0</v>
      </c>
      <c r="M244" s="8" t="n">
        <v>0</v>
      </c>
      <c r="N244" s="8"/>
      <c r="O244" s="8" t="n">
        <v>1</v>
      </c>
      <c r="P244" s="10" t="n">
        <v>3.08</v>
      </c>
      <c r="Q244" s="8" t="n">
        <v>1277</v>
      </c>
      <c r="R244" s="8" t="n">
        <v>71</v>
      </c>
      <c r="S244" s="8" t="s">
        <v>400</v>
      </c>
      <c r="T244" s="8"/>
      <c r="U244" s="8"/>
      <c r="V244" s="8" t="s">
        <v>155</v>
      </c>
      <c r="W244" s="8"/>
      <c r="X244" s="8" t="s">
        <v>401</v>
      </c>
      <c r="Y244" s="8" t="s">
        <v>948</v>
      </c>
      <c r="Z244" s="8"/>
    </row>
    <row r="245" customFormat="false" ht="15" hidden="false" customHeight="false" outlineLevel="0" collapsed="false">
      <c r="A245" s="8" t="s">
        <v>402</v>
      </c>
      <c r="B245" s="8" t="s">
        <v>15</v>
      </c>
      <c r="C245" s="8" t="s">
        <v>16</v>
      </c>
      <c r="D245" s="8" t="s">
        <v>615</v>
      </c>
      <c r="E245" s="8" t="s">
        <v>37</v>
      </c>
      <c r="F245" s="8" t="s">
        <v>59</v>
      </c>
      <c r="G245" s="8" t="s">
        <v>32</v>
      </c>
      <c r="H245" s="8" t="s">
        <v>30</v>
      </c>
      <c r="I245" s="8" t="n">
        <f aca="false">IF(EXACT(G245,H245),1,0)</f>
        <v>0</v>
      </c>
      <c r="J245" s="8" t="n">
        <v>0</v>
      </c>
      <c r="K245" s="8" t="s">
        <v>92</v>
      </c>
      <c r="L245" s="8" t="n">
        <v>0</v>
      </c>
      <c r="M245" s="8" t="n">
        <v>0</v>
      </c>
      <c r="N245" s="8"/>
      <c r="O245" s="8" t="n">
        <v>1</v>
      </c>
      <c r="P245" s="10" t="n">
        <v>3.02</v>
      </c>
      <c r="Q245" s="8" t="n">
        <v>1246</v>
      </c>
      <c r="R245" s="8" t="n">
        <v>69</v>
      </c>
      <c r="S245" s="8" t="s">
        <v>403</v>
      </c>
      <c r="T245" s="8"/>
      <c r="U245" s="8"/>
      <c r="V245" s="8" t="s">
        <v>155</v>
      </c>
      <c r="W245" s="8"/>
      <c r="X245" s="8" t="s">
        <v>404</v>
      </c>
      <c r="Y245" s="8" t="s">
        <v>949</v>
      </c>
      <c r="Z245" s="8"/>
    </row>
    <row r="246" customFormat="false" ht="15" hidden="false" customHeight="false" outlineLevel="0" collapsed="false">
      <c r="A246" s="8" t="s">
        <v>402</v>
      </c>
      <c r="B246" s="8" t="s">
        <v>15</v>
      </c>
      <c r="C246" s="8" t="s">
        <v>16</v>
      </c>
      <c r="D246" s="8" t="s">
        <v>615</v>
      </c>
      <c r="E246" s="8" t="s">
        <v>37</v>
      </c>
      <c r="F246" s="8" t="s">
        <v>59</v>
      </c>
      <c r="G246" s="8" t="s">
        <v>32</v>
      </c>
      <c r="H246" s="8" t="s">
        <v>30</v>
      </c>
      <c r="I246" s="8" t="n">
        <f aca="false">IF(EXACT(G246,H246),1,0)</f>
        <v>0</v>
      </c>
      <c r="J246" s="8" t="n">
        <v>1</v>
      </c>
      <c r="K246" s="8" t="s">
        <v>92</v>
      </c>
      <c r="L246" s="8" t="n">
        <v>0</v>
      </c>
      <c r="M246" s="8" t="n">
        <v>0</v>
      </c>
      <c r="N246" s="8"/>
      <c r="O246" s="8" t="n">
        <v>1</v>
      </c>
      <c r="P246" s="10" t="n">
        <v>2.51</v>
      </c>
      <c r="Q246" s="8" t="n">
        <v>1246</v>
      </c>
      <c r="R246" s="8" t="n">
        <v>74</v>
      </c>
      <c r="S246" s="8" t="s">
        <v>403</v>
      </c>
      <c r="T246" s="8"/>
      <c r="U246" s="8"/>
      <c r="V246" s="8" t="s">
        <v>155</v>
      </c>
      <c r="W246" s="8"/>
      <c r="X246" s="8" t="s">
        <v>404</v>
      </c>
      <c r="Y246" s="8" t="s">
        <v>950</v>
      </c>
      <c r="Z246" s="8"/>
    </row>
    <row r="247" customFormat="false" ht="15" hidden="false" customHeight="false" outlineLevel="0" collapsed="false">
      <c r="A247" s="8" t="s">
        <v>402</v>
      </c>
      <c r="B247" s="8" t="s">
        <v>15</v>
      </c>
      <c r="C247" s="8" t="s">
        <v>16</v>
      </c>
      <c r="D247" s="8" t="s">
        <v>615</v>
      </c>
      <c r="E247" s="8" t="s">
        <v>37</v>
      </c>
      <c r="F247" s="8" t="s">
        <v>59</v>
      </c>
      <c r="G247" s="8" t="s">
        <v>32</v>
      </c>
      <c r="H247" s="8" t="s">
        <v>30</v>
      </c>
      <c r="I247" s="8" t="n">
        <f aca="false">IF(EXACT(G247,H247),1,0)</f>
        <v>0</v>
      </c>
      <c r="J247" s="8" t="n">
        <v>2</v>
      </c>
      <c r="K247" s="8" t="s">
        <v>92</v>
      </c>
      <c r="L247" s="8" t="n">
        <v>0</v>
      </c>
      <c r="M247" s="8" t="n">
        <v>0</v>
      </c>
      <c r="N247" s="8"/>
      <c r="O247" s="8" t="n">
        <v>1</v>
      </c>
      <c r="P247" s="10" t="n">
        <v>2.61</v>
      </c>
      <c r="Q247" s="8" t="n">
        <v>1246</v>
      </c>
      <c r="R247" s="8" t="n">
        <v>74</v>
      </c>
      <c r="S247" s="8" t="s">
        <v>403</v>
      </c>
      <c r="T247" s="8"/>
      <c r="U247" s="8"/>
      <c r="V247" s="8" t="s">
        <v>155</v>
      </c>
      <c r="W247" s="8"/>
      <c r="X247" s="8" t="s">
        <v>404</v>
      </c>
      <c r="Y247" s="8" t="s">
        <v>951</v>
      </c>
      <c r="Z247" s="8"/>
    </row>
    <row r="248" customFormat="false" ht="15" hidden="false" customHeight="false" outlineLevel="0" collapsed="false">
      <c r="A248" s="8" t="s">
        <v>405</v>
      </c>
      <c r="B248" s="8" t="s">
        <v>15</v>
      </c>
      <c r="C248" s="8" t="s">
        <v>16</v>
      </c>
      <c r="D248" s="8" t="s">
        <v>615</v>
      </c>
      <c r="E248" s="8" t="s">
        <v>37</v>
      </c>
      <c r="F248" s="8" t="s">
        <v>59</v>
      </c>
      <c r="G248" s="8" t="s">
        <v>30</v>
      </c>
      <c r="H248" s="8" t="s">
        <v>30</v>
      </c>
      <c r="I248" s="8" t="n">
        <f aca="false">IF(EXACT(G248,H248),1,0)</f>
        <v>1</v>
      </c>
      <c r="J248" s="8" t="n">
        <v>0</v>
      </c>
      <c r="K248" s="8" t="s">
        <v>92</v>
      </c>
      <c r="L248" s="8" t="n">
        <v>0</v>
      </c>
      <c r="M248" s="8" t="n">
        <v>0</v>
      </c>
      <c r="N248" s="8"/>
      <c r="O248" s="8" t="n">
        <v>1</v>
      </c>
      <c r="P248" s="10" t="n">
        <v>2.89</v>
      </c>
      <c r="Q248" s="8" t="n">
        <v>1306</v>
      </c>
      <c r="R248" s="8" t="n">
        <v>72</v>
      </c>
      <c r="S248" s="8" t="s">
        <v>406</v>
      </c>
      <c r="T248" s="8"/>
      <c r="U248" s="8"/>
      <c r="V248" s="8" t="s">
        <v>155</v>
      </c>
      <c r="W248" s="8"/>
      <c r="X248" s="8" t="s">
        <v>407</v>
      </c>
      <c r="Y248" s="8" t="s">
        <v>952</v>
      </c>
      <c r="Z248" s="8"/>
    </row>
    <row r="249" customFormat="false" ht="15" hidden="false" customHeight="false" outlineLevel="0" collapsed="false">
      <c r="A249" s="8" t="s">
        <v>405</v>
      </c>
      <c r="B249" s="8" t="s">
        <v>15</v>
      </c>
      <c r="C249" s="8" t="s">
        <v>16</v>
      </c>
      <c r="D249" s="8" t="s">
        <v>615</v>
      </c>
      <c r="E249" s="8" t="s">
        <v>37</v>
      </c>
      <c r="F249" s="8" t="s">
        <v>59</v>
      </c>
      <c r="G249" s="8" t="s">
        <v>30</v>
      </c>
      <c r="H249" s="8" t="s">
        <v>30</v>
      </c>
      <c r="I249" s="8" t="n">
        <f aca="false">IF(EXACT(G249,H249),1,0)</f>
        <v>1</v>
      </c>
      <c r="J249" s="8" t="n">
        <v>1</v>
      </c>
      <c r="K249" s="8" t="s">
        <v>92</v>
      </c>
      <c r="L249" s="8" t="n">
        <v>0</v>
      </c>
      <c r="M249" s="8" t="n">
        <v>0</v>
      </c>
      <c r="N249" s="8"/>
      <c r="O249" s="8" t="n">
        <v>1</v>
      </c>
      <c r="P249" s="10" t="n">
        <v>2.71</v>
      </c>
      <c r="Q249" s="8" t="n">
        <v>1306</v>
      </c>
      <c r="R249" s="8" t="n">
        <v>72</v>
      </c>
      <c r="S249" s="8" t="s">
        <v>406</v>
      </c>
      <c r="T249" s="8"/>
      <c r="U249" s="8"/>
      <c r="V249" s="8" t="s">
        <v>155</v>
      </c>
      <c r="W249" s="8"/>
      <c r="X249" s="8" t="s">
        <v>407</v>
      </c>
      <c r="Y249" s="8" t="s">
        <v>953</v>
      </c>
      <c r="Z249" s="8"/>
    </row>
    <row r="250" customFormat="false" ht="15" hidden="false" customHeight="false" outlineLevel="0" collapsed="false">
      <c r="A250" s="8" t="s">
        <v>405</v>
      </c>
      <c r="B250" s="8" t="s">
        <v>15</v>
      </c>
      <c r="C250" s="8" t="s">
        <v>16</v>
      </c>
      <c r="D250" s="8" t="s">
        <v>615</v>
      </c>
      <c r="E250" s="8" t="s">
        <v>37</v>
      </c>
      <c r="F250" s="8" t="s">
        <v>59</v>
      </c>
      <c r="G250" s="8" t="s">
        <v>30</v>
      </c>
      <c r="H250" s="8" t="s">
        <v>30</v>
      </c>
      <c r="I250" s="8" t="n">
        <f aca="false">IF(EXACT(G250,H250),1,0)</f>
        <v>1</v>
      </c>
      <c r="J250" s="8" t="n">
        <v>2</v>
      </c>
      <c r="K250" s="8" t="s">
        <v>92</v>
      </c>
      <c r="L250" s="8" t="n">
        <v>0</v>
      </c>
      <c r="M250" s="8" t="n">
        <v>0</v>
      </c>
      <c r="N250" s="8"/>
      <c r="O250" s="8" t="n">
        <v>1</v>
      </c>
      <c r="P250" s="10" t="n">
        <v>3.14</v>
      </c>
      <c r="Q250" s="8" t="n">
        <v>1306</v>
      </c>
      <c r="R250" s="8" t="n">
        <v>90</v>
      </c>
      <c r="S250" s="8" t="s">
        <v>406</v>
      </c>
      <c r="T250" s="8"/>
      <c r="U250" s="8"/>
      <c r="V250" s="8" t="s">
        <v>155</v>
      </c>
      <c r="W250" s="8"/>
      <c r="X250" s="8" t="s">
        <v>407</v>
      </c>
      <c r="Y250" s="8" t="s">
        <v>954</v>
      </c>
      <c r="Z250" s="8"/>
    </row>
    <row r="251" customFormat="false" ht="15" hidden="false" customHeight="false" outlineLevel="0" collapsed="false">
      <c r="A251" s="8" t="s">
        <v>408</v>
      </c>
      <c r="B251" s="8" t="s">
        <v>15</v>
      </c>
      <c r="C251" s="8" t="s">
        <v>16</v>
      </c>
      <c r="D251" s="8" t="s">
        <v>615</v>
      </c>
      <c r="E251" s="8" t="s">
        <v>37</v>
      </c>
      <c r="F251" s="8" t="s">
        <v>59</v>
      </c>
      <c r="G251" s="8" t="s">
        <v>30</v>
      </c>
      <c r="H251" s="8" t="s">
        <v>30</v>
      </c>
      <c r="I251" s="8" t="n">
        <f aca="false">IF(EXACT(G251,H251),1,0)</f>
        <v>1</v>
      </c>
      <c r="J251" s="8" t="n">
        <v>0</v>
      </c>
      <c r="K251" s="8" t="s">
        <v>92</v>
      </c>
      <c r="L251" s="8" t="n">
        <v>0</v>
      </c>
      <c r="M251" s="8" t="n">
        <v>0</v>
      </c>
      <c r="N251" s="8"/>
      <c r="O251" s="8" t="n">
        <v>1</v>
      </c>
      <c r="P251" s="10" t="n">
        <v>5.94</v>
      </c>
      <c r="Q251" s="8" t="n">
        <v>1293</v>
      </c>
      <c r="R251" s="8" t="n">
        <v>94</v>
      </c>
      <c r="S251" s="8" t="s">
        <v>409</v>
      </c>
      <c r="T251" s="8"/>
      <c r="U251" s="8"/>
      <c r="V251" s="8" t="s">
        <v>155</v>
      </c>
      <c r="W251" s="8"/>
      <c r="X251" s="8" t="s">
        <v>410</v>
      </c>
      <c r="Y251" s="8" t="s">
        <v>955</v>
      </c>
      <c r="Z251" s="8"/>
    </row>
    <row r="252" customFormat="false" ht="15" hidden="false" customHeight="false" outlineLevel="0" collapsed="false">
      <c r="A252" s="8" t="s">
        <v>408</v>
      </c>
      <c r="B252" s="8" t="s">
        <v>15</v>
      </c>
      <c r="C252" s="8" t="s">
        <v>16</v>
      </c>
      <c r="D252" s="8" t="s">
        <v>615</v>
      </c>
      <c r="E252" s="8" t="s">
        <v>37</v>
      </c>
      <c r="F252" s="8" t="s">
        <v>59</v>
      </c>
      <c r="G252" s="8" t="s">
        <v>30</v>
      </c>
      <c r="H252" s="8" t="s">
        <v>31</v>
      </c>
      <c r="I252" s="8" t="n">
        <f aca="false">IF(EXACT(G252,H252),1,0)</f>
        <v>0</v>
      </c>
      <c r="J252" s="8" t="n">
        <v>1</v>
      </c>
      <c r="K252" s="8" t="s">
        <v>737</v>
      </c>
      <c r="L252" s="8" t="n">
        <v>2</v>
      </c>
      <c r="M252" s="8" t="n">
        <v>0</v>
      </c>
      <c r="N252" s="8"/>
      <c r="O252" s="8" t="n">
        <v>1</v>
      </c>
      <c r="P252" s="10" t="n">
        <v>21.93</v>
      </c>
      <c r="Q252" s="8" t="n">
        <v>1293</v>
      </c>
      <c r="R252" s="8" t="n">
        <v>685</v>
      </c>
      <c r="S252" s="8" t="s">
        <v>409</v>
      </c>
      <c r="T252" s="8"/>
      <c r="U252" s="8"/>
      <c r="V252" s="8" t="s">
        <v>155</v>
      </c>
      <c r="W252" s="8"/>
      <c r="X252" s="8" t="s">
        <v>410</v>
      </c>
      <c r="Y252" s="8" t="s">
        <v>956</v>
      </c>
      <c r="Z252" s="8" t="s">
        <v>957</v>
      </c>
    </row>
    <row r="253" customFormat="false" ht="15" hidden="false" customHeight="false" outlineLevel="0" collapsed="false">
      <c r="A253" s="8" t="s">
        <v>408</v>
      </c>
      <c r="B253" s="8" t="s">
        <v>15</v>
      </c>
      <c r="C253" s="8" t="s">
        <v>16</v>
      </c>
      <c r="D253" s="8" t="s">
        <v>615</v>
      </c>
      <c r="E253" s="8" t="s">
        <v>37</v>
      </c>
      <c r="F253" s="8" t="s">
        <v>59</v>
      </c>
      <c r="G253" s="8" t="s">
        <v>30</v>
      </c>
      <c r="H253" s="8" t="s">
        <v>30</v>
      </c>
      <c r="I253" s="8" t="n">
        <f aca="false">IF(EXACT(G253,H253),1,0)</f>
        <v>1</v>
      </c>
      <c r="J253" s="8" t="n">
        <v>2</v>
      </c>
      <c r="K253" s="8" t="s">
        <v>92</v>
      </c>
      <c r="L253" s="8" t="n">
        <v>0</v>
      </c>
      <c r="M253" s="8" t="n">
        <v>0</v>
      </c>
      <c r="N253" s="8"/>
      <c r="O253" s="8" t="n">
        <v>1</v>
      </c>
      <c r="P253" s="10" t="n">
        <v>3.46</v>
      </c>
      <c r="Q253" s="8" t="n">
        <v>1293</v>
      </c>
      <c r="R253" s="8" t="n">
        <v>82</v>
      </c>
      <c r="S253" s="8" t="s">
        <v>409</v>
      </c>
      <c r="T253" s="8"/>
      <c r="U253" s="8"/>
      <c r="V253" s="8" t="s">
        <v>155</v>
      </c>
      <c r="W253" s="8"/>
      <c r="X253" s="8" t="s">
        <v>410</v>
      </c>
      <c r="Y253" s="8" t="s">
        <v>958</v>
      </c>
      <c r="Z253" s="8"/>
    </row>
    <row r="254" customFormat="false" ht="15" hidden="false" customHeight="false" outlineLevel="0" collapsed="false">
      <c r="A254" s="8" t="s">
        <v>411</v>
      </c>
      <c r="B254" s="8" t="s">
        <v>15</v>
      </c>
      <c r="C254" s="8" t="s">
        <v>16</v>
      </c>
      <c r="D254" s="8" t="s">
        <v>615</v>
      </c>
      <c r="E254" s="8" t="s">
        <v>37</v>
      </c>
      <c r="F254" s="8" t="s">
        <v>60</v>
      </c>
      <c r="G254" s="8" t="s">
        <v>31</v>
      </c>
      <c r="H254" s="8" t="s">
        <v>31</v>
      </c>
      <c r="I254" s="8" t="n">
        <f aca="false">IF(EXACT(G254,H254),1,0)</f>
        <v>1</v>
      </c>
      <c r="J254" s="8" t="n">
        <v>0</v>
      </c>
      <c r="K254" s="8" t="s">
        <v>116</v>
      </c>
      <c r="L254" s="8" t="n">
        <v>3</v>
      </c>
      <c r="M254" s="8" t="n">
        <v>0</v>
      </c>
      <c r="N254" s="8"/>
      <c r="O254" s="8" t="n">
        <v>1</v>
      </c>
      <c r="P254" s="10" t="n">
        <v>14.48</v>
      </c>
      <c r="Q254" s="8" t="n">
        <v>1426</v>
      </c>
      <c r="R254" s="8" t="n">
        <v>686</v>
      </c>
      <c r="S254" s="8" t="s">
        <v>412</v>
      </c>
      <c r="T254" s="8"/>
      <c r="U254" s="8"/>
      <c r="V254" s="8" t="s">
        <v>155</v>
      </c>
      <c r="W254" s="8"/>
      <c r="X254" s="8" t="s">
        <v>413</v>
      </c>
      <c r="Y254" s="8" t="s">
        <v>959</v>
      </c>
      <c r="Z254" s="8" t="s">
        <v>960</v>
      </c>
    </row>
    <row r="255" customFormat="false" ht="15" hidden="false" customHeight="false" outlineLevel="0" collapsed="false">
      <c r="A255" s="8" t="s">
        <v>411</v>
      </c>
      <c r="B255" s="8" t="s">
        <v>15</v>
      </c>
      <c r="C255" s="8" t="s">
        <v>16</v>
      </c>
      <c r="D255" s="8" t="s">
        <v>615</v>
      </c>
      <c r="E255" s="8" t="s">
        <v>37</v>
      </c>
      <c r="F255" s="8" t="s">
        <v>60</v>
      </c>
      <c r="G255" s="8" t="s">
        <v>31</v>
      </c>
      <c r="H255" s="8" t="s">
        <v>31</v>
      </c>
      <c r="I255" s="8" t="n">
        <f aca="false">IF(EXACT(G255,H255),1,0)</f>
        <v>1</v>
      </c>
      <c r="J255" s="8" t="n">
        <v>1</v>
      </c>
      <c r="K255" s="8" t="s">
        <v>116</v>
      </c>
      <c r="L255" s="8" t="n">
        <v>2</v>
      </c>
      <c r="M255" s="8" t="n">
        <v>0</v>
      </c>
      <c r="N255" s="8"/>
      <c r="O255" s="8" t="n">
        <v>1</v>
      </c>
      <c r="P255" s="10" t="n">
        <v>11.29</v>
      </c>
      <c r="Q255" s="8" t="n">
        <v>1426</v>
      </c>
      <c r="R255" s="8" t="n">
        <v>527</v>
      </c>
      <c r="S255" s="8" t="s">
        <v>412</v>
      </c>
      <c r="T255" s="8"/>
      <c r="U255" s="8"/>
      <c r="V255" s="8" t="s">
        <v>155</v>
      </c>
      <c r="W255" s="8"/>
      <c r="X255" s="8" t="s">
        <v>413</v>
      </c>
      <c r="Y255" s="8" t="s">
        <v>961</v>
      </c>
      <c r="Z255" s="8" t="s">
        <v>962</v>
      </c>
    </row>
    <row r="256" customFormat="false" ht="15" hidden="false" customHeight="false" outlineLevel="0" collapsed="false">
      <c r="A256" s="8" t="s">
        <v>411</v>
      </c>
      <c r="B256" s="8" t="s">
        <v>15</v>
      </c>
      <c r="C256" s="8" t="s">
        <v>16</v>
      </c>
      <c r="D256" s="8" t="s">
        <v>615</v>
      </c>
      <c r="E256" s="8" t="s">
        <v>37</v>
      </c>
      <c r="F256" s="8" t="s">
        <v>60</v>
      </c>
      <c r="G256" s="8" t="s">
        <v>31</v>
      </c>
      <c r="H256" s="8" t="s">
        <v>31</v>
      </c>
      <c r="I256" s="8" t="n">
        <f aca="false">IF(EXACT(G256,H256),1,0)</f>
        <v>1</v>
      </c>
      <c r="J256" s="8" t="n">
        <v>2</v>
      </c>
      <c r="K256" s="8" t="s">
        <v>116</v>
      </c>
      <c r="L256" s="8" t="n">
        <v>2</v>
      </c>
      <c r="M256" s="8" t="n">
        <v>0</v>
      </c>
      <c r="N256" s="8"/>
      <c r="O256" s="8" t="n">
        <v>1</v>
      </c>
      <c r="P256" s="10" t="n">
        <v>11.31</v>
      </c>
      <c r="Q256" s="8" t="n">
        <v>1426</v>
      </c>
      <c r="R256" s="8" t="n">
        <v>457</v>
      </c>
      <c r="S256" s="8" t="s">
        <v>412</v>
      </c>
      <c r="T256" s="8"/>
      <c r="U256" s="8"/>
      <c r="V256" s="8" t="s">
        <v>155</v>
      </c>
      <c r="W256" s="8"/>
      <c r="X256" s="8" t="s">
        <v>413</v>
      </c>
      <c r="Y256" s="8" t="s">
        <v>963</v>
      </c>
      <c r="Z256" s="8" t="s">
        <v>964</v>
      </c>
    </row>
    <row r="257" customFormat="false" ht="15" hidden="false" customHeight="false" outlineLevel="0" collapsed="false">
      <c r="A257" s="8" t="s">
        <v>414</v>
      </c>
      <c r="B257" s="8" t="s">
        <v>15</v>
      </c>
      <c r="C257" s="8" t="s">
        <v>16</v>
      </c>
      <c r="D257" s="8" t="s">
        <v>615</v>
      </c>
      <c r="E257" s="8" t="s">
        <v>37</v>
      </c>
      <c r="F257" s="8" t="s">
        <v>60</v>
      </c>
      <c r="G257" s="8" t="s">
        <v>31</v>
      </c>
      <c r="H257" s="8" t="s">
        <v>31</v>
      </c>
      <c r="I257" s="8" t="n">
        <f aca="false">IF(EXACT(G257,H257),1,0)</f>
        <v>1</v>
      </c>
      <c r="J257" s="8" t="n">
        <v>0</v>
      </c>
      <c r="K257" s="8" t="s">
        <v>116</v>
      </c>
      <c r="L257" s="8" t="n">
        <v>3</v>
      </c>
      <c r="M257" s="8" t="n">
        <v>0</v>
      </c>
      <c r="N257" s="8"/>
      <c r="O257" s="8" t="n">
        <v>1</v>
      </c>
      <c r="P257" s="10" t="n">
        <v>15.35</v>
      </c>
      <c r="Q257" s="8" t="n">
        <v>1352</v>
      </c>
      <c r="R257" s="8" t="n">
        <v>721</v>
      </c>
      <c r="S257" s="8" t="s">
        <v>415</v>
      </c>
      <c r="T257" s="8"/>
      <c r="U257" s="8"/>
      <c r="V257" s="8" t="s">
        <v>155</v>
      </c>
      <c r="W257" s="8"/>
      <c r="X257" s="8" t="s">
        <v>416</v>
      </c>
      <c r="Y257" s="8" t="s">
        <v>965</v>
      </c>
      <c r="Z257" s="8" t="s">
        <v>966</v>
      </c>
    </row>
    <row r="258" customFormat="false" ht="15" hidden="false" customHeight="false" outlineLevel="0" collapsed="false">
      <c r="A258" s="8" t="s">
        <v>414</v>
      </c>
      <c r="B258" s="8" t="s">
        <v>15</v>
      </c>
      <c r="C258" s="8" t="s">
        <v>16</v>
      </c>
      <c r="D258" s="8" t="s">
        <v>615</v>
      </c>
      <c r="E258" s="8" t="s">
        <v>37</v>
      </c>
      <c r="F258" s="8" t="s">
        <v>60</v>
      </c>
      <c r="G258" s="8" t="s">
        <v>31</v>
      </c>
      <c r="H258" s="8" t="s">
        <v>31</v>
      </c>
      <c r="I258" s="8" t="n">
        <f aca="false">IF(EXACT(G258,H258),1,0)</f>
        <v>1</v>
      </c>
      <c r="J258" s="8" t="n">
        <v>1</v>
      </c>
      <c r="K258" s="8" t="s">
        <v>116</v>
      </c>
      <c r="L258" s="8" t="n">
        <v>2</v>
      </c>
      <c r="M258" s="8" t="n">
        <v>0</v>
      </c>
      <c r="N258" s="8"/>
      <c r="O258" s="8" t="n">
        <v>1</v>
      </c>
      <c r="P258" s="10" t="n">
        <v>12.39</v>
      </c>
      <c r="Q258" s="8" t="n">
        <v>1352</v>
      </c>
      <c r="R258" s="8" t="n">
        <v>552</v>
      </c>
      <c r="S258" s="8" t="s">
        <v>415</v>
      </c>
      <c r="T258" s="8"/>
      <c r="U258" s="8"/>
      <c r="V258" s="8" t="s">
        <v>155</v>
      </c>
      <c r="W258" s="8"/>
      <c r="X258" s="8" t="s">
        <v>416</v>
      </c>
      <c r="Y258" s="8" t="s">
        <v>967</v>
      </c>
      <c r="Z258" s="8" t="s">
        <v>968</v>
      </c>
    </row>
    <row r="259" customFormat="false" ht="15" hidden="false" customHeight="false" outlineLevel="0" collapsed="false">
      <c r="A259" s="8" t="s">
        <v>414</v>
      </c>
      <c r="B259" s="8" t="s">
        <v>15</v>
      </c>
      <c r="C259" s="8" t="s">
        <v>16</v>
      </c>
      <c r="D259" s="8" t="s">
        <v>615</v>
      </c>
      <c r="E259" s="8" t="s">
        <v>37</v>
      </c>
      <c r="F259" s="8" t="s">
        <v>60</v>
      </c>
      <c r="G259" s="8" t="s">
        <v>31</v>
      </c>
      <c r="H259" s="8" t="s">
        <v>31</v>
      </c>
      <c r="I259" s="8" t="n">
        <f aca="false">IF(EXACT(G259,H259),1,0)</f>
        <v>1</v>
      </c>
      <c r="J259" s="8" t="n">
        <v>2</v>
      </c>
      <c r="K259" s="8" t="s">
        <v>116</v>
      </c>
      <c r="L259" s="8" t="n">
        <v>3</v>
      </c>
      <c r="M259" s="8" t="n">
        <v>0</v>
      </c>
      <c r="N259" s="8"/>
      <c r="O259" s="8" t="n">
        <v>1</v>
      </c>
      <c r="P259" s="10" t="n">
        <v>14.04</v>
      </c>
      <c r="Q259" s="8" t="n">
        <v>1352</v>
      </c>
      <c r="R259" s="8" t="n">
        <v>658</v>
      </c>
      <c r="S259" s="8" t="s">
        <v>415</v>
      </c>
      <c r="T259" s="8"/>
      <c r="U259" s="8"/>
      <c r="V259" s="8" t="s">
        <v>155</v>
      </c>
      <c r="W259" s="8"/>
      <c r="X259" s="8" t="s">
        <v>416</v>
      </c>
      <c r="Y259" s="8" t="s">
        <v>969</v>
      </c>
      <c r="Z259" s="8" t="s">
        <v>970</v>
      </c>
    </row>
    <row r="260" customFormat="false" ht="15" hidden="false" customHeight="false" outlineLevel="0" collapsed="false">
      <c r="A260" s="8" t="s">
        <v>417</v>
      </c>
      <c r="B260" s="8" t="s">
        <v>15</v>
      </c>
      <c r="C260" s="8" t="s">
        <v>16</v>
      </c>
      <c r="D260" s="8" t="s">
        <v>615</v>
      </c>
      <c r="E260" s="8" t="s">
        <v>37</v>
      </c>
      <c r="F260" s="8" t="s">
        <v>60</v>
      </c>
      <c r="G260" s="8" t="s">
        <v>32</v>
      </c>
      <c r="H260" s="8" t="s">
        <v>30</v>
      </c>
      <c r="I260" s="8" t="n">
        <f aca="false">IF(EXACT(G260,H260),1,0)</f>
        <v>0</v>
      </c>
      <c r="J260" s="8" t="n">
        <v>0</v>
      </c>
      <c r="K260" s="8" t="s">
        <v>92</v>
      </c>
      <c r="L260" s="8" t="n">
        <v>0</v>
      </c>
      <c r="M260" s="8" t="n">
        <v>0</v>
      </c>
      <c r="N260" s="8"/>
      <c r="O260" s="8" t="n">
        <v>1</v>
      </c>
      <c r="P260" s="10" t="n">
        <v>3.15</v>
      </c>
      <c r="Q260" s="8" t="n">
        <v>1316</v>
      </c>
      <c r="R260" s="8" t="n">
        <v>73</v>
      </c>
      <c r="S260" s="8" t="s">
        <v>418</v>
      </c>
      <c r="T260" s="8"/>
      <c r="U260" s="8"/>
      <c r="V260" s="8" t="s">
        <v>155</v>
      </c>
      <c r="W260" s="8"/>
      <c r="X260" s="8" t="s">
        <v>419</v>
      </c>
      <c r="Y260" s="8" t="s">
        <v>971</v>
      </c>
      <c r="Z260" s="8"/>
    </row>
    <row r="261" customFormat="false" ht="15" hidden="false" customHeight="false" outlineLevel="0" collapsed="false">
      <c r="A261" s="8" t="s">
        <v>417</v>
      </c>
      <c r="B261" s="8" t="s">
        <v>15</v>
      </c>
      <c r="C261" s="8" t="s">
        <v>16</v>
      </c>
      <c r="D261" s="8" t="s">
        <v>615</v>
      </c>
      <c r="E261" s="8" t="s">
        <v>37</v>
      </c>
      <c r="F261" s="8" t="s">
        <v>60</v>
      </c>
      <c r="G261" s="8" t="s">
        <v>32</v>
      </c>
      <c r="H261" s="8" t="s">
        <v>30</v>
      </c>
      <c r="I261" s="8" t="n">
        <f aca="false">IF(EXACT(G261,H261),1,0)</f>
        <v>0</v>
      </c>
      <c r="J261" s="8" t="n">
        <v>1</v>
      </c>
      <c r="K261" s="8" t="s">
        <v>92</v>
      </c>
      <c r="L261" s="8" t="n">
        <v>0</v>
      </c>
      <c r="M261" s="8" t="n">
        <v>0</v>
      </c>
      <c r="N261" s="8"/>
      <c r="O261" s="8" t="n">
        <v>1</v>
      </c>
      <c r="P261" s="10" t="n">
        <v>2.97</v>
      </c>
      <c r="Q261" s="8" t="n">
        <v>1316</v>
      </c>
      <c r="R261" s="8" t="n">
        <v>74</v>
      </c>
      <c r="S261" s="8" t="s">
        <v>418</v>
      </c>
      <c r="T261" s="8"/>
      <c r="U261" s="8"/>
      <c r="V261" s="8" t="s">
        <v>155</v>
      </c>
      <c r="W261" s="8"/>
      <c r="X261" s="8" t="s">
        <v>419</v>
      </c>
      <c r="Y261" s="8" t="s">
        <v>972</v>
      </c>
      <c r="Z261" s="8"/>
    </row>
    <row r="262" customFormat="false" ht="15" hidden="false" customHeight="false" outlineLevel="0" collapsed="false">
      <c r="A262" s="8" t="s">
        <v>417</v>
      </c>
      <c r="B262" s="8" t="s">
        <v>15</v>
      </c>
      <c r="C262" s="8" t="s">
        <v>16</v>
      </c>
      <c r="D262" s="8" t="s">
        <v>615</v>
      </c>
      <c r="E262" s="8" t="s">
        <v>37</v>
      </c>
      <c r="F262" s="8" t="s">
        <v>60</v>
      </c>
      <c r="G262" s="8" t="s">
        <v>32</v>
      </c>
      <c r="H262" s="8" t="s">
        <v>30</v>
      </c>
      <c r="I262" s="8" t="n">
        <f aca="false">IF(EXACT(G262,H262),1,0)</f>
        <v>0</v>
      </c>
      <c r="J262" s="8" t="n">
        <v>2</v>
      </c>
      <c r="K262" s="8" t="s">
        <v>92</v>
      </c>
      <c r="L262" s="8" t="n">
        <v>0</v>
      </c>
      <c r="M262" s="8" t="n">
        <v>0</v>
      </c>
      <c r="N262" s="8"/>
      <c r="O262" s="8" t="n">
        <v>1</v>
      </c>
      <c r="P262" s="10" t="n">
        <v>3.38</v>
      </c>
      <c r="Q262" s="8" t="n">
        <v>1316</v>
      </c>
      <c r="R262" s="8" t="n">
        <v>75</v>
      </c>
      <c r="S262" s="8" t="s">
        <v>418</v>
      </c>
      <c r="T262" s="8"/>
      <c r="U262" s="8"/>
      <c r="V262" s="8" t="s">
        <v>155</v>
      </c>
      <c r="W262" s="8"/>
      <c r="X262" s="8" t="s">
        <v>419</v>
      </c>
      <c r="Y262" s="8" t="s">
        <v>973</v>
      </c>
      <c r="Z262" s="8"/>
    </row>
    <row r="263" customFormat="false" ht="15" hidden="false" customHeight="false" outlineLevel="0" collapsed="false">
      <c r="A263" s="8" t="s">
        <v>421</v>
      </c>
      <c r="B263" s="8" t="s">
        <v>15</v>
      </c>
      <c r="C263" s="8" t="s">
        <v>16</v>
      </c>
      <c r="D263" s="8" t="s">
        <v>615</v>
      </c>
      <c r="E263" s="8" t="s">
        <v>37</v>
      </c>
      <c r="F263" s="8" t="s">
        <v>60</v>
      </c>
      <c r="G263" s="8" t="s">
        <v>32</v>
      </c>
      <c r="H263" s="8" t="s">
        <v>30</v>
      </c>
      <c r="I263" s="8" t="n">
        <f aca="false">IF(EXACT(G263,H263),1,0)</f>
        <v>0</v>
      </c>
      <c r="J263" s="8" t="n">
        <v>0</v>
      </c>
      <c r="K263" s="8" t="s">
        <v>92</v>
      </c>
      <c r="L263" s="8" t="n">
        <v>0</v>
      </c>
      <c r="M263" s="8" t="n">
        <v>0</v>
      </c>
      <c r="N263" s="8"/>
      <c r="O263" s="8" t="n">
        <v>1</v>
      </c>
      <c r="P263" s="10" t="n">
        <v>3.42</v>
      </c>
      <c r="Q263" s="8" t="n">
        <v>1305</v>
      </c>
      <c r="R263" s="8" t="n">
        <v>70</v>
      </c>
      <c r="S263" s="8" t="s">
        <v>422</v>
      </c>
      <c r="T263" s="8"/>
      <c r="U263" s="8"/>
      <c r="V263" s="8" t="s">
        <v>155</v>
      </c>
      <c r="W263" s="8"/>
      <c r="X263" s="8" t="s">
        <v>423</v>
      </c>
      <c r="Y263" s="8" t="s">
        <v>974</v>
      </c>
      <c r="Z263" s="8"/>
    </row>
    <row r="264" customFormat="false" ht="15" hidden="false" customHeight="false" outlineLevel="0" collapsed="false">
      <c r="A264" s="8" t="s">
        <v>421</v>
      </c>
      <c r="B264" s="8" t="s">
        <v>15</v>
      </c>
      <c r="C264" s="8" t="s">
        <v>16</v>
      </c>
      <c r="D264" s="8" t="s">
        <v>615</v>
      </c>
      <c r="E264" s="8" t="s">
        <v>37</v>
      </c>
      <c r="F264" s="8" t="s">
        <v>60</v>
      </c>
      <c r="G264" s="8" t="s">
        <v>32</v>
      </c>
      <c r="H264" s="8" t="s">
        <v>30</v>
      </c>
      <c r="I264" s="8" t="n">
        <f aca="false">IF(EXACT(G264,H264),1,0)</f>
        <v>0</v>
      </c>
      <c r="J264" s="8" t="n">
        <v>1</v>
      </c>
      <c r="K264" s="8" t="s">
        <v>92</v>
      </c>
      <c r="L264" s="8" t="n">
        <v>0</v>
      </c>
      <c r="M264" s="8" t="n">
        <v>0</v>
      </c>
      <c r="N264" s="8"/>
      <c r="O264" s="8" t="n">
        <v>1</v>
      </c>
      <c r="P264" s="10" t="n">
        <v>3.1</v>
      </c>
      <c r="Q264" s="8" t="n">
        <v>1305</v>
      </c>
      <c r="R264" s="8" t="n">
        <v>70</v>
      </c>
      <c r="S264" s="8" t="s">
        <v>422</v>
      </c>
      <c r="T264" s="8"/>
      <c r="U264" s="8"/>
      <c r="V264" s="8" t="s">
        <v>155</v>
      </c>
      <c r="W264" s="8"/>
      <c r="X264" s="8" t="s">
        <v>423</v>
      </c>
      <c r="Y264" s="8" t="s">
        <v>974</v>
      </c>
      <c r="Z264" s="8"/>
    </row>
    <row r="265" customFormat="false" ht="15" hidden="false" customHeight="false" outlineLevel="0" collapsed="false">
      <c r="A265" s="8" t="s">
        <v>421</v>
      </c>
      <c r="B265" s="8" t="s">
        <v>15</v>
      </c>
      <c r="C265" s="8" t="s">
        <v>16</v>
      </c>
      <c r="D265" s="8" t="s">
        <v>615</v>
      </c>
      <c r="E265" s="8" t="s">
        <v>37</v>
      </c>
      <c r="F265" s="8" t="s">
        <v>60</v>
      </c>
      <c r="G265" s="8" t="s">
        <v>32</v>
      </c>
      <c r="H265" s="8" t="s">
        <v>30</v>
      </c>
      <c r="I265" s="8" t="n">
        <f aca="false">IF(EXACT(G265,H265),1,0)</f>
        <v>0</v>
      </c>
      <c r="J265" s="8" t="n">
        <v>2</v>
      </c>
      <c r="K265" s="8" t="s">
        <v>92</v>
      </c>
      <c r="L265" s="8" t="n">
        <v>0</v>
      </c>
      <c r="M265" s="8" t="n">
        <v>0</v>
      </c>
      <c r="N265" s="8"/>
      <c r="O265" s="8" t="n">
        <v>1</v>
      </c>
      <c r="P265" s="10" t="n">
        <v>2.69</v>
      </c>
      <c r="Q265" s="8" t="n">
        <v>1305</v>
      </c>
      <c r="R265" s="8" t="n">
        <v>70</v>
      </c>
      <c r="S265" s="8" t="s">
        <v>422</v>
      </c>
      <c r="T265" s="8"/>
      <c r="U265" s="8"/>
      <c r="V265" s="8" t="s">
        <v>155</v>
      </c>
      <c r="W265" s="8"/>
      <c r="X265" s="8" t="s">
        <v>423</v>
      </c>
      <c r="Y265" s="8" t="s">
        <v>974</v>
      </c>
      <c r="Z265" s="8"/>
    </row>
    <row r="266" customFormat="false" ht="15" hidden="false" customHeight="false" outlineLevel="0" collapsed="false">
      <c r="A266" s="8" t="s">
        <v>424</v>
      </c>
      <c r="B266" s="8" t="s">
        <v>15</v>
      </c>
      <c r="C266" s="8" t="s">
        <v>16</v>
      </c>
      <c r="D266" s="8" t="s">
        <v>615</v>
      </c>
      <c r="E266" s="8" t="s">
        <v>37</v>
      </c>
      <c r="F266" s="8" t="s">
        <v>60</v>
      </c>
      <c r="G266" s="8" t="s">
        <v>30</v>
      </c>
      <c r="H266" s="8" t="s">
        <v>31</v>
      </c>
      <c r="I266" s="8" t="n">
        <f aca="false">IF(EXACT(G266,H266),1,0)</f>
        <v>0</v>
      </c>
      <c r="J266" s="8" t="n">
        <v>0</v>
      </c>
      <c r="K266" s="8" t="s">
        <v>116</v>
      </c>
      <c r="L266" s="8" t="n">
        <v>2</v>
      </c>
      <c r="M266" s="8" t="n">
        <v>0</v>
      </c>
      <c r="N266" s="8"/>
      <c r="O266" s="8" t="n">
        <v>1</v>
      </c>
      <c r="P266" s="10" t="n">
        <v>12.11</v>
      </c>
      <c r="Q266" s="8" t="n">
        <v>1397</v>
      </c>
      <c r="R266" s="8" t="n">
        <v>566</v>
      </c>
      <c r="S266" s="8" t="s">
        <v>425</v>
      </c>
      <c r="T266" s="8"/>
      <c r="U266" s="8"/>
      <c r="V266" s="8" t="s">
        <v>155</v>
      </c>
      <c r="W266" s="8"/>
      <c r="X266" s="8" t="s">
        <v>426</v>
      </c>
      <c r="Y266" s="8" t="s">
        <v>975</v>
      </c>
      <c r="Z266" s="8" t="s">
        <v>976</v>
      </c>
    </row>
    <row r="267" customFormat="false" ht="15" hidden="false" customHeight="false" outlineLevel="0" collapsed="false">
      <c r="A267" s="8" t="s">
        <v>424</v>
      </c>
      <c r="B267" s="8" t="s">
        <v>15</v>
      </c>
      <c r="C267" s="8" t="s">
        <v>16</v>
      </c>
      <c r="D267" s="8" t="s">
        <v>615</v>
      </c>
      <c r="E267" s="8" t="s">
        <v>37</v>
      </c>
      <c r="F267" s="8" t="s">
        <v>60</v>
      </c>
      <c r="G267" s="8" t="s">
        <v>30</v>
      </c>
      <c r="H267" s="8" t="s">
        <v>31</v>
      </c>
      <c r="I267" s="8" t="n">
        <f aca="false">IF(EXACT(G267,H267),1,0)</f>
        <v>0</v>
      </c>
      <c r="J267" s="8" t="n">
        <v>1</v>
      </c>
      <c r="K267" s="8" t="s">
        <v>116</v>
      </c>
      <c r="L267" s="8" t="n">
        <v>2</v>
      </c>
      <c r="M267" s="8" t="n">
        <v>0</v>
      </c>
      <c r="N267" s="8"/>
      <c r="O267" s="8" t="n">
        <v>1</v>
      </c>
      <c r="P267" s="10" t="n">
        <v>11.06</v>
      </c>
      <c r="Q267" s="8" t="n">
        <v>1397</v>
      </c>
      <c r="R267" s="8" t="n">
        <v>541</v>
      </c>
      <c r="S267" s="8" t="s">
        <v>425</v>
      </c>
      <c r="T267" s="8"/>
      <c r="U267" s="8"/>
      <c r="V267" s="8" t="s">
        <v>155</v>
      </c>
      <c r="W267" s="8"/>
      <c r="X267" s="8" t="s">
        <v>426</v>
      </c>
      <c r="Y267" s="8" t="s">
        <v>977</v>
      </c>
      <c r="Z267" s="8" t="s">
        <v>978</v>
      </c>
    </row>
    <row r="268" customFormat="false" ht="15" hidden="false" customHeight="false" outlineLevel="0" collapsed="false">
      <c r="A268" s="8" t="s">
        <v>424</v>
      </c>
      <c r="B268" s="8" t="s">
        <v>15</v>
      </c>
      <c r="C268" s="8" t="s">
        <v>16</v>
      </c>
      <c r="D268" s="8" t="s">
        <v>615</v>
      </c>
      <c r="E268" s="8" t="s">
        <v>37</v>
      </c>
      <c r="F268" s="8" t="s">
        <v>60</v>
      </c>
      <c r="G268" s="8" t="s">
        <v>30</v>
      </c>
      <c r="H268" s="8" t="s">
        <v>31</v>
      </c>
      <c r="I268" s="8" t="n">
        <f aca="false">IF(EXACT(G268,H268),1,0)</f>
        <v>0</v>
      </c>
      <c r="J268" s="8" t="n">
        <v>2</v>
      </c>
      <c r="K268" s="8" t="s">
        <v>116</v>
      </c>
      <c r="L268" s="8" t="n">
        <v>2</v>
      </c>
      <c r="M268" s="8" t="n">
        <v>0</v>
      </c>
      <c r="N268" s="8"/>
      <c r="O268" s="8" t="n">
        <v>1</v>
      </c>
      <c r="P268" s="10" t="n">
        <v>11.77</v>
      </c>
      <c r="Q268" s="8" t="n">
        <v>1397</v>
      </c>
      <c r="R268" s="8" t="n">
        <v>555</v>
      </c>
      <c r="S268" s="8" t="s">
        <v>425</v>
      </c>
      <c r="T268" s="8"/>
      <c r="U268" s="8"/>
      <c r="V268" s="8" t="s">
        <v>155</v>
      </c>
      <c r="W268" s="8"/>
      <c r="X268" s="8" t="s">
        <v>426</v>
      </c>
      <c r="Y268" s="8" t="s">
        <v>979</v>
      </c>
      <c r="Z268" s="8" t="s">
        <v>980</v>
      </c>
    </row>
    <row r="269" customFormat="false" ht="15" hidden="false" customHeight="false" outlineLevel="0" collapsed="false">
      <c r="A269" s="8" t="s">
        <v>427</v>
      </c>
      <c r="B269" s="8" t="s">
        <v>15</v>
      </c>
      <c r="C269" s="8" t="s">
        <v>16</v>
      </c>
      <c r="D269" s="8" t="s">
        <v>615</v>
      </c>
      <c r="E269" s="8" t="s">
        <v>37</v>
      </c>
      <c r="F269" s="8" t="s">
        <v>60</v>
      </c>
      <c r="G269" s="8" t="s">
        <v>30</v>
      </c>
      <c r="H269" s="8" t="s">
        <v>30</v>
      </c>
      <c r="I269" s="8" t="n">
        <f aca="false">IF(EXACT(G269,H269),1,0)</f>
        <v>1</v>
      </c>
      <c r="J269" s="8" t="n">
        <v>0</v>
      </c>
      <c r="K269" s="8" t="s">
        <v>92</v>
      </c>
      <c r="L269" s="8" t="n">
        <v>0</v>
      </c>
      <c r="M269" s="8" t="n">
        <v>0</v>
      </c>
      <c r="N269" s="8"/>
      <c r="O269" s="8" t="n">
        <v>1</v>
      </c>
      <c r="P269" s="10" t="n">
        <v>4.61</v>
      </c>
      <c r="Q269" s="8" t="n">
        <v>1356</v>
      </c>
      <c r="R269" s="8" t="n">
        <v>72</v>
      </c>
      <c r="S269" s="8" t="s">
        <v>428</v>
      </c>
      <c r="T269" s="8"/>
      <c r="U269" s="8"/>
      <c r="V269" s="8" t="s">
        <v>155</v>
      </c>
      <c r="W269" s="8"/>
      <c r="X269" s="8" t="s">
        <v>429</v>
      </c>
      <c r="Y269" s="8" t="s">
        <v>981</v>
      </c>
      <c r="Z269" s="8"/>
    </row>
    <row r="270" customFormat="false" ht="15" hidden="false" customHeight="false" outlineLevel="0" collapsed="false">
      <c r="A270" s="8" t="s">
        <v>427</v>
      </c>
      <c r="B270" s="8" t="s">
        <v>15</v>
      </c>
      <c r="C270" s="8" t="s">
        <v>16</v>
      </c>
      <c r="D270" s="8" t="s">
        <v>615</v>
      </c>
      <c r="E270" s="8" t="s">
        <v>37</v>
      </c>
      <c r="F270" s="8" t="s">
        <v>60</v>
      </c>
      <c r="G270" s="8" t="s">
        <v>30</v>
      </c>
      <c r="H270" s="8" t="s">
        <v>30</v>
      </c>
      <c r="I270" s="8" t="n">
        <f aca="false">IF(EXACT(G270,H270),1,0)</f>
        <v>1</v>
      </c>
      <c r="J270" s="8" t="n">
        <v>1</v>
      </c>
      <c r="K270" s="8" t="s">
        <v>92</v>
      </c>
      <c r="L270" s="8" t="n">
        <v>0</v>
      </c>
      <c r="M270" s="8" t="n">
        <v>0</v>
      </c>
      <c r="N270" s="8"/>
      <c r="O270" s="8" t="n">
        <v>1</v>
      </c>
      <c r="P270" s="10" t="n">
        <v>5.04</v>
      </c>
      <c r="Q270" s="8" t="n">
        <v>1356</v>
      </c>
      <c r="R270" s="8" t="n">
        <v>73</v>
      </c>
      <c r="S270" s="8" t="s">
        <v>428</v>
      </c>
      <c r="T270" s="8"/>
      <c r="U270" s="8"/>
      <c r="V270" s="8" t="s">
        <v>155</v>
      </c>
      <c r="W270" s="8"/>
      <c r="X270" s="8" t="s">
        <v>429</v>
      </c>
      <c r="Y270" s="8" t="s">
        <v>982</v>
      </c>
      <c r="Z270" s="8"/>
    </row>
    <row r="271" customFormat="false" ht="15" hidden="false" customHeight="false" outlineLevel="0" collapsed="false">
      <c r="A271" s="8" t="s">
        <v>427</v>
      </c>
      <c r="B271" s="8" t="s">
        <v>15</v>
      </c>
      <c r="C271" s="8" t="s">
        <v>16</v>
      </c>
      <c r="D271" s="8" t="s">
        <v>615</v>
      </c>
      <c r="E271" s="8" t="s">
        <v>37</v>
      </c>
      <c r="F271" s="8" t="s">
        <v>60</v>
      </c>
      <c r="G271" s="8" t="s">
        <v>30</v>
      </c>
      <c r="H271" s="8" t="s">
        <v>30</v>
      </c>
      <c r="I271" s="8" t="n">
        <f aca="false">IF(EXACT(G271,H271),1,0)</f>
        <v>1</v>
      </c>
      <c r="J271" s="8" t="n">
        <v>2</v>
      </c>
      <c r="K271" s="8" t="s">
        <v>92</v>
      </c>
      <c r="L271" s="8" t="n">
        <v>0</v>
      </c>
      <c r="M271" s="8" t="n">
        <v>0</v>
      </c>
      <c r="N271" s="8"/>
      <c r="O271" s="8" t="n">
        <v>1</v>
      </c>
      <c r="P271" s="10" t="n">
        <v>2.87</v>
      </c>
      <c r="Q271" s="8" t="n">
        <v>1356</v>
      </c>
      <c r="R271" s="8" t="n">
        <v>73</v>
      </c>
      <c r="S271" s="8" t="s">
        <v>428</v>
      </c>
      <c r="T271" s="8"/>
      <c r="U271" s="8"/>
      <c r="V271" s="8" t="s">
        <v>155</v>
      </c>
      <c r="W271" s="8"/>
      <c r="X271" s="8" t="s">
        <v>429</v>
      </c>
      <c r="Y271" s="8" t="s">
        <v>982</v>
      </c>
      <c r="Z271" s="8"/>
    </row>
    <row r="272" customFormat="false" ht="15" hidden="false" customHeight="false" outlineLevel="0" collapsed="false">
      <c r="A272" s="8" t="s">
        <v>430</v>
      </c>
      <c r="B272" s="8" t="s">
        <v>15</v>
      </c>
      <c r="C272" s="8" t="s">
        <v>16</v>
      </c>
      <c r="D272" s="8" t="s">
        <v>615</v>
      </c>
      <c r="E272" s="8" t="s">
        <v>38</v>
      </c>
      <c r="F272" s="8" t="s">
        <v>44</v>
      </c>
      <c r="G272" s="8" t="s">
        <v>31</v>
      </c>
      <c r="H272" s="8" t="s">
        <v>31</v>
      </c>
      <c r="I272" s="8" t="n">
        <f aca="false">IF(EXACT(G272,H272),1,0)</f>
        <v>1</v>
      </c>
      <c r="J272" s="8" t="n">
        <v>0</v>
      </c>
      <c r="K272" s="8" t="s">
        <v>140</v>
      </c>
      <c r="L272" s="8" t="n">
        <v>2</v>
      </c>
      <c r="M272" s="8" t="n">
        <v>0</v>
      </c>
      <c r="N272" s="8"/>
      <c r="O272" s="8" t="n">
        <v>1</v>
      </c>
      <c r="P272" s="10" t="n">
        <v>11.96</v>
      </c>
      <c r="Q272" s="8" t="n">
        <v>1275</v>
      </c>
      <c r="R272" s="8" t="n">
        <v>493</v>
      </c>
      <c r="S272" s="8" t="s">
        <v>117</v>
      </c>
      <c r="T272" s="8" t="s">
        <v>431</v>
      </c>
      <c r="U272" s="8" t="s">
        <v>432</v>
      </c>
      <c r="V272" s="8"/>
      <c r="W272" s="8" t="s">
        <v>433</v>
      </c>
      <c r="X272" s="8" t="s">
        <v>434</v>
      </c>
      <c r="Y272" s="8" t="s">
        <v>983</v>
      </c>
      <c r="Z272" s="8" t="s">
        <v>984</v>
      </c>
    </row>
    <row r="273" customFormat="false" ht="15" hidden="false" customHeight="false" outlineLevel="0" collapsed="false">
      <c r="A273" s="8" t="s">
        <v>430</v>
      </c>
      <c r="B273" s="8" t="s">
        <v>15</v>
      </c>
      <c r="C273" s="8" t="s">
        <v>16</v>
      </c>
      <c r="D273" s="8" t="s">
        <v>615</v>
      </c>
      <c r="E273" s="8" t="s">
        <v>38</v>
      </c>
      <c r="F273" s="8" t="s">
        <v>44</v>
      </c>
      <c r="G273" s="8" t="s">
        <v>31</v>
      </c>
      <c r="H273" s="8" t="s">
        <v>31</v>
      </c>
      <c r="I273" s="8" t="n">
        <f aca="false">IF(EXACT(G273,H273),1,0)</f>
        <v>1</v>
      </c>
      <c r="J273" s="8" t="n">
        <v>1</v>
      </c>
      <c r="K273" s="8" t="s">
        <v>140</v>
      </c>
      <c r="L273" s="8" t="n">
        <v>2</v>
      </c>
      <c r="M273" s="8" t="n">
        <v>0</v>
      </c>
      <c r="N273" s="8"/>
      <c r="O273" s="8" t="n">
        <v>1</v>
      </c>
      <c r="P273" s="10" t="n">
        <v>10.51</v>
      </c>
      <c r="Q273" s="8" t="n">
        <v>1275</v>
      </c>
      <c r="R273" s="8" t="n">
        <v>466</v>
      </c>
      <c r="S273" s="8" t="s">
        <v>117</v>
      </c>
      <c r="T273" s="8" t="s">
        <v>431</v>
      </c>
      <c r="U273" s="8" t="s">
        <v>432</v>
      </c>
      <c r="V273" s="8"/>
      <c r="W273" s="8" t="s">
        <v>433</v>
      </c>
      <c r="X273" s="8" t="s">
        <v>434</v>
      </c>
      <c r="Y273" s="8" t="s">
        <v>985</v>
      </c>
      <c r="Z273" s="8" t="s">
        <v>986</v>
      </c>
    </row>
    <row r="274" customFormat="false" ht="15" hidden="false" customHeight="false" outlineLevel="0" collapsed="false">
      <c r="A274" s="8" t="s">
        <v>430</v>
      </c>
      <c r="B274" s="8" t="s">
        <v>15</v>
      </c>
      <c r="C274" s="8" t="s">
        <v>16</v>
      </c>
      <c r="D274" s="8" t="s">
        <v>615</v>
      </c>
      <c r="E274" s="8" t="s">
        <v>38</v>
      </c>
      <c r="F274" s="8" t="s">
        <v>44</v>
      </c>
      <c r="G274" s="8" t="s">
        <v>31</v>
      </c>
      <c r="H274" s="8" t="s">
        <v>31</v>
      </c>
      <c r="I274" s="8" t="n">
        <f aca="false">IF(EXACT(G274,H274),1,0)</f>
        <v>1</v>
      </c>
      <c r="J274" s="8" t="n">
        <v>2</v>
      </c>
      <c r="K274" s="8" t="s">
        <v>140</v>
      </c>
      <c r="L274" s="8" t="n">
        <v>2</v>
      </c>
      <c r="M274" s="8" t="n">
        <v>0</v>
      </c>
      <c r="N274" s="8"/>
      <c r="O274" s="8" t="n">
        <v>1</v>
      </c>
      <c r="P274" s="10" t="n">
        <v>9.45</v>
      </c>
      <c r="Q274" s="8" t="n">
        <v>1275</v>
      </c>
      <c r="R274" s="8" t="n">
        <v>433</v>
      </c>
      <c r="S274" s="8" t="s">
        <v>117</v>
      </c>
      <c r="T274" s="8" t="s">
        <v>431</v>
      </c>
      <c r="U274" s="8" t="s">
        <v>432</v>
      </c>
      <c r="V274" s="8"/>
      <c r="W274" s="8" t="s">
        <v>433</v>
      </c>
      <c r="X274" s="8" t="s">
        <v>434</v>
      </c>
      <c r="Y274" s="8" t="s">
        <v>987</v>
      </c>
      <c r="Z274" s="8" t="s">
        <v>988</v>
      </c>
    </row>
    <row r="275" customFormat="false" ht="15" hidden="false" customHeight="false" outlineLevel="0" collapsed="false">
      <c r="A275" s="8" t="s">
        <v>436</v>
      </c>
      <c r="B275" s="8" t="s">
        <v>15</v>
      </c>
      <c r="C275" s="8" t="s">
        <v>16</v>
      </c>
      <c r="D275" s="8" t="s">
        <v>615</v>
      </c>
      <c r="E275" s="8" t="s">
        <v>38</v>
      </c>
      <c r="F275" s="8" t="s">
        <v>44</v>
      </c>
      <c r="G275" s="8" t="s">
        <v>32</v>
      </c>
      <c r="H275" s="8" t="s">
        <v>30</v>
      </c>
      <c r="I275" s="8" t="n">
        <f aca="false">IF(EXACT(G275,H275),1,0)</f>
        <v>0</v>
      </c>
      <c r="J275" s="8" t="n">
        <v>0</v>
      </c>
      <c r="K275" s="8" t="s">
        <v>92</v>
      </c>
      <c r="L275" s="8" t="n">
        <v>0</v>
      </c>
      <c r="M275" s="8" t="n">
        <v>0</v>
      </c>
      <c r="N275" s="8"/>
      <c r="O275" s="8" t="n">
        <v>1</v>
      </c>
      <c r="P275" s="10" t="n">
        <v>12.38</v>
      </c>
      <c r="Q275" s="8" t="n">
        <v>1275</v>
      </c>
      <c r="R275" s="8" t="n">
        <v>85</v>
      </c>
      <c r="S275" s="8" t="s">
        <v>132</v>
      </c>
      <c r="T275" s="8" t="s">
        <v>437</v>
      </c>
      <c r="U275" s="8" t="s">
        <v>438</v>
      </c>
      <c r="V275" s="8"/>
      <c r="W275" s="8" t="s">
        <v>439</v>
      </c>
      <c r="X275" s="8" t="s">
        <v>440</v>
      </c>
      <c r="Y275" s="8" t="s">
        <v>989</v>
      </c>
      <c r="Z275" s="8"/>
    </row>
    <row r="276" customFormat="false" ht="15" hidden="false" customHeight="false" outlineLevel="0" collapsed="false">
      <c r="A276" s="8" t="s">
        <v>436</v>
      </c>
      <c r="B276" s="8" t="s">
        <v>15</v>
      </c>
      <c r="C276" s="8" t="s">
        <v>16</v>
      </c>
      <c r="D276" s="8" t="s">
        <v>615</v>
      </c>
      <c r="E276" s="8" t="s">
        <v>38</v>
      </c>
      <c r="F276" s="8" t="s">
        <v>44</v>
      </c>
      <c r="G276" s="8" t="s">
        <v>32</v>
      </c>
      <c r="H276" s="8" t="s">
        <v>30</v>
      </c>
      <c r="I276" s="8" t="n">
        <f aca="false">IF(EXACT(G276,H276),1,0)</f>
        <v>0</v>
      </c>
      <c r="J276" s="8" t="n">
        <v>1</v>
      </c>
      <c r="K276" s="8" t="s">
        <v>92</v>
      </c>
      <c r="L276" s="8" t="n">
        <v>0</v>
      </c>
      <c r="M276" s="8" t="n">
        <v>0</v>
      </c>
      <c r="N276" s="8"/>
      <c r="O276" s="8" t="n">
        <v>1</v>
      </c>
      <c r="P276" s="10" t="n">
        <v>3.88</v>
      </c>
      <c r="Q276" s="8" t="n">
        <v>1275</v>
      </c>
      <c r="R276" s="8" t="n">
        <v>90</v>
      </c>
      <c r="S276" s="8" t="s">
        <v>132</v>
      </c>
      <c r="T276" s="8" t="s">
        <v>437</v>
      </c>
      <c r="U276" s="8" t="s">
        <v>438</v>
      </c>
      <c r="V276" s="8"/>
      <c r="W276" s="8" t="s">
        <v>439</v>
      </c>
      <c r="X276" s="8" t="s">
        <v>440</v>
      </c>
      <c r="Y276" s="8" t="s">
        <v>990</v>
      </c>
      <c r="Z276" s="8"/>
    </row>
    <row r="277" customFormat="false" ht="15" hidden="false" customHeight="false" outlineLevel="0" collapsed="false">
      <c r="A277" s="8" t="s">
        <v>436</v>
      </c>
      <c r="B277" s="8" t="s">
        <v>15</v>
      </c>
      <c r="C277" s="8" t="s">
        <v>16</v>
      </c>
      <c r="D277" s="8" t="s">
        <v>615</v>
      </c>
      <c r="E277" s="8" t="s">
        <v>38</v>
      </c>
      <c r="F277" s="8" t="s">
        <v>44</v>
      </c>
      <c r="G277" s="8" t="s">
        <v>32</v>
      </c>
      <c r="H277" s="8" t="s">
        <v>30</v>
      </c>
      <c r="I277" s="8" t="n">
        <f aca="false">IF(EXACT(G277,H277),1,0)</f>
        <v>0</v>
      </c>
      <c r="J277" s="8" t="n">
        <v>2</v>
      </c>
      <c r="K277" s="8" t="s">
        <v>92</v>
      </c>
      <c r="L277" s="8" t="n">
        <v>0</v>
      </c>
      <c r="M277" s="8" t="n">
        <v>0</v>
      </c>
      <c r="N277" s="8"/>
      <c r="O277" s="8" t="n">
        <v>1</v>
      </c>
      <c r="P277" s="10" t="n">
        <v>3.6</v>
      </c>
      <c r="Q277" s="8" t="n">
        <v>1275</v>
      </c>
      <c r="R277" s="8" t="n">
        <v>96</v>
      </c>
      <c r="S277" s="8" t="s">
        <v>132</v>
      </c>
      <c r="T277" s="8" t="s">
        <v>437</v>
      </c>
      <c r="U277" s="8" t="s">
        <v>438</v>
      </c>
      <c r="V277" s="8"/>
      <c r="W277" s="8" t="s">
        <v>439</v>
      </c>
      <c r="X277" s="8" t="s">
        <v>440</v>
      </c>
      <c r="Y277" s="8" t="s">
        <v>991</v>
      </c>
      <c r="Z277" s="8"/>
    </row>
    <row r="278" customFormat="false" ht="15" hidden="false" customHeight="false" outlineLevel="0" collapsed="false">
      <c r="A278" s="8" t="s">
        <v>441</v>
      </c>
      <c r="B278" s="8" t="s">
        <v>15</v>
      </c>
      <c r="C278" s="8" t="s">
        <v>16</v>
      </c>
      <c r="D278" s="8" t="s">
        <v>615</v>
      </c>
      <c r="E278" s="8" t="s">
        <v>38</v>
      </c>
      <c r="F278" s="8" t="s">
        <v>44</v>
      </c>
      <c r="G278" s="8" t="s">
        <v>31</v>
      </c>
      <c r="H278" s="8" t="s">
        <v>31</v>
      </c>
      <c r="I278" s="8" t="n">
        <f aca="false">IF(EXACT(G278,H278),1,0)</f>
        <v>1</v>
      </c>
      <c r="J278" s="8" t="n">
        <v>0</v>
      </c>
      <c r="K278" s="8" t="s">
        <v>140</v>
      </c>
      <c r="L278" s="8" t="n">
        <v>2</v>
      </c>
      <c r="M278" s="8" t="n">
        <v>0</v>
      </c>
      <c r="N278" s="8"/>
      <c r="O278" s="8" t="n">
        <v>1</v>
      </c>
      <c r="P278" s="10" t="n">
        <v>11.87</v>
      </c>
      <c r="Q278" s="8" t="n">
        <v>1281</v>
      </c>
      <c r="R278" s="8" t="n">
        <v>462</v>
      </c>
      <c r="S278" s="8" t="s">
        <v>347</v>
      </c>
      <c r="T278" s="8" t="s">
        <v>431</v>
      </c>
      <c r="U278" s="8" t="s">
        <v>432</v>
      </c>
      <c r="V278" s="8"/>
      <c r="W278" s="8" t="s">
        <v>442</v>
      </c>
      <c r="X278" s="8" t="s">
        <v>443</v>
      </c>
      <c r="Y278" s="8" t="s">
        <v>992</v>
      </c>
      <c r="Z278" s="8" t="s">
        <v>993</v>
      </c>
    </row>
    <row r="279" customFormat="false" ht="15" hidden="false" customHeight="false" outlineLevel="0" collapsed="false">
      <c r="A279" s="8" t="s">
        <v>441</v>
      </c>
      <c r="B279" s="8" t="s">
        <v>15</v>
      </c>
      <c r="C279" s="8" t="s">
        <v>16</v>
      </c>
      <c r="D279" s="8" t="s">
        <v>615</v>
      </c>
      <c r="E279" s="8" t="s">
        <v>38</v>
      </c>
      <c r="F279" s="8" t="s">
        <v>44</v>
      </c>
      <c r="G279" s="8" t="s">
        <v>31</v>
      </c>
      <c r="H279" s="8" t="s">
        <v>31</v>
      </c>
      <c r="I279" s="8" t="n">
        <f aca="false">IF(EXACT(G279,H279),1,0)</f>
        <v>1</v>
      </c>
      <c r="J279" s="8" t="n">
        <v>1</v>
      </c>
      <c r="K279" s="8" t="s">
        <v>140</v>
      </c>
      <c r="L279" s="8" t="n">
        <v>2</v>
      </c>
      <c r="M279" s="8" t="n">
        <v>0</v>
      </c>
      <c r="N279" s="8"/>
      <c r="O279" s="8" t="n">
        <v>1</v>
      </c>
      <c r="P279" s="10" t="n">
        <v>10.54</v>
      </c>
      <c r="Q279" s="8" t="n">
        <v>1281</v>
      </c>
      <c r="R279" s="8" t="n">
        <v>481</v>
      </c>
      <c r="S279" s="8" t="s">
        <v>347</v>
      </c>
      <c r="T279" s="8" t="s">
        <v>431</v>
      </c>
      <c r="U279" s="8" t="s">
        <v>432</v>
      </c>
      <c r="V279" s="8"/>
      <c r="W279" s="8" t="s">
        <v>442</v>
      </c>
      <c r="X279" s="8" t="s">
        <v>443</v>
      </c>
      <c r="Y279" s="8" t="s">
        <v>994</v>
      </c>
      <c r="Z279" s="8" t="s">
        <v>995</v>
      </c>
    </row>
    <row r="280" customFormat="false" ht="15" hidden="false" customHeight="false" outlineLevel="0" collapsed="false">
      <c r="A280" s="8" t="s">
        <v>441</v>
      </c>
      <c r="B280" s="8" t="s">
        <v>15</v>
      </c>
      <c r="C280" s="8" t="s">
        <v>16</v>
      </c>
      <c r="D280" s="8" t="s">
        <v>615</v>
      </c>
      <c r="E280" s="8" t="s">
        <v>38</v>
      </c>
      <c r="F280" s="8" t="s">
        <v>44</v>
      </c>
      <c r="G280" s="8" t="s">
        <v>31</v>
      </c>
      <c r="H280" s="8" t="s">
        <v>31</v>
      </c>
      <c r="I280" s="8" t="n">
        <f aca="false">IF(EXACT(G280,H280),1,0)</f>
        <v>1</v>
      </c>
      <c r="J280" s="8" t="n">
        <v>2</v>
      </c>
      <c r="K280" s="8" t="s">
        <v>140</v>
      </c>
      <c r="L280" s="8" t="n">
        <v>2</v>
      </c>
      <c r="M280" s="8" t="n">
        <v>0</v>
      </c>
      <c r="N280" s="8"/>
      <c r="O280" s="8" t="n">
        <v>1</v>
      </c>
      <c r="P280" s="10" t="n">
        <v>10.04</v>
      </c>
      <c r="Q280" s="8" t="n">
        <v>1281</v>
      </c>
      <c r="R280" s="8" t="n">
        <v>457</v>
      </c>
      <c r="S280" s="8" t="s">
        <v>347</v>
      </c>
      <c r="T280" s="8" t="s">
        <v>431</v>
      </c>
      <c r="U280" s="8" t="s">
        <v>432</v>
      </c>
      <c r="V280" s="8"/>
      <c r="W280" s="8" t="s">
        <v>442</v>
      </c>
      <c r="X280" s="8" t="s">
        <v>443</v>
      </c>
      <c r="Y280" s="8" t="s">
        <v>996</v>
      </c>
      <c r="Z280" s="8" t="s">
        <v>997</v>
      </c>
    </row>
    <row r="281" customFormat="false" ht="15" hidden="false" customHeight="false" outlineLevel="0" collapsed="false">
      <c r="A281" s="8" t="s">
        <v>444</v>
      </c>
      <c r="B281" s="8" t="s">
        <v>15</v>
      </c>
      <c r="C281" s="8" t="s">
        <v>16</v>
      </c>
      <c r="D281" s="8" t="s">
        <v>615</v>
      </c>
      <c r="E281" s="8" t="s">
        <v>38</v>
      </c>
      <c r="F281" s="8" t="s">
        <v>44</v>
      </c>
      <c r="G281" s="8" t="s">
        <v>30</v>
      </c>
      <c r="H281" s="8" t="s">
        <v>30</v>
      </c>
      <c r="I281" s="8" t="n">
        <f aca="false">IF(EXACT(G281,H281),1,0)</f>
        <v>1</v>
      </c>
      <c r="J281" s="8" t="n">
        <v>0</v>
      </c>
      <c r="K281" s="8" t="s">
        <v>92</v>
      </c>
      <c r="L281" s="8" t="n">
        <v>0</v>
      </c>
      <c r="M281" s="8" t="n">
        <v>0</v>
      </c>
      <c r="N281" s="8"/>
      <c r="O281" s="8" t="n">
        <v>1</v>
      </c>
      <c r="P281" s="10" t="n">
        <v>4.31</v>
      </c>
      <c r="Q281" s="8" t="n">
        <v>1270</v>
      </c>
      <c r="R281" s="8" t="n">
        <v>84</v>
      </c>
      <c r="S281" s="8" t="s">
        <v>366</v>
      </c>
      <c r="T281" s="8" t="s">
        <v>445</v>
      </c>
      <c r="U281" s="8" t="s">
        <v>446</v>
      </c>
      <c r="V281" s="8"/>
      <c r="W281" s="8" t="s">
        <v>447</v>
      </c>
      <c r="X281" s="8" t="s">
        <v>448</v>
      </c>
      <c r="Y281" s="8" t="s">
        <v>998</v>
      </c>
      <c r="Z281" s="8"/>
    </row>
    <row r="282" customFormat="false" ht="15" hidden="false" customHeight="false" outlineLevel="0" collapsed="false">
      <c r="A282" s="8" t="s">
        <v>444</v>
      </c>
      <c r="B282" s="8" t="s">
        <v>15</v>
      </c>
      <c r="C282" s="8" t="s">
        <v>16</v>
      </c>
      <c r="D282" s="8" t="s">
        <v>615</v>
      </c>
      <c r="E282" s="8" t="s">
        <v>38</v>
      </c>
      <c r="F282" s="8" t="s">
        <v>44</v>
      </c>
      <c r="G282" s="8" t="s">
        <v>30</v>
      </c>
      <c r="H282" s="8" t="s">
        <v>30</v>
      </c>
      <c r="I282" s="8" t="n">
        <f aca="false">IF(EXACT(G282,H282),1,0)</f>
        <v>1</v>
      </c>
      <c r="J282" s="8" t="n">
        <v>1</v>
      </c>
      <c r="K282" s="8" t="s">
        <v>92</v>
      </c>
      <c r="L282" s="8" t="n">
        <v>0</v>
      </c>
      <c r="M282" s="8" t="n">
        <v>0</v>
      </c>
      <c r="N282" s="8"/>
      <c r="O282" s="8" t="n">
        <v>1</v>
      </c>
      <c r="P282" s="10" t="n">
        <v>3.18</v>
      </c>
      <c r="Q282" s="8" t="n">
        <v>1270</v>
      </c>
      <c r="R282" s="8" t="n">
        <v>84</v>
      </c>
      <c r="S282" s="8" t="s">
        <v>366</v>
      </c>
      <c r="T282" s="8" t="s">
        <v>445</v>
      </c>
      <c r="U282" s="8" t="s">
        <v>446</v>
      </c>
      <c r="V282" s="8"/>
      <c r="W282" s="8" t="s">
        <v>447</v>
      </c>
      <c r="X282" s="8" t="s">
        <v>448</v>
      </c>
      <c r="Y282" s="8" t="s">
        <v>998</v>
      </c>
      <c r="Z282" s="8"/>
    </row>
    <row r="283" customFormat="false" ht="15" hidden="false" customHeight="false" outlineLevel="0" collapsed="false">
      <c r="A283" s="8" t="s">
        <v>444</v>
      </c>
      <c r="B283" s="8" t="s">
        <v>15</v>
      </c>
      <c r="C283" s="8" t="s">
        <v>16</v>
      </c>
      <c r="D283" s="8" t="s">
        <v>615</v>
      </c>
      <c r="E283" s="8" t="s">
        <v>38</v>
      </c>
      <c r="F283" s="8" t="s">
        <v>44</v>
      </c>
      <c r="G283" s="8" t="s">
        <v>30</v>
      </c>
      <c r="H283" s="8" t="s">
        <v>30</v>
      </c>
      <c r="I283" s="8" t="n">
        <f aca="false">IF(EXACT(G283,H283),1,0)</f>
        <v>1</v>
      </c>
      <c r="J283" s="8" t="n">
        <v>2</v>
      </c>
      <c r="K283" s="8" t="s">
        <v>92</v>
      </c>
      <c r="L283" s="8" t="n">
        <v>0</v>
      </c>
      <c r="M283" s="8" t="n">
        <v>0</v>
      </c>
      <c r="N283" s="8"/>
      <c r="O283" s="8" t="n">
        <v>1</v>
      </c>
      <c r="P283" s="10" t="n">
        <v>3.38</v>
      </c>
      <c r="Q283" s="8" t="n">
        <v>1270</v>
      </c>
      <c r="R283" s="8" t="n">
        <v>85</v>
      </c>
      <c r="S283" s="8" t="s">
        <v>366</v>
      </c>
      <c r="T283" s="8" t="s">
        <v>445</v>
      </c>
      <c r="U283" s="8" t="s">
        <v>446</v>
      </c>
      <c r="V283" s="8"/>
      <c r="W283" s="8" t="s">
        <v>447</v>
      </c>
      <c r="X283" s="8" t="s">
        <v>448</v>
      </c>
      <c r="Y283" s="8" t="s">
        <v>999</v>
      </c>
      <c r="Z283" s="8"/>
    </row>
    <row r="284" customFormat="false" ht="15" hidden="false" customHeight="false" outlineLevel="0" collapsed="false">
      <c r="A284" s="8" t="s">
        <v>449</v>
      </c>
      <c r="B284" s="8" t="s">
        <v>15</v>
      </c>
      <c r="C284" s="8" t="s">
        <v>16</v>
      </c>
      <c r="D284" s="8" t="s">
        <v>615</v>
      </c>
      <c r="E284" s="8" t="s">
        <v>38</v>
      </c>
      <c r="F284" s="8" t="s">
        <v>44</v>
      </c>
      <c r="G284" s="8" t="s">
        <v>30</v>
      </c>
      <c r="H284" s="8" t="s">
        <v>30</v>
      </c>
      <c r="I284" s="8" t="n">
        <f aca="false">IF(EXACT(G284,H284),1,0)</f>
        <v>1</v>
      </c>
      <c r="J284" s="8" t="n">
        <v>0</v>
      </c>
      <c r="K284" s="8" t="s">
        <v>92</v>
      </c>
      <c r="L284" s="8" t="n">
        <v>0</v>
      </c>
      <c r="M284" s="8" t="n">
        <v>0</v>
      </c>
      <c r="N284" s="8"/>
      <c r="O284" s="8" t="n">
        <v>1</v>
      </c>
      <c r="P284" s="10" t="n">
        <v>4.05</v>
      </c>
      <c r="Q284" s="8" t="n">
        <v>1292</v>
      </c>
      <c r="R284" s="8" t="n">
        <v>109</v>
      </c>
      <c r="S284" s="8" t="s">
        <v>150</v>
      </c>
      <c r="T284" s="8" t="s">
        <v>450</v>
      </c>
      <c r="U284" s="8" t="s">
        <v>451</v>
      </c>
      <c r="V284" s="8"/>
      <c r="W284" s="8" t="s">
        <v>452</v>
      </c>
      <c r="X284" s="8" t="s">
        <v>453</v>
      </c>
      <c r="Y284" s="8" t="s">
        <v>1000</v>
      </c>
      <c r="Z284" s="8"/>
    </row>
    <row r="285" customFormat="false" ht="15" hidden="false" customHeight="false" outlineLevel="0" collapsed="false">
      <c r="A285" s="8" t="s">
        <v>449</v>
      </c>
      <c r="B285" s="8" t="s">
        <v>15</v>
      </c>
      <c r="C285" s="8" t="s">
        <v>16</v>
      </c>
      <c r="D285" s="8" t="s">
        <v>615</v>
      </c>
      <c r="E285" s="8" t="s">
        <v>38</v>
      </c>
      <c r="F285" s="8" t="s">
        <v>44</v>
      </c>
      <c r="G285" s="8" t="s">
        <v>30</v>
      </c>
      <c r="H285" s="8" t="s">
        <v>30</v>
      </c>
      <c r="I285" s="8" t="n">
        <f aca="false">IF(EXACT(G285,H285),1,0)</f>
        <v>1</v>
      </c>
      <c r="J285" s="8" t="n">
        <v>1</v>
      </c>
      <c r="K285" s="8" t="s">
        <v>92</v>
      </c>
      <c r="L285" s="8" t="n">
        <v>0</v>
      </c>
      <c r="M285" s="8" t="n">
        <v>0</v>
      </c>
      <c r="N285" s="8"/>
      <c r="O285" s="8" t="n">
        <v>1</v>
      </c>
      <c r="P285" s="10" t="n">
        <v>3.87</v>
      </c>
      <c r="Q285" s="8" t="n">
        <v>1292</v>
      </c>
      <c r="R285" s="8" t="n">
        <v>112</v>
      </c>
      <c r="S285" s="8" t="s">
        <v>150</v>
      </c>
      <c r="T285" s="8" t="s">
        <v>450</v>
      </c>
      <c r="U285" s="8" t="s">
        <v>451</v>
      </c>
      <c r="V285" s="8"/>
      <c r="W285" s="8" t="s">
        <v>452</v>
      </c>
      <c r="X285" s="8" t="s">
        <v>453</v>
      </c>
      <c r="Y285" s="8" t="s">
        <v>1001</v>
      </c>
      <c r="Z285" s="8"/>
    </row>
    <row r="286" customFormat="false" ht="15" hidden="false" customHeight="false" outlineLevel="0" collapsed="false">
      <c r="A286" s="8" t="s">
        <v>449</v>
      </c>
      <c r="B286" s="8" t="s">
        <v>15</v>
      </c>
      <c r="C286" s="8" t="s">
        <v>16</v>
      </c>
      <c r="D286" s="8" t="s">
        <v>615</v>
      </c>
      <c r="E286" s="8" t="s">
        <v>38</v>
      </c>
      <c r="F286" s="8" t="s">
        <v>44</v>
      </c>
      <c r="G286" s="8" t="s">
        <v>30</v>
      </c>
      <c r="H286" s="8" t="s">
        <v>30</v>
      </c>
      <c r="I286" s="8" t="n">
        <f aca="false">IF(EXACT(G286,H286),1,0)</f>
        <v>1</v>
      </c>
      <c r="J286" s="8" t="n">
        <v>2</v>
      </c>
      <c r="K286" s="8" t="s">
        <v>92</v>
      </c>
      <c r="L286" s="8" t="n">
        <v>0</v>
      </c>
      <c r="M286" s="8" t="n">
        <v>0</v>
      </c>
      <c r="N286" s="8"/>
      <c r="O286" s="8" t="n">
        <v>1</v>
      </c>
      <c r="P286" s="10" t="n">
        <v>5.22</v>
      </c>
      <c r="Q286" s="8" t="n">
        <v>1292</v>
      </c>
      <c r="R286" s="8" t="n">
        <v>166</v>
      </c>
      <c r="S286" s="8" t="s">
        <v>150</v>
      </c>
      <c r="T286" s="8" t="s">
        <v>450</v>
      </c>
      <c r="U286" s="8" t="s">
        <v>451</v>
      </c>
      <c r="V286" s="8"/>
      <c r="W286" s="8" t="s">
        <v>452</v>
      </c>
      <c r="X286" s="8" t="s">
        <v>453</v>
      </c>
      <c r="Y286" s="8" t="s">
        <v>1002</v>
      </c>
      <c r="Z286" s="8"/>
    </row>
    <row r="287" customFormat="false" ht="15" hidden="false" customHeight="false" outlineLevel="0" collapsed="false">
      <c r="A287" s="8" t="s">
        <v>454</v>
      </c>
      <c r="B287" s="8" t="s">
        <v>15</v>
      </c>
      <c r="C287" s="8" t="s">
        <v>16</v>
      </c>
      <c r="D287" s="8" t="s">
        <v>615</v>
      </c>
      <c r="E287" s="8" t="s">
        <v>38</v>
      </c>
      <c r="F287" s="8" t="s">
        <v>44</v>
      </c>
      <c r="G287" s="8" t="s">
        <v>32</v>
      </c>
      <c r="H287" s="8" t="s">
        <v>32</v>
      </c>
      <c r="I287" s="8" t="n">
        <f aca="false">IF(EXACT(G287,H287),1,0)</f>
        <v>1</v>
      </c>
      <c r="J287" s="8" t="n">
        <v>0</v>
      </c>
      <c r="K287" s="8" t="s">
        <v>92</v>
      </c>
      <c r="L287" s="8" t="n">
        <v>0</v>
      </c>
      <c r="M287" s="8" t="n">
        <v>0</v>
      </c>
      <c r="N287" s="8"/>
      <c r="O287" s="8" t="n">
        <v>1</v>
      </c>
      <c r="P287" s="10" t="n">
        <v>5.79</v>
      </c>
      <c r="Q287" s="8" t="n">
        <v>1285</v>
      </c>
      <c r="R287" s="8" t="n">
        <v>104</v>
      </c>
      <c r="S287" s="8" t="s">
        <v>132</v>
      </c>
      <c r="T287" s="8" t="s">
        <v>455</v>
      </c>
      <c r="U287" s="8" t="s">
        <v>456</v>
      </c>
      <c r="V287" s="8"/>
      <c r="W287" s="8" t="s">
        <v>457</v>
      </c>
      <c r="X287" s="8" t="s">
        <v>458</v>
      </c>
      <c r="Y287" s="8" t="s">
        <v>1003</v>
      </c>
      <c r="Z287" s="8"/>
    </row>
    <row r="288" customFormat="false" ht="15" hidden="false" customHeight="false" outlineLevel="0" collapsed="false">
      <c r="A288" s="8" t="s">
        <v>454</v>
      </c>
      <c r="B288" s="8" t="s">
        <v>15</v>
      </c>
      <c r="C288" s="8" t="s">
        <v>16</v>
      </c>
      <c r="D288" s="8" t="s">
        <v>615</v>
      </c>
      <c r="E288" s="8" t="s">
        <v>38</v>
      </c>
      <c r="F288" s="8" t="s">
        <v>44</v>
      </c>
      <c r="G288" s="8" t="s">
        <v>32</v>
      </c>
      <c r="H288" s="8" t="s">
        <v>32</v>
      </c>
      <c r="I288" s="8" t="n">
        <f aca="false">IF(EXACT(G288,H288),1,0)</f>
        <v>1</v>
      </c>
      <c r="J288" s="8" t="n">
        <v>1</v>
      </c>
      <c r="K288" s="8" t="s">
        <v>92</v>
      </c>
      <c r="L288" s="8" t="n">
        <v>0</v>
      </c>
      <c r="M288" s="8" t="n">
        <v>0</v>
      </c>
      <c r="N288" s="8"/>
      <c r="O288" s="8" t="n">
        <v>1</v>
      </c>
      <c r="P288" s="10" t="n">
        <v>4.61</v>
      </c>
      <c r="Q288" s="8" t="n">
        <v>1285</v>
      </c>
      <c r="R288" s="8" t="n">
        <v>119</v>
      </c>
      <c r="S288" s="8" t="s">
        <v>132</v>
      </c>
      <c r="T288" s="8" t="s">
        <v>455</v>
      </c>
      <c r="U288" s="8" t="s">
        <v>456</v>
      </c>
      <c r="V288" s="8"/>
      <c r="W288" s="8" t="s">
        <v>457</v>
      </c>
      <c r="X288" s="8" t="s">
        <v>458</v>
      </c>
      <c r="Y288" s="8" t="s">
        <v>1004</v>
      </c>
      <c r="Z288" s="8"/>
    </row>
    <row r="289" customFormat="false" ht="15" hidden="false" customHeight="false" outlineLevel="0" collapsed="false">
      <c r="A289" s="8" t="s">
        <v>454</v>
      </c>
      <c r="B289" s="8" t="s">
        <v>15</v>
      </c>
      <c r="C289" s="8" t="s">
        <v>16</v>
      </c>
      <c r="D289" s="8" t="s">
        <v>615</v>
      </c>
      <c r="E289" s="8" t="s">
        <v>38</v>
      </c>
      <c r="F289" s="8" t="s">
        <v>44</v>
      </c>
      <c r="G289" s="8" t="s">
        <v>32</v>
      </c>
      <c r="H289" s="8" t="s">
        <v>32</v>
      </c>
      <c r="I289" s="8" t="n">
        <f aca="false">IF(EXACT(G289,H289),1,0)</f>
        <v>1</v>
      </c>
      <c r="J289" s="8" t="n">
        <v>2</v>
      </c>
      <c r="K289" s="8" t="s">
        <v>92</v>
      </c>
      <c r="L289" s="8" t="n">
        <v>0</v>
      </c>
      <c r="M289" s="8" t="n">
        <v>0</v>
      </c>
      <c r="N289" s="8"/>
      <c r="O289" s="8" t="n">
        <v>1</v>
      </c>
      <c r="P289" s="10" t="n">
        <v>4.9</v>
      </c>
      <c r="Q289" s="8" t="n">
        <v>1285</v>
      </c>
      <c r="R289" s="8" t="n">
        <v>124</v>
      </c>
      <c r="S289" s="8" t="s">
        <v>132</v>
      </c>
      <c r="T289" s="8" t="s">
        <v>455</v>
      </c>
      <c r="U289" s="8" t="s">
        <v>456</v>
      </c>
      <c r="V289" s="8"/>
      <c r="W289" s="8" t="s">
        <v>457</v>
      </c>
      <c r="X289" s="8" t="s">
        <v>458</v>
      </c>
      <c r="Y289" s="8" t="s">
        <v>1005</v>
      </c>
      <c r="Z289" s="8"/>
    </row>
    <row r="290" customFormat="false" ht="15" hidden="false" customHeight="false" outlineLevel="0" collapsed="false">
      <c r="A290" s="8" t="s">
        <v>330</v>
      </c>
      <c r="B290" s="8" t="s">
        <v>15</v>
      </c>
      <c r="C290" s="8" t="s">
        <v>16</v>
      </c>
      <c r="D290" s="8" t="s">
        <v>615</v>
      </c>
      <c r="E290" s="8" t="s">
        <v>38</v>
      </c>
      <c r="F290" s="8" t="s">
        <v>45</v>
      </c>
      <c r="G290" s="8" t="s">
        <v>31</v>
      </c>
      <c r="H290" s="8" t="s">
        <v>31</v>
      </c>
      <c r="I290" s="8" t="n">
        <f aca="false">IF(EXACT(G290,H290),1,0)</f>
        <v>1</v>
      </c>
      <c r="J290" s="8" t="n">
        <v>0</v>
      </c>
      <c r="K290" s="8" t="s">
        <v>116</v>
      </c>
      <c r="L290" s="8" t="n">
        <v>2</v>
      </c>
      <c r="M290" s="8" t="n">
        <v>0</v>
      </c>
      <c r="N290" s="8"/>
      <c r="O290" s="8" t="n">
        <v>1</v>
      </c>
      <c r="P290" s="10" t="n">
        <v>10.43</v>
      </c>
      <c r="Q290" s="8" t="n">
        <v>1263</v>
      </c>
      <c r="R290" s="8" t="n">
        <v>418</v>
      </c>
      <c r="S290" s="8" t="s">
        <v>255</v>
      </c>
      <c r="T290" s="8" t="s">
        <v>331</v>
      </c>
      <c r="U290" s="8" t="s">
        <v>332</v>
      </c>
      <c r="V290" s="8"/>
      <c r="W290" s="8" t="s">
        <v>333</v>
      </c>
      <c r="X290" s="8" t="s">
        <v>459</v>
      </c>
      <c r="Y290" s="8" t="s">
        <v>1006</v>
      </c>
      <c r="Z290" s="8" t="s">
        <v>1007</v>
      </c>
    </row>
    <row r="291" customFormat="false" ht="15" hidden="false" customHeight="false" outlineLevel="0" collapsed="false">
      <c r="A291" s="8" t="s">
        <v>330</v>
      </c>
      <c r="B291" s="8" t="s">
        <v>15</v>
      </c>
      <c r="C291" s="8" t="s">
        <v>16</v>
      </c>
      <c r="D291" s="8" t="s">
        <v>615</v>
      </c>
      <c r="E291" s="8" t="s">
        <v>38</v>
      </c>
      <c r="F291" s="8" t="s">
        <v>45</v>
      </c>
      <c r="G291" s="8" t="s">
        <v>31</v>
      </c>
      <c r="H291" s="8" t="s">
        <v>31</v>
      </c>
      <c r="I291" s="8" t="n">
        <f aca="false">IF(EXACT(G291,H291),1,0)</f>
        <v>1</v>
      </c>
      <c r="J291" s="8" t="n">
        <v>1</v>
      </c>
      <c r="K291" s="8" t="s">
        <v>116</v>
      </c>
      <c r="L291" s="8" t="n">
        <v>2</v>
      </c>
      <c r="M291" s="8" t="n">
        <v>0</v>
      </c>
      <c r="N291" s="8"/>
      <c r="O291" s="8" t="n">
        <v>1</v>
      </c>
      <c r="P291" s="10" t="n">
        <v>11.72</v>
      </c>
      <c r="Q291" s="8" t="n">
        <v>1263</v>
      </c>
      <c r="R291" s="8" t="n">
        <v>469</v>
      </c>
      <c r="S291" s="8" t="s">
        <v>255</v>
      </c>
      <c r="T291" s="8" t="s">
        <v>331</v>
      </c>
      <c r="U291" s="8" t="s">
        <v>332</v>
      </c>
      <c r="V291" s="8"/>
      <c r="W291" s="8" t="s">
        <v>333</v>
      </c>
      <c r="X291" s="8" t="s">
        <v>459</v>
      </c>
      <c r="Y291" s="8" t="s">
        <v>1008</v>
      </c>
      <c r="Z291" s="8" t="s">
        <v>1009</v>
      </c>
    </row>
    <row r="292" customFormat="false" ht="15" hidden="false" customHeight="false" outlineLevel="0" collapsed="false">
      <c r="A292" s="8" t="s">
        <v>330</v>
      </c>
      <c r="B292" s="8" t="s">
        <v>15</v>
      </c>
      <c r="C292" s="8" t="s">
        <v>16</v>
      </c>
      <c r="D292" s="8" t="s">
        <v>615</v>
      </c>
      <c r="E292" s="8" t="s">
        <v>38</v>
      </c>
      <c r="F292" s="8" t="s">
        <v>45</v>
      </c>
      <c r="G292" s="8" t="s">
        <v>31</v>
      </c>
      <c r="H292" s="8" t="s">
        <v>31</v>
      </c>
      <c r="I292" s="8" t="n">
        <f aca="false">IF(EXACT(G292,H292),1,0)</f>
        <v>1</v>
      </c>
      <c r="J292" s="8" t="n">
        <v>2</v>
      </c>
      <c r="K292" s="8" t="s">
        <v>116</v>
      </c>
      <c r="L292" s="8" t="n">
        <v>2</v>
      </c>
      <c r="M292" s="8" t="n">
        <v>0</v>
      </c>
      <c r="N292" s="8"/>
      <c r="O292" s="8" t="n">
        <v>1</v>
      </c>
      <c r="P292" s="10" t="n">
        <v>9.67</v>
      </c>
      <c r="Q292" s="8" t="n">
        <v>1263</v>
      </c>
      <c r="R292" s="8" t="n">
        <v>425</v>
      </c>
      <c r="S292" s="8" t="s">
        <v>255</v>
      </c>
      <c r="T292" s="8" t="s">
        <v>331</v>
      </c>
      <c r="U292" s="8" t="s">
        <v>332</v>
      </c>
      <c r="V292" s="8"/>
      <c r="W292" s="8" t="s">
        <v>333</v>
      </c>
      <c r="X292" s="8" t="s">
        <v>459</v>
      </c>
      <c r="Y292" s="8" t="s">
        <v>1010</v>
      </c>
      <c r="Z292" s="8" t="s">
        <v>1011</v>
      </c>
    </row>
    <row r="293" customFormat="false" ht="15" hidden="false" customHeight="false" outlineLevel="0" collapsed="false">
      <c r="A293" s="8" t="s">
        <v>336</v>
      </c>
      <c r="B293" s="8" t="s">
        <v>15</v>
      </c>
      <c r="C293" s="8" t="s">
        <v>16</v>
      </c>
      <c r="D293" s="8" t="s">
        <v>615</v>
      </c>
      <c r="E293" s="8" t="s">
        <v>38</v>
      </c>
      <c r="F293" s="8" t="s">
        <v>45</v>
      </c>
      <c r="G293" s="8" t="s">
        <v>32</v>
      </c>
      <c r="H293" s="8" t="s">
        <v>32</v>
      </c>
      <c r="I293" s="8" t="n">
        <f aca="false">IF(EXACT(G293,H293),1,0)</f>
        <v>1</v>
      </c>
      <c r="J293" s="8" t="n">
        <v>0</v>
      </c>
      <c r="K293" s="8" t="s">
        <v>92</v>
      </c>
      <c r="L293" s="8" t="n">
        <v>0</v>
      </c>
      <c r="M293" s="8" t="n">
        <v>0</v>
      </c>
      <c r="N293" s="8"/>
      <c r="O293" s="8" t="n">
        <v>1</v>
      </c>
      <c r="P293" s="10" t="n">
        <v>3.39</v>
      </c>
      <c r="Q293" s="8" t="n">
        <v>1327</v>
      </c>
      <c r="R293" s="8" t="n">
        <v>78</v>
      </c>
      <c r="S293" s="8" t="s">
        <v>94</v>
      </c>
      <c r="T293" s="8" t="s">
        <v>337</v>
      </c>
      <c r="U293" s="8" t="s">
        <v>338</v>
      </c>
      <c r="V293" s="8"/>
      <c r="W293" s="8" t="s">
        <v>339</v>
      </c>
      <c r="X293" s="8" t="s">
        <v>460</v>
      </c>
      <c r="Y293" s="8" t="s">
        <v>1012</v>
      </c>
      <c r="Z293" s="8"/>
    </row>
    <row r="294" customFormat="false" ht="15" hidden="false" customHeight="false" outlineLevel="0" collapsed="false">
      <c r="A294" s="8" t="s">
        <v>336</v>
      </c>
      <c r="B294" s="8" t="s">
        <v>15</v>
      </c>
      <c r="C294" s="8" t="s">
        <v>16</v>
      </c>
      <c r="D294" s="8" t="s">
        <v>615</v>
      </c>
      <c r="E294" s="8" t="s">
        <v>38</v>
      </c>
      <c r="F294" s="8" t="s">
        <v>45</v>
      </c>
      <c r="G294" s="8" t="s">
        <v>32</v>
      </c>
      <c r="H294" s="8" t="s">
        <v>32</v>
      </c>
      <c r="I294" s="8" t="n">
        <f aca="false">IF(EXACT(G294,H294),1,0)</f>
        <v>1</v>
      </c>
      <c r="J294" s="8" t="n">
        <v>1</v>
      </c>
      <c r="K294" s="8" t="s">
        <v>92</v>
      </c>
      <c r="L294" s="8" t="n">
        <v>0</v>
      </c>
      <c r="M294" s="8" t="n">
        <v>0</v>
      </c>
      <c r="N294" s="8"/>
      <c r="O294" s="8" t="n">
        <v>1</v>
      </c>
      <c r="P294" s="10" t="n">
        <v>2.51</v>
      </c>
      <c r="Q294" s="8" t="n">
        <v>1327</v>
      </c>
      <c r="R294" s="8" t="n">
        <v>78</v>
      </c>
      <c r="S294" s="8" t="s">
        <v>94</v>
      </c>
      <c r="T294" s="8" t="s">
        <v>337</v>
      </c>
      <c r="U294" s="8" t="s">
        <v>338</v>
      </c>
      <c r="V294" s="8"/>
      <c r="W294" s="8" t="s">
        <v>339</v>
      </c>
      <c r="X294" s="8" t="s">
        <v>460</v>
      </c>
      <c r="Y294" s="8" t="s">
        <v>1012</v>
      </c>
      <c r="Z294" s="8"/>
    </row>
    <row r="295" customFormat="false" ht="15" hidden="false" customHeight="false" outlineLevel="0" collapsed="false">
      <c r="A295" s="8" t="s">
        <v>336</v>
      </c>
      <c r="B295" s="8" t="s">
        <v>15</v>
      </c>
      <c r="C295" s="8" t="s">
        <v>16</v>
      </c>
      <c r="D295" s="8" t="s">
        <v>615</v>
      </c>
      <c r="E295" s="8" t="s">
        <v>38</v>
      </c>
      <c r="F295" s="8" t="s">
        <v>45</v>
      </c>
      <c r="G295" s="8" t="s">
        <v>32</v>
      </c>
      <c r="H295" s="8" t="s">
        <v>32</v>
      </c>
      <c r="I295" s="8" t="n">
        <f aca="false">IF(EXACT(G295,H295),1,0)</f>
        <v>1</v>
      </c>
      <c r="J295" s="8" t="n">
        <v>2</v>
      </c>
      <c r="K295" s="8" t="s">
        <v>92</v>
      </c>
      <c r="L295" s="8" t="n">
        <v>0</v>
      </c>
      <c r="M295" s="8" t="n">
        <v>0</v>
      </c>
      <c r="N295" s="8"/>
      <c r="O295" s="8" t="n">
        <v>1</v>
      </c>
      <c r="P295" s="10" t="n">
        <v>2.74</v>
      </c>
      <c r="Q295" s="8" t="n">
        <v>1327</v>
      </c>
      <c r="R295" s="8" t="n">
        <v>81</v>
      </c>
      <c r="S295" s="8" t="s">
        <v>94</v>
      </c>
      <c r="T295" s="8" t="s">
        <v>337</v>
      </c>
      <c r="U295" s="8" t="s">
        <v>338</v>
      </c>
      <c r="V295" s="8"/>
      <c r="W295" s="8" t="s">
        <v>339</v>
      </c>
      <c r="X295" s="8" t="s">
        <v>460</v>
      </c>
      <c r="Y295" s="8" t="s">
        <v>1013</v>
      </c>
      <c r="Z295" s="8"/>
    </row>
    <row r="296" customFormat="false" ht="15" hidden="false" customHeight="false" outlineLevel="0" collapsed="false">
      <c r="A296" s="8" t="s">
        <v>341</v>
      </c>
      <c r="B296" s="8" t="s">
        <v>15</v>
      </c>
      <c r="C296" s="8" t="s">
        <v>16</v>
      </c>
      <c r="D296" s="8" t="s">
        <v>615</v>
      </c>
      <c r="E296" s="8" t="s">
        <v>38</v>
      </c>
      <c r="F296" s="8" t="s">
        <v>45</v>
      </c>
      <c r="G296" s="8" t="s">
        <v>32</v>
      </c>
      <c r="H296" s="8" t="s">
        <v>32</v>
      </c>
      <c r="I296" s="8" t="n">
        <f aca="false">IF(EXACT(G296,H296),1,0)</f>
        <v>1</v>
      </c>
      <c r="J296" s="8" t="n">
        <v>0</v>
      </c>
      <c r="K296" s="8" t="s">
        <v>92</v>
      </c>
      <c r="L296" s="8" t="n">
        <v>0</v>
      </c>
      <c r="M296" s="8" t="n">
        <v>0</v>
      </c>
      <c r="N296" s="8"/>
      <c r="O296" s="8" t="n">
        <v>1</v>
      </c>
      <c r="P296" s="10" t="n">
        <v>2.81</v>
      </c>
      <c r="Q296" s="8" t="n">
        <v>1291</v>
      </c>
      <c r="R296" s="8" t="n">
        <v>78</v>
      </c>
      <c r="S296" s="8" t="s">
        <v>125</v>
      </c>
      <c r="T296" s="8" t="s">
        <v>342</v>
      </c>
      <c r="U296" s="8" t="s">
        <v>343</v>
      </c>
      <c r="V296" s="8"/>
      <c r="W296" s="8" t="s">
        <v>344</v>
      </c>
      <c r="X296" s="8" t="s">
        <v>461</v>
      </c>
      <c r="Y296" s="8" t="s">
        <v>1012</v>
      </c>
      <c r="Z296" s="8"/>
    </row>
    <row r="297" customFormat="false" ht="15" hidden="false" customHeight="false" outlineLevel="0" collapsed="false">
      <c r="A297" s="8" t="s">
        <v>341</v>
      </c>
      <c r="B297" s="8" t="s">
        <v>15</v>
      </c>
      <c r="C297" s="8" t="s">
        <v>16</v>
      </c>
      <c r="D297" s="8" t="s">
        <v>615</v>
      </c>
      <c r="E297" s="8" t="s">
        <v>38</v>
      </c>
      <c r="F297" s="8" t="s">
        <v>45</v>
      </c>
      <c r="G297" s="8" t="s">
        <v>32</v>
      </c>
      <c r="H297" s="8" t="s">
        <v>32</v>
      </c>
      <c r="I297" s="8" t="n">
        <f aca="false">IF(EXACT(G297,H297),1,0)</f>
        <v>1</v>
      </c>
      <c r="J297" s="8" t="n">
        <v>1</v>
      </c>
      <c r="K297" s="8" t="s">
        <v>92</v>
      </c>
      <c r="L297" s="8" t="n">
        <v>0</v>
      </c>
      <c r="M297" s="8" t="n">
        <v>0</v>
      </c>
      <c r="N297" s="8"/>
      <c r="O297" s="8" t="n">
        <v>1</v>
      </c>
      <c r="P297" s="10" t="n">
        <v>2.55</v>
      </c>
      <c r="Q297" s="8" t="n">
        <v>1291</v>
      </c>
      <c r="R297" s="8" t="n">
        <v>81</v>
      </c>
      <c r="S297" s="8" t="s">
        <v>125</v>
      </c>
      <c r="T297" s="8" t="s">
        <v>342</v>
      </c>
      <c r="U297" s="8" t="s">
        <v>343</v>
      </c>
      <c r="V297" s="8"/>
      <c r="W297" s="8" t="s">
        <v>344</v>
      </c>
      <c r="X297" s="8" t="s">
        <v>461</v>
      </c>
      <c r="Y297" s="8" t="s">
        <v>1014</v>
      </c>
      <c r="Z297" s="8"/>
    </row>
    <row r="298" customFormat="false" ht="15" hidden="false" customHeight="false" outlineLevel="0" collapsed="false">
      <c r="A298" s="8" t="s">
        <v>341</v>
      </c>
      <c r="B298" s="8" t="s">
        <v>15</v>
      </c>
      <c r="C298" s="8" t="s">
        <v>16</v>
      </c>
      <c r="D298" s="8" t="s">
        <v>615</v>
      </c>
      <c r="E298" s="8" t="s">
        <v>38</v>
      </c>
      <c r="F298" s="8" t="s">
        <v>45</v>
      </c>
      <c r="G298" s="8" t="s">
        <v>32</v>
      </c>
      <c r="H298" s="8" t="s">
        <v>32</v>
      </c>
      <c r="I298" s="8" t="n">
        <f aca="false">IF(EXACT(G298,H298),1,0)</f>
        <v>1</v>
      </c>
      <c r="J298" s="8" t="n">
        <v>2</v>
      </c>
      <c r="K298" s="8" t="s">
        <v>92</v>
      </c>
      <c r="L298" s="8" t="n">
        <v>0</v>
      </c>
      <c r="M298" s="8" t="n">
        <v>0</v>
      </c>
      <c r="N298" s="8"/>
      <c r="O298" s="8" t="n">
        <v>1</v>
      </c>
      <c r="P298" s="10" t="n">
        <v>2.58</v>
      </c>
      <c r="Q298" s="8" t="n">
        <v>1291</v>
      </c>
      <c r="R298" s="8" t="n">
        <v>80</v>
      </c>
      <c r="S298" s="8" t="s">
        <v>125</v>
      </c>
      <c r="T298" s="8" t="s">
        <v>342</v>
      </c>
      <c r="U298" s="8" t="s">
        <v>343</v>
      </c>
      <c r="V298" s="8"/>
      <c r="W298" s="8" t="s">
        <v>344</v>
      </c>
      <c r="X298" s="8" t="s">
        <v>461</v>
      </c>
      <c r="Y298" s="8" t="s">
        <v>1015</v>
      </c>
      <c r="Z298" s="8"/>
    </row>
    <row r="299" customFormat="false" ht="15" hidden="false" customHeight="false" outlineLevel="0" collapsed="false">
      <c r="A299" s="8" t="s">
        <v>346</v>
      </c>
      <c r="B299" s="8" t="s">
        <v>15</v>
      </c>
      <c r="C299" s="8" t="s">
        <v>16</v>
      </c>
      <c r="D299" s="8" t="s">
        <v>615</v>
      </c>
      <c r="E299" s="8" t="s">
        <v>38</v>
      </c>
      <c r="F299" s="8" t="s">
        <v>45</v>
      </c>
      <c r="G299" s="8" t="s">
        <v>31</v>
      </c>
      <c r="H299" s="8" t="s">
        <v>31</v>
      </c>
      <c r="I299" s="8" t="n">
        <f aca="false">IF(EXACT(G299,H299),1,0)</f>
        <v>1</v>
      </c>
      <c r="J299" s="8" t="n">
        <v>0</v>
      </c>
      <c r="K299" s="8" t="s">
        <v>116</v>
      </c>
      <c r="L299" s="8" t="n">
        <v>3</v>
      </c>
      <c r="M299" s="8" t="n">
        <v>0</v>
      </c>
      <c r="N299" s="8"/>
      <c r="O299" s="8" t="n">
        <v>1</v>
      </c>
      <c r="P299" s="10" t="n">
        <v>15.19</v>
      </c>
      <c r="Q299" s="8" t="n">
        <v>1272</v>
      </c>
      <c r="R299" s="8" t="n">
        <v>647</v>
      </c>
      <c r="S299" s="8" t="s">
        <v>347</v>
      </c>
      <c r="T299" s="8" t="s">
        <v>331</v>
      </c>
      <c r="U299" s="8" t="s">
        <v>332</v>
      </c>
      <c r="V299" s="8"/>
      <c r="W299" s="8" t="s">
        <v>348</v>
      </c>
      <c r="X299" s="8" t="s">
        <v>462</v>
      </c>
      <c r="Y299" s="8" t="s">
        <v>1016</v>
      </c>
      <c r="Z299" s="8" t="s">
        <v>1017</v>
      </c>
    </row>
    <row r="300" customFormat="false" ht="15" hidden="false" customHeight="false" outlineLevel="0" collapsed="false">
      <c r="A300" s="8" t="s">
        <v>346</v>
      </c>
      <c r="B300" s="8" t="s">
        <v>15</v>
      </c>
      <c r="C300" s="8" t="s">
        <v>16</v>
      </c>
      <c r="D300" s="8" t="s">
        <v>615</v>
      </c>
      <c r="E300" s="8" t="s">
        <v>38</v>
      </c>
      <c r="F300" s="8" t="s">
        <v>45</v>
      </c>
      <c r="G300" s="8" t="s">
        <v>31</v>
      </c>
      <c r="H300" s="8" t="s">
        <v>31</v>
      </c>
      <c r="I300" s="8" t="n">
        <f aca="false">IF(EXACT(G300,H300),1,0)</f>
        <v>1</v>
      </c>
      <c r="J300" s="8" t="n">
        <v>1</v>
      </c>
      <c r="K300" s="8" t="s">
        <v>116</v>
      </c>
      <c r="L300" s="8" t="n">
        <v>3</v>
      </c>
      <c r="M300" s="8" t="n">
        <v>0</v>
      </c>
      <c r="N300" s="8"/>
      <c r="O300" s="8" t="n">
        <v>1</v>
      </c>
      <c r="P300" s="10" t="n">
        <v>13.31</v>
      </c>
      <c r="Q300" s="8" t="n">
        <v>1272</v>
      </c>
      <c r="R300" s="8" t="n">
        <v>616</v>
      </c>
      <c r="S300" s="8" t="s">
        <v>347</v>
      </c>
      <c r="T300" s="8" t="s">
        <v>331</v>
      </c>
      <c r="U300" s="8" t="s">
        <v>332</v>
      </c>
      <c r="V300" s="8"/>
      <c r="W300" s="8" t="s">
        <v>348</v>
      </c>
      <c r="X300" s="8" t="s">
        <v>462</v>
      </c>
      <c r="Y300" s="8" t="s">
        <v>1018</v>
      </c>
      <c r="Z300" s="8" t="s">
        <v>1019</v>
      </c>
    </row>
    <row r="301" customFormat="false" ht="15" hidden="false" customHeight="false" outlineLevel="0" collapsed="false">
      <c r="A301" s="8" t="s">
        <v>346</v>
      </c>
      <c r="B301" s="8" t="s">
        <v>15</v>
      </c>
      <c r="C301" s="8" t="s">
        <v>16</v>
      </c>
      <c r="D301" s="8" t="s">
        <v>615</v>
      </c>
      <c r="E301" s="8" t="s">
        <v>38</v>
      </c>
      <c r="F301" s="8" t="s">
        <v>45</v>
      </c>
      <c r="G301" s="8" t="s">
        <v>31</v>
      </c>
      <c r="H301" s="8" t="s">
        <v>31</v>
      </c>
      <c r="I301" s="8" t="n">
        <f aca="false">IF(EXACT(G301,H301),1,0)</f>
        <v>1</v>
      </c>
      <c r="J301" s="8" t="n">
        <v>2</v>
      </c>
      <c r="K301" s="8" t="s">
        <v>116</v>
      </c>
      <c r="L301" s="8" t="n">
        <v>4</v>
      </c>
      <c r="M301" s="8" t="n">
        <v>0</v>
      </c>
      <c r="N301" s="8"/>
      <c r="O301" s="8" t="n">
        <v>1</v>
      </c>
      <c r="P301" s="10" t="n">
        <v>16.69</v>
      </c>
      <c r="Q301" s="8" t="n">
        <v>1272</v>
      </c>
      <c r="R301" s="8" t="n">
        <v>770</v>
      </c>
      <c r="S301" s="8" t="s">
        <v>347</v>
      </c>
      <c r="T301" s="8" t="s">
        <v>331</v>
      </c>
      <c r="U301" s="8" t="s">
        <v>332</v>
      </c>
      <c r="V301" s="8"/>
      <c r="W301" s="8" t="s">
        <v>348</v>
      </c>
      <c r="X301" s="8" t="s">
        <v>462</v>
      </c>
      <c r="Y301" s="8" t="s">
        <v>1020</v>
      </c>
      <c r="Z301" s="8" t="s">
        <v>1021</v>
      </c>
    </row>
    <row r="302" customFormat="false" ht="15" hidden="false" customHeight="false" outlineLevel="0" collapsed="false">
      <c r="A302" s="8" t="s">
        <v>351</v>
      </c>
      <c r="B302" s="8" t="s">
        <v>15</v>
      </c>
      <c r="C302" s="8" t="s">
        <v>16</v>
      </c>
      <c r="D302" s="8" t="s">
        <v>615</v>
      </c>
      <c r="E302" s="8" t="s">
        <v>38</v>
      </c>
      <c r="F302" s="8" t="s">
        <v>45</v>
      </c>
      <c r="G302" s="8" t="s">
        <v>30</v>
      </c>
      <c r="H302" s="8" t="s">
        <v>30</v>
      </c>
      <c r="I302" s="8" t="n">
        <f aca="false">IF(EXACT(G302,H302),1,0)</f>
        <v>1</v>
      </c>
      <c r="J302" s="8" t="n">
        <v>0</v>
      </c>
      <c r="K302" s="8" t="s">
        <v>92</v>
      </c>
      <c r="L302" s="8" t="n">
        <v>0</v>
      </c>
      <c r="M302" s="8" t="n">
        <v>0</v>
      </c>
      <c r="N302" s="8"/>
      <c r="O302" s="8" t="n">
        <v>1</v>
      </c>
      <c r="P302" s="10" t="n">
        <v>8.12</v>
      </c>
      <c r="Q302" s="8" t="n">
        <v>1334</v>
      </c>
      <c r="R302" s="8" t="n">
        <v>87</v>
      </c>
      <c r="S302" s="8" t="s">
        <v>110</v>
      </c>
      <c r="T302" s="8" t="s">
        <v>337</v>
      </c>
      <c r="U302" s="8" t="s">
        <v>338</v>
      </c>
      <c r="V302" s="8"/>
      <c r="W302" s="8" t="s">
        <v>352</v>
      </c>
      <c r="X302" s="8" t="s">
        <v>463</v>
      </c>
      <c r="Y302" s="8" t="s">
        <v>1022</v>
      </c>
      <c r="Z302" s="8"/>
    </row>
    <row r="303" customFormat="false" ht="15" hidden="false" customHeight="false" outlineLevel="0" collapsed="false">
      <c r="A303" s="8" t="s">
        <v>351</v>
      </c>
      <c r="B303" s="8" t="s">
        <v>15</v>
      </c>
      <c r="C303" s="8" t="s">
        <v>16</v>
      </c>
      <c r="D303" s="8" t="s">
        <v>615</v>
      </c>
      <c r="E303" s="8" t="s">
        <v>38</v>
      </c>
      <c r="F303" s="8" t="s">
        <v>45</v>
      </c>
      <c r="G303" s="8" t="s">
        <v>30</v>
      </c>
      <c r="H303" s="8" t="s">
        <v>30</v>
      </c>
      <c r="I303" s="8" t="n">
        <f aca="false">IF(EXACT(G303,H303),1,0)</f>
        <v>1</v>
      </c>
      <c r="J303" s="8" t="n">
        <v>1</v>
      </c>
      <c r="K303" s="8" t="s">
        <v>92</v>
      </c>
      <c r="L303" s="8" t="n">
        <v>0</v>
      </c>
      <c r="M303" s="8" t="n">
        <v>0</v>
      </c>
      <c r="N303" s="8"/>
      <c r="O303" s="8" t="n">
        <v>1</v>
      </c>
      <c r="P303" s="10" t="n">
        <v>3.26</v>
      </c>
      <c r="Q303" s="8" t="n">
        <v>1334</v>
      </c>
      <c r="R303" s="8" t="n">
        <v>84</v>
      </c>
      <c r="S303" s="8" t="s">
        <v>110</v>
      </c>
      <c r="T303" s="8" t="s">
        <v>337</v>
      </c>
      <c r="U303" s="8" t="s">
        <v>338</v>
      </c>
      <c r="V303" s="8"/>
      <c r="W303" s="8" t="s">
        <v>352</v>
      </c>
      <c r="X303" s="8" t="s">
        <v>463</v>
      </c>
      <c r="Y303" s="8" t="s">
        <v>1023</v>
      </c>
      <c r="Z303" s="8"/>
    </row>
    <row r="304" customFormat="false" ht="15" hidden="false" customHeight="false" outlineLevel="0" collapsed="false">
      <c r="A304" s="8" t="s">
        <v>351</v>
      </c>
      <c r="B304" s="8" t="s">
        <v>15</v>
      </c>
      <c r="C304" s="8" t="s">
        <v>16</v>
      </c>
      <c r="D304" s="8" t="s">
        <v>615</v>
      </c>
      <c r="E304" s="8" t="s">
        <v>38</v>
      </c>
      <c r="F304" s="8" t="s">
        <v>45</v>
      </c>
      <c r="G304" s="8" t="s">
        <v>30</v>
      </c>
      <c r="H304" s="8" t="s">
        <v>32</v>
      </c>
      <c r="I304" s="8" t="n">
        <f aca="false">IF(EXACT(G304,H304),1,0)</f>
        <v>0</v>
      </c>
      <c r="J304" s="8" t="n">
        <v>2</v>
      </c>
      <c r="K304" s="8" t="s">
        <v>92</v>
      </c>
      <c r="L304" s="8" t="n">
        <v>0</v>
      </c>
      <c r="M304" s="8" t="n">
        <v>0</v>
      </c>
      <c r="N304" s="8"/>
      <c r="O304" s="8" t="n">
        <v>1</v>
      </c>
      <c r="P304" s="10" t="n">
        <v>3.48</v>
      </c>
      <c r="Q304" s="8" t="n">
        <v>1334</v>
      </c>
      <c r="R304" s="8" t="n">
        <v>86</v>
      </c>
      <c r="S304" s="8" t="s">
        <v>110</v>
      </c>
      <c r="T304" s="8" t="s">
        <v>337</v>
      </c>
      <c r="U304" s="8" t="s">
        <v>338</v>
      </c>
      <c r="V304" s="8"/>
      <c r="W304" s="8" t="s">
        <v>352</v>
      </c>
      <c r="X304" s="8" t="s">
        <v>463</v>
      </c>
      <c r="Y304" s="8" t="s">
        <v>1024</v>
      </c>
      <c r="Z304" s="8"/>
    </row>
    <row r="305" customFormat="false" ht="15" hidden="false" customHeight="false" outlineLevel="0" collapsed="false">
      <c r="A305" s="8" t="s">
        <v>354</v>
      </c>
      <c r="B305" s="8" t="s">
        <v>15</v>
      </c>
      <c r="C305" s="8" t="s">
        <v>16</v>
      </c>
      <c r="D305" s="8" t="s">
        <v>615</v>
      </c>
      <c r="E305" s="8" t="s">
        <v>38</v>
      </c>
      <c r="F305" s="8" t="s">
        <v>45</v>
      </c>
      <c r="G305" s="8" t="s">
        <v>30</v>
      </c>
      <c r="H305" s="8" t="s">
        <v>30</v>
      </c>
      <c r="I305" s="8" t="n">
        <f aca="false">IF(EXACT(G305,H305),1,0)</f>
        <v>1</v>
      </c>
      <c r="J305" s="8" t="n">
        <v>0</v>
      </c>
      <c r="K305" s="8" t="s">
        <v>92</v>
      </c>
      <c r="L305" s="8" t="n">
        <v>0</v>
      </c>
      <c r="M305" s="8" t="n">
        <v>0</v>
      </c>
      <c r="N305" s="8"/>
      <c r="O305" s="8" t="n">
        <v>1</v>
      </c>
      <c r="P305" s="10" t="n">
        <v>3.2</v>
      </c>
      <c r="Q305" s="8" t="n">
        <v>1325</v>
      </c>
      <c r="R305" s="8" t="n">
        <v>80</v>
      </c>
      <c r="S305" s="8" t="s">
        <v>216</v>
      </c>
      <c r="T305" s="8" t="s">
        <v>355</v>
      </c>
      <c r="U305" s="8" t="s">
        <v>356</v>
      </c>
      <c r="V305" s="8"/>
      <c r="W305" s="8" t="s">
        <v>357</v>
      </c>
      <c r="X305" s="8" t="s">
        <v>464</v>
      </c>
      <c r="Y305" s="8" t="s">
        <v>1025</v>
      </c>
      <c r="Z305" s="8"/>
    </row>
    <row r="306" customFormat="false" ht="15" hidden="false" customHeight="false" outlineLevel="0" collapsed="false">
      <c r="A306" s="8" t="s">
        <v>354</v>
      </c>
      <c r="B306" s="8" t="s">
        <v>15</v>
      </c>
      <c r="C306" s="8" t="s">
        <v>16</v>
      </c>
      <c r="D306" s="8" t="s">
        <v>615</v>
      </c>
      <c r="E306" s="8" t="s">
        <v>38</v>
      </c>
      <c r="F306" s="8" t="s">
        <v>45</v>
      </c>
      <c r="G306" s="8" t="s">
        <v>30</v>
      </c>
      <c r="H306" s="8" t="s">
        <v>30</v>
      </c>
      <c r="I306" s="8" t="n">
        <f aca="false">IF(EXACT(G306,H306),1,0)</f>
        <v>1</v>
      </c>
      <c r="J306" s="8" t="n">
        <v>1</v>
      </c>
      <c r="K306" s="8" t="s">
        <v>92</v>
      </c>
      <c r="L306" s="8" t="n">
        <v>0</v>
      </c>
      <c r="M306" s="8" t="n">
        <v>0</v>
      </c>
      <c r="N306" s="8"/>
      <c r="O306" s="8" t="n">
        <v>1</v>
      </c>
      <c r="P306" s="10" t="n">
        <v>2.79</v>
      </c>
      <c r="Q306" s="8" t="n">
        <v>1325</v>
      </c>
      <c r="R306" s="8" t="n">
        <v>80</v>
      </c>
      <c r="S306" s="8" t="s">
        <v>216</v>
      </c>
      <c r="T306" s="8" t="s">
        <v>355</v>
      </c>
      <c r="U306" s="8" t="s">
        <v>356</v>
      </c>
      <c r="V306" s="8"/>
      <c r="W306" s="8" t="s">
        <v>357</v>
      </c>
      <c r="X306" s="8" t="s">
        <v>464</v>
      </c>
      <c r="Y306" s="8" t="s">
        <v>1025</v>
      </c>
      <c r="Z306" s="8"/>
    </row>
    <row r="307" customFormat="false" ht="15" hidden="false" customHeight="false" outlineLevel="0" collapsed="false">
      <c r="A307" s="8" t="s">
        <v>354</v>
      </c>
      <c r="B307" s="8" t="s">
        <v>15</v>
      </c>
      <c r="C307" s="8" t="s">
        <v>16</v>
      </c>
      <c r="D307" s="8" t="s">
        <v>615</v>
      </c>
      <c r="E307" s="8" t="s">
        <v>38</v>
      </c>
      <c r="F307" s="8" t="s">
        <v>45</v>
      </c>
      <c r="G307" s="8" t="s">
        <v>30</v>
      </c>
      <c r="H307" s="8" t="s">
        <v>32</v>
      </c>
      <c r="I307" s="8" t="n">
        <f aca="false">IF(EXACT(G307,H307),1,0)</f>
        <v>0</v>
      </c>
      <c r="J307" s="8" t="n">
        <v>2</v>
      </c>
      <c r="K307" s="8" t="s">
        <v>92</v>
      </c>
      <c r="L307" s="8" t="n">
        <v>0</v>
      </c>
      <c r="M307" s="8" t="n">
        <v>0</v>
      </c>
      <c r="N307" s="8"/>
      <c r="O307" s="8" t="n">
        <v>1</v>
      </c>
      <c r="P307" s="10" t="n">
        <v>2.61</v>
      </c>
      <c r="Q307" s="8" t="n">
        <v>1325</v>
      </c>
      <c r="R307" s="8" t="n">
        <v>74</v>
      </c>
      <c r="S307" s="8" t="s">
        <v>216</v>
      </c>
      <c r="T307" s="8" t="s">
        <v>355</v>
      </c>
      <c r="U307" s="8" t="s">
        <v>356</v>
      </c>
      <c r="V307" s="8"/>
      <c r="W307" s="8" t="s">
        <v>357</v>
      </c>
      <c r="X307" s="8" t="s">
        <v>464</v>
      </c>
      <c r="Y307" s="8" t="s">
        <v>1026</v>
      </c>
      <c r="Z307" s="8"/>
    </row>
    <row r="308" customFormat="false" ht="15" hidden="false" customHeight="false" outlineLevel="0" collapsed="false">
      <c r="A308" s="8" t="s">
        <v>90</v>
      </c>
      <c r="B308" s="8" t="s">
        <v>15</v>
      </c>
      <c r="C308" s="8" t="s">
        <v>16</v>
      </c>
      <c r="D308" s="8" t="s">
        <v>615</v>
      </c>
      <c r="E308" s="8" t="s">
        <v>38</v>
      </c>
      <c r="F308" s="8" t="s">
        <v>49</v>
      </c>
      <c r="G308" s="8" t="s">
        <v>32</v>
      </c>
      <c r="H308" s="8" t="s">
        <v>32</v>
      </c>
      <c r="I308" s="8" t="n">
        <f aca="false">IF(EXACT(G308,H308),1,0)</f>
        <v>1</v>
      </c>
      <c r="J308" s="8" t="n">
        <v>0</v>
      </c>
      <c r="K308" s="8" t="s">
        <v>92</v>
      </c>
      <c r="L308" s="8" t="n">
        <v>0</v>
      </c>
      <c r="M308" s="8" t="n">
        <v>0</v>
      </c>
      <c r="N308" s="8"/>
      <c r="O308" s="8" t="n">
        <v>1</v>
      </c>
      <c r="P308" s="10" t="n">
        <v>5.65</v>
      </c>
      <c r="Q308" s="8" t="n">
        <v>1265</v>
      </c>
      <c r="R308" s="8" t="n">
        <v>81</v>
      </c>
      <c r="S308" s="8" t="s">
        <v>94</v>
      </c>
      <c r="T308" s="8" t="s">
        <v>95</v>
      </c>
      <c r="U308" s="8" t="s">
        <v>96</v>
      </c>
      <c r="V308" s="8"/>
      <c r="W308" s="8" t="s">
        <v>97</v>
      </c>
      <c r="X308" s="8" t="s">
        <v>465</v>
      </c>
      <c r="Y308" s="8" t="s">
        <v>1027</v>
      </c>
      <c r="Z308" s="8"/>
    </row>
    <row r="309" customFormat="false" ht="15" hidden="false" customHeight="false" outlineLevel="0" collapsed="false">
      <c r="A309" s="8" t="s">
        <v>90</v>
      </c>
      <c r="B309" s="8" t="s">
        <v>15</v>
      </c>
      <c r="C309" s="8" t="s">
        <v>16</v>
      </c>
      <c r="D309" s="8" t="s">
        <v>615</v>
      </c>
      <c r="E309" s="8" t="s">
        <v>38</v>
      </c>
      <c r="F309" s="8" t="s">
        <v>49</v>
      </c>
      <c r="G309" s="8" t="s">
        <v>32</v>
      </c>
      <c r="H309" s="8" t="s">
        <v>32</v>
      </c>
      <c r="I309" s="8" t="n">
        <f aca="false">IF(EXACT(G309,H309),1,0)</f>
        <v>1</v>
      </c>
      <c r="J309" s="8" t="n">
        <v>1</v>
      </c>
      <c r="K309" s="8" t="s">
        <v>92</v>
      </c>
      <c r="L309" s="8" t="n">
        <v>0</v>
      </c>
      <c r="M309" s="8" t="n">
        <v>0</v>
      </c>
      <c r="N309" s="8"/>
      <c r="O309" s="8" t="n">
        <v>1</v>
      </c>
      <c r="P309" s="10" t="n">
        <v>2.82</v>
      </c>
      <c r="Q309" s="8" t="n">
        <v>1265</v>
      </c>
      <c r="R309" s="8" t="n">
        <v>92</v>
      </c>
      <c r="S309" s="8" t="s">
        <v>94</v>
      </c>
      <c r="T309" s="8" t="s">
        <v>95</v>
      </c>
      <c r="U309" s="8" t="s">
        <v>96</v>
      </c>
      <c r="V309" s="8"/>
      <c r="W309" s="8" t="s">
        <v>97</v>
      </c>
      <c r="X309" s="8" t="s">
        <v>465</v>
      </c>
      <c r="Y309" s="8" t="s">
        <v>1028</v>
      </c>
      <c r="Z309" s="8"/>
    </row>
    <row r="310" customFormat="false" ht="15" hidden="false" customHeight="false" outlineLevel="0" collapsed="false">
      <c r="A310" s="8" t="s">
        <v>90</v>
      </c>
      <c r="B310" s="8" t="s">
        <v>15</v>
      </c>
      <c r="C310" s="8" t="s">
        <v>16</v>
      </c>
      <c r="D310" s="8" t="s">
        <v>615</v>
      </c>
      <c r="E310" s="8" t="s">
        <v>38</v>
      </c>
      <c r="F310" s="8" t="s">
        <v>49</v>
      </c>
      <c r="G310" s="8" t="s">
        <v>32</v>
      </c>
      <c r="H310" s="8" t="s">
        <v>32</v>
      </c>
      <c r="I310" s="8" t="n">
        <f aca="false">IF(EXACT(G310,H310),1,0)</f>
        <v>1</v>
      </c>
      <c r="J310" s="8" t="n">
        <v>2</v>
      </c>
      <c r="K310" s="8" t="s">
        <v>92</v>
      </c>
      <c r="L310" s="8" t="n">
        <v>0</v>
      </c>
      <c r="M310" s="8" t="n">
        <v>0</v>
      </c>
      <c r="N310" s="8"/>
      <c r="O310" s="8" t="n">
        <v>1</v>
      </c>
      <c r="P310" s="10" t="n">
        <v>3.19</v>
      </c>
      <c r="Q310" s="8" t="n">
        <v>1265</v>
      </c>
      <c r="R310" s="8" t="n">
        <v>93</v>
      </c>
      <c r="S310" s="8" t="s">
        <v>94</v>
      </c>
      <c r="T310" s="8" t="s">
        <v>95</v>
      </c>
      <c r="U310" s="8" t="s">
        <v>96</v>
      </c>
      <c r="V310" s="8"/>
      <c r="W310" s="8" t="s">
        <v>97</v>
      </c>
      <c r="X310" s="8" t="s">
        <v>465</v>
      </c>
      <c r="Y310" s="8" t="s">
        <v>1029</v>
      </c>
      <c r="Z310" s="8"/>
    </row>
    <row r="311" customFormat="false" ht="15" hidden="false" customHeight="false" outlineLevel="0" collapsed="false">
      <c r="A311" s="8" t="s">
        <v>100</v>
      </c>
      <c r="B311" s="8" t="s">
        <v>15</v>
      </c>
      <c r="C311" s="8" t="s">
        <v>16</v>
      </c>
      <c r="D311" s="8" t="s">
        <v>615</v>
      </c>
      <c r="E311" s="8" t="s">
        <v>38</v>
      </c>
      <c r="F311" s="8" t="s">
        <v>49</v>
      </c>
      <c r="G311" s="8" t="s">
        <v>32</v>
      </c>
      <c r="H311" s="8" t="s">
        <v>32</v>
      </c>
      <c r="I311" s="8" t="n">
        <f aca="false">IF(EXACT(G311,H311),1,0)</f>
        <v>1</v>
      </c>
      <c r="J311" s="8" t="n">
        <v>0</v>
      </c>
      <c r="K311" s="8" t="s">
        <v>92</v>
      </c>
      <c r="L311" s="8" t="n">
        <v>0</v>
      </c>
      <c r="M311" s="8" t="n">
        <v>0</v>
      </c>
      <c r="N311" s="8"/>
      <c r="O311" s="8" t="n">
        <v>1</v>
      </c>
      <c r="P311" s="10" t="n">
        <v>3.98</v>
      </c>
      <c r="Q311" s="8" t="n">
        <v>1266</v>
      </c>
      <c r="R311" s="8" t="n">
        <v>94</v>
      </c>
      <c r="S311" s="8" t="s">
        <v>101</v>
      </c>
      <c r="T311" s="8" t="s">
        <v>95</v>
      </c>
      <c r="U311" s="8" t="s">
        <v>96</v>
      </c>
      <c r="V311" s="8"/>
      <c r="W311" s="8" t="s">
        <v>102</v>
      </c>
      <c r="X311" s="8" t="s">
        <v>466</v>
      </c>
      <c r="Y311" s="8" t="s">
        <v>1030</v>
      </c>
      <c r="Z311" s="8"/>
    </row>
    <row r="312" customFormat="false" ht="15" hidden="false" customHeight="false" outlineLevel="0" collapsed="false">
      <c r="A312" s="8" t="s">
        <v>100</v>
      </c>
      <c r="B312" s="8" t="s">
        <v>15</v>
      </c>
      <c r="C312" s="8" t="s">
        <v>16</v>
      </c>
      <c r="D312" s="8" t="s">
        <v>615</v>
      </c>
      <c r="E312" s="8" t="s">
        <v>38</v>
      </c>
      <c r="F312" s="8" t="s">
        <v>49</v>
      </c>
      <c r="G312" s="8" t="s">
        <v>32</v>
      </c>
      <c r="H312" s="8" t="s">
        <v>32</v>
      </c>
      <c r="I312" s="8" t="n">
        <f aca="false">IF(EXACT(G312,H312),1,0)</f>
        <v>1</v>
      </c>
      <c r="J312" s="8" t="n">
        <v>1</v>
      </c>
      <c r="K312" s="8" t="s">
        <v>92</v>
      </c>
      <c r="L312" s="8" t="n">
        <v>0</v>
      </c>
      <c r="M312" s="8" t="n">
        <v>0</v>
      </c>
      <c r="N312" s="8"/>
      <c r="O312" s="8" t="n">
        <v>1</v>
      </c>
      <c r="P312" s="10" t="n">
        <v>3.28</v>
      </c>
      <c r="Q312" s="8" t="n">
        <v>1266</v>
      </c>
      <c r="R312" s="8" t="n">
        <v>94</v>
      </c>
      <c r="S312" s="8" t="s">
        <v>101</v>
      </c>
      <c r="T312" s="8" t="s">
        <v>95</v>
      </c>
      <c r="U312" s="8" t="s">
        <v>96</v>
      </c>
      <c r="V312" s="8"/>
      <c r="W312" s="8" t="s">
        <v>102</v>
      </c>
      <c r="X312" s="8" t="s">
        <v>466</v>
      </c>
      <c r="Y312" s="8" t="s">
        <v>1030</v>
      </c>
      <c r="Z312" s="8"/>
    </row>
    <row r="313" customFormat="false" ht="15" hidden="false" customHeight="false" outlineLevel="0" collapsed="false">
      <c r="A313" s="8" t="s">
        <v>100</v>
      </c>
      <c r="B313" s="8" t="s">
        <v>15</v>
      </c>
      <c r="C313" s="8" t="s">
        <v>16</v>
      </c>
      <c r="D313" s="8" t="s">
        <v>615</v>
      </c>
      <c r="E313" s="8" t="s">
        <v>38</v>
      </c>
      <c r="F313" s="8" t="s">
        <v>49</v>
      </c>
      <c r="G313" s="8" t="s">
        <v>32</v>
      </c>
      <c r="H313" s="8" t="s">
        <v>32</v>
      </c>
      <c r="I313" s="8" t="n">
        <f aca="false">IF(EXACT(G313,H313),1,0)</f>
        <v>1</v>
      </c>
      <c r="J313" s="8" t="n">
        <v>2</v>
      </c>
      <c r="K313" s="8" t="s">
        <v>92</v>
      </c>
      <c r="L313" s="8" t="n">
        <v>0</v>
      </c>
      <c r="M313" s="8" t="n">
        <v>0</v>
      </c>
      <c r="N313" s="8"/>
      <c r="O313" s="8" t="n">
        <v>1</v>
      </c>
      <c r="P313" s="10" t="n">
        <v>3.69</v>
      </c>
      <c r="Q313" s="8" t="n">
        <v>1266</v>
      </c>
      <c r="R313" s="8" t="n">
        <v>94</v>
      </c>
      <c r="S313" s="8" t="s">
        <v>101</v>
      </c>
      <c r="T313" s="8" t="s">
        <v>95</v>
      </c>
      <c r="U313" s="8" t="s">
        <v>96</v>
      </c>
      <c r="V313" s="8"/>
      <c r="W313" s="8" t="s">
        <v>102</v>
      </c>
      <c r="X313" s="8" t="s">
        <v>466</v>
      </c>
      <c r="Y313" s="8" t="s">
        <v>1031</v>
      </c>
      <c r="Z313" s="8"/>
    </row>
    <row r="314" customFormat="false" ht="15" hidden="false" customHeight="false" outlineLevel="0" collapsed="false">
      <c r="A314" s="8" t="s">
        <v>104</v>
      </c>
      <c r="B314" s="8" t="s">
        <v>15</v>
      </c>
      <c r="C314" s="8" t="s">
        <v>16</v>
      </c>
      <c r="D314" s="8" t="s">
        <v>615</v>
      </c>
      <c r="E314" s="8" t="s">
        <v>38</v>
      </c>
      <c r="F314" s="8" t="s">
        <v>49</v>
      </c>
      <c r="G314" s="8" t="s">
        <v>30</v>
      </c>
      <c r="H314" s="8" t="s">
        <v>30</v>
      </c>
      <c r="I314" s="8" t="n">
        <f aca="false">IF(EXACT(G314,H314),1,0)</f>
        <v>1</v>
      </c>
      <c r="J314" s="8" t="n">
        <v>0</v>
      </c>
      <c r="K314" s="8" t="s">
        <v>92</v>
      </c>
      <c r="L314" s="8" t="n">
        <v>0</v>
      </c>
      <c r="M314" s="8" t="n">
        <v>0</v>
      </c>
      <c r="N314" s="8"/>
      <c r="O314" s="8" t="n">
        <v>1</v>
      </c>
      <c r="P314" s="10" t="n">
        <v>4.25</v>
      </c>
      <c r="Q314" s="8" t="n">
        <v>1255</v>
      </c>
      <c r="R314" s="8" t="n">
        <v>105</v>
      </c>
      <c r="S314" s="8" t="s">
        <v>105</v>
      </c>
      <c r="T314" s="8" t="s">
        <v>95</v>
      </c>
      <c r="U314" s="8" t="s">
        <v>96</v>
      </c>
      <c r="V314" s="8"/>
      <c r="W314" s="8" t="s">
        <v>106</v>
      </c>
      <c r="X314" s="8" t="s">
        <v>467</v>
      </c>
      <c r="Y314" s="8" t="s">
        <v>1032</v>
      </c>
      <c r="Z314" s="8"/>
    </row>
    <row r="315" customFormat="false" ht="15" hidden="false" customHeight="false" outlineLevel="0" collapsed="false">
      <c r="A315" s="8" t="s">
        <v>104</v>
      </c>
      <c r="B315" s="8" t="s">
        <v>15</v>
      </c>
      <c r="C315" s="8" t="s">
        <v>16</v>
      </c>
      <c r="D315" s="8" t="s">
        <v>615</v>
      </c>
      <c r="E315" s="8" t="s">
        <v>38</v>
      </c>
      <c r="F315" s="8" t="s">
        <v>49</v>
      </c>
      <c r="G315" s="8" t="s">
        <v>30</v>
      </c>
      <c r="H315" s="8" t="s">
        <v>30</v>
      </c>
      <c r="I315" s="8" t="n">
        <f aca="false">IF(EXACT(G315,H315),1,0)</f>
        <v>1</v>
      </c>
      <c r="J315" s="8" t="n">
        <v>1</v>
      </c>
      <c r="K315" s="8" t="s">
        <v>92</v>
      </c>
      <c r="L315" s="8" t="n">
        <v>0</v>
      </c>
      <c r="M315" s="8" t="n">
        <v>0</v>
      </c>
      <c r="N315" s="8"/>
      <c r="O315" s="8" t="n">
        <v>1</v>
      </c>
      <c r="P315" s="10" t="n">
        <v>5.02</v>
      </c>
      <c r="Q315" s="8" t="n">
        <v>1255</v>
      </c>
      <c r="R315" s="8" t="n">
        <v>146</v>
      </c>
      <c r="S315" s="8" t="s">
        <v>105</v>
      </c>
      <c r="T315" s="8" t="s">
        <v>95</v>
      </c>
      <c r="U315" s="8" t="s">
        <v>96</v>
      </c>
      <c r="V315" s="8"/>
      <c r="W315" s="8" t="s">
        <v>106</v>
      </c>
      <c r="X315" s="8" t="s">
        <v>467</v>
      </c>
      <c r="Y315" s="8" t="s">
        <v>1033</v>
      </c>
      <c r="Z315" s="8"/>
    </row>
    <row r="316" customFormat="false" ht="15" hidden="false" customHeight="false" outlineLevel="0" collapsed="false">
      <c r="A316" s="8" t="s">
        <v>104</v>
      </c>
      <c r="B316" s="8" t="s">
        <v>15</v>
      </c>
      <c r="C316" s="8" t="s">
        <v>16</v>
      </c>
      <c r="D316" s="8" t="s">
        <v>615</v>
      </c>
      <c r="E316" s="8" t="s">
        <v>38</v>
      </c>
      <c r="F316" s="8" t="s">
        <v>49</v>
      </c>
      <c r="G316" s="8" t="s">
        <v>30</v>
      </c>
      <c r="H316" s="8" t="s">
        <v>30</v>
      </c>
      <c r="I316" s="8" t="n">
        <f aca="false">IF(EXACT(G316,H316),1,0)</f>
        <v>1</v>
      </c>
      <c r="J316" s="8" t="n">
        <v>2</v>
      </c>
      <c r="K316" s="8" t="s">
        <v>92</v>
      </c>
      <c r="L316" s="8" t="n">
        <v>0</v>
      </c>
      <c r="M316" s="8" t="n">
        <v>0</v>
      </c>
      <c r="N316" s="8"/>
      <c r="O316" s="8" t="n">
        <v>1</v>
      </c>
      <c r="P316" s="10" t="n">
        <v>4.71</v>
      </c>
      <c r="Q316" s="8" t="n">
        <v>1255</v>
      </c>
      <c r="R316" s="8" t="n">
        <v>140</v>
      </c>
      <c r="S316" s="8" t="s">
        <v>105</v>
      </c>
      <c r="T316" s="8" t="s">
        <v>95</v>
      </c>
      <c r="U316" s="8" t="s">
        <v>96</v>
      </c>
      <c r="V316" s="8"/>
      <c r="W316" s="8" t="s">
        <v>106</v>
      </c>
      <c r="X316" s="8" t="s">
        <v>467</v>
      </c>
      <c r="Y316" s="8" t="s">
        <v>1034</v>
      </c>
      <c r="Z316" s="8"/>
    </row>
    <row r="317" customFormat="false" ht="15" hidden="false" customHeight="false" outlineLevel="0" collapsed="false">
      <c r="A317" s="8" t="s">
        <v>109</v>
      </c>
      <c r="B317" s="8" t="s">
        <v>15</v>
      </c>
      <c r="C317" s="8" t="s">
        <v>16</v>
      </c>
      <c r="D317" s="8" t="s">
        <v>615</v>
      </c>
      <c r="E317" s="8" t="s">
        <v>38</v>
      </c>
      <c r="F317" s="8" t="s">
        <v>49</v>
      </c>
      <c r="G317" s="8" t="s">
        <v>30</v>
      </c>
      <c r="H317" s="8" t="s">
        <v>30</v>
      </c>
      <c r="I317" s="8" t="n">
        <f aca="false">IF(EXACT(G317,H317),1,0)</f>
        <v>1</v>
      </c>
      <c r="J317" s="8" t="n">
        <v>0</v>
      </c>
      <c r="K317" s="8" t="s">
        <v>92</v>
      </c>
      <c r="L317" s="8" t="n">
        <v>0</v>
      </c>
      <c r="M317" s="8" t="n">
        <v>0</v>
      </c>
      <c r="N317" s="8"/>
      <c r="O317" s="8" t="n">
        <v>1</v>
      </c>
      <c r="P317" s="10" t="n">
        <v>4.11</v>
      </c>
      <c r="Q317" s="8" t="n">
        <v>1478</v>
      </c>
      <c r="R317" s="8" t="n">
        <v>87</v>
      </c>
      <c r="S317" s="8" t="s">
        <v>110</v>
      </c>
      <c r="T317" s="8" t="s">
        <v>111</v>
      </c>
      <c r="U317" s="8" t="s">
        <v>112</v>
      </c>
      <c r="V317" s="8"/>
      <c r="W317" s="8" t="s">
        <v>113</v>
      </c>
      <c r="X317" s="8" t="s">
        <v>469</v>
      </c>
      <c r="Y317" s="8" t="s">
        <v>1035</v>
      </c>
      <c r="Z317" s="8"/>
    </row>
    <row r="318" customFormat="false" ht="15" hidden="false" customHeight="false" outlineLevel="0" collapsed="false">
      <c r="A318" s="8" t="s">
        <v>109</v>
      </c>
      <c r="B318" s="8" t="s">
        <v>15</v>
      </c>
      <c r="C318" s="8" t="s">
        <v>16</v>
      </c>
      <c r="D318" s="8" t="s">
        <v>615</v>
      </c>
      <c r="E318" s="8" t="s">
        <v>38</v>
      </c>
      <c r="F318" s="8" t="s">
        <v>49</v>
      </c>
      <c r="G318" s="8" t="s">
        <v>30</v>
      </c>
      <c r="H318" s="8" t="s">
        <v>30</v>
      </c>
      <c r="I318" s="8" t="n">
        <f aca="false">IF(EXACT(G318,H318),1,0)</f>
        <v>1</v>
      </c>
      <c r="J318" s="8" t="n">
        <v>1</v>
      </c>
      <c r="K318" s="8" t="s">
        <v>92</v>
      </c>
      <c r="L318" s="8" t="n">
        <v>0</v>
      </c>
      <c r="M318" s="8" t="n">
        <v>0</v>
      </c>
      <c r="N318" s="8"/>
      <c r="O318" s="8" t="n">
        <v>1</v>
      </c>
      <c r="P318" s="10" t="n">
        <v>3.37</v>
      </c>
      <c r="Q318" s="8" t="n">
        <v>1478</v>
      </c>
      <c r="R318" s="8" t="n">
        <v>94</v>
      </c>
      <c r="S318" s="8" t="s">
        <v>110</v>
      </c>
      <c r="T318" s="8" t="s">
        <v>111</v>
      </c>
      <c r="U318" s="8" t="s">
        <v>112</v>
      </c>
      <c r="V318" s="8"/>
      <c r="W318" s="8" t="s">
        <v>113</v>
      </c>
      <c r="X318" s="8" t="s">
        <v>469</v>
      </c>
      <c r="Y318" s="8" t="s">
        <v>1036</v>
      </c>
      <c r="Z318" s="8"/>
    </row>
    <row r="319" customFormat="false" ht="15" hidden="false" customHeight="false" outlineLevel="0" collapsed="false">
      <c r="A319" s="8" t="s">
        <v>109</v>
      </c>
      <c r="B319" s="8" t="s">
        <v>15</v>
      </c>
      <c r="C319" s="8" t="s">
        <v>16</v>
      </c>
      <c r="D319" s="8" t="s">
        <v>615</v>
      </c>
      <c r="E319" s="8" t="s">
        <v>38</v>
      </c>
      <c r="F319" s="8" t="s">
        <v>49</v>
      </c>
      <c r="G319" s="8" t="s">
        <v>30</v>
      </c>
      <c r="H319" s="8" t="s">
        <v>30</v>
      </c>
      <c r="I319" s="8" t="n">
        <f aca="false">IF(EXACT(G319,H319),1,0)</f>
        <v>1</v>
      </c>
      <c r="J319" s="8" t="n">
        <v>2</v>
      </c>
      <c r="K319" s="8" t="s">
        <v>92</v>
      </c>
      <c r="L319" s="8" t="n">
        <v>0</v>
      </c>
      <c r="M319" s="8" t="n">
        <v>0</v>
      </c>
      <c r="N319" s="8"/>
      <c r="O319" s="8" t="n">
        <v>1</v>
      </c>
      <c r="P319" s="10" t="n">
        <v>4.09</v>
      </c>
      <c r="Q319" s="8" t="n">
        <v>1478</v>
      </c>
      <c r="R319" s="8" t="n">
        <v>94</v>
      </c>
      <c r="S319" s="8" t="s">
        <v>110</v>
      </c>
      <c r="T319" s="8" t="s">
        <v>111</v>
      </c>
      <c r="U319" s="8" t="s">
        <v>112</v>
      </c>
      <c r="V319" s="8"/>
      <c r="W319" s="8" t="s">
        <v>113</v>
      </c>
      <c r="X319" s="8" t="s">
        <v>469</v>
      </c>
      <c r="Y319" s="8" t="s">
        <v>1036</v>
      </c>
      <c r="Z319" s="8"/>
    </row>
    <row r="320" customFormat="false" ht="15" hidden="false" customHeight="false" outlineLevel="0" collapsed="false">
      <c r="A320" s="8" t="s">
        <v>115</v>
      </c>
      <c r="B320" s="8" t="s">
        <v>15</v>
      </c>
      <c r="C320" s="8" t="s">
        <v>16</v>
      </c>
      <c r="D320" s="8" t="s">
        <v>615</v>
      </c>
      <c r="E320" s="8" t="s">
        <v>38</v>
      </c>
      <c r="F320" s="8" t="s">
        <v>49</v>
      </c>
      <c r="G320" s="8" t="s">
        <v>31</v>
      </c>
      <c r="H320" s="8" t="s">
        <v>31</v>
      </c>
      <c r="I320" s="8" t="n">
        <f aca="false">IF(EXACT(G320,H320),1,0)</f>
        <v>1</v>
      </c>
      <c r="J320" s="8" t="n">
        <v>0</v>
      </c>
      <c r="K320" s="8" t="s">
        <v>116</v>
      </c>
      <c r="L320" s="8" t="n">
        <v>1</v>
      </c>
      <c r="M320" s="8" t="n">
        <v>0</v>
      </c>
      <c r="N320" s="8"/>
      <c r="O320" s="8" t="n">
        <v>1</v>
      </c>
      <c r="P320" s="10" t="n">
        <v>8.59</v>
      </c>
      <c r="Q320" s="8" t="n">
        <v>1446</v>
      </c>
      <c r="R320" s="8" t="n">
        <v>329</v>
      </c>
      <c r="S320" s="8" t="s">
        <v>117</v>
      </c>
      <c r="T320" s="8" t="s">
        <v>111</v>
      </c>
      <c r="U320" s="8" t="s">
        <v>112</v>
      </c>
      <c r="V320" s="8"/>
      <c r="W320" s="8" t="s">
        <v>118</v>
      </c>
      <c r="X320" s="8" t="s">
        <v>470</v>
      </c>
      <c r="Y320" s="8" t="s">
        <v>1037</v>
      </c>
      <c r="Z320" s="8" t="s">
        <v>1038</v>
      </c>
    </row>
    <row r="321" customFormat="false" ht="15" hidden="false" customHeight="false" outlineLevel="0" collapsed="false">
      <c r="A321" s="8" t="s">
        <v>115</v>
      </c>
      <c r="B321" s="8" t="s">
        <v>15</v>
      </c>
      <c r="C321" s="8" t="s">
        <v>16</v>
      </c>
      <c r="D321" s="8" t="s">
        <v>615</v>
      </c>
      <c r="E321" s="8" t="s">
        <v>38</v>
      </c>
      <c r="F321" s="8" t="s">
        <v>49</v>
      </c>
      <c r="G321" s="8" t="s">
        <v>31</v>
      </c>
      <c r="H321" s="8" t="s">
        <v>31</v>
      </c>
      <c r="I321" s="8" t="n">
        <f aca="false">IF(EXACT(G321,H321),1,0)</f>
        <v>1</v>
      </c>
      <c r="J321" s="8" t="n">
        <v>1</v>
      </c>
      <c r="K321" s="8" t="s">
        <v>116</v>
      </c>
      <c r="L321" s="8" t="n">
        <v>1</v>
      </c>
      <c r="M321" s="8" t="n">
        <v>0</v>
      </c>
      <c r="N321" s="8"/>
      <c r="O321" s="8" t="n">
        <v>1</v>
      </c>
      <c r="P321" s="10" t="n">
        <v>9.93</v>
      </c>
      <c r="Q321" s="8" t="n">
        <v>1446</v>
      </c>
      <c r="R321" s="8" t="n">
        <v>360</v>
      </c>
      <c r="S321" s="8" t="s">
        <v>117</v>
      </c>
      <c r="T321" s="8" t="s">
        <v>111</v>
      </c>
      <c r="U321" s="8" t="s">
        <v>112</v>
      </c>
      <c r="V321" s="8"/>
      <c r="W321" s="8" t="s">
        <v>118</v>
      </c>
      <c r="X321" s="8" t="s">
        <v>470</v>
      </c>
      <c r="Y321" s="8" t="s">
        <v>1039</v>
      </c>
      <c r="Z321" s="8" t="s">
        <v>1040</v>
      </c>
    </row>
    <row r="322" customFormat="false" ht="15" hidden="false" customHeight="false" outlineLevel="0" collapsed="false">
      <c r="A322" s="8" t="s">
        <v>115</v>
      </c>
      <c r="B322" s="8" t="s">
        <v>15</v>
      </c>
      <c r="C322" s="8" t="s">
        <v>16</v>
      </c>
      <c r="D322" s="8" t="s">
        <v>615</v>
      </c>
      <c r="E322" s="8" t="s">
        <v>38</v>
      </c>
      <c r="F322" s="8" t="s">
        <v>49</v>
      </c>
      <c r="G322" s="8" t="s">
        <v>31</v>
      </c>
      <c r="H322" s="8" t="s">
        <v>31</v>
      </c>
      <c r="I322" s="8" t="n">
        <f aca="false">IF(EXACT(G322,H322),1,0)</f>
        <v>1</v>
      </c>
      <c r="J322" s="8" t="n">
        <v>2</v>
      </c>
      <c r="K322" s="8" t="s">
        <v>116</v>
      </c>
      <c r="L322" s="8" t="n">
        <v>1</v>
      </c>
      <c r="M322" s="8" t="n">
        <v>0</v>
      </c>
      <c r="N322" s="8"/>
      <c r="O322" s="8" t="n">
        <v>1</v>
      </c>
      <c r="P322" s="10" t="n">
        <v>7.64</v>
      </c>
      <c r="Q322" s="8" t="n">
        <v>1446</v>
      </c>
      <c r="R322" s="8" t="n">
        <v>325</v>
      </c>
      <c r="S322" s="8" t="s">
        <v>117</v>
      </c>
      <c r="T322" s="8" t="s">
        <v>111</v>
      </c>
      <c r="U322" s="8" t="s">
        <v>112</v>
      </c>
      <c r="V322" s="8"/>
      <c r="W322" s="8" t="s">
        <v>118</v>
      </c>
      <c r="X322" s="8" t="s">
        <v>470</v>
      </c>
      <c r="Y322" s="8" t="s">
        <v>1041</v>
      </c>
      <c r="Z322" s="8" t="s">
        <v>1042</v>
      </c>
    </row>
    <row r="323" customFormat="false" ht="15" hidden="false" customHeight="false" outlineLevel="0" collapsed="false">
      <c r="A323" s="8" t="s">
        <v>121</v>
      </c>
      <c r="B323" s="8" t="s">
        <v>15</v>
      </c>
      <c r="C323" s="8" t="s">
        <v>16</v>
      </c>
      <c r="D323" s="8" t="s">
        <v>615</v>
      </c>
      <c r="E323" s="8" t="s">
        <v>38</v>
      </c>
      <c r="F323" s="8" t="s">
        <v>49</v>
      </c>
      <c r="G323" s="8" t="s">
        <v>31</v>
      </c>
      <c r="H323" s="8" t="s">
        <v>31</v>
      </c>
      <c r="I323" s="8" t="n">
        <f aca="false">IF(EXACT(G323,H323),1,0)</f>
        <v>1</v>
      </c>
      <c r="J323" s="8" t="n">
        <v>0</v>
      </c>
      <c r="K323" s="8" t="s">
        <v>140</v>
      </c>
      <c r="L323" s="8" t="n">
        <v>5</v>
      </c>
      <c r="M323" s="8" t="n">
        <v>0</v>
      </c>
      <c r="N323" s="8"/>
      <c r="O323" s="8" t="n">
        <v>1</v>
      </c>
      <c r="P323" s="10" t="n">
        <v>17.22</v>
      </c>
      <c r="Q323" s="8" t="n">
        <v>1260</v>
      </c>
      <c r="R323" s="8" t="n">
        <v>796</v>
      </c>
      <c r="S323" s="8" t="s">
        <v>117</v>
      </c>
      <c r="T323" s="8" t="s">
        <v>95</v>
      </c>
      <c r="U323" s="8" t="s">
        <v>96</v>
      </c>
      <c r="V323" s="8"/>
      <c r="W323" s="8" t="s">
        <v>122</v>
      </c>
      <c r="X323" s="8" t="s">
        <v>471</v>
      </c>
      <c r="Y323" s="8" t="s">
        <v>1043</v>
      </c>
      <c r="Z323" s="8" t="s">
        <v>1044</v>
      </c>
    </row>
    <row r="324" customFormat="false" ht="15" hidden="false" customHeight="false" outlineLevel="0" collapsed="false">
      <c r="A324" s="8" t="s">
        <v>121</v>
      </c>
      <c r="B324" s="8" t="s">
        <v>15</v>
      </c>
      <c r="C324" s="8" t="s">
        <v>16</v>
      </c>
      <c r="D324" s="8" t="s">
        <v>615</v>
      </c>
      <c r="E324" s="8" t="s">
        <v>38</v>
      </c>
      <c r="F324" s="8" t="s">
        <v>49</v>
      </c>
      <c r="G324" s="8" t="s">
        <v>31</v>
      </c>
      <c r="H324" s="8" t="s">
        <v>31</v>
      </c>
      <c r="I324" s="8" t="n">
        <f aca="false">IF(EXACT(G324,H324),1,0)</f>
        <v>1</v>
      </c>
      <c r="J324" s="8" t="n">
        <v>1</v>
      </c>
      <c r="K324" s="8" t="s">
        <v>140</v>
      </c>
      <c r="L324" s="8" t="n">
        <v>5</v>
      </c>
      <c r="M324" s="8" t="n">
        <v>0</v>
      </c>
      <c r="N324" s="8"/>
      <c r="O324" s="8" t="n">
        <v>1</v>
      </c>
      <c r="P324" s="10" t="n">
        <v>16.38</v>
      </c>
      <c r="Q324" s="8" t="n">
        <v>1260</v>
      </c>
      <c r="R324" s="8" t="n">
        <v>802</v>
      </c>
      <c r="S324" s="8" t="s">
        <v>117</v>
      </c>
      <c r="T324" s="8" t="s">
        <v>95</v>
      </c>
      <c r="U324" s="8" t="s">
        <v>96</v>
      </c>
      <c r="V324" s="8"/>
      <c r="W324" s="8" t="s">
        <v>122</v>
      </c>
      <c r="X324" s="8" t="s">
        <v>471</v>
      </c>
      <c r="Y324" s="8" t="s">
        <v>1045</v>
      </c>
      <c r="Z324" s="8" t="s">
        <v>1046</v>
      </c>
    </row>
    <row r="325" customFormat="false" ht="15" hidden="false" customHeight="false" outlineLevel="0" collapsed="false">
      <c r="A325" s="8" t="s">
        <v>121</v>
      </c>
      <c r="B325" s="8" t="s">
        <v>15</v>
      </c>
      <c r="C325" s="8" t="s">
        <v>16</v>
      </c>
      <c r="D325" s="8" t="s">
        <v>615</v>
      </c>
      <c r="E325" s="8" t="s">
        <v>38</v>
      </c>
      <c r="F325" s="8" t="s">
        <v>49</v>
      </c>
      <c r="G325" s="8" t="s">
        <v>31</v>
      </c>
      <c r="H325" s="8" t="s">
        <v>31</v>
      </c>
      <c r="I325" s="8" t="n">
        <f aca="false">IF(EXACT(G325,H325),1,0)</f>
        <v>1</v>
      </c>
      <c r="J325" s="8" t="n">
        <v>2</v>
      </c>
      <c r="K325" s="8" t="s">
        <v>140</v>
      </c>
      <c r="L325" s="8" t="n">
        <v>5</v>
      </c>
      <c r="M325" s="8" t="n">
        <v>0</v>
      </c>
      <c r="N325" s="8"/>
      <c r="O325" s="8" t="n">
        <v>1</v>
      </c>
      <c r="P325" s="10" t="n">
        <v>15.05</v>
      </c>
      <c r="Q325" s="8" t="n">
        <v>1260</v>
      </c>
      <c r="R325" s="8" t="n">
        <v>772</v>
      </c>
      <c r="S325" s="8" t="s">
        <v>117</v>
      </c>
      <c r="T325" s="8" t="s">
        <v>95</v>
      </c>
      <c r="U325" s="8" t="s">
        <v>96</v>
      </c>
      <c r="V325" s="8"/>
      <c r="W325" s="8" t="s">
        <v>122</v>
      </c>
      <c r="X325" s="8" t="s">
        <v>471</v>
      </c>
      <c r="Y325" s="8" t="s">
        <v>1047</v>
      </c>
      <c r="Z325" s="8" t="s">
        <v>1048</v>
      </c>
    </row>
    <row r="326" customFormat="false" ht="15" hidden="false" customHeight="false" outlineLevel="0" collapsed="false">
      <c r="A326" s="8" t="s">
        <v>472</v>
      </c>
      <c r="B326" s="8" t="s">
        <v>15</v>
      </c>
      <c r="C326" s="8" t="s">
        <v>16</v>
      </c>
      <c r="D326" s="8" t="s">
        <v>615</v>
      </c>
      <c r="E326" s="8" t="s">
        <v>38</v>
      </c>
      <c r="F326" s="8" t="s">
        <v>52</v>
      </c>
      <c r="G326" s="8" t="s">
        <v>30</v>
      </c>
      <c r="H326" s="8" t="s">
        <v>31</v>
      </c>
      <c r="I326" s="8" t="n">
        <f aca="false">IF(EXACT(G326,H326),1,0)</f>
        <v>0</v>
      </c>
      <c r="J326" s="8" t="n">
        <v>0</v>
      </c>
      <c r="K326" s="8" t="s">
        <v>116</v>
      </c>
      <c r="L326" s="8" t="n">
        <v>2</v>
      </c>
      <c r="M326" s="8" t="n">
        <v>0</v>
      </c>
      <c r="N326" s="8"/>
      <c r="O326" s="8" t="n">
        <v>1</v>
      </c>
      <c r="P326" s="10" t="n">
        <v>13.93</v>
      </c>
      <c r="Q326" s="8" t="n">
        <v>1663</v>
      </c>
      <c r="R326" s="8" t="n">
        <v>582</v>
      </c>
      <c r="S326" s="8" t="s">
        <v>473</v>
      </c>
      <c r="T326" s="8" t="s">
        <v>474</v>
      </c>
      <c r="U326" s="8" t="s">
        <v>475</v>
      </c>
      <c r="V326" s="8"/>
      <c r="W326" s="8" t="s">
        <v>476</v>
      </c>
      <c r="X326" s="8" t="s">
        <v>477</v>
      </c>
      <c r="Y326" s="8" t="s">
        <v>1049</v>
      </c>
      <c r="Z326" s="8" t="s">
        <v>1050</v>
      </c>
    </row>
    <row r="327" customFormat="false" ht="15" hidden="false" customHeight="false" outlineLevel="0" collapsed="false">
      <c r="A327" s="8" t="s">
        <v>472</v>
      </c>
      <c r="B327" s="8" t="s">
        <v>15</v>
      </c>
      <c r="C327" s="8" t="s">
        <v>16</v>
      </c>
      <c r="D327" s="8" t="s">
        <v>615</v>
      </c>
      <c r="E327" s="8" t="s">
        <v>38</v>
      </c>
      <c r="F327" s="8" t="s">
        <v>52</v>
      </c>
      <c r="G327" s="8" t="s">
        <v>30</v>
      </c>
      <c r="H327" s="8" t="s">
        <v>31</v>
      </c>
      <c r="I327" s="8" t="n">
        <f aca="false">IF(EXACT(G327,H327),1,0)</f>
        <v>0</v>
      </c>
      <c r="J327" s="8" t="n">
        <v>1</v>
      </c>
      <c r="K327" s="8" t="s">
        <v>116</v>
      </c>
      <c r="L327" s="8" t="n">
        <v>1</v>
      </c>
      <c r="M327" s="8" t="n">
        <v>0</v>
      </c>
      <c r="N327" s="8"/>
      <c r="O327" s="8" t="n">
        <v>1</v>
      </c>
      <c r="P327" s="10" t="n">
        <v>7.42</v>
      </c>
      <c r="Q327" s="8" t="n">
        <v>1663</v>
      </c>
      <c r="R327" s="8" t="n">
        <v>333</v>
      </c>
      <c r="S327" s="8" t="s">
        <v>473</v>
      </c>
      <c r="T327" s="8" t="s">
        <v>474</v>
      </c>
      <c r="U327" s="8" t="s">
        <v>475</v>
      </c>
      <c r="V327" s="8"/>
      <c r="W327" s="8" t="s">
        <v>476</v>
      </c>
      <c r="X327" s="8" t="s">
        <v>477</v>
      </c>
      <c r="Y327" s="8" t="s">
        <v>1051</v>
      </c>
      <c r="Z327" s="8" t="s">
        <v>1052</v>
      </c>
    </row>
    <row r="328" customFormat="false" ht="15" hidden="false" customHeight="false" outlineLevel="0" collapsed="false">
      <c r="A328" s="8" t="s">
        <v>472</v>
      </c>
      <c r="B328" s="8" t="s">
        <v>15</v>
      </c>
      <c r="C328" s="8" t="s">
        <v>16</v>
      </c>
      <c r="D328" s="8" t="s">
        <v>615</v>
      </c>
      <c r="E328" s="8" t="s">
        <v>38</v>
      </c>
      <c r="F328" s="8" t="s">
        <v>52</v>
      </c>
      <c r="G328" s="8" t="s">
        <v>30</v>
      </c>
      <c r="H328" s="8" t="s">
        <v>31</v>
      </c>
      <c r="I328" s="8" t="n">
        <f aca="false">IF(EXACT(G328,H328),1,0)</f>
        <v>0</v>
      </c>
      <c r="J328" s="8" t="n">
        <v>2</v>
      </c>
      <c r="K328" s="8" t="s">
        <v>116</v>
      </c>
      <c r="L328" s="8" t="n">
        <v>2</v>
      </c>
      <c r="M328" s="8" t="n">
        <v>0</v>
      </c>
      <c r="N328" s="8"/>
      <c r="O328" s="8" t="n">
        <v>1</v>
      </c>
      <c r="P328" s="10" t="n">
        <v>14.69</v>
      </c>
      <c r="Q328" s="8" t="n">
        <v>1663</v>
      </c>
      <c r="R328" s="8" t="n">
        <v>642</v>
      </c>
      <c r="S328" s="8" t="s">
        <v>473</v>
      </c>
      <c r="T328" s="8" t="s">
        <v>474</v>
      </c>
      <c r="U328" s="8" t="s">
        <v>475</v>
      </c>
      <c r="V328" s="8"/>
      <c r="W328" s="8" t="s">
        <v>476</v>
      </c>
      <c r="X328" s="8" t="s">
        <v>477</v>
      </c>
      <c r="Y328" s="8" t="s">
        <v>1053</v>
      </c>
      <c r="Z328" s="8" t="s">
        <v>1054</v>
      </c>
    </row>
    <row r="329" customFormat="false" ht="15" hidden="false" customHeight="false" outlineLevel="0" collapsed="false">
      <c r="A329" s="8" t="s">
        <v>478</v>
      </c>
      <c r="B329" s="8" t="s">
        <v>15</v>
      </c>
      <c r="C329" s="8" t="s">
        <v>16</v>
      </c>
      <c r="D329" s="8" t="s">
        <v>615</v>
      </c>
      <c r="E329" s="8" t="s">
        <v>38</v>
      </c>
      <c r="F329" s="8" t="s">
        <v>52</v>
      </c>
      <c r="G329" s="8" t="s">
        <v>30</v>
      </c>
      <c r="H329" s="8" t="s">
        <v>31</v>
      </c>
      <c r="I329" s="8" t="n">
        <f aca="false">IF(EXACT(G329,H329),1,0)</f>
        <v>0</v>
      </c>
      <c r="J329" s="8" t="n">
        <v>0</v>
      </c>
      <c r="K329" s="8" t="s">
        <v>116</v>
      </c>
      <c r="L329" s="8" t="n">
        <v>2</v>
      </c>
      <c r="M329" s="8" t="n">
        <v>0</v>
      </c>
      <c r="N329" s="8"/>
      <c r="O329" s="8" t="n">
        <v>1</v>
      </c>
      <c r="P329" s="10" t="n">
        <v>16.24</v>
      </c>
      <c r="Q329" s="8" t="n">
        <v>1397</v>
      </c>
      <c r="R329" s="8" t="n">
        <v>594</v>
      </c>
      <c r="S329" s="8" t="s">
        <v>232</v>
      </c>
      <c r="T329" s="8" t="s">
        <v>474</v>
      </c>
      <c r="U329" s="8" t="s">
        <v>475</v>
      </c>
      <c r="V329" s="8"/>
      <c r="W329" s="8" t="s">
        <v>479</v>
      </c>
      <c r="X329" s="8" t="s">
        <v>480</v>
      </c>
      <c r="Y329" s="8" t="s">
        <v>1055</v>
      </c>
      <c r="Z329" s="8" t="s">
        <v>1056</v>
      </c>
    </row>
    <row r="330" customFormat="false" ht="15" hidden="false" customHeight="false" outlineLevel="0" collapsed="false">
      <c r="A330" s="8" t="s">
        <v>478</v>
      </c>
      <c r="B330" s="8" t="s">
        <v>15</v>
      </c>
      <c r="C330" s="8" t="s">
        <v>16</v>
      </c>
      <c r="D330" s="8" t="s">
        <v>615</v>
      </c>
      <c r="E330" s="8" t="s">
        <v>38</v>
      </c>
      <c r="F330" s="8" t="s">
        <v>52</v>
      </c>
      <c r="G330" s="8" t="s">
        <v>30</v>
      </c>
      <c r="H330" s="8" t="s">
        <v>31</v>
      </c>
      <c r="I330" s="8" t="n">
        <f aca="false">IF(EXACT(G330,H330),1,0)</f>
        <v>0</v>
      </c>
      <c r="J330" s="8" t="n">
        <v>1</v>
      </c>
      <c r="K330" s="8" t="s">
        <v>116</v>
      </c>
      <c r="L330" s="8" t="n">
        <v>5</v>
      </c>
      <c r="M330" s="8" t="n">
        <v>0</v>
      </c>
      <c r="N330" s="8"/>
      <c r="O330" s="8" t="n">
        <v>1</v>
      </c>
      <c r="P330" s="10" t="n">
        <v>20.75</v>
      </c>
      <c r="Q330" s="8" t="n">
        <v>1397</v>
      </c>
      <c r="R330" s="8" t="n">
        <v>948</v>
      </c>
      <c r="S330" s="8" t="s">
        <v>232</v>
      </c>
      <c r="T330" s="8" t="s">
        <v>474</v>
      </c>
      <c r="U330" s="8" t="s">
        <v>475</v>
      </c>
      <c r="V330" s="8"/>
      <c r="W330" s="8" t="s">
        <v>479</v>
      </c>
      <c r="X330" s="8" t="s">
        <v>480</v>
      </c>
      <c r="Y330" s="8" t="s">
        <v>1057</v>
      </c>
      <c r="Z330" s="8" t="s">
        <v>1058</v>
      </c>
    </row>
    <row r="331" customFormat="false" ht="15" hidden="false" customHeight="false" outlineLevel="0" collapsed="false">
      <c r="A331" s="8" t="s">
        <v>478</v>
      </c>
      <c r="B331" s="8" t="s">
        <v>15</v>
      </c>
      <c r="C331" s="8" t="s">
        <v>16</v>
      </c>
      <c r="D331" s="8" t="s">
        <v>615</v>
      </c>
      <c r="E331" s="8" t="s">
        <v>38</v>
      </c>
      <c r="F331" s="8" t="s">
        <v>52</v>
      </c>
      <c r="G331" s="8" t="s">
        <v>30</v>
      </c>
      <c r="H331" s="8" t="s">
        <v>31</v>
      </c>
      <c r="I331" s="8" t="n">
        <f aca="false">IF(EXACT(G331,H331),1,0)</f>
        <v>0</v>
      </c>
      <c r="J331" s="8" t="n">
        <v>2</v>
      </c>
      <c r="K331" s="8" t="s">
        <v>116</v>
      </c>
      <c r="L331" s="8" t="n">
        <v>2</v>
      </c>
      <c r="M331" s="8" t="n">
        <v>0</v>
      </c>
      <c r="N331" s="8"/>
      <c r="O331" s="8" t="n">
        <v>1</v>
      </c>
      <c r="P331" s="10" t="n">
        <v>11.99</v>
      </c>
      <c r="Q331" s="8" t="n">
        <v>1397</v>
      </c>
      <c r="R331" s="8" t="n">
        <v>522</v>
      </c>
      <c r="S331" s="8" t="s">
        <v>232</v>
      </c>
      <c r="T331" s="8" t="s">
        <v>474</v>
      </c>
      <c r="U331" s="8" t="s">
        <v>475</v>
      </c>
      <c r="V331" s="8"/>
      <c r="W331" s="8" t="s">
        <v>479</v>
      </c>
      <c r="X331" s="8" t="s">
        <v>480</v>
      </c>
      <c r="Y331" s="8" t="s">
        <v>1059</v>
      </c>
      <c r="Z331" s="8" t="s">
        <v>1060</v>
      </c>
    </row>
    <row r="332" customFormat="false" ht="15" hidden="false" customHeight="false" outlineLevel="0" collapsed="false">
      <c r="A332" s="8" t="s">
        <v>481</v>
      </c>
      <c r="B332" s="8" t="s">
        <v>15</v>
      </c>
      <c r="C332" s="8" t="s">
        <v>16</v>
      </c>
      <c r="D332" s="8" t="s">
        <v>615</v>
      </c>
      <c r="E332" s="8" t="s">
        <v>38</v>
      </c>
      <c r="F332" s="8" t="s">
        <v>52</v>
      </c>
      <c r="G332" s="8" t="s">
        <v>31</v>
      </c>
      <c r="H332" s="8" t="s">
        <v>31</v>
      </c>
      <c r="I332" s="8" t="n">
        <f aca="false">IF(EXACT(G332,H332),1,0)</f>
        <v>1</v>
      </c>
      <c r="J332" s="8" t="n">
        <v>0</v>
      </c>
      <c r="K332" s="8" t="s">
        <v>116</v>
      </c>
      <c r="L332" s="8" t="n">
        <v>5</v>
      </c>
      <c r="M332" s="8" t="n">
        <v>0</v>
      </c>
      <c r="N332" s="8"/>
      <c r="O332" s="8" t="n">
        <v>1</v>
      </c>
      <c r="P332" s="10" t="n">
        <v>23.49</v>
      </c>
      <c r="Q332" s="8" t="n">
        <v>1405</v>
      </c>
      <c r="R332" s="8" t="n">
        <v>855</v>
      </c>
      <c r="S332" s="8" t="s">
        <v>117</v>
      </c>
      <c r="T332" s="8" t="s">
        <v>474</v>
      </c>
      <c r="U332" s="8" t="s">
        <v>475</v>
      </c>
      <c r="V332" s="8"/>
      <c r="W332" s="8" t="s">
        <v>482</v>
      </c>
      <c r="X332" s="8" t="s">
        <v>483</v>
      </c>
      <c r="Y332" s="8" t="s">
        <v>1061</v>
      </c>
      <c r="Z332" s="8" t="s">
        <v>1062</v>
      </c>
    </row>
    <row r="333" customFormat="false" ht="15" hidden="false" customHeight="false" outlineLevel="0" collapsed="false">
      <c r="A333" s="8" t="s">
        <v>481</v>
      </c>
      <c r="B333" s="8" t="s">
        <v>15</v>
      </c>
      <c r="C333" s="8" t="s">
        <v>16</v>
      </c>
      <c r="D333" s="8" t="s">
        <v>615</v>
      </c>
      <c r="E333" s="8" t="s">
        <v>38</v>
      </c>
      <c r="F333" s="8" t="s">
        <v>52</v>
      </c>
      <c r="G333" s="8" t="s">
        <v>31</v>
      </c>
      <c r="H333" s="8" t="s">
        <v>31</v>
      </c>
      <c r="I333" s="8" t="n">
        <f aca="false">IF(EXACT(G333,H333),1,0)</f>
        <v>1</v>
      </c>
      <c r="J333" s="8" t="n">
        <v>1</v>
      </c>
      <c r="K333" s="8" t="s">
        <v>116</v>
      </c>
      <c r="L333" s="8" t="n">
        <v>2</v>
      </c>
      <c r="M333" s="8" t="n">
        <v>0</v>
      </c>
      <c r="N333" s="8"/>
      <c r="O333" s="8" t="n">
        <v>1</v>
      </c>
      <c r="P333" s="10" t="n">
        <v>14.88</v>
      </c>
      <c r="Q333" s="8" t="n">
        <v>1405</v>
      </c>
      <c r="R333" s="8" t="n">
        <v>547</v>
      </c>
      <c r="S333" s="8" t="s">
        <v>117</v>
      </c>
      <c r="T333" s="8" t="s">
        <v>474</v>
      </c>
      <c r="U333" s="8" t="s">
        <v>475</v>
      </c>
      <c r="V333" s="8"/>
      <c r="W333" s="8" t="s">
        <v>482</v>
      </c>
      <c r="X333" s="8" t="s">
        <v>483</v>
      </c>
      <c r="Y333" s="8" t="s">
        <v>1063</v>
      </c>
      <c r="Z333" s="8" t="s">
        <v>1064</v>
      </c>
    </row>
    <row r="334" customFormat="false" ht="15" hidden="false" customHeight="false" outlineLevel="0" collapsed="false">
      <c r="A334" s="8" t="s">
        <v>481</v>
      </c>
      <c r="B334" s="8" t="s">
        <v>15</v>
      </c>
      <c r="C334" s="8" t="s">
        <v>16</v>
      </c>
      <c r="D334" s="8" t="s">
        <v>615</v>
      </c>
      <c r="E334" s="8" t="s">
        <v>38</v>
      </c>
      <c r="F334" s="8" t="s">
        <v>52</v>
      </c>
      <c r="G334" s="8" t="s">
        <v>31</v>
      </c>
      <c r="H334" s="8" t="s">
        <v>31</v>
      </c>
      <c r="I334" s="8" t="n">
        <f aca="false">IF(EXACT(G334,H334),1,0)</f>
        <v>1</v>
      </c>
      <c r="J334" s="8" t="n">
        <v>2</v>
      </c>
      <c r="K334" s="8" t="s">
        <v>116</v>
      </c>
      <c r="L334" s="8" t="n">
        <v>5</v>
      </c>
      <c r="M334" s="8" t="n">
        <v>0</v>
      </c>
      <c r="N334" s="8"/>
      <c r="O334" s="8" t="n">
        <v>1</v>
      </c>
      <c r="P334" s="10" t="n">
        <v>18.46</v>
      </c>
      <c r="Q334" s="8" t="n">
        <v>1405</v>
      </c>
      <c r="R334" s="8" t="n">
        <v>908</v>
      </c>
      <c r="S334" s="8" t="s">
        <v>117</v>
      </c>
      <c r="T334" s="8" t="s">
        <v>474</v>
      </c>
      <c r="U334" s="8" t="s">
        <v>475</v>
      </c>
      <c r="V334" s="8"/>
      <c r="W334" s="8" t="s">
        <v>482</v>
      </c>
      <c r="X334" s="8" t="s">
        <v>483</v>
      </c>
      <c r="Y334" s="8" t="s">
        <v>1065</v>
      </c>
      <c r="Z334" s="8" t="s">
        <v>1066</v>
      </c>
    </row>
    <row r="335" customFormat="false" ht="15" hidden="false" customHeight="false" outlineLevel="0" collapsed="false">
      <c r="A335" s="8" t="s">
        <v>484</v>
      </c>
      <c r="B335" s="8" t="s">
        <v>15</v>
      </c>
      <c r="C335" s="8" t="s">
        <v>16</v>
      </c>
      <c r="D335" s="8" t="s">
        <v>615</v>
      </c>
      <c r="E335" s="8" t="s">
        <v>38</v>
      </c>
      <c r="F335" s="8" t="s">
        <v>52</v>
      </c>
      <c r="G335" s="8" t="s">
        <v>32</v>
      </c>
      <c r="H335" s="8" t="s">
        <v>32</v>
      </c>
      <c r="I335" s="8" t="n">
        <f aca="false">IF(EXACT(G335,H335),1,0)</f>
        <v>1</v>
      </c>
      <c r="J335" s="8" t="n">
        <v>0</v>
      </c>
      <c r="K335" s="8" t="s">
        <v>92</v>
      </c>
      <c r="L335" s="8" t="n">
        <v>0</v>
      </c>
      <c r="M335" s="8" t="n">
        <v>0</v>
      </c>
      <c r="N335" s="8"/>
      <c r="O335" s="8" t="n">
        <v>1</v>
      </c>
      <c r="P335" s="10" t="n">
        <v>4.9</v>
      </c>
      <c r="Q335" s="8" t="n">
        <v>1226</v>
      </c>
      <c r="R335" s="8" t="n">
        <v>75</v>
      </c>
      <c r="S335" s="8" t="s">
        <v>132</v>
      </c>
      <c r="T335" s="8" t="s">
        <v>474</v>
      </c>
      <c r="U335" s="8" t="s">
        <v>475</v>
      </c>
      <c r="V335" s="8"/>
      <c r="W335" s="8" t="s">
        <v>485</v>
      </c>
      <c r="X335" s="8" t="s">
        <v>486</v>
      </c>
      <c r="Y335" s="8" t="s">
        <v>1067</v>
      </c>
      <c r="Z335" s="8"/>
    </row>
    <row r="336" customFormat="false" ht="15" hidden="false" customHeight="false" outlineLevel="0" collapsed="false">
      <c r="A336" s="8" t="s">
        <v>484</v>
      </c>
      <c r="B336" s="8" t="s">
        <v>15</v>
      </c>
      <c r="C336" s="8" t="s">
        <v>16</v>
      </c>
      <c r="D336" s="8" t="s">
        <v>615</v>
      </c>
      <c r="E336" s="8" t="s">
        <v>38</v>
      </c>
      <c r="F336" s="8" t="s">
        <v>52</v>
      </c>
      <c r="G336" s="8" t="s">
        <v>32</v>
      </c>
      <c r="H336" s="8" t="s">
        <v>32</v>
      </c>
      <c r="I336" s="8" t="n">
        <f aca="false">IF(EXACT(G336,H336),1,0)</f>
        <v>1</v>
      </c>
      <c r="J336" s="8" t="n">
        <v>1</v>
      </c>
      <c r="K336" s="8" t="s">
        <v>92</v>
      </c>
      <c r="L336" s="8" t="n">
        <v>0</v>
      </c>
      <c r="M336" s="8" t="n">
        <v>0</v>
      </c>
      <c r="N336" s="8"/>
      <c r="O336" s="8" t="n">
        <v>1</v>
      </c>
      <c r="P336" s="10" t="n">
        <v>2.56</v>
      </c>
      <c r="Q336" s="8" t="n">
        <v>1226</v>
      </c>
      <c r="R336" s="8" t="n">
        <v>79</v>
      </c>
      <c r="S336" s="8" t="s">
        <v>132</v>
      </c>
      <c r="T336" s="8" t="s">
        <v>474</v>
      </c>
      <c r="U336" s="8" t="s">
        <v>475</v>
      </c>
      <c r="V336" s="8"/>
      <c r="W336" s="8" t="s">
        <v>485</v>
      </c>
      <c r="X336" s="8" t="s">
        <v>486</v>
      </c>
      <c r="Y336" s="8" t="s">
        <v>1068</v>
      </c>
      <c r="Z336" s="8"/>
    </row>
    <row r="337" customFormat="false" ht="15" hidden="false" customHeight="false" outlineLevel="0" collapsed="false">
      <c r="A337" s="8" t="s">
        <v>484</v>
      </c>
      <c r="B337" s="8" t="s">
        <v>15</v>
      </c>
      <c r="C337" s="8" t="s">
        <v>16</v>
      </c>
      <c r="D337" s="8" t="s">
        <v>615</v>
      </c>
      <c r="E337" s="8" t="s">
        <v>38</v>
      </c>
      <c r="F337" s="8" t="s">
        <v>52</v>
      </c>
      <c r="G337" s="8" t="s">
        <v>32</v>
      </c>
      <c r="H337" s="8" t="s">
        <v>32</v>
      </c>
      <c r="I337" s="8" t="n">
        <f aca="false">IF(EXACT(G337,H337),1,0)</f>
        <v>1</v>
      </c>
      <c r="J337" s="8" t="n">
        <v>2</v>
      </c>
      <c r="K337" s="8" t="s">
        <v>92</v>
      </c>
      <c r="L337" s="8" t="n">
        <v>0</v>
      </c>
      <c r="M337" s="8" t="n">
        <v>0</v>
      </c>
      <c r="N337" s="8"/>
      <c r="O337" s="8" t="n">
        <v>1</v>
      </c>
      <c r="P337" s="10" t="n">
        <v>2.66</v>
      </c>
      <c r="Q337" s="8" t="n">
        <v>1226</v>
      </c>
      <c r="R337" s="8" t="n">
        <v>81</v>
      </c>
      <c r="S337" s="8" t="s">
        <v>132</v>
      </c>
      <c r="T337" s="8" t="s">
        <v>474</v>
      </c>
      <c r="U337" s="8" t="s">
        <v>475</v>
      </c>
      <c r="V337" s="8"/>
      <c r="W337" s="8" t="s">
        <v>485</v>
      </c>
      <c r="X337" s="8" t="s">
        <v>486</v>
      </c>
      <c r="Y337" s="8" t="s">
        <v>1069</v>
      </c>
      <c r="Z337" s="8"/>
    </row>
    <row r="338" customFormat="false" ht="15" hidden="false" customHeight="false" outlineLevel="0" collapsed="false">
      <c r="A338" s="8" t="s">
        <v>487</v>
      </c>
      <c r="B338" s="8" t="s">
        <v>15</v>
      </c>
      <c r="C338" s="8" t="s">
        <v>16</v>
      </c>
      <c r="D338" s="8" t="s">
        <v>615</v>
      </c>
      <c r="E338" s="8" t="s">
        <v>38</v>
      </c>
      <c r="F338" s="8" t="s">
        <v>52</v>
      </c>
      <c r="G338" s="8" t="s">
        <v>31</v>
      </c>
      <c r="H338" s="8" t="s">
        <v>31</v>
      </c>
      <c r="I338" s="8" t="n">
        <f aca="false">IF(EXACT(G338,H338),1,0)</f>
        <v>1</v>
      </c>
      <c r="J338" s="8" t="n">
        <v>0</v>
      </c>
      <c r="K338" s="8" t="s">
        <v>116</v>
      </c>
      <c r="L338" s="8" t="n">
        <v>5</v>
      </c>
      <c r="M338" s="8" t="n">
        <v>0</v>
      </c>
      <c r="N338" s="8"/>
      <c r="O338" s="8" t="n">
        <v>1</v>
      </c>
      <c r="P338" s="10" t="n">
        <v>21.34</v>
      </c>
      <c r="Q338" s="8" t="n">
        <v>1407</v>
      </c>
      <c r="R338" s="8" t="n">
        <v>969</v>
      </c>
      <c r="S338" s="8" t="s">
        <v>488</v>
      </c>
      <c r="T338" s="8"/>
      <c r="U338" s="8"/>
      <c r="V338" s="8" t="s">
        <v>155</v>
      </c>
      <c r="W338" s="8"/>
      <c r="X338" s="8" t="s">
        <v>489</v>
      </c>
      <c r="Y338" s="8" t="s">
        <v>1070</v>
      </c>
      <c r="Z338" s="8" t="s">
        <v>1071</v>
      </c>
    </row>
    <row r="339" customFormat="false" ht="15" hidden="false" customHeight="false" outlineLevel="0" collapsed="false">
      <c r="A339" s="8" t="s">
        <v>487</v>
      </c>
      <c r="B339" s="8" t="s">
        <v>15</v>
      </c>
      <c r="C339" s="8" t="s">
        <v>16</v>
      </c>
      <c r="D339" s="8" t="s">
        <v>615</v>
      </c>
      <c r="E339" s="8" t="s">
        <v>38</v>
      </c>
      <c r="F339" s="8" t="s">
        <v>52</v>
      </c>
      <c r="G339" s="8" t="s">
        <v>31</v>
      </c>
      <c r="H339" s="8" t="s">
        <v>31</v>
      </c>
      <c r="I339" s="8" t="n">
        <f aca="false">IF(EXACT(G339,H339),1,0)</f>
        <v>1</v>
      </c>
      <c r="J339" s="8" t="n">
        <v>1</v>
      </c>
      <c r="K339" s="8" t="s">
        <v>116</v>
      </c>
      <c r="L339" s="8" t="n">
        <v>5</v>
      </c>
      <c r="M339" s="8" t="n">
        <v>0</v>
      </c>
      <c r="N339" s="8"/>
      <c r="O339" s="8" t="n">
        <v>1</v>
      </c>
      <c r="P339" s="10" t="n">
        <v>17.77</v>
      </c>
      <c r="Q339" s="8" t="n">
        <v>1407</v>
      </c>
      <c r="R339" s="8" t="n">
        <v>870</v>
      </c>
      <c r="S339" s="8" t="s">
        <v>488</v>
      </c>
      <c r="T339" s="8"/>
      <c r="U339" s="8"/>
      <c r="V339" s="8" t="s">
        <v>155</v>
      </c>
      <c r="W339" s="8"/>
      <c r="X339" s="8" t="s">
        <v>489</v>
      </c>
      <c r="Y339" s="8" t="s">
        <v>1072</v>
      </c>
      <c r="Z339" s="8" t="s">
        <v>1073</v>
      </c>
    </row>
    <row r="340" customFormat="false" ht="15" hidden="false" customHeight="false" outlineLevel="0" collapsed="false">
      <c r="A340" s="8" t="s">
        <v>487</v>
      </c>
      <c r="B340" s="8" t="s">
        <v>15</v>
      </c>
      <c r="C340" s="8" t="s">
        <v>16</v>
      </c>
      <c r="D340" s="8" t="s">
        <v>615</v>
      </c>
      <c r="E340" s="8" t="s">
        <v>38</v>
      </c>
      <c r="F340" s="8" t="s">
        <v>52</v>
      </c>
      <c r="G340" s="8" t="s">
        <v>31</v>
      </c>
      <c r="H340" s="8" t="s">
        <v>31</v>
      </c>
      <c r="I340" s="8" t="n">
        <f aca="false">IF(EXACT(G340,H340),1,0)</f>
        <v>1</v>
      </c>
      <c r="J340" s="8" t="n">
        <v>2</v>
      </c>
      <c r="K340" s="8" t="s">
        <v>116</v>
      </c>
      <c r="L340" s="8" t="n">
        <v>3</v>
      </c>
      <c r="M340" s="8" t="n">
        <v>0</v>
      </c>
      <c r="N340" s="8"/>
      <c r="O340" s="8" t="n">
        <v>1</v>
      </c>
      <c r="P340" s="10" t="n">
        <v>15.29</v>
      </c>
      <c r="Q340" s="8" t="n">
        <v>1407</v>
      </c>
      <c r="R340" s="8" t="n">
        <v>704</v>
      </c>
      <c r="S340" s="8" t="s">
        <v>488</v>
      </c>
      <c r="T340" s="8"/>
      <c r="U340" s="8"/>
      <c r="V340" s="8" t="s">
        <v>155</v>
      </c>
      <c r="W340" s="8"/>
      <c r="X340" s="8" t="s">
        <v>489</v>
      </c>
      <c r="Y340" s="8" t="s">
        <v>1074</v>
      </c>
      <c r="Z340" s="8" t="s">
        <v>1075</v>
      </c>
    </row>
    <row r="341" customFormat="false" ht="15" hidden="false" customHeight="false" outlineLevel="0" collapsed="false">
      <c r="A341" s="8" t="s">
        <v>490</v>
      </c>
      <c r="B341" s="8" t="s">
        <v>15</v>
      </c>
      <c r="C341" s="8" t="s">
        <v>16</v>
      </c>
      <c r="D341" s="8" t="s">
        <v>615</v>
      </c>
      <c r="E341" s="8" t="s">
        <v>38</v>
      </c>
      <c r="F341" s="8" t="s">
        <v>52</v>
      </c>
      <c r="G341" s="8" t="s">
        <v>32</v>
      </c>
      <c r="H341" s="8" t="s">
        <v>30</v>
      </c>
      <c r="I341" s="8" t="n">
        <f aca="false">IF(EXACT(G341,H341),1,0)</f>
        <v>0</v>
      </c>
      <c r="J341" s="8" t="n">
        <v>0</v>
      </c>
      <c r="K341" s="8" t="s">
        <v>92</v>
      </c>
      <c r="L341" s="8" t="n">
        <v>0</v>
      </c>
      <c r="M341" s="8" t="n">
        <v>0</v>
      </c>
      <c r="N341" s="8"/>
      <c r="O341" s="8" t="n">
        <v>1</v>
      </c>
      <c r="P341" s="10" t="n">
        <v>4.05</v>
      </c>
      <c r="Q341" s="8" t="n">
        <v>1299</v>
      </c>
      <c r="R341" s="8" t="n">
        <v>92</v>
      </c>
      <c r="S341" s="8" t="s">
        <v>491</v>
      </c>
      <c r="T341" s="8"/>
      <c r="U341" s="8"/>
      <c r="V341" s="8" t="s">
        <v>155</v>
      </c>
      <c r="W341" s="8"/>
      <c r="X341" s="8" t="s">
        <v>492</v>
      </c>
      <c r="Y341" s="8" t="s">
        <v>1076</v>
      </c>
      <c r="Z341" s="8"/>
    </row>
    <row r="342" customFormat="false" ht="15" hidden="false" customHeight="false" outlineLevel="0" collapsed="false">
      <c r="A342" s="8" t="s">
        <v>490</v>
      </c>
      <c r="B342" s="8" t="s">
        <v>15</v>
      </c>
      <c r="C342" s="8" t="s">
        <v>16</v>
      </c>
      <c r="D342" s="8" t="s">
        <v>615</v>
      </c>
      <c r="E342" s="8" t="s">
        <v>38</v>
      </c>
      <c r="F342" s="8" t="s">
        <v>52</v>
      </c>
      <c r="G342" s="8" t="s">
        <v>32</v>
      </c>
      <c r="H342" s="8" t="s">
        <v>30</v>
      </c>
      <c r="I342" s="8" t="n">
        <f aca="false">IF(EXACT(G342,H342),1,0)</f>
        <v>0</v>
      </c>
      <c r="J342" s="8" t="n">
        <v>1</v>
      </c>
      <c r="K342" s="8" t="s">
        <v>92</v>
      </c>
      <c r="L342" s="8" t="n">
        <v>0</v>
      </c>
      <c r="M342" s="8" t="n">
        <v>0</v>
      </c>
      <c r="N342" s="8"/>
      <c r="O342" s="8" t="n">
        <v>1</v>
      </c>
      <c r="P342" s="10" t="n">
        <v>3.38</v>
      </c>
      <c r="Q342" s="8" t="n">
        <v>1299</v>
      </c>
      <c r="R342" s="8" t="n">
        <v>84</v>
      </c>
      <c r="S342" s="8" t="s">
        <v>491</v>
      </c>
      <c r="T342" s="8"/>
      <c r="U342" s="8"/>
      <c r="V342" s="8" t="s">
        <v>155</v>
      </c>
      <c r="W342" s="8"/>
      <c r="X342" s="8" t="s">
        <v>492</v>
      </c>
      <c r="Y342" s="8" t="s">
        <v>1077</v>
      </c>
      <c r="Z342" s="8"/>
    </row>
    <row r="343" customFormat="false" ht="15" hidden="false" customHeight="false" outlineLevel="0" collapsed="false">
      <c r="A343" s="8" t="s">
        <v>490</v>
      </c>
      <c r="B343" s="8" t="s">
        <v>15</v>
      </c>
      <c r="C343" s="8" t="s">
        <v>16</v>
      </c>
      <c r="D343" s="8" t="s">
        <v>615</v>
      </c>
      <c r="E343" s="8" t="s">
        <v>38</v>
      </c>
      <c r="F343" s="8" t="s">
        <v>52</v>
      </c>
      <c r="G343" s="8" t="s">
        <v>32</v>
      </c>
      <c r="H343" s="8" t="s">
        <v>30</v>
      </c>
      <c r="I343" s="8" t="n">
        <f aca="false">IF(EXACT(G343,H343),1,0)</f>
        <v>0</v>
      </c>
      <c r="J343" s="8" t="n">
        <v>2</v>
      </c>
      <c r="K343" s="8" t="s">
        <v>92</v>
      </c>
      <c r="L343" s="8" t="n">
        <v>0</v>
      </c>
      <c r="M343" s="8" t="n">
        <v>0</v>
      </c>
      <c r="N343" s="8"/>
      <c r="O343" s="8" t="n">
        <v>1</v>
      </c>
      <c r="P343" s="10" t="n">
        <v>3.89</v>
      </c>
      <c r="Q343" s="8" t="n">
        <v>1299</v>
      </c>
      <c r="R343" s="8" t="n">
        <v>94</v>
      </c>
      <c r="S343" s="8" t="s">
        <v>491</v>
      </c>
      <c r="T343" s="8"/>
      <c r="U343" s="8"/>
      <c r="V343" s="8" t="s">
        <v>155</v>
      </c>
      <c r="W343" s="8"/>
      <c r="X343" s="8" t="s">
        <v>492</v>
      </c>
      <c r="Y343" s="8" t="s">
        <v>1078</v>
      </c>
      <c r="Z343" s="8"/>
    </row>
    <row r="344" customFormat="false" ht="15" hidden="false" customHeight="false" outlineLevel="0" collapsed="false">
      <c r="A344" s="8" t="s">
        <v>493</v>
      </c>
      <c r="B344" s="8" t="s">
        <v>15</v>
      </c>
      <c r="C344" s="8" t="s">
        <v>16</v>
      </c>
      <c r="D344" s="8" t="s">
        <v>615</v>
      </c>
      <c r="E344" s="8" t="s">
        <v>38</v>
      </c>
      <c r="F344" s="8" t="s">
        <v>63</v>
      </c>
      <c r="G344" s="8" t="s">
        <v>31</v>
      </c>
      <c r="H344" s="8" t="s">
        <v>31</v>
      </c>
      <c r="I344" s="8" t="n">
        <f aca="false">IF(EXACT(G344,H344),1,0)</f>
        <v>1</v>
      </c>
      <c r="J344" s="8" t="n">
        <v>0</v>
      </c>
      <c r="K344" s="8" t="s">
        <v>140</v>
      </c>
      <c r="L344" s="8" t="n">
        <v>3</v>
      </c>
      <c r="M344" s="8" t="n">
        <v>0</v>
      </c>
      <c r="N344" s="8"/>
      <c r="O344" s="8" t="n">
        <v>1</v>
      </c>
      <c r="P344" s="10" t="n">
        <v>15.01</v>
      </c>
      <c r="Q344" s="8" t="n">
        <v>1249</v>
      </c>
      <c r="R344" s="8" t="n">
        <v>678</v>
      </c>
      <c r="S344" s="8" t="s">
        <v>117</v>
      </c>
      <c r="T344" s="8" t="s">
        <v>494</v>
      </c>
      <c r="U344" s="8" t="s">
        <v>495</v>
      </c>
      <c r="V344" s="8"/>
      <c r="W344" s="8" t="s">
        <v>496</v>
      </c>
      <c r="X344" s="8" t="s">
        <v>497</v>
      </c>
      <c r="Y344" s="8" t="s">
        <v>1079</v>
      </c>
      <c r="Z344" s="8" t="s">
        <v>1080</v>
      </c>
    </row>
    <row r="345" customFormat="false" ht="15" hidden="false" customHeight="false" outlineLevel="0" collapsed="false">
      <c r="A345" s="8" t="s">
        <v>493</v>
      </c>
      <c r="B345" s="8" t="s">
        <v>15</v>
      </c>
      <c r="C345" s="8" t="s">
        <v>16</v>
      </c>
      <c r="D345" s="8" t="s">
        <v>615</v>
      </c>
      <c r="E345" s="8" t="s">
        <v>38</v>
      </c>
      <c r="F345" s="8" t="s">
        <v>63</v>
      </c>
      <c r="G345" s="8" t="s">
        <v>31</v>
      </c>
      <c r="H345" s="8" t="s">
        <v>31</v>
      </c>
      <c r="I345" s="8" t="n">
        <f aca="false">IF(EXACT(G345,H345),1,0)</f>
        <v>1</v>
      </c>
      <c r="J345" s="8" t="n">
        <v>1</v>
      </c>
      <c r="K345" s="8" t="s">
        <v>140</v>
      </c>
      <c r="L345" s="8" t="n">
        <v>3</v>
      </c>
      <c r="M345" s="8" t="n">
        <v>0</v>
      </c>
      <c r="N345" s="8"/>
      <c r="O345" s="8" t="n">
        <v>1</v>
      </c>
      <c r="P345" s="10" t="n">
        <v>13.98</v>
      </c>
      <c r="Q345" s="8" t="n">
        <v>1249</v>
      </c>
      <c r="R345" s="8" t="n">
        <v>608</v>
      </c>
      <c r="S345" s="8" t="s">
        <v>117</v>
      </c>
      <c r="T345" s="8" t="s">
        <v>494</v>
      </c>
      <c r="U345" s="8" t="s">
        <v>495</v>
      </c>
      <c r="V345" s="8"/>
      <c r="W345" s="8" t="s">
        <v>496</v>
      </c>
      <c r="X345" s="8" t="s">
        <v>497</v>
      </c>
      <c r="Y345" s="8" t="s">
        <v>1081</v>
      </c>
      <c r="Z345" s="8" t="s">
        <v>1082</v>
      </c>
    </row>
    <row r="346" customFormat="false" ht="15" hidden="false" customHeight="false" outlineLevel="0" collapsed="false">
      <c r="A346" s="8" t="s">
        <v>493</v>
      </c>
      <c r="B346" s="8" t="s">
        <v>15</v>
      </c>
      <c r="C346" s="8" t="s">
        <v>16</v>
      </c>
      <c r="D346" s="8" t="s">
        <v>615</v>
      </c>
      <c r="E346" s="8" t="s">
        <v>38</v>
      </c>
      <c r="F346" s="8" t="s">
        <v>63</v>
      </c>
      <c r="G346" s="8" t="s">
        <v>31</v>
      </c>
      <c r="H346" s="8" t="s">
        <v>31</v>
      </c>
      <c r="I346" s="8" t="n">
        <f aca="false">IF(EXACT(G346,H346),1,0)</f>
        <v>1</v>
      </c>
      <c r="J346" s="8" t="n">
        <v>2</v>
      </c>
      <c r="K346" s="8" t="s">
        <v>140</v>
      </c>
      <c r="L346" s="8" t="n">
        <v>3</v>
      </c>
      <c r="M346" s="8" t="n">
        <v>0</v>
      </c>
      <c r="N346" s="8"/>
      <c r="O346" s="8" t="n">
        <v>1</v>
      </c>
      <c r="P346" s="10" t="n">
        <v>15.16</v>
      </c>
      <c r="Q346" s="8" t="n">
        <v>1249</v>
      </c>
      <c r="R346" s="8" t="n">
        <v>663</v>
      </c>
      <c r="S346" s="8" t="s">
        <v>117</v>
      </c>
      <c r="T346" s="8" t="s">
        <v>494</v>
      </c>
      <c r="U346" s="8" t="s">
        <v>495</v>
      </c>
      <c r="V346" s="8"/>
      <c r="W346" s="8" t="s">
        <v>496</v>
      </c>
      <c r="X346" s="8" t="s">
        <v>497</v>
      </c>
      <c r="Y346" s="8" t="s">
        <v>1083</v>
      </c>
      <c r="Z346" s="8" t="s">
        <v>1084</v>
      </c>
    </row>
    <row r="347" customFormat="false" ht="15" hidden="false" customHeight="false" outlineLevel="0" collapsed="false">
      <c r="A347" s="8" t="s">
        <v>499</v>
      </c>
      <c r="B347" s="8" t="s">
        <v>15</v>
      </c>
      <c r="C347" s="8" t="s">
        <v>16</v>
      </c>
      <c r="D347" s="8" t="s">
        <v>615</v>
      </c>
      <c r="E347" s="8" t="s">
        <v>38</v>
      </c>
      <c r="F347" s="8" t="s">
        <v>63</v>
      </c>
      <c r="G347" s="8" t="s">
        <v>30</v>
      </c>
      <c r="H347" s="8" t="s">
        <v>31</v>
      </c>
      <c r="I347" s="8" t="n">
        <f aca="false">IF(EXACT(G347,H347),1,0)</f>
        <v>0</v>
      </c>
      <c r="J347" s="8" t="n">
        <v>0</v>
      </c>
      <c r="K347" s="8" t="s">
        <v>116</v>
      </c>
      <c r="L347" s="8" t="n">
        <v>2</v>
      </c>
      <c r="M347" s="8" t="n">
        <v>0</v>
      </c>
      <c r="N347" s="8"/>
      <c r="O347" s="8" t="n">
        <v>1</v>
      </c>
      <c r="P347" s="10" t="n">
        <v>13.27</v>
      </c>
      <c r="Q347" s="8" t="n">
        <v>1271</v>
      </c>
      <c r="R347" s="8" t="n">
        <v>522</v>
      </c>
      <c r="S347" s="8" t="s">
        <v>216</v>
      </c>
      <c r="T347" s="8" t="s">
        <v>500</v>
      </c>
      <c r="U347" s="8" t="s">
        <v>501</v>
      </c>
      <c r="V347" s="8"/>
      <c r="W347" s="8" t="s">
        <v>502</v>
      </c>
      <c r="X347" s="8" t="s">
        <v>503</v>
      </c>
      <c r="Y347" s="8" t="s">
        <v>1085</v>
      </c>
      <c r="Z347" s="8" t="s">
        <v>1086</v>
      </c>
    </row>
    <row r="348" customFormat="false" ht="15" hidden="false" customHeight="false" outlineLevel="0" collapsed="false">
      <c r="A348" s="8" t="s">
        <v>499</v>
      </c>
      <c r="B348" s="8" t="s">
        <v>15</v>
      </c>
      <c r="C348" s="8" t="s">
        <v>16</v>
      </c>
      <c r="D348" s="8" t="s">
        <v>615</v>
      </c>
      <c r="E348" s="8" t="s">
        <v>38</v>
      </c>
      <c r="F348" s="8" t="s">
        <v>63</v>
      </c>
      <c r="G348" s="8" t="s">
        <v>30</v>
      </c>
      <c r="H348" s="8" t="s">
        <v>31</v>
      </c>
      <c r="I348" s="8" t="n">
        <f aca="false">IF(EXACT(G348,H348),1,0)</f>
        <v>0</v>
      </c>
      <c r="J348" s="8" t="n">
        <v>1</v>
      </c>
      <c r="K348" s="8" t="s">
        <v>116</v>
      </c>
      <c r="L348" s="8" t="n">
        <v>2</v>
      </c>
      <c r="M348" s="8" t="n">
        <v>0</v>
      </c>
      <c r="N348" s="8"/>
      <c r="O348" s="8" t="n">
        <v>1</v>
      </c>
      <c r="P348" s="10" t="n">
        <v>11.82</v>
      </c>
      <c r="Q348" s="8" t="n">
        <v>1271</v>
      </c>
      <c r="R348" s="8" t="n">
        <v>494</v>
      </c>
      <c r="S348" s="8" t="s">
        <v>216</v>
      </c>
      <c r="T348" s="8" t="s">
        <v>500</v>
      </c>
      <c r="U348" s="8" t="s">
        <v>501</v>
      </c>
      <c r="V348" s="8"/>
      <c r="W348" s="8" t="s">
        <v>502</v>
      </c>
      <c r="X348" s="8" t="s">
        <v>503</v>
      </c>
      <c r="Y348" s="8" t="s">
        <v>1087</v>
      </c>
      <c r="Z348" s="8" t="s">
        <v>1088</v>
      </c>
    </row>
    <row r="349" customFormat="false" ht="15" hidden="false" customHeight="false" outlineLevel="0" collapsed="false">
      <c r="A349" s="8" t="s">
        <v>499</v>
      </c>
      <c r="B349" s="8" t="s">
        <v>15</v>
      </c>
      <c r="C349" s="8" t="s">
        <v>16</v>
      </c>
      <c r="D349" s="8" t="s">
        <v>615</v>
      </c>
      <c r="E349" s="8" t="s">
        <v>38</v>
      </c>
      <c r="F349" s="8" t="s">
        <v>63</v>
      </c>
      <c r="G349" s="8" t="s">
        <v>30</v>
      </c>
      <c r="H349" s="8" t="s">
        <v>31</v>
      </c>
      <c r="I349" s="8" t="n">
        <f aca="false">IF(EXACT(G349,H349),1,0)</f>
        <v>0</v>
      </c>
      <c r="J349" s="8" t="n">
        <v>2</v>
      </c>
      <c r="K349" s="8" t="s">
        <v>116</v>
      </c>
      <c r="L349" s="8" t="n">
        <v>2</v>
      </c>
      <c r="M349" s="8" t="n">
        <v>0</v>
      </c>
      <c r="N349" s="8"/>
      <c r="O349" s="8" t="n">
        <v>1</v>
      </c>
      <c r="P349" s="10" t="n">
        <v>16.43</v>
      </c>
      <c r="Q349" s="8" t="n">
        <v>1271</v>
      </c>
      <c r="R349" s="8" t="n">
        <v>464</v>
      </c>
      <c r="S349" s="8" t="s">
        <v>216</v>
      </c>
      <c r="T349" s="8" t="s">
        <v>500</v>
      </c>
      <c r="U349" s="8" t="s">
        <v>501</v>
      </c>
      <c r="V349" s="8"/>
      <c r="W349" s="8" t="s">
        <v>502</v>
      </c>
      <c r="X349" s="8" t="s">
        <v>503</v>
      </c>
      <c r="Y349" s="8" t="s">
        <v>1089</v>
      </c>
      <c r="Z349" s="8" t="s">
        <v>1090</v>
      </c>
    </row>
    <row r="350" customFormat="false" ht="15" hidden="false" customHeight="false" outlineLevel="0" collapsed="false">
      <c r="A350" s="8" t="s">
        <v>504</v>
      </c>
      <c r="B350" s="8" t="s">
        <v>15</v>
      </c>
      <c r="C350" s="8" t="s">
        <v>16</v>
      </c>
      <c r="D350" s="8" t="s">
        <v>615</v>
      </c>
      <c r="E350" s="8" t="s">
        <v>38</v>
      </c>
      <c r="F350" s="8" t="s">
        <v>63</v>
      </c>
      <c r="G350" s="8" t="s">
        <v>32</v>
      </c>
      <c r="H350" s="8" t="s">
        <v>32</v>
      </c>
      <c r="I350" s="8" t="n">
        <f aca="false">IF(EXACT(G350,H350),1,0)</f>
        <v>1</v>
      </c>
      <c r="J350" s="8" t="n">
        <v>0</v>
      </c>
      <c r="K350" s="8" t="s">
        <v>92</v>
      </c>
      <c r="L350" s="8" t="n">
        <v>0</v>
      </c>
      <c r="M350" s="8" t="n">
        <v>0</v>
      </c>
      <c r="N350" s="8"/>
      <c r="O350" s="8" t="n">
        <v>1</v>
      </c>
      <c r="P350" s="10" t="n">
        <v>2.86</v>
      </c>
      <c r="Q350" s="8" t="n">
        <v>1282</v>
      </c>
      <c r="R350" s="8" t="n">
        <v>83</v>
      </c>
      <c r="S350" s="8" t="s">
        <v>384</v>
      </c>
      <c r="T350" s="8" t="s">
        <v>505</v>
      </c>
      <c r="U350" s="8" t="s">
        <v>506</v>
      </c>
      <c r="V350" s="8"/>
      <c r="W350" s="8" t="s">
        <v>507</v>
      </c>
      <c r="X350" s="8" t="s">
        <v>508</v>
      </c>
      <c r="Y350" s="8" t="s">
        <v>1091</v>
      </c>
      <c r="Z350" s="8"/>
    </row>
    <row r="351" customFormat="false" ht="15" hidden="false" customHeight="false" outlineLevel="0" collapsed="false">
      <c r="A351" s="8" t="s">
        <v>504</v>
      </c>
      <c r="B351" s="8" t="s">
        <v>15</v>
      </c>
      <c r="C351" s="8" t="s">
        <v>16</v>
      </c>
      <c r="D351" s="8" t="s">
        <v>615</v>
      </c>
      <c r="E351" s="8" t="s">
        <v>38</v>
      </c>
      <c r="F351" s="8" t="s">
        <v>63</v>
      </c>
      <c r="G351" s="8" t="s">
        <v>32</v>
      </c>
      <c r="H351" s="8" t="s">
        <v>32</v>
      </c>
      <c r="I351" s="8" t="n">
        <f aca="false">IF(EXACT(G351,H351),1,0)</f>
        <v>1</v>
      </c>
      <c r="J351" s="8" t="n">
        <v>1</v>
      </c>
      <c r="K351" s="8" t="s">
        <v>92</v>
      </c>
      <c r="L351" s="8" t="n">
        <v>0</v>
      </c>
      <c r="M351" s="8" t="n">
        <v>0</v>
      </c>
      <c r="N351" s="8"/>
      <c r="O351" s="8" t="n">
        <v>1</v>
      </c>
      <c r="P351" s="10" t="n">
        <v>4.05</v>
      </c>
      <c r="Q351" s="8" t="n">
        <v>1282</v>
      </c>
      <c r="R351" s="8" t="n">
        <v>101</v>
      </c>
      <c r="S351" s="8" t="s">
        <v>384</v>
      </c>
      <c r="T351" s="8" t="s">
        <v>505</v>
      </c>
      <c r="U351" s="8" t="s">
        <v>506</v>
      </c>
      <c r="V351" s="8"/>
      <c r="W351" s="8" t="s">
        <v>507</v>
      </c>
      <c r="X351" s="8" t="s">
        <v>508</v>
      </c>
      <c r="Y351" s="8" t="s">
        <v>1092</v>
      </c>
      <c r="Z351" s="8"/>
    </row>
    <row r="352" customFormat="false" ht="15" hidden="false" customHeight="false" outlineLevel="0" collapsed="false">
      <c r="A352" s="8" t="s">
        <v>504</v>
      </c>
      <c r="B352" s="8" t="s">
        <v>15</v>
      </c>
      <c r="C352" s="8" t="s">
        <v>16</v>
      </c>
      <c r="D352" s="8" t="s">
        <v>615</v>
      </c>
      <c r="E352" s="8" t="s">
        <v>38</v>
      </c>
      <c r="F352" s="8" t="s">
        <v>63</v>
      </c>
      <c r="G352" s="8" t="s">
        <v>32</v>
      </c>
      <c r="H352" s="8" t="s">
        <v>32</v>
      </c>
      <c r="I352" s="8" t="n">
        <f aca="false">IF(EXACT(G352,H352),1,0)</f>
        <v>1</v>
      </c>
      <c r="J352" s="8" t="n">
        <v>2</v>
      </c>
      <c r="K352" s="8" t="s">
        <v>92</v>
      </c>
      <c r="L352" s="8" t="n">
        <v>0</v>
      </c>
      <c r="M352" s="8" t="n">
        <v>0</v>
      </c>
      <c r="N352" s="8"/>
      <c r="O352" s="8" t="n">
        <v>1</v>
      </c>
      <c r="P352" s="10" t="n">
        <v>3.36</v>
      </c>
      <c r="Q352" s="8" t="n">
        <v>1282</v>
      </c>
      <c r="R352" s="8" t="n">
        <v>89</v>
      </c>
      <c r="S352" s="8" t="s">
        <v>384</v>
      </c>
      <c r="T352" s="8" t="s">
        <v>505</v>
      </c>
      <c r="U352" s="8" t="s">
        <v>506</v>
      </c>
      <c r="V352" s="8"/>
      <c r="W352" s="8" t="s">
        <v>507</v>
      </c>
      <c r="X352" s="8" t="s">
        <v>508</v>
      </c>
      <c r="Y352" s="8" t="s">
        <v>1093</v>
      </c>
      <c r="Z352" s="8"/>
    </row>
    <row r="353" customFormat="false" ht="15" hidden="false" customHeight="false" outlineLevel="0" collapsed="false">
      <c r="A353" s="8" t="s">
        <v>509</v>
      </c>
      <c r="B353" s="8" t="s">
        <v>15</v>
      </c>
      <c r="C353" s="8" t="s">
        <v>16</v>
      </c>
      <c r="D353" s="8" t="s">
        <v>615</v>
      </c>
      <c r="E353" s="8" t="s">
        <v>38</v>
      </c>
      <c r="F353" s="8" t="s">
        <v>63</v>
      </c>
      <c r="G353" s="8" t="s">
        <v>32</v>
      </c>
      <c r="H353" s="8" t="s">
        <v>30</v>
      </c>
      <c r="I353" s="8" t="n">
        <f aca="false">IF(EXACT(G353,H353),1,0)</f>
        <v>0</v>
      </c>
      <c r="J353" s="8" t="n">
        <v>0</v>
      </c>
      <c r="K353" s="8" t="s">
        <v>92</v>
      </c>
      <c r="L353" s="8" t="n">
        <v>0</v>
      </c>
      <c r="M353" s="8" t="n">
        <v>0</v>
      </c>
      <c r="N353" s="8"/>
      <c r="O353" s="8" t="n">
        <v>1</v>
      </c>
      <c r="P353" s="10" t="n">
        <v>4.11</v>
      </c>
      <c r="Q353" s="8" t="n">
        <v>1255</v>
      </c>
      <c r="R353" s="8" t="n">
        <v>92</v>
      </c>
      <c r="S353" s="8" t="s">
        <v>132</v>
      </c>
      <c r="T353" s="8" t="s">
        <v>500</v>
      </c>
      <c r="U353" s="8" t="s">
        <v>501</v>
      </c>
      <c r="V353" s="8"/>
      <c r="W353" s="8" t="s">
        <v>510</v>
      </c>
      <c r="X353" s="8" t="s">
        <v>511</v>
      </c>
      <c r="Y353" s="8" t="s">
        <v>1094</v>
      </c>
      <c r="Z353" s="8"/>
    </row>
    <row r="354" customFormat="false" ht="15" hidden="false" customHeight="false" outlineLevel="0" collapsed="false">
      <c r="A354" s="8" t="s">
        <v>509</v>
      </c>
      <c r="B354" s="8" t="s">
        <v>15</v>
      </c>
      <c r="C354" s="8" t="s">
        <v>16</v>
      </c>
      <c r="D354" s="8" t="s">
        <v>615</v>
      </c>
      <c r="E354" s="8" t="s">
        <v>38</v>
      </c>
      <c r="F354" s="8" t="s">
        <v>63</v>
      </c>
      <c r="G354" s="8" t="s">
        <v>32</v>
      </c>
      <c r="H354" s="8" t="s">
        <v>30</v>
      </c>
      <c r="I354" s="8" t="n">
        <f aca="false">IF(EXACT(G354,H354),1,0)</f>
        <v>0</v>
      </c>
      <c r="J354" s="8" t="n">
        <v>1</v>
      </c>
      <c r="K354" s="8" t="s">
        <v>92</v>
      </c>
      <c r="L354" s="8" t="n">
        <v>0</v>
      </c>
      <c r="M354" s="8" t="n">
        <v>0</v>
      </c>
      <c r="N354" s="8"/>
      <c r="O354" s="8" t="n">
        <v>1</v>
      </c>
      <c r="P354" s="10" t="n">
        <v>2.98</v>
      </c>
      <c r="Q354" s="8" t="n">
        <v>1255</v>
      </c>
      <c r="R354" s="8" t="n">
        <v>84</v>
      </c>
      <c r="S354" s="8" t="s">
        <v>132</v>
      </c>
      <c r="T354" s="8" t="s">
        <v>500</v>
      </c>
      <c r="U354" s="8" t="s">
        <v>501</v>
      </c>
      <c r="V354" s="8"/>
      <c r="W354" s="8" t="s">
        <v>510</v>
      </c>
      <c r="X354" s="8" t="s">
        <v>511</v>
      </c>
      <c r="Y354" s="8" t="s">
        <v>1095</v>
      </c>
      <c r="Z354" s="8"/>
    </row>
    <row r="355" customFormat="false" ht="15" hidden="false" customHeight="false" outlineLevel="0" collapsed="false">
      <c r="A355" s="8" t="s">
        <v>509</v>
      </c>
      <c r="B355" s="8" t="s">
        <v>15</v>
      </c>
      <c r="C355" s="8" t="s">
        <v>16</v>
      </c>
      <c r="D355" s="8" t="s">
        <v>615</v>
      </c>
      <c r="E355" s="8" t="s">
        <v>38</v>
      </c>
      <c r="F355" s="8" t="s">
        <v>63</v>
      </c>
      <c r="G355" s="8" t="s">
        <v>32</v>
      </c>
      <c r="H355" s="8" t="s">
        <v>30</v>
      </c>
      <c r="I355" s="8" t="n">
        <f aca="false">IF(EXACT(G355,H355),1,0)</f>
        <v>0</v>
      </c>
      <c r="J355" s="8" t="n">
        <v>2</v>
      </c>
      <c r="K355" s="8" t="s">
        <v>92</v>
      </c>
      <c r="L355" s="8" t="n">
        <v>0</v>
      </c>
      <c r="M355" s="8" t="n">
        <v>0</v>
      </c>
      <c r="N355" s="8"/>
      <c r="O355" s="8" t="n">
        <v>1</v>
      </c>
      <c r="P355" s="10" t="n">
        <v>3.08</v>
      </c>
      <c r="Q355" s="8" t="n">
        <v>1255</v>
      </c>
      <c r="R355" s="8" t="n">
        <v>84</v>
      </c>
      <c r="S355" s="8" t="s">
        <v>132</v>
      </c>
      <c r="T355" s="8" t="s">
        <v>500</v>
      </c>
      <c r="U355" s="8" t="s">
        <v>501</v>
      </c>
      <c r="V355" s="8"/>
      <c r="W355" s="8" t="s">
        <v>510</v>
      </c>
      <c r="X355" s="8" t="s">
        <v>511</v>
      </c>
      <c r="Y355" s="8" t="s">
        <v>1095</v>
      </c>
      <c r="Z355" s="8"/>
    </row>
    <row r="356" customFormat="false" ht="15" hidden="false" customHeight="false" outlineLevel="0" collapsed="false">
      <c r="A356" s="8" t="s">
        <v>512</v>
      </c>
      <c r="B356" s="8" t="s">
        <v>15</v>
      </c>
      <c r="C356" s="8" t="s">
        <v>16</v>
      </c>
      <c r="D356" s="8" t="s">
        <v>615</v>
      </c>
      <c r="E356" s="8" t="s">
        <v>38</v>
      </c>
      <c r="F356" s="8" t="s">
        <v>63</v>
      </c>
      <c r="G356" s="8" t="s">
        <v>30</v>
      </c>
      <c r="H356" s="8" t="s">
        <v>31</v>
      </c>
      <c r="I356" s="8" t="n">
        <f aca="false">IF(EXACT(G356,H356),1,0)</f>
        <v>0</v>
      </c>
      <c r="J356" s="8" t="n">
        <v>0</v>
      </c>
      <c r="K356" s="8" t="s">
        <v>737</v>
      </c>
      <c r="L356" s="8" t="n">
        <v>3</v>
      </c>
      <c r="M356" s="8" t="n">
        <v>0</v>
      </c>
      <c r="N356" s="8"/>
      <c r="O356" s="8" t="n">
        <v>1</v>
      </c>
      <c r="P356" s="10" t="n">
        <v>13.81</v>
      </c>
      <c r="Q356" s="8" t="n">
        <v>1310</v>
      </c>
      <c r="R356" s="8" t="n">
        <v>624</v>
      </c>
      <c r="S356" s="8" t="s">
        <v>105</v>
      </c>
      <c r="T356" s="8" t="s">
        <v>513</v>
      </c>
      <c r="U356" s="8" t="s">
        <v>514</v>
      </c>
      <c r="V356" s="8"/>
      <c r="W356" s="8" t="s">
        <v>515</v>
      </c>
      <c r="X356" s="8" t="s">
        <v>516</v>
      </c>
      <c r="Y356" s="8" t="s">
        <v>1096</v>
      </c>
      <c r="Z356" s="8" t="s">
        <v>1097</v>
      </c>
    </row>
    <row r="357" customFormat="false" ht="15" hidden="false" customHeight="false" outlineLevel="0" collapsed="false">
      <c r="A357" s="8" t="s">
        <v>512</v>
      </c>
      <c r="B357" s="8" t="s">
        <v>15</v>
      </c>
      <c r="C357" s="8" t="s">
        <v>16</v>
      </c>
      <c r="D357" s="8" t="s">
        <v>615</v>
      </c>
      <c r="E357" s="8" t="s">
        <v>38</v>
      </c>
      <c r="F357" s="8" t="s">
        <v>63</v>
      </c>
      <c r="G357" s="8" t="s">
        <v>30</v>
      </c>
      <c r="H357" s="8" t="s">
        <v>31</v>
      </c>
      <c r="I357" s="8" t="n">
        <f aca="false">IF(EXACT(G357,H357),1,0)</f>
        <v>0</v>
      </c>
      <c r="J357" s="8" t="n">
        <v>1</v>
      </c>
      <c r="K357" s="8" t="s">
        <v>116</v>
      </c>
      <c r="L357" s="8" t="n">
        <v>5</v>
      </c>
      <c r="M357" s="8" t="n">
        <v>0</v>
      </c>
      <c r="N357" s="8"/>
      <c r="O357" s="8" t="n">
        <v>1</v>
      </c>
      <c r="P357" s="10" t="n">
        <v>18.73</v>
      </c>
      <c r="Q357" s="8" t="n">
        <v>1310</v>
      </c>
      <c r="R357" s="8" t="n">
        <v>857</v>
      </c>
      <c r="S357" s="8" t="s">
        <v>105</v>
      </c>
      <c r="T357" s="8" t="s">
        <v>513</v>
      </c>
      <c r="U357" s="8" t="s">
        <v>514</v>
      </c>
      <c r="V357" s="8"/>
      <c r="W357" s="8" t="s">
        <v>515</v>
      </c>
      <c r="X357" s="8" t="s">
        <v>516</v>
      </c>
      <c r="Y357" s="8" t="s">
        <v>1098</v>
      </c>
      <c r="Z357" s="8" t="s">
        <v>1099</v>
      </c>
    </row>
    <row r="358" customFormat="false" ht="15" hidden="false" customHeight="false" outlineLevel="0" collapsed="false">
      <c r="A358" s="8" t="s">
        <v>512</v>
      </c>
      <c r="B358" s="8" t="s">
        <v>15</v>
      </c>
      <c r="C358" s="8" t="s">
        <v>16</v>
      </c>
      <c r="D358" s="8" t="s">
        <v>615</v>
      </c>
      <c r="E358" s="8" t="s">
        <v>38</v>
      </c>
      <c r="F358" s="8" t="s">
        <v>63</v>
      </c>
      <c r="G358" s="8" t="s">
        <v>30</v>
      </c>
      <c r="H358" s="8" t="s">
        <v>31</v>
      </c>
      <c r="I358" s="8" t="n">
        <f aca="false">IF(EXACT(G358,H358),1,0)</f>
        <v>0</v>
      </c>
      <c r="J358" s="8" t="n">
        <v>2</v>
      </c>
      <c r="K358" s="8" t="s">
        <v>737</v>
      </c>
      <c r="L358" s="8" t="n">
        <v>3</v>
      </c>
      <c r="M358" s="8" t="n">
        <v>0</v>
      </c>
      <c r="N358" s="8"/>
      <c r="O358" s="8" t="n">
        <v>1</v>
      </c>
      <c r="P358" s="10" t="n">
        <v>15.05</v>
      </c>
      <c r="Q358" s="8" t="n">
        <v>1310</v>
      </c>
      <c r="R358" s="8" t="n">
        <v>690</v>
      </c>
      <c r="S358" s="8" t="s">
        <v>105</v>
      </c>
      <c r="T358" s="8" t="s">
        <v>513</v>
      </c>
      <c r="U358" s="8" t="s">
        <v>514</v>
      </c>
      <c r="V358" s="8"/>
      <c r="W358" s="8" t="s">
        <v>515</v>
      </c>
      <c r="X358" s="8" t="s">
        <v>516</v>
      </c>
      <c r="Y358" s="8" t="s">
        <v>1100</v>
      </c>
      <c r="Z358" s="8" t="s">
        <v>1101</v>
      </c>
    </row>
    <row r="359" customFormat="false" ht="15" hidden="false" customHeight="false" outlineLevel="0" collapsed="false">
      <c r="A359" s="8" t="s">
        <v>124</v>
      </c>
      <c r="B359" s="8" t="s">
        <v>15</v>
      </c>
      <c r="C359" s="8" t="s">
        <v>16</v>
      </c>
      <c r="D359" s="8" t="s">
        <v>615</v>
      </c>
      <c r="E359" s="8" t="s">
        <v>39</v>
      </c>
      <c r="F359" s="8" t="s">
        <v>50</v>
      </c>
      <c r="G359" s="8" t="s">
        <v>32</v>
      </c>
      <c r="H359" s="8" t="s">
        <v>31</v>
      </c>
      <c r="I359" s="8" t="n">
        <f aca="false">IF(EXACT(G359,H359),1,0)</f>
        <v>0</v>
      </c>
      <c r="J359" s="8" t="n">
        <v>0</v>
      </c>
      <c r="K359" s="8" t="s">
        <v>140</v>
      </c>
      <c r="L359" s="8" t="n">
        <v>2</v>
      </c>
      <c r="M359" s="8" t="n">
        <v>0</v>
      </c>
      <c r="N359" s="8"/>
      <c r="O359" s="8" t="n">
        <v>1</v>
      </c>
      <c r="P359" s="10" t="n">
        <v>11.55</v>
      </c>
      <c r="Q359" s="8" t="n">
        <v>1443</v>
      </c>
      <c r="R359" s="8" t="n">
        <v>503</v>
      </c>
      <c r="S359" s="8" t="s">
        <v>125</v>
      </c>
      <c r="T359" s="8" t="s">
        <v>126</v>
      </c>
      <c r="U359" s="8" t="s">
        <v>127</v>
      </c>
      <c r="V359" s="8"/>
      <c r="W359" s="8" t="s">
        <v>128</v>
      </c>
      <c r="X359" s="8" t="s">
        <v>517</v>
      </c>
      <c r="Y359" s="8" t="s">
        <v>1102</v>
      </c>
      <c r="Z359" s="8" t="s">
        <v>1103</v>
      </c>
    </row>
    <row r="360" customFormat="false" ht="15" hidden="false" customHeight="false" outlineLevel="0" collapsed="false">
      <c r="A360" s="8" t="s">
        <v>124</v>
      </c>
      <c r="B360" s="8" t="s">
        <v>15</v>
      </c>
      <c r="C360" s="8" t="s">
        <v>16</v>
      </c>
      <c r="D360" s="8" t="s">
        <v>615</v>
      </c>
      <c r="E360" s="8" t="s">
        <v>39</v>
      </c>
      <c r="F360" s="8" t="s">
        <v>50</v>
      </c>
      <c r="G360" s="8" t="s">
        <v>32</v>
      </c>
      <c r="H360" s="8" t="s">
        <v>31</v>
      </c>
      <c r="I360" s="8" t="n">
        <f aca="false">IF(EXACT(G360,H360),1,0)</f>
        <v>0</v>
      </c>
      <c r="J360" s="8" t="n">
        <v>1</v>
      </c>
      <c r="K360" s="8" t="s">
        <v>140</v>
      </c>
      <c r="L360" s="8" t="n">
        <v>2</v>
      </c>
      <c r="M360" s="8" t="n">
        <v>0</v>
      </c>
      <c r="N360" s="8"/>
      <c r="O360" s="8" t="n">
        <v>1</v>
      </c>
      <c r="P360" s="10" t="n">
        <v>11.01</v>
      </c>
      <c r="Q360" s="8" t="n">
        <v>1443</v>
      </c>
      <c r="R360" s="8" t="n">
        <v>489</v>
      </c>
      <c r="S360" s="8" t="s">
        <v>125</v>
      </c>
      <c r="T360" s="8" t="s">
        <v>126</v>
      </c>
      <c r="U360" s="8" t="s">
        <v>127</v>
      </c>
      <c r="V360" s="8"/>
      <c r="W360" s="8" t="s">
        <v>128</v>
      </c>
      <c r="X360" s="8" t="s">
        <v>517</v>
      </c>
      <c r="Y360" s="8" t="s">
        <v>1104</v>
      </c>
      <c r="Z360" s="8" t="s">
        <v>1105</v>
      </c>
    </row>
    <row r="361" customFormat="false" ht="15" hidden="false" customHeight="false" outlineLevel="0" collapsed="false">
      <c r="A361" s="8" t="s">
        <v>124</v>
      </c>
      <c r="B361" s="8" t="s">
        <v>15</v>
      </c>
      <c r="C361" s="8" t="s">
        <v>16</v>
      </c>
      <c r="D361" s="8" t="s">
        <v>615</v>
      </c>
      <c r="E361" s="8" t="s">
        <v>39</v>
      </c>
      <c r="F361" s="8" t="s">
        <v>50</v>
      </c>
      <c r="G361" s="8" t="s">
        <v>32</v>
      </c>
      <c r="H361" s="8" t="s">
        <v>31</v>
      </c>
      <c r="I361" s="8" t="n">
        <f aca="false">IF(EXACT(G361,H361),1,0)</f>
        <v>0</v>
      </c>
      <c r="J361" s="8" t="n">
        <v>2</v>
      </c>
      <c r="K361" s="8" t="s">
        <v>140</v>
      </c>
      <c r="L361" s="8" t="n">
        <v>2</v>
      </c>
      <c r="M361" s="8" t="n">
        <v>0</v>
      </c>
      <c r="N361" s="8"/>
      <c r="O361" s="8" t="n">
        <v>1</v>
      </c>
      <c r="P361" s="10" t="n">
        <v>10.08</v>
      </c>
      <c r="Q361" s="8" t="n">
        <v>1443</v>
      </c>
      <c r="R361" s="8" t="n">
        <v>444</v>
      </c>
      <c r="S361" s="8" t="s">
        <v>125</v>
      </c>
      <c r="T361" s="8" t="s">
        <v>126</v>
      </c>
      <c r="U361" s="8" t="s">
        <v>127</v>
      </c>
      <c r="V361" s="8"/>
      <c r="W361" s="8" t="s">
        <v>128</v>
      </c>
      <c r="X361" s="8" t="s">
        <v>517</v>
      </c>
      <c r="Y361" s="8" t="s">
        <v>1106</v>
      </c>
      <c r="Z361" s="8" t="s">
        <v>1107</v>
      </c>
    </row>
    <row r="362" customFormat="false" ht="15" hidden="false" customHeight="false" outlineLevel="0" collapsed="false">
      <c r="A362" s="8" t="s">
        <v>131</v>
      </c>
      <c r="B362" s="8" t="s">
        <v>15</v>
      </c>
      <c r="C362" s="8" t="s">
        <v>16</v>
      </c>
      <c r="D362" s="8" t="s">
        <v>615</v>
      </c>
      <c r="E362" s="8" t="s">
        <v>39</v>
      </c>
      <c r="F362" s="8" t="s">
        <v>50</v>
      </c>
      <c r="G362" s="8" t="s">
        <v>32</v>
      </c>
      <c r="H362" s="8" t="s">
        <v>32</v>
      </c>
      <c r="I362" s="8" t="n">
        <f aca="false">IF(EXACT(G362,H362),1,0)</f>
        <v>1</v>
      </c>
      <c r="J362" s="8" t="n">
        <v>0</v>
      </c>
      <c r="K362" s="8" t="s">
        <v>92</v>
      </c>
      <c r="L362" s="8" t="n">
        <v>0</v>
      </c>
      <c r="M362" s="8" t="n">
        <v>0</v>
      </c>
      <c r="N362" s="8"/>
      <c r="O362" s="8" t="n">
        <v>1</v>
      </c>
      <c r="P362" s="10" t="n">
        <v>5.76</v>
      </c>
      <c r="Q362" s="8" t="n">
        <v>1431</v>
      </c>
      <c r="R362" s="8" t="n">
        <v>77</v>
      </c>
      <c r="S362" s="8" t="s">
        <v>132</v>
      </c>
      <c r="T362" s="8" t="s">
        <v>126</v>
      </c>
      <c r="U362" s="8" t="s">
        <v>127</v>
      </c>
      <c r="V362" s="8"/>
      <c r="W362" s="8" t="s">
        <v>133</v>
      </c>
      <c r="X362" s="8" t="s">
        <v>518</v>
      </c>
      <c r="Y362" s="8" t="s">
        <v>1108</v>
      </c>
      <c r="Z362" s="8"/>
    </row>
    <row r="363" customFormat="false" ht="15" hidden="false" customHeight="false" outlineLevel="0" collapsed="false">
      <c r="A363" s="8" t="s">
        <v>131</v>
      </c>
      <c r="B363" s="8" t="s">
        <v>15</v>
      </c>
      <c r="C363" s="8" t="s">
        <v>16</v>
      </c>
      <c r="D363" s="8" t="s">
        <v>615</v>
      </c>
      <c r="E363" s="8" t="s">
        <v>39</v>
      </c>
      <c r="F363" s="8" t="s">
        <v>50</v>
      </c>
      <c r="G363" s="8" t="s">
        <v>32</v>
      </c>
      <c r="H363" s="8" t="s">
        <v>32</v>
      </c>
      <c r="I363" s="8" t="n">
        <f aca="false">IF(EXACT(G363,H363),1,0)</f>
        <v>1</v>
      </c>
      <c r="J363" s="8" t="n">
        <v>1</v>
      </c>
      <c r="K363" s="8" t="s">
        <v>92</v>
      </c>
      <c r="L363" s="8" t="n">
        <v>0</v>
      </c>
      <c r="M363" s="8" t="n">
        <v>0</v>
      </c>
      <c r="N363" s="8"/>
      <c r="O363" s="8" t="n">
        <v>1</v>
      </c>
      <c r="P363" s="10" t="n">
        <v>2.67</v>
      </c>
      <c r="Q363" s="8" t="n">
        <v>1431</v>
      </c>
      <c r="R363" s="8" t="n">
        <v>76</v>
      </c>
      <c r="S363" s="8" t="s">
        <v>132</v>
      </c>
      <c r="T363" s="8" t="s">
        <v>126</v>
      </c>
      <c r="U363" s="8" t="s">
        <v>127</v>
      </c>
      <c r="V363" s="8"/>
      <c r="W363" s="8" t="s">
        <v>133</v>
      </c>
      <c r="X363" s="8" t="s">
        <v>518</v>
      </c>
      <c r="Y363" s="8" t="s">
        <v>1109</v>
      </c>
      <c r="Z363" s="8"/>
    </row>
    <row r="364" customFormat="false" ht="15" hidden="false" customHeight="false" outlineLevel="0" collapsed="false">
      <c r="A364" s="8" t="s">
        <v>131</v>
      </c>
      <c r="B364" s="8" t="s">
        <v>15</v>
      </c>
      <c r="C364" s="8" t="s">
        <v>16</v>
      </c>
      <c r="D364" s="8" t="s">
        <v>615</v>
      </c>
      <c r="E364" s="8" t="s">
        <v>39</v>
      </c>
      <c r="F364" s="8" t="s">
        <v>50</v>
      </c>
      <c r="G364" s="8" t="s">
        <v>32</v>
      </c>
      <c r="H364" s="8" t="s">
        <v>32</v>
      </c>
      <c r="I364" s="8" t="n">
        <f aca="false">IF(EXACT(G364,H364),1,0)</f>
        <v>1</v>
      </c>
      <c r="J364" s="8" t="n">
        <v>2</v>
      </c>
      <c r="K364" s="8" t="s">
        <v>92</v>
      </c>
      <c r="L364" s="8" t="n">
        <v>0</v>
      </c>
      <c r="M364" s="8" t="n">
        <v>0</v>
      </c>
      <c r="N364" s="8"/>
      <c r="O364" s="8" t="n">
        <v>1</v>
      </c>
      <c r="P364" s="10" t="n">
        <v>2.81</v>
      </c>
      <c r="Q364" s="8" t="n">
        <v>1431</v>
      </c>
      <c r="R364" s="8" t="n">
        <v>81</v>
      </c>
      <c r="S364" s="8" t="s">
        <v>132</v>
      </c>
      <c r="T364" s="8" t="s">
        <v>126</v>
      </c>
      <c r="U364" s="8" t="s">
        <v>127</v>
      </c>
      <c r="V364" s="8"/>
      <c r="W364" s="8" t="s">
        <v>133</v>
      </c>
      <c r="X364" s="8" t="s">
        <v>518</v>
      </c>
      <c r="Y364" s="8" t="s">
        <v>1110</v>
      </c>
      <c r="Z364" s="8"/>
    </row>
    <row r="365" customFormat="false" ht="15" hidden="false" customHeight="false" outlineLevel="0" collapsed="false">
      <c r="A365" s="8" t="s">
        <v>135</v>
      </c>
      <c r="B365" s="8" t="s">
        <v>15</v>
      </c>
      <c r="C365" s="8" t="s">
        <v>16</v>
      </c>
      <c r="D365" s="8" t="s">
        <v>615</v>
      </c>
      <c r="E365" s="8" t="s">
        <v>39</v>
      </c>
      <c r="F365" s="8" t="s">
        <v>50</v>
      </c>
      <c r="G365" s="8" t="s">
        <v>30</v>
      </c>
      <c r="H365" s="8" t="s">
        <v>31</v>
      </c>
      <c r="I365" s="8" t="n">
        <f aca="false">IF(EXACT(G365,H365),1,0)</f>
        <v>0</v>
      </c>
      <c r="J365" s="8" t="n">
        <v>0</v>
      </c>
      <c r="K365" s="8" t="s">
        <v>140</v>
      </c>
      <c r="L365" s="8" t="n">
        <v>1</v>
      </c>
      <c r="M365" s="8" t="n">
        <v>0</v>
      </c>
      <c r="N365" s="8"/>
      <c r="O365" s="8" t="n">
        <v>1</v>
      </c>
      <c r="P365" s="10" t="n">
        <v>7.28</v>
      </c>
      <c r="Q365" s="8" t="n">
        <v>1422</v>
      </c>
      <c r="R365" s="8" t="n">
        <v>275</v>
      </c>
      <c r="S365" s="8" t="s">
        <v>105</v>
      </c>
      <c r="T365" s="8" t="s">
        <v>126</v>
      </c>
      <c r="U365" s="8" t="s">
        <v>127</v>
      </c>
      <c r="V365" s="8"/>
      <c r="W365" s="8" t="s">
        <v>136</v>
      </c>
      <c r="X365" s="8" t="s">
        <v>519</v>
      </c>
      <c r="Y365" s="8" t="s">
        <v>1111</v>
      </c>
      <c r="Z365" s="8" t="s">
        <v>1112</v>
      </c>
    </row>
    <row r="366" customFormat="false" ht="15" hidden="false" customHeight="false" outlineLevel="0" collapsed="false">
      <c r="A366" s="8" t="s">
        <v>135</v>
      </c>
      <c r="B366" s="8" t="s">
        <v>15</v>
      </c>
      <c r="C366" s="8" t="s">
        <v>16</v>
      </c>
      <c r="D366" s="8" t="s">
        <v>615</v>
      </c>
      <c r="E366" s="8" t="s">
        <v>39</v>
      </c>
      <c r="F366" s="8" t="s">
        <v>50</v>
      </c>
      <c r="G366" s="8" t="s">
        <v>30</v>
      </c>
      <c r="H366" s="8" t="s">
        <v>31</v>
      </c>
      <c r="I366" s="8" t="n">
        <f aca="false">IF(EXACT(G366,H366),1,0)</f>
        <v>0</v>
      </c>
      <c r="J366" s="8" t="n">
        <v>1</v>
      </c>
      <c r="K366" s="8" t="s">
        <v>140</v>
      </c>
      <c r="L366" s="8" t="n">
        <v>5</v>
      </c>
      <c r="M366" s="8" t="n">
        <v>0</v>
      </c>
      <c r="N366" s="8"/>
      <c r="O366" s="8" t="n">
        <v>1</v>
      </c>
      <c r="P366" s="10" t="n">
        <v>13.48</v>
      </c>
      <c r="Q366" s="8" t="n">
        <v>1422</v>
      </c>
      <c r="R366" s="8" t="n">
        <v>663</v>
      </c>
      <c r="S366" s="8" t="s">
        <v>105</v>
      </c>
      <c r="T366" s="8" t="s">
        <v>126</v>
      </c>
      <c r="U366" s="8" t="s">
        <v>127</v>
      </c>
      <c r="V366" s="8"/>
      <c r="W366" s="8" t="s">
        <v>136</v>
      </c>
      <c r="X366" s="8" t="s">
        <v>519</v>
      </c>
      <c r="Y366" s="8" t="s">
        <v>1113</v>
      </c>
      <c r="Z366" s="8" t="s">
        <v>1114</v>
      </c>
    </row>
    <row r="367" customFormat="false" ht="15" hidden="false" customHeight="false" outlineLevel="0" collapsed="false">
      <c r="A367" s="8" t="s">
        <v>135</v>
      </c>
      <c r="B367" s="8" t="s">
        <v>15</v>
      </c>
      <c r="C367" s="8" t="s">
        <v>16</v>
      </c>
      <c r="D367" s="8" t="s">
        <v>615</v>
      </c>
      <c r="E367" s="8" t="s">
        <v>39</v>
      </c>
      <c r="F367" s="8" t="s">
        <v>50</v>
      </c>
      <c r="G367" s="8" t="s">
        <v>30</v>
      </c>
      <c r="H367" s="8" t="s">
        <v>31</v>
      </c>
      <c r="I367" s="8" t="n">
        <f aca="false">IF(EXACT(G367,H367),1,0)</f>
        <v>0</v>
      </c>
      <c r="J367" s="8" t="n">
        <v>2</v>
      </c>
      <c r="K367" s="8" t="s">
        <v>140</v>
      </c>
      <c r="L367" s="8" t="n">
        <v>1</v>
      </c>
      <c r="M367" s="8" t="n">
        <v>0</v>
      </c>
      <c r="N367" s="8"/>
      <c r="O367" s="8" t="n">
        <v>1</v>
      </c>
      <c r="P367" s="10" t="n">
        <v>7.13</v>
      </c>
      <c r="Q367" s="8" t="n">
        <v>1422</v>
      </c>
      <c r="R367" s="8" t="n">
        <v>280</v>
      </c>
      <c r="S367" s="8" t="s">
        <v>105</v>
      </c>
      <c r="T367" s="8" t="s">
        <v>126</v>
      </c>
      <c r="U367" s="8" t="s">
        <v>127</v>
      </c>
      <c r="V367" s="8"/>
      <c r="W367" s="8" t="s">
        <v>136</v>
      </c>
      <c r="X367" s="8" t="s">
        <v>519</v>
      </c>
      <c r="Y367" s="8" t="s">
        <v>1115</v>
      </c>
      <c r="Z367" s="8" t="s">
        <v>1116</v>
      </c>
    </row>
    <row r="368" customFormat="false" ht="15" hidden="false" customHeight="false" outlineLevel="0" collapsed="false">
      <c r="A368" s="8" t="s">
        <v>139</v>
      </c>
      <c r="B368" s="8" t="s">
        <v>15</v>
      </c>
      <c r="C368" s="8" t="s">
        <v>16</v>
      </c>
      <c r="D368" s="8" t="s">
        <v>615</v>
      </c>
      <c r="E368" s="8" t="s">
        <v>39</v>
      </c>
      <c r="F368" s="8" t="s">
        <v>50</v>
      </c>
      <c r="G368" s="8" t="s">
        <v>31</v>
      </c>
      <c r="H368" s="8" t="s">
        <v>31</v>
      </c>
      <c r="I368" s="8" t="n">
        <f aca="false">IF(EXACT(G368,H368),1,0)</f>
        <v>1</v>
      </c>
      <c r="J368" s="8" t="n">
        <v>0</v>
      </c>
      <c r="K368" s="8" t="s">
        <v>140</v>
      </c>
      <c r="L368" s="8" t="n">
        <v>2</v>
      </c>
      <c r="M368" s="8" t="n">
        <v>0</v>
      </c>
      <c r="N368" s="8"/>
      <c r="O368" s="8" t="n">
        <v>1</v>
      </c>
      <c r="P368" s="10" t="n">
        <v>10.35</v>
      </c>
      <c r="Q368" s="8" t="n">
        <v>1439</v>
      </c>
      <c r="R368" s="8" t="n">
        <v>414</v>
      </c>
      <c r="S368" s="8" t="s">
        <v>117</v>
      </c>
      <c r="T368" s="8" t="s">
        <v>126</v>
      </c>
      <c r="U368" s="8" t="s">
        <v>127</v>
      </c>
      <c r="V368" s="8"/>
      <c r="W368" s="8" t="s">
        <v>141</v>
      </c>
      <c r="X368" s="8" t="s">
        <v>520</v>
      </c>
      <c r="Y368" s="8" t="s">
        <v>1117</v>
      </c>
      <c r="Z368" s="8" t="s">
        <v>1118</v>
      </c>
    </row>
    <row r="369" customFormat="false" ht="15" hidden="false" customHeight="false" outlineLevel="0" collapsed="false">
      <c r="A369" s="8" t="s">
        <v>139</v>
      </c>
      <c r="B369" s="8" t="s">
        <v>15</v>
      </c>
      <c r="C369" s="8" t="s">
        <v>16</v>
      </c>
      <c r="D369" s="8" t="s">
        <v>615</v>
      </c>
      <c r="E369" s="8" t="s">
        <v>39</v>
      </c>
      <c r="F369" s="8" t="s">
        <v>50</v>
      </c>
      <c r="G369" s="8" t="s">
        <v>31</v>
      </c>
      <c r="H369" s="8" t="s">
        <v>31</v>
      </c>
      <c r="I369" s="8" t="n">
        <f aca="false">IF(EXACT(G369,H369),1,0)</f>
        <v>1</v>
      </c>
      <c r="J369" s="8" t="n">
        <v>1</v>
      </c>
      <c r="K369" s="8" t="s">
        <v>140</v>
      </c>
      <c r="L369" s="8" t="n">
        <v>2</v>
      </c>
      <c r="M369" s="8" t="n">
        <v>0</v>
      </c>
      <c r="N369" s="8"/>
      <c r="O369" s="8" t="n">
        <v>1</v>
      </c>
      <c r="P369" s="10" t="n">
        <v>10.71</v>
      </c>
      <c r="Q369" s="8" t="n">
        <v>1439</v>
      </c>
      <c r="R369" s="8" t="n">
        <v>437</v>
      </c>
      <c r="S369" s="8" t="s">
        <v>117</v>
      </c>
      <c r="T369" s="8" t="s">
        <v>126</v>
      </c>
      <c r="U369" s="8" t="s">
        <v>127</v>
      </c>
      <c r="V369" s="8"/>
      <c r="W369" s="8" t="s">
        <v>141</v>
      </c>
      <c r="X369" s="8" t="s">
        <v>520</v>
      </c>
      <c r="Y369" s="8" t="s">
        <v>1119</v>
      </c>
      <c r="Z369" s="8" t="s">
        <v>1120</v>
      </c>
    </row>
    <row r="370" customFormat="false" ht="15" hidden="false" customHeight="false" outlineLevel="0" collapsed="false">
      <c r="A370" s="8" t="s">
        <v>139</v>
      </c>
      <c r="B370" s="8" t="s">
        <v>15</v>
      </c>
      <c r="C370" s="8" t="s">
        <v>16</v>
      </c>
      <c r="D370" s="8" t="s">
        <v>615</v>
      </c>
      <c r="E370" s="8" t="s">
        <v>39</v>
      </c>
      <c r="F370" s="8" t="s">
        <v>50</v>
      </c>
      <c r="G370" s="8" t="s">
        <v>31</v>
      </c>
      <c r="H370" s="8" t="s">
        <v>31</v>
      </c>
      <c r="I370" s="8" t="n">
        <f aca="false">IF(EXACT(G370,H370),1,0)</f>
        <v>1</v>
      </c>
      <c r="J370" s="8" t="n">
        <v>2</v>
      </c>
      <c r="K370" s="8" t="s">
        <v>140</v>
      </c>
      <c r="L370" s="8" t="n">
        <v>2</v>
      </c>
      <c r="M370" s="8" t="n">
        <v>0</v>
      </c>
      <c r="N370" s="8"/>
      <c r="O370" s="8" t="n">
        <v>1</v>
      </c>
      <c r="P370" s="10" t="n">
        <v>8.82</v>
      </c>
      <c r="Q370" s="8" t="n">
        <v>1439</v>
      </c>
      <c r="R370" s="8" t="n">
        <v>403</v>
      </c>
      <c r="S370" s="8" t="s">
        <v>117</v>
      </c>
      <c r="T370" s="8" t="s">
        <v>126</v>
      </c>
      <c r="U370" s="8" t="s">
        <v>127</v>
      </c>
      <c r="V370" s="8"/>
      <c r="W370" s="8" t="s">
        <v>141</v>
      </c>
      <c r="X370" s="8" t="s">
        <v>520</v>
      </c>
      <c r="Y370" s="8" t="s">
        <v>1121</v>
      </c>
      <c r="Z370" s="8" t="s">
        <v>1122</v>
      </c>
    </row>
    <row r="371" customFormat="false" ht="15" hidden="false" customHeight="false" outlineLevel="0" collapsed="false">
      <c r="A371" s="8" t="s">
        <v>145</v>
      </c>
      <c r="B371" s="8" t="s">
        <v>15</v>
      </c>
      <c r="C371" s="8" t="s">
        <v>16</v>
      </c>
      <c r="D371" s="8" t="s">
        <v>615</v>
      </c>
      <c r="E371" s="8" t="s">
        <v>39</v>
      </c>
      <c r="F371" s="8" t="s">
        <v>50</v>
      </c>
      <c r="G371" s="8" t="s">
        <v>31</v>
      </c>
      <c r="H371" s="8" t="s">
        <v>31</v>
      </c>
      <c r="I371" s="8" t="n">
        <f aca="false">IF(EXACT(G371,H371),1,0)</f>
        <v>1</v>
      </c>
      <c r="J371" s="8" t="n">
        <v>0</v>
      </c>
      <c r="K371" s="8" t="s">
        <v>140</v>
      </c>
      <c r="L371" s="8" t="n">
        <v>1</v>
      </c>
      <c r="M371" s="8" t="n">
        <v>0</v>
      </c>
      <c r="N371" s="8"/>
      <c r="O371" s="8" t="n">
        <v>1</v>
      </c>
      <c r="P371" s="10" t="n">
        <v>8.32</v>
      </c>
      <c r="Q371" s="8" t="n">
        <v>1448</v>
      </c>
      <c r="R371" s="8" t="n">
        <v>283</v>
      </c>
      <c r="S371" s="8" t="s">
        <v>146</v>
      </c>
      <c r="T371" s="8" t="s">
        <v>126</v>
      </c>
      <c r="U371" s="8" t="s">
        <v>127</v>
      </c>
      <c r="V371" s="8"/>
      <c r="W371" s="8" t="s">
        <v>147</v>
      </c>
      <c r="X371" s="8" t="s">
        <v>521</v>
      </c>
      <c r="Y371" s="8" t="s">
        <v>1123</v>
      </c>
      <c r="Z371" s="8" t="s">
        <v>1124</v>
      </c>
    </row>
    <row r="372" customFormat="false" ht="15" hidden="false" customHeight="false" outlineLevel="0" collapsed="false">
      <c r="A372" s="8" t="s">
        <v>145</v>
      </c>
      <c r="B372" s="8" t="s">
        <v>15</v>
      </c>
      <c r="C372" s="8" t="s">
        <v>16</v>
      </c>
      <c r="D372" s="8" t="s">
        <v>615</v>
      </c>
      <c r="E372" s="8" t="s">
        <v>39</v>
      </c>
      <c r="F372" s="8" t="s">
        <v>50</v>
      </c>
      <c r="G372" s="8" t="s">
        <v>31</v>
      </c>
      <c r="H372" s="8" t="s">
        <v>31</v>
      </c>
      <c r="I372" s="8" t="n">
        <f aca="false">IF(EXACT(G372,H372),1,0)</f>
        <v>1</v>
      </c>
      <c r="J372" s="8" t="n">
        <v>1</v>
      </c>
      <c r="K372" s="8" t="s">
        <v>140</v>
      </c>
      <c r="L372" s="8" t="n">
        <v>5</v>
      </c>
      <c r="M372" s="8" t="n">
        <v>0</v>
      </c>
      <c r="N372" s="8"/>
      <c r="O372" s="8" t="n">
        <v>1</v>
      </c>
      <c r="P372" s="10" t="n">
        <v>12.99</v>
      </c>
      <c r="Q372" s="8" t="n">
        <v>1448</v>
      </c>
      <c r="R372" s="8" t="n">
        <v>669</v>
      </c>
      <c r="S372" s="8" t="s">
        <v>146</v>
      </c>
      <c r="T372" s="8" t="s">
        <v>126</v>
      </c>
      <c r="U372" s="8" t="s">
        <v>127</v>
      </c>
      <c r="V372" s="8"/>
      <c r="W372" s="8" t="s">
        <v>147</v>
      </c>
      <c r="X372" s="8" t="s">
        <v>521</v>
      </c>
      <c r="Y372" s="8" t="s">
        <v>1125</v>
      </c>
      <c r="Z372" s="8" t="s">
        <v>1126</v>
      </c>
    </row>
    <row r="373" customFormat="false" ht="15" hidden="false" customHeight="false" outlineLevel="0" collapsed="false">
      <c r="A373" s="8" t="s">
        <v>145</v>
      </c>
      <c r="B373" s="8" t="s">
        <v>15</v>
      </c>
      <c r="C373" s="8" t="s">
        <v>16</v>
      </c>
      <c r="D373" s="8" t="s">
        <v>615</v>
      </c>
      <c r="E373" s="8" t="s">
        <v>39</v>
      </c>
      <c r="F373" s="8" t="s">
        <v>50</v>
      </c>
      <c r="G373" s="8" t="s">
        <v>31</v>
      </c>
      <c r="H373" s="8" t="s">
        <v>31</v>
      </c>
      <c r="I373" s="8" t="n">
        <f aca="false">IF(EXACT(G373,H373),1,0)</f>
        <v>1</v>
      </c>
      <c r="J373" s="8" t="n">
        <v>2</v>
      </c>
      <c r="K373" s="8" t="s">
        <v>140</v>
      </c>
      <c r="L373" s="8" t="n">
        <v>5</v>
      </c>
      <c r="M373" s="8" t="n">
        <v>0</v>
      </c>
      <c r="N373" s="8"/>
      <c r="O373" s="8" t="n">
        <v>1</v>
      </c>
      <c r="P373" s="10" t="n">
        <v>13.33</v>
      </c>
      <c r="Q373" s="8" t="n">
        <v>1448</v>
      </c>
      <c r="R373" s="8" t="n">
        <v>656</v>
      </c>
      <c r="S373" s="8" t="s">
        <v>146</v>
      </c>
      <c r="T373" s="8" t="s">
        <v>126</v>
      </c>
      <c r="U373" s="8" t="s">
        <v>127</v>
      </c>
      <c r="V373" s="8"/>
      <c r="W373" s="8" t="s">
        <v>147</v>
      </c>
      <c r="X373" s="8" t="s">
        <v>521</v>
      </c>
      <c r="Y373" s="8" t="s">
        <v>1127</v>
      </c>
      <c r="Z373" s="8" t="s">
        <v>1128</v>
      </c>
    </row>
    <row r="374" customFormat="false" ht="15" hidden="false" customHeight="false" outlineLevel="0" collapsed="false">
      <c r="A374" s="8" t="s">
        <v>149</v>
      </c>
      <c r="B374" s="8" t="s">
        <v>15</v>
      </c>
      <c r="C374" s="8" t="s">
        <v>16</v>
      </c>
      <c r="D374" s="8" t="s">
        <v>615</v>
      </c>
      <c r="E374" s="8" t="s">
        <v>39</v>
      </c>
      <c r="F374" s="8" t="s">
        <v>50</v>
      </c>
      <c r="G374" s="8" t="s">
        <v>30</v>
      </c>
      <c r="H374" s="8" t="s">
        <v>32</v>
      </c>
      <c r="I374" s="8" t="n">
        <f aca="false">IF(EXACT(G374,H374),1,0)</f>
        <v>0</v>
      </c>
      <c r="J374" s="8" t="n">
        <v>0</v>
      </c>
      <c r="K374" s="8" t="s">
        <v>92</v>
      </c>
      <c r="L374" s="8" t="n">
        <v>0</v>
      </c>
      <c r="M374" s="8" t="n">
        <v>0</v>
      </c>
      <c r="N374" s="8"/>
      <c r="O374" s="8" t="n">
        <v>1</v>
      </c>
      <c r="P374" s="10" t="n">
        <v>4.19</v>
      </c>
      <c r="Q374" s="8" t="n">
        <v>1422</v>
      </c>
      <c r="R374" s="8" t="n">
        <v>99</v>
      </c>
      <c r="S374" s="8" t="s">
        <v>150</v>
      </c>
      <c r="T374" s="8" t="s">
        <v>126</v>
      </c>
      <c r="U374" s="8" t="s">
        <v>127</v>
      </c>
      <c r="V374" s="8"/>
      <c r="W374" s="8" t="s">
        <v>151</v>
      </c>
      <c r="X374" s="8" t="s">
        <v>522</v>
      </c>
      <c r="Y374" s="8" t="s">
        <v>1129</v>
      </c>
      <c r="Z374" s="8"/>
    </row>
    <row r="375" customFormat="false" ht="15" hidden="false" customHeight="false" outlineLevel="0" collapsed="false">
      <c r="A375" s="8" t="s">
        <v>149</v>
      </c>
      <c r="B375" s="8" t="s">
        <v>15</v>
      </c>
      <c r="C375" s="8" t="s">
        <v>16</v>
      </c>
      <c r="D375" s="8" t="s">
        <v>615</v>
      </c>
      <c r="E375" s="8" t="s">
        <v>39</v>
      </c>
      <c r="F375" s="8" t="s">
        <v>50</v>
      </c>
      <c r="G375" s="8" t="s">
        <v>30</v>
      </c>
      <c r="H375" s="8" t="s">
        <v>32</v>
      </c>
      <c r="I375" s="8" t="n">
        <f aca="false">IF(EXACT(G375,H375),1,0)</f>
        <v>0</v>
      </c>
      <c r="J375" s="8" t="n">
        <v>1</v>
      </c>
      <c r="K375" s="8" t="s">
        <v>92</v>
      </c>
      <c r="L375" s="8" t="n">
        <v>0</v>
      </c>
      <c r="M375" s="8" t="n">
        <v>0</v>
      </c>
      <c r="N375" s="8"/>
      <c r="O375" s="8" t="n">
        <v>1</v>
      </c>
      <c r="P375" s="10" t="n">
        <v>4.18</v>
      </c>
      <c r="Q375" s="8" t="n">
        <v>1422</v>
      </c>
      <c r="R375" s="8" t="n">
        <v>98</v>
      </c>
      <c r="S375" s="8" t="s">
        <v>150</v>
      </c>
      <c r="T375" s="8" t="s">
        <v>126</v>
      </c>
      <c r="U375" s="8" t="s">
        <v>127</v>
      </c>
      <c r="V375" s="8"/>
      <c r="W375" s="8" t="s">
        <v>151</v>
      </c>
      <c r="X375" s="8" t="s">
        <v>522</v>
      </c>
      <c r="Y375" s="8" t="s">
        <v>1130</v>
      </c>
      <c r="Z375" s="8"/>
    </row>
    <row r="376" customFormat="false" ht="15" hidden="false" customHeight="false" outlineLevel="0" collapsed="false">
      <c r="A376" s="8" t="s">
        <v>149</v>
      </c>
      <c r="B376" s="8" t="s">
        <v>15</v>
      </c>
      <c r="C376" s="8" t="s">
        <v>16</v>
      </c>
      <c r="D376" s="8" t="s">
        <v>615</v>
      </c>
      <c r="E376" s="8" t="s">
        <v>39</v>
      </c>
      <c r="F376" s="8" t="s">
        <v>50</v>
      </c>
      <c r="G376" s="8" t="s">
        <v>30</v>
      </c>
      <c r="H376" s="8" t="s">
        <v>32</v>
      </c>
      <c r="I376" s="8" t="n">
        <f aca="false">IF(EXACT(G376,H376),1,0)</f>
        <v>0</v>
      </c>
      <c r="J376" s="8" t="n">
        <v>2</v>
      </c>
      <c r="K376" s="8" t="s">
        <v>92</v>
      </c>
      <c r="L376" s="8" t="n">
        <v>0</v>
      </c>
      <c r="M376" s="8" t="n">
        <v>0</v>
      </c>
      <c r="N376" s="8"/>
      <c r="O376" s="8" t="n">
        <v>1</v>
      </c>
      <c r="P376" s="10" t="n">
        <v>3.08</v>
      </c>
      <c r="Q376" s="8" t="n">
        <v>1422</v>
      </c>
      <c r="R376" s="8" t="n">
        <v>93</v>
      </c>
      <c r="S376" s="8" t="s">
        <v>150</v>
      </c>
      <c r="T376" s="8" t="s">
        <v>126</v>
      </c>
      <c r="U376" s="8" t="s">
        <v>127</v>
      </c>
      <c r="V376" s="8"/>
      <c r="W376" s="8" t="s">
        <v>151</v>
      </c>
      <c r="X376" s="8" t="s">
        <v>522</v>
      </c>
      <c r="Y376" s="8" t="s">
        <v>1131</v>
      </c>
      <c r="Z376" s="8"/>
    </row>
    <row r="377" customFormat="false" ht="15" hidden="false" customHeight="false" outlineLevel="0" collapsed="false">
      <c r="A377" s="8" t="s">
        <v>312</v>
      </c>
      <c r="B377" s="8" t="s">
        <v>15</v>
      </c>
      <c r="C377" s="8" t="s">
        <v>16</v>
      </c>
      <c r="D377" s="8" t="s">
        <v>615</v>
      </c>
      <c r="E377" s="8" t="s">
        <v>39</v>
      </c>
      <c r="F377" s="8" t="s">
        <v>57</v>
      </c>
      <c r="G377" s="8" t="s">
        <v>31</v>
      </c>
      <c r="H377" s="8" t="s">
        <v>31</v>
      </c>
      <c r="I377" s="8" t="n">
        <f aca="false">IF(EXACT(G377,H377),1,0)</f>
        <v>1</v>
      </c>
      <c r="J377" s="8" t="n">
        <v>0</v>
      </c>
      <c r="K377" s="8" t="s">
        <v>116</v>
      </c>
      <c r="L377" s="8" t="n">
        <v>1</v>
      </c>
      <c r="M377" s="8" t="n">
        <v>0</v>
      </c>
      <c r="N377" s="8"/>
      <c r="O377" s="8" t="n">
        <v>1</v>
      </c>
      <c r="P377" s="10" t="n">
        <v>7.42</v>
      </c>
      <c r="Q377" s="8" t="n">
        <v>1532</v>
      </c>
      <c r="R377" s="8" t="n">
        <v>329</v>
      </c>
      <c r="S377" s="8" t="s">
        <v>313</v>
      </c>
      <c r="T377" s="8"/>
      <c r="U377" s="8"/>
      <c r="V377" s="8" t="s">
        <v>155</v>
      </c>
      <c r="W377" s="8"/>
      <c r="X377" s="8" t="s">
        <v>523</v>
      </c>
      <c r="Y377" s="8" t="s">
        <v>1132</v>
      </c>
      <c r="Z377" s="8" t="s">
        <v>1133</v>
      </c>
    </row>
    <row r="378" customFormat="false" ht="15" hidden="false" customHeight="false" outlineLevel="0" collapsed="false">
      <c r="A378" s="8" t="s">
        <v>312</v>
      </c>
      <c r="B378" s="8" t="s">
        <v>15</v>
      </c>
      <c r="C378" s="8" t="s">
        <v>16</v>
      </c>
      <c r="D378" s="8" t="s">
        <v>615</v>
      </c>
      <c r="E378" s="8" t="s">
        <v>39</v>
      </c>
      <c r="F378" s="8" t="s">
        <v>57</v>
      </c>
      <c r="G378" s="8" t="s">
        <v>31</v>
      </c>
      <c r="H378" s="8" t="s">
        <v>31</v>
      </c>
      <c r="I378" s="8" t="n">
        <f aca="false">IF(EXACT(G378,H378),1,0)</f>
        <v>1</v>
      </c>
      <c r="J378" s="8" t="n">
        <v>1</v>
      </c>
      <c r="K378" s="8" t="s">
        <v>116</v>
      </c>
      <c r="L378" s="8" t="n">
        <v>1</v>
      </c>
      <c r="M378" s="8" t="n">
        <v>0</v>
      </c>
      <c r="N378" s="8"/>
      <c r="O378" s="8" t="n">
        <v>1</v>
      </c>
      <c r="P378" s="10" t="n">
        <v>6.78</v>
      </c>
      <c r="Q378" s="8" t="n">
        <v>1532</v>
      </c>
      <c r="R378" s="8" t="n">
        <v>325</v>
      </c>
      <c r="S378" s="8" t="s">
        <v>313</v>
      </c>
      <c r="T378" s="8"/>
      <c r="U378" s="8"/>
      <c r="V378" s="8" t="s">
        <v>155</v>
      </c>
      <c r="W378" s="8"/>
      <c r="X378" s="8" t="s">
        <v>523</v>
      </c>
      <c r="Y378" s="8" t="s">
        <v>1134</v>
      </c>
      <c r="Z378" s="8" t="s">
        <v>1135</v>
      </c>
    </row>
    <row r="379" customFormat="false" ht="15" hidden="false" customHeight="false" outlineLevel="0" collapsed="false">
      <c r="A379" s="8" t="s">
        <v>312</v>
      </c>
      <c r="B379" s="8" t="s">
        <v>15</v>
      </c>
      <c r="C379" s="8" t="s">
        <v>16</v>
      </c>
      <c r="D379" s="8" t="s">
        <v>615</v>
      </c>
      <c r="E379" s="8" t="s">
        <v>39</v>
      </c>
      <c r="F379" s="8" t="s">
        <v>57</v>
      </c>
      <c r="G379" s="8" t="s">
        <v>31</v>
      </c>
      <c r="H379" s="8" t="s">
        <v>31</v>
      </c>
      <c r="I379" s="8" t="n">
        <f aca="false">IF(EXACT(G379,H379),1,0)</f>
        <v>1</v>
      </c>
      <c r="J379" s="8" t="n">
        <v>2</v>
      </c>
      <c r="K379" s="8" t="s">
        <v>116</v>
      </c>
      <c r="L379" s="8" t="n">
        <v>1</v>
      </c>
      <c r="M379" s="8" t="n">
        <v>0</v>
      </c>
      <c r="N379" s="8"/>
      <c r="O379" s="8" t="n">
        <v>1</v>
      </c>
      <c r="P379" s="10" t="n">
        <v>6.38</v>
      </c>
      <c r="Q379" s="8" t="n">
        <v>1532</v>
      </c>
      <c r="R379" s="8" t="n">
        <v>306</v>
      </c>
      <c r="S379" s="8" t="s">
        <v>313</v>
      </c>
      <c r="T379" s="8"/>
      <c r="U379" s="8"/>
      <c r="V379" s="8" t="s">
        <v>155</v>
      </c>
      <c r="W379" s="8"/>
      <c r="X379" s="8" t="s">
        <v>523</v>
      </c>
      <c r="Y379" s="8" t="s">
        <v>1136</v>
      </c>
      <c r="Z379" s="8" t="s">
        <v>1137</v>
      </c>
    </row>
    <row r="380" customFormat="false" ht="15" hidden="false" customHeight="false" outlineLevel="0" collapsed="false">
      <c r="A380" s="8" t="s">
        <v>315</v>
      </c>
      <c r="B380" s="8" t="s">
        <v>15</v>
      </c>
      <c r="C380" s="8" t="s">
        <v>16</v>
      </c>
      <c r="D380" s="8" t="s">
        <v>615</v>
      </c>
      <c r="E380" s="8" t="s">
        <v>39</v>
      </c>
      <c r="F380" s="8" t="s">
        <v>57</v>
      </c>
      <c r="G380" s="8" t="s">
        <v>31</v>
      </c>
      <c r="H380" s="8" t="s">
        <v>30</v>
      </c>
      <c r="I380" s="8" t="n">
        <f aca="false">IF(EXACT(G380,H380),1,0)</f>
        <v>0</v>
      </c>
      <c r="J380" s="8" t="n">
        <v>0</v>
      </c>
      <c r="K380" s="8" t="s">
        <v>92</v>
      </c>
      <c r="L380" s="8" t="n">
        <v>0</v>
      </c>
      <c r="M380" s="8" t="n">
        <v>0</v>
      </c>
      <c r="N380" s="8"/>
      <c r="O380" s="8" t="n">
        <v>1</v>
      </c>
      <c r="P380" s="10" t="n">
        <v>3.16</v>
      </c>
      <c r="Q380" s="8" t="n">
        <v>1530</v>
      </c>
      <c r="R380" s="8" t="n">
        <v>77</v>
      </c>
      <c r="S380" s="8" t="s">
        <v>316</v>
      </c>
      <c r="T380" s="8"/>
      <c r="U380" s="8"/>
      <c r="V380" s="8" t="s">
        <v>155</v>
      </c>
      <c r="W380" s="8"/>
      <c r="X380" s="8" t="s">
        <v>524</v>
      </c>
      <c r="Y380" s="8" t="s">
        <v>1138</v>
      </c>
      <c r="Z380" s="8"/>
    </row>
    <row r="381" customFormat="false" ht="15" hidden="false" customHeight="false" outlineLevel="0" collapsed="false">
      <c r="A381" s="8" t="s">
        <v>315</v>
      </c>
      <c r="B381" s="8" t="s">
        <v>15</v>
      </c>
      <c r="C381" s="8" t="s">
        <v>16</v>
      </c>
      <c r="D381" s="8" t="s">
        <v>615</v>
      </c>
      <c r="E381" s="8" t="s">
        <v>39</v>
      </c>
      <c r="F381" s="8" t="s">
        <v>57</v>
      </c>
      <c r="G381" s="8" t="s">
        <v>31</v>
      </c>
      <c r="H381" s="8" t="s">
        <v>30</v>
      </c>
      <c r="I381" s="8" t="n">
        <f aca="false">IF(EXACT(G381,H381),1,0)</f>
        <v>0</v>
      </c>
      <c r="J381" s="8" t="n">
        <v>1</v>
      </c>
      <c r="K381" s="8" t="s">
        <v>92</v>
      </c>
      <c r="L381" s="8" t="n">
        <v>0</v>
      </c>
      <c r="M381" s="8" t="n">
        <v>0</v>
      </c>
      <c r="N381" s="8"/>
      <c r="O381" s="8" t="n">
        <v>1</v>
      </c>
      <c r="P381" s="10" t="n">
        <v>2.89</v>
      </c>
      <c r="Q381" s="8" t="n">
        <v>1530</v>
      </c>
      <c r="R381" s="8" t="n">
        <v>80</v>
      </c>
      <c r="S381" s="8" t="s">
        <v>316</v>
      </c>
      <c r="T381" s="8"/>
      <c r="U381" s="8"/>
      <c r="V381" s="8" t="s">
        <v>155</v>
      </c>
      <c r="W381" s="8"/>
      <c r="X381" s="8" t="s">
        <v>524</v>
      </c>
      <c r="Y381" s="8" t="s">
        <v>1139</v>
      </c>
      <c r="Z381" s="8"/>
    </row>
    <row r="382" customFormat="false" ht="15" hidden="false" customHeight="false" outlineLevel="0" collapsed="false">
      <c r="A382" s="8" t="s">
        <v>315</v>
      </c>
      <c r="B382" s="8" t="s">
        <v>15</v>
      </c>
      <c r="C382" s="8" t="s">
        <v>16</v>
      </c>
      <c r="D382" s="8" t="s">
        <v>615</v>
      </c>
      <c r="E382" s="8" t="s">
        <v>39</v>
      </c>
      <c r="F382" s="8" t="s">
        <v>57</v>
      </c>
      <c r="G382" s="8" t="s">
        <v>31</v>
      </c>
      <c r="H382" s="8" t="s">
        <v>30</v>
      </c>
      <c r="I382" s="8" t="n">
        <f aca="false">IF(EXACT(G382,H382),1,0)</f>
        <v>0</v>
      </c>
      <c r="J382" s="8" t="n">
        <v>2</v>
      </c>
      <c r="K382" s="8" t="s">
        <v>92</v>
      </c>
      <c r="L382" s="8" t="n">
        <v>0</v>
      </c>
      <c r="M382" s="8" t="n">
        <v>0</v>
      </c>
      <c r="N382" s="8"/>
      <c r="O382" s="8" t="n">
        <v>1</v>
      </c>
      <c r="P382" s="10" t="n">
        <v>8.1</v>
      </c>
      <c r="Q382" s="8" t="n">
        <v>1530</v>
      </c>
      <c r="R382" s="8" t="n">
        <v>77</v>
      </c>
      <c r="S382" s="8" t="s">
        <v>316</v>
      </c>
      <c r="T382" s="8"/>
      <c r="U382" s="8"/>
      <c r="V382" s="8" t="s">
        <v>155</v>
      </c>
      <c r="W382" s="8"/>
      <c r="X382" s="8" t="s">
        <v>524</v>
      </c>
      <c r="Y382" s="8" t="s">
        <v>1138</v>
      </c>
      <c r="Z382" s="8"/>
    </row>
    <row r="383" customFormat="false" ht="15" hidden="false" customHeight="false" outlineLevel="0" collapsed="false">
      <c r="A383" s="8" t="s">
        <v>318</v>
      </c>
      <c r="B383" s="8" t="s">
        <v>15</v>
      </c>
      <c r="C383" s="8" t="s">
        <v>16</v>
      </c>
      <c r="D383" s="8" t="s">
        <v>615</v>
      </c>
      <c r="E383" s="8" t="s">
        <v>39</v>
      </c>
      <c r="F383" s="8" t="s">
        <v>57</v>
      </c>
      <c r="G383" s="8" t="s">
        <v>32</v>
      </c>
      <c r="H383" s="8" t="s">
        <v>32</v>
      </c>
      <c r="I383" s="8" t="n">
        <f aca="false">IF(EXACT(G383,H383),1,0)</f>
        <v>1</v>
      </c>
      <c r="J383" s="8" t="n">
        <v>0</v>
      </c>
      <c r="K383" s="8" t="s">
        <v>92</v>
      </c>
      <c r="L383" s="8" t="n">
        <v>0</v>
      </c>
      <c r="M383" s="8" t="n">
        <v>0</v>
      </c>
      <c r="N383" s="8"/>
      <c r="O383" s="8" t="n">
        <v>1</v>
      </c>
      <c r="P383" s="10" t="n">
        <v>2.82</v>
      </c>
      <c r="Q383" s="8" t="n">
        <v>1476</v>
      </c>
      <c r="R383" s="8" t="n">
        <v>77</v>
      </c>
      <c r="S383" s="8" t="s">
        <v>319</v>
      </c>
      <c r="T383" s="8"/>
      <c r="U383" s="8"/>
      <c r="V383" s="8" t="s">
        <v>155</v>
      </c>
      <c r="W383" s="8"/>
      <c r="X383" s="8" t="s">
        <v>525</v>
      </c>
      <c r="Y383" s="8" t="s">
        <v>1140</v>
      </c>
      <c r="Z383" s="8"/>
    </row>
    <row r="384" customFormat="false" ht="15" hidden="false" customHeight="false" outlineLevel="0" collapsed="false">
      <c r="A384" s="8" t="s">
        <v>318</v>
      </c>
      <c r="B384" s="8" t="s">
        <v>15</v>
      </c>
      <c r="C384" s="8" t="s">
        <v>16</v>
      </c>
      <c r="D384" s="8" t="s">
        <v>615</v>
      </c>
      <c r="E384" s="8" t="s">
        <v>39</v>
      </c>
      <c r="F384" s="8" t="s">
        <v>57</v>
      </c>
      <c r="G384" s="8" t="s">
        <v>32</v>
      </c>
      <c r="H384" s="8" t="s">
        <v>32</v>
      </c>
      <c r="I384" s="8" t="n">
        <f aca="false">IF(EXACT(G384,H384),1,0)</f>
        <v>1</v>
      </c>
      <c r="J384" s="8" t="n">
        <v>1</v>
      </c>
      <c r="K384" s="8" t="s">
        <v>92</v>
      </c>
      <c r="L384" s="8" t="n">
        <v>0</v>
      </c>
      <c r="M384" s="8" t="n">
        <v>0</v>
      </c>
      <c r="N384" s="8"/>
      <c r="O384" s="8" t="n">
        <v>1</v>
      </c>
      <c r="P384" s="10" t="n">
        <v>4.87</v>
      </c>
      <c r="Q384" s="8" t="n">
        <v>1476</v>
      </c>
      <c r="R384" s="8" t="n">
        <v>72</v>
      </c>
      <c r="S384" s="8" t="s">
        <v>319</v>
      </c>
      <c r="T384" s="8"/>
      <c r="U384" s="8"/>
      <c r="V384" s="8" t="s">
        <v>155</v>
      </c>
      <c r="W384" s="8"/>
      <c r="X384" s="8" t="s">
        <v>525</v>
      </c>
      <c r="Y384" s="8" t="s">
        <v>1141</v>
      </c>
      <c r="Z384" s="8"/>
    </row>
    <row r="385" customFormat="false" ht="15" hidden="false" customHeight="false" outlineLevel="0" collapsed="false">
      <c r="A385" s="8" t="s">
        <v>318</v>
      </c>
      <c r="B385" s="8" t="s">
        <v>15</v>
      </c>
      <c r="C385" s="8" t="s">
        <v>16</v>
      </c>
      <c r="D385" s="8" t="s">
        <v>615</v>
      </c>
      <c r="E385" s="8" t="s">
        <v>39</v>
      </c>
      <c r="F385" s="8" t="s">
        <v>57</v>
      </c>
      <c r="G385" s="8" t="s">
        <v>32</v>
      </c>
      <c r="H385" s="8" t="s">
        <v>32</v>
      </c>
      <c r="I385" s="8" t="n">
        <f aca="false">IF(EXACT(G385,H385),1,0)</f>
        <v>1</v>
      </c>
      <c r="J385" s="8" t="n">
        <v>2</v>
      </c>
      <c r="K385" s="8" t="s">
        <v>92</v>
      </c>
      <c r="L385" s="8" t="n">
        <v>0</v>
      </c>
      <c r="M385" s="8" t="n">
        <v>0</v>
      </c>
      <c r="N385" s="8"/>
      <c r="O385" s="8" t="n">
        <v>1</v>
      </c>
      <c r="P385" s="10" t="n">
        <v>2.6</v>
      </c>
      <c r="Q385" s="8" t="n">
        <v>1476</v>
      </c>
      <c r="R385" s="8" t="n">
        <v>72</v>
      </c>
      <c r="S385" s="8" t="s">
        <v>319</v>
      </c>
      <c r="T385" s="8"/>
      <c r="U385" s="8"/>
      <c r="V385" s="8" t="s">
        <v>155</v>
      </c>
      <c r="W385" s="8"/>
      <c r="X385" s="8" t="s">
        <v>525</v>
      </c>
      <c r="Y385" s="8" t="s">
        <v>1141</v>
      </c>
      <c r="Z385" s="8"/>
    </row>
    <row r="386" customFormat="false" ht="15" hidden="false" customHeight="false" outlineLevel="0" collapsed="false">
      <c r="A386" s="8" t="s">
        <v>321</v>
      </c>
      <c r="B386" s="8" t="s">
        <v>15</v>
      </c>
      <c r="C386" s="8" t="s">
        <v>16</v>
      </c>
      <c r="D386" s="8" t="s">
        <v>615</v>
      </c>
      <c r="E386" s="8" t="s">
        <v>39</v>
      </c>
      <c r="F386" s="8" t="s">
        <v>57</v>
      </c>
      <c r="G386" s="8" t="s">
        <v>32</v>
      </c>
      <c r="H386" s="8" t="s">
        <v>30</v>
      </c>
      <c r="I386" s="8" t="n">
        <f aca="false">IF(EXACT(G386,H386),1,0)</f>
        <v>0</v>
      </c>
      <c r="J386" s="8" t="n">
        <v>0</v>
      </c>
      <c r="K386" s="8" t="s">
        <v>92</v>
      </c>
      <c r="L386" s="8" t="n">
        <v>0</v>
      </c>
      <c r="M386" s="8" t="n">
        <v>0</v>
      </c>
      <c r="N386" s="8"/>
      <c r="O386" s="8" t="n">
        <v>1</v>
      </c>
      <c r="P386" s="10" t="n">
        <v>3.79</v>
      </c>
      <c r="Q386" s="8" t="n">
        <v>1521</v>
      </c>
      <c r="R386" s="8" t="n">
        <v>82</v>
      </c>
      <c r="S386" s="8" t="s">
        <v>322</v>
      </c>
      <c r="T386" s="8"/>
      <c r="U386" s="8"/>
      <c r="V386" s="8" t="s">
        <v>155</v>
      </c>
      <c r="W386" s="8"/>
      <c r="X386" s="8" t="s">
        <v>526</v>
      </c>
      <c r="Y386" s="8" t="s">
        <v>1142</v>
      </c>
      <c r="Z386" s="8"/>
    </row>
    <row r="387" customFormat="false" ht="15" hidden="false" customHeight="false" outlineLevel="0" collapsed="false">
      <c r="A387" s="8" t="s">
        <v>321</v>
      </c>
      <c r="B387" s="8" t="s">
        <v>15</v>
      </c>
      <c r="C387" s="8" t="s">
        <v>16</v>
      </c>
      <c r="D387" s="8" t="s">
        <v>615</v>
      </c>
      <c r="E387" s="8" t="s">
        <v>39</v>
      </c>
      <c r="F387" s="8" t="s">
        <v>57</v>
      </c>
      <c r="G387" s="8" t="s">
        <v>32</v>
      </c>
      <c r="H387" s="8" t="s">
        <v>30</v>
      </c>
      <c r="I387" s="8" t="n">
        <f aca="false">IF(EXACT(G387,H387),1,0)</f>
        <v>0</v>
      </c>
      <c r="J387" s="8" t="n">
        <v>1</v>
      </c>
      <c r="K387" s="8" t="s">
        <v>92</v>
      </c>
      <c r="L387" s="8" t="n">
        <v>0</v>
      </c>
      <c r="M387" s="8" t="n">
        <v>0</v>
      </c>
      <c r="N387" s="8"/>
      <c r="O387" s="8" t="n">
        <v>1</v>
      </c>
      <c r="P387" s="10" t="n">
        <v>3.2</v>
      </c>
      <c r="Q387" s="8" t="n">
        <v>1521</v>
      </c>
      <c r="R387" s="8" t="n">
        <v>88</v>
      </c>
      <c r="S387" s="8" t="s">
        <v>322</v>
      </c>
      <c r="T387" s="8"/>
      <c r="U387" s="8"/>
      <c r="V387" s="8" t="s">
        <v>155</v>
      </c>
      <c r="W387" s="8"/>
      <c r="X387" s="8" t="s">
        <v>526</v>
      </c>
      <c r="Y387" s="8" t="s">
        <v>1143</v>
      </c>
      <c r="Z387" s="8"/>
    </row>
    <row r="388" customFormat="false" ht="15" hidden="false" customHeight="false" outlineLevel="0" collapsed="false">
      <c r="A388" s="8" t="s">
        <v>321</v>
      </c>
      <c r="B388" s="8" t="s">
        <v>15</v>
      </c>
      <c r="C388" s="8" t="s">
        <v>16</v>
      </c>
      <c r="D388" s="8" t="s">
        <v>615</v>
      </c>
      <c r="E388" s="8" t="s">
        <v>39</v>
      </c>
      <c r="F388" s="8" t="s">
        <v>57</v>
      </c>
      <c r="G388" s="8" t="s">
        <v>32</v>
      </c>
      <c r="H388" s="8" t="s">
        <v>30</v>
      </c>
      <c r="I388" s="8" t="n">
        <f aca="false">IF(EXACT(G388,H388),1,0)</f>
        <v>0</v>
      </c>
      <c r="J388" s="8" t="n">
        <v>2</v>
      </c>
      <c r="K388" s="8" t="s">
        <v>92</v>
      </c>
      <c r="L388" s="8" t="n">
        <v>0</v>
      </c>
      <c r="M388" s="8" t="n">
        <v>0</v>
      </c>
      <c r="N388" s="8"/>
      <c r="O388" s="8" t="n">
        <v>1</v>
      </c>
      <c r="P388" s="10" t="n">
        <v>3.26</v>
      </c>
      <c r="Q388" s="8" t="n">
        <v>1521</v>
      </c>
      <c r="R388" s="8" t="n">
        <v>90</v>
      </c>
      <c r="S388" s="8" t="s">
        <v>322</v>
      </c>
      <c r="T388" s="8"/>
      <c r="U388" s="8"/>
      <c r="V388" s="8" t="s">
        <v>155</v>
      </c>
      <c r="W388" s="8"/>
      <c r="X388" s="8" t="s">
        <v>526</v>
      </c>
      <c r="Y388" s="8" t="s">
        <v>1144</v>
      </c>
      <c r="Z388" s="8"/>
    </row>
    <row r="389" customFormat="false" ht="15" hidden="false" customHeight="false" outlineLevel="0" collapsed="false">
      <c r="A389" s="8" t="s">
        <v>324</v>
      </c>
      <c r="B389" s="8" t="s">
        <v>15</v>
      </c>
      <c r="C389" s="8" t="s">
        <v>16</v>
      </c>
      <c r="D389" s="8" t="s">
        <v>615</v>
      </c>
      <c r="E389" s="8" t="s">
        <v>39</v>
      </c>
      <c r="F389" s="8" t="s">
        <v>57</v>
      </c>
      <c r="G389" s="8" t="s">
        <v>30</v>
      </c>
      <c r="H389" s="8" t="s">
        <v>30</v>
      </c>
      <c r="I389" s="8" t="n">
        <f aca="false">IF(EXACT(G389,H389),1,0)</f>
        <v>1</v>
      </c>
      <c r="J389" s="8" t="n">
        <v>0</v>
      </c>
      <c r="K389" s="8" t="s">
        <v>92</v>
      </c>
      <c r="L389" s="8" t="n">
        <v>0</v>
      </c>
      <c r="M389" s="8" t="n">
        <v>0</v>
      </c>
      <c r="N389" s="8"/>
      <c r="O389" s="8" t="n">
        <v>1</v>
      </c>
      <c r="P389" s="10" t="n">
        <v>3.83</v>
      </c>
      <c r="Q389" s="8" t="n">
        <v>1564</v>
      </c>
      <c r="R389" s="8" t="n">
        <v>77</v>
      </c>
      <c r="S389" s="8" t="s">
        <v>325</v>
      </c>
      <c r="T389" s="8"/>
      <c r="U389" s="8"/>
      <c r="V389" s="8" t="s">
        <v>155</v>
      </c>
      <c r="W389" s="8"/>
      <c r="X389" s="8" t="s">
        <v>527</v>
      </c>
      <c r="Y389" s="8" t="s">
        <v>1145</v>
      </c>
      <c r="Z389" s="8"/>
    </row>
    <row r="390" customFormat="false" ht="15" hidden="false" customHeight="false" outlineLevel="0" collapsed="false">
      <c r="A390" s="8" t="s">
        <v>324</v>
      </c>
      <c r="B390" s="8" t="s">
        <v>15</v>
      </c>
      <c r="C390" s="8" t="s">
        <v>16</v>
      </c>
      <c r="D390" s="8" t="s">
        <v>615</v>
      </c>
      <c r="E390" s="8" t="s">
        <v>39</v>
      </c>
      <c r="F390" s="8" t="s">
        <v>57</v>
      </c>
      <c r="G390" s="8" t="s">
        <v>30</v>
      </c>
      <c r="H390" s="8" t="s">
        <v>30</v>
      </c>
      <c r="I390" s="8" t="n">
        <f aca="false">IF(EXACT(G390,H390),1,0)</f>
        <v>1</v>
      </c>
      <c r="J390" s="8" t="n">
        <v>1</v>
      </c>
      <c r="K390" s="8" t="s">
        <v>92</v>
      </c>
      <c r="L390" s="8" t="n">
        <v>0</v>
      </c>
      <c r="M390" s="8" t="n">
        <v>0</v>
      </c>
      <c r="N390" s="8"/>
      <c r="O390" s="8" t="n">
        <v>1</v>
      </c>
      <c r="P390" s="10" t="n">
        <v>2.65</v>
      </c>
      <c r="Q390" s="8" t="n">
        <v>1564</v>
      </c>
      <c r="R390" s="8" t="n">
        <v>77</v>
      </c>
      <c r="S390" s="8" t="s">
        <v>325</v>
      </c>
      <c r="T390" s="8"/>
      <c r="U390" s="8"/>
      <c r="V390" s="8" t="s">
        <v>155</v>
      </c>
      <c r="W390" s="8"/>
      <c r="X390" s="8" t="s">
        <v>527</v>
      </c>
      <c r="Y390" s="8" t="s">
        <v>1145</v>
      </c>
      <c r="Z390" s="8"/>
    </row>
    <row r="391" customFormat="false" ht="15" hidden="false" customHeight="false" outlineLevel="0" collapsed="false">
      <c r="A391" s="8" t="s">
        <v>324</v>
      </c>
      <c r="B391" s="8" t="s">
        <v>15</v>
      </c>
      <c r="C391" s="8" t="s">
        <v>16</v>
      </c>
      <c r="D391" s="8" t="s">
        <v>615</v>
      </c>
      <c r="E391" s="8" t="s">
        <v>39</v>
      </c>
      <c r="F391" s="8" t="s">
        <v>57</v>
      </c>
      <c r="G391" s="8" t="s">
        <v>30</v>
      </c>
      <c r="H391" s="8" t="s">
        <v>30</v>
      </c>
      <c r="I391" s="8" t="n">
        <f aca="false">IF(EXACT(G391,H391),1,0)</f>
        <v>1</v>
      </c>
      <c r="J391" s="8" t="n">
        <v>2</v>
      </c>
      <c r="K391" s="8" t="s">
        <v>92</v>
      </c>
      <c r="L391" s="8" t="n">
        <v>0</v>
      </c>
      <c r="M391" s="8" t="n">
        <v>0</v>
      </c>
      <c r="N391" s="8"/>
      <c r="O391" s="8" t="n">
        <v>1</v>
      </c>
      <c r="P391" s="10" t="n">
        <v>2.76</v>
      </c>
      <c r="Q391" s="8" t="n">
        <v>1564</v>
      </c>
      <c r="R391" s="8" t="n">
        <v>77</v>
      </c>
      <c r="S391" s="8" t="s">
        <v>325</v>
      </c>
      <c r="T391" s="8"/>
      <c r="U391" s="8"/>
      <c r="V391" s="8" t="s">
        <v>155</v>
      </c>
      <c r="W391" s="8"/>
      <c r="X391" s="8" t="s">
        <v>527</v>
      </c>
      <c r="Y391" s="8" t="s">
        <v>1146</v>
      </c>
      <c r="Z391" s="8"/>
    </row>
    <row r="392" customFormat="false" ht="15" hidden="false" customHeight="false" outlineLevel="0" collapsed="false">
      <c r="A392" s="8" t="s">
        <v>327</v>
      </c>
      <c r="B392" s="8" t="s">
        <v>15</v>
      </c>
      <c r="C392" s="8" t="s">
        <v>16</v>
      </c>
      <c r="D392" s="8" t="s">
        <v>615</v>
      </c>
      <c r="E392" s="8" t="s">
        <v>39</v>
      </c>
      <c r="F392" s="8" t="s">
        <v>57</v>
      </c>
      <c r="G392" s="8" t="s">
        <v>30</v>
      </c>
      <c r="H392" s="8" t="s">
        <v>32</v>
      </c>
      <c r="I392" s="8" t="n">
        <f aca="false">IF(EXACT(G392,H392),1,0)</f>
        <v>0</v>
      </c>
      <c r="J392" s="8" t="n">
        <v>0</v>
      </c>
      <c r="K392" s="8" t="s">
        <v>92</v>
      </c>
      <c r="L392" s="8" t="n">
        <v>0</v>
      </c>
      <c r="M392" s="8" t="n">
        <v>0</v>
      </c>
      <c r="N392" s="8"/>
      <c r="O392" s="8" t="n">
        <v>1</v>
      </c>
      <c r="P392" s="10" t="n">
        <v>4.62</v>
      </c>
      <c r="Q392" s="8" t="n">
        <v>1562</v>
      </c>
      <c r="R392" s="8" t="n">
        <v>86</v>
      </c>
      <c r="S392" s="8" t="s">
        <v>328</v>
      </c>
      <c r="T392" s="8"/>
      <c r="U392" s="8"/>
      <c r="V392" s="8" t="s">
        <v>155</v>
      </c>
      <c r="W392" s="8"/>
      <c r="X392" s="8" t="s">
        <v>528</v>
      </c>
      <c r="Y392" s="8" t="s">
        <v>1147</v>
      </c>
      <c r="Z392" s="8"/>
    </row>
    <row r="393" customFormat="false" ht="15" hidden="false" customHeight="false" outlineLevel="0" collapsed="false">
      <c r="A393" s="8" t="s">
        <v>327</v>
      </c>
      <c r="B393" s="8" t="s">
        <v>15</v>
      </c>
      <c r="C393" s="8" t="s">
        <v>16</v>
      </c>
      <c r="D393" s="8" t="s">
        <v>615</v>
      </c>
      <c r="E393" s="8" t="s">
        <v>39</v>
      </c>
      <c r="F393" s="8" t="s">
        <v>57</v>
      </c>
      <c r="G393" s="8" t="s">
        <v>30</v>
      </c>
      <c r="H393" s="8" t="s">
        <v>32</v>
      </c>
      <c r="I393" s="8" t="n">
        <f aca="false">IF(EXACT(G393,H393),1,0)</f>
        <v>0</v>
      </c>
      <c r="J393" s="8" t="n">
        <v>1</v>
      </c>
      <c r="K393" s="8" t="s">
        <v>92</v>
      </c>
      <c r="L393" s="8" t="n">
        <v>0</v>
      </c>
      <c r="M393" s="8" t="n">
        <v>0</v>
      </c>
      <c r="N393" s="8"/>
      <c r="O393" s="8" t="n">
        <v>1</v>
      </c>
      <c r="P393" s="10" t="n">
        <v>2.96</v>
      </c>
      <c r="Q393" s="8" t="n">
        <v>1562</v>
      </c>
      <c r="R393" s="8" t="n">
        <v>86</v>
      </c>
      <c r="S393" s="8" t="s">
        <v>328</v>
      </c>
      <c r="T393" s="8"/>
      <c r="U393" s="8"/>
      <c r="V393" s="8" t="s">
        <v>155</v>
      </c>
      <c r="W393" s="8"/>
      <c r="X393" s="8" t="s">
        <v>528</v>
      </c>
      <c r="Y393" s="8" t="s">
        <v>1147</v>
      </c>
      <c r="Z393" s="8"/>
    </row>
    <row r="394" customFormat="false" ht="15" hidden="false" customHeight="false" outlineLevel="0" collapsed="false">
      <c r="A394" s="8" t="s">
        <v>327</v>
      </c>
      <c r="B394" s="8" t="s">
        <v>15</v>
      </c>
      <c r="C394" s="8" t="s">
        <v>16</v>
      </c>
      <c r="D394" s="8" t="s">
        <v>615</v>
      </c>
      <c r="E394" s="8" t="s">
        <v>39</v>
      </c>
      <c r="F394" s="8" t="s">
        <v>57</v>
      </c>
      <c r="G394" s="8" t="s">
        <v>30</v>
      </c>
      <c r="H394" s="8" t="s">
        <v>32</v>
      </c>
      <c r="I394" s="8" t="n">
        <f aca="false">IF(EXACT(G394,H394),1,0)</f>
        <v>0</v>
      </c>
      <c r="J394" s="8" t="n">
        <v>2</v>
      </c>
      <c r="K394" s="8" t="s">
        <v>92</v>
      </c>
      <c r="L394" s="8" t="n">
        <v>0</v>
      </c>
      <c r="M394" s="8" t="n">
        <v>0</v>
      </c>
      <c r="N394" s="8"/>
      <c r="O394" s="8" t="n">
        <v>1</v>
      </c>
      <c r="P394" s="10" t="n">
        <v>2.99</v>
      </c>
      <c r="Q394" s="8" t="n">
        <v>1562</v>
      </c>
      <c r="R394" s="8" t="n">
        <v>86</v>
      </c>
      <c r="S394" s="8" t="s">
        <v>328</v>
      </c>
      <c r="T394" s="8"/>
      <c r="U394" s="8"/>
      <c r="V394" s="8" t="s">
        <v>155</v>
      </c>
      <c r="W394" s="8"/>
      <c r="X394" s="8" t="s">
        <v>528</v>
      </c>
      <c r="Y394" s="8" t="s">
        <v>1147</v>
      </c>
      <c r="Z394" s="8"/>
    </row>
    <row r="395" customFormat="false" ht="15" hidden="false" customHeight="false" outlineLevel="0" collapsed="false">
      <c r="A395" s="8" t="s">
        <v>391</v>
      </c>
      <c r="B395" s="8" t="s">
        <v>15</v>
      </c>
      <c r="C395" s="8" t="s">
        <v>16</v>
      </c>
      <c r="D395" s="8" t="s">
        <v>615</v>
      </c>
      <c r="E395" s="8" t="s">
        <v>39</v>
      </c>
      <c r="F395" s="8" t="s">
        <v>59</v>
      </c>
      <c r="G395" s="8" t="s">
        <v>31</v>
      </c>
      <c r="H395" s="8" t="s">
        <v>31</v>
      </c>
      <c r="I395" s="8" t="n">
        <f aca="false">IF(EXACT(G395,H395),1,0)</f>
        <v>1</v>
      </c>
      <c r="J395" s="8" t="n">
        <v>0</v>
      </c>
      <c r="K395" s="8" t="s">
        <v>737</v>
      </c>
      <c r="L395" s="8" t="n">
        <v>1</v>
      </c>
      <c r="M395" s="8" t="n">
        <v>0</v>
      </c>
      <c r="N395" s="8"/>
      <c r="O395" s="8" t="n">
        <v>1</v>
      </c>
      <c r="P395" s="10" t="n">
        <v>7.26</v>
      </c>
      <c r="Q395" s="8" t="n">
        <v>1532</v>
      </c>
      <c r="R395" s="8" t="n">
        <v>314</v>
      </c>
      <c r="S395" s="8" t="s">
        <v>392</v>
      </c>
      <c r="T395" s="8"/>
      <c r="U395" s="8"/>
      <c r="V395" s="8" t="s">
        <v>155</v>
      </c>
      <c r="W395" s="8"/>
      <c r="X395" s="8" t="s">
        <v>529</v>
      </c>
      <c r="Y395" s="8" t="s">
        <v>1148</v>
      </c>
      <c r="Z395" s="8" t="s">
        <v>1149</v>
      </c>
    </row>
    <row r="396" customFormat="false" ht="15" hidden="false" customHeight="false" outlineLevel="0" collapsed="false">
      <c r="A396" s="8" t="s">
        <v>391</v>
      </c>
      <c r="B396" s="8" t="s">
        <v>15</v>
      </c>
      <c r="C396" s="8" t="s">
        <v>16</v>
      </c>
      <c r="D396" s="8" t="s">
        <v>615</v>
      </c>
      <c r="E396" s="8" t="s">
        <v>39</v>
      </c>
      <c r="F396" s="8" t="s">
        <v>59</v>
      </c>
      <c r="G396" s="8" t="s">
        <v>31</v>
      </c>
      <c r="H396" s="8" t="s">
        <v>31</v>
      </c>
      <c r="I396" s="8" t="n">
        <f aca="false">IF(EXACT(G396,H396),1,0)</f>
        <v>1</v>
      </c>
      <c r="J396" s="8" t="n">
        <v>1</v>
      </c>
      <c r="K396" s="8" t="s">
        <v>737</v>
      </c>
      <c r="L396" s="8" t="n">
        <v>1</v>
      </c>
      <c r="M396" s="8" t="n">
        <v>0</v>
      </c>
      <c r="N396" s="8"/>
      <c r="O396" s="8" t="n">
        <v>1</v>
      </c>
      <c r="P396" s="10" t="n">
        <v>6.69</v>
      </c>
      <c r="Q396" s="8" t="n">
        <v>1532</v>
      </c>
      <c r="R396" s="8" t="n">
        <v>292</v>
      </c>
      <c r="S396" s="8" t="s">
        <v>392</v>
      </c>
      <c r="T396" s="8"/>
      <c r="U396" s="8"/>
      <c r="V396" s="8" t="s">
        <v>155</v>
      </c>
      <c r="W396" s="8"/>
      <c r="X396" s="8" t="s">
        <v>529</v>
      </c>
      <c r="Y396" s="8" t="s">
        <v>1150</v>
      </c>
      <c r="Z396" s="8" t="s">
        <v>1151</v>
      </c>
    </row>
    <row r="397" customFormat="false" ht="15" hidden="false" customHeight="false" outlineLevel="0" collapsed="false">
      <c r="A397" s="8" t="s">
        <v>391</v>
      </c>
      <c r="B397" s="8" t="s">
        <v>15</v>
      </c>
      <c r="C397" s="8" t="s">
        <v>16</v>
      </c>
      <c r="D397" s="8" t="s">
        <v>615</v>
      </c>
      <c r="E397" s="8" t="s">
        <v>39</v>
      </c>
      <c r="F397" s="8" t="s">
        <v>59</v>
      </c>
      <c r="G397" s="8" t="s">
        <v>31</v>
      </c>
      <c r="H397" s="8" t="s">
        <v>31</v>
      </c>
      <c r="I397" s="8" t="n">
        <f aca="false">IF(EXACT(G397,H397),1,0)</f>
        <v>1</v>
      </c>
      <c r="J397" s="8" t="n">
        <v>2</v>
      </c>
      <c r="K397" s="8" t="s">
        <v>737</v>
      </c>
      <c r="L397" s="8" t="n">
        <v>1</v>
      </c>
      <c r="M397" s="8" t="n">
        <v>0</v>
      </c>
      <c r="N397" s="8"/>
      <c r="O397" s="8" t="n">
        <v>1</v>
      </c>
      <c r="P397" s="10" t="n">
        <v>6.95</v>
      </c>
      <c r="Q397" s="8" t="n">
        <v>1532</v>
      </c>
      <c r="R397" s="8" t="n">
        <v>306</v>
      </c>
      <c r="S397" s="8" t="s">
        <v>392</v>
      </c>
      <c r="T397" s="8"/>
      <c r="U397" s="8"/>
      <c r="V397" s="8" t="s">
        <v>155</v>
      </c>
      <c r="W397" s="8"/>
      <c r="X397" s="8" t="s">
        <v>529</v>
      </c>
      <c r="Y397" s="8" t="s">
        <v>1148</v>
      </c>
      <c r="Z397" s="8" t="s">
        <v>1152</v>
      </c>
    </row>
    <row r="398" customFormat="false" ht="15" hidden="false" customHeight="false" outlineLevel="0" collapsed="false">
      <c r="A398" s="8" t="s">
        <v>395</v>
      </c>
      <c r="B398" s="8" t="s">
        <v>15</v>
      </c>
      <c r="C398" s="8" t="s">
        <v>16</v>
      </c>
      <c r="D398" s="8" t="s">
        <v>615</v>
      </c>
      <c r="E398" s="8" t="s">
        <v>39</v>
      </c>
      <c r="F398" s="8" t="s">
        <v>59</v>
      </c>
      <c r="G398" s="8" t="s">
        <v>31</v>
      </c>
      <c r="H398" s="8" t="s">
        <v>31</v>
      </c>
      <c r="I398" s="8" t="n">
        <f aca="false">IF(EXACT(G398,H398),1,0)</f>
        <v>1</v>
      </c>
      <c r="J398" s="8" t="n">
        <v>0</v>
      </c>
      <c r="K398" s="8" t="s">
        <v>737</v>
      </c>
      <c r="L398" s="8" t="n">
        <v>1</v>
      </c>
      <c r="M398" s="8" t="n">
        <v>0</v>
      </c>
      <c r="N398" s="8"/>
      <c r="O398" s="8" t="n">
        <v>1</v>
      </c>
      <c r="P398" s="10" t="n">
        <v>8.04</v>
      </c>
      <c r="Q398" s="8" t="n">
        <v>1514</v>
      </c>
      <c r="R398" s="8" t="n">
        <v>365</v>
      </c>
      <c r="S398" s="8" t="s">
        <v>396</v>
      </c>
      <c r="T398" s="8"/>
      <c r="U398" s="8"/>
      <c r="V398" s="8" t="s">
        <v>155</v>
      </c>
      <c r="W398" s="8"/>
      <c r="X398" s="8" t="s">
        <v>530</v>
      </c>
      <c r="Y398" s="8" t="s">
        <v>1153</v>
      </c>
      <c r="Z398" s="8" t="s">
        <v>1154</v>
      </c>
    </row>
    <row r="399" customFormat="false" ht="15" hidden="false" customHeight="false" outlineLevel="0" collapsed="false">
      <c r="A399" s="8" t="s">
        <v>395</v>
      </c>
      <c r="B399" s="8" t="s">
        <v>15</v>
      </c>
      <c r="C399" s="8" t="s">
        <v>16</v>
      </c>
      <c r="D399" s="8" t="s">
        <v>615</v>
      </c>
      <c r="E399" s="8" t="s">
        <v>39</v>
      </c>
      <c r="F399" s="8" t="s">
        <v>59</v>
      </c>
      <c r="G399" s="8" t="s">
        <v>31</v>
      </c>
      <c r="H399" s="8" t="s">
        <v>31</v>
      </c>
      <c r="I399" s="8" t="n">
        <f aca="false">IF(EXACT(G399,H399),1,0)</f>
        <v>1</v>
      </c>
      <c r="J399" s="8" t="n">
        <v>1</v>
      </c>
      <c r="K399" s="8" t="s">
        <v>737</v>
      </c>
      <c r="L399" s="8" t="n">
        <v>2</v>
      </c>
      <c r="M399" s="8" t="n">
        <v>0</v>
      </c>
      <c r="N399" s="8"/>
      <c r="O399" s="8" t="n">
        <v>1</v>
      </c>
      <c r="P399" s="10" t="n">
        <v>11.12</v>
      </c>
      <c r="Q399" s="8" t="n">
        <v>1514</v>
      </c>
      <c r="R399" s="8" t="n">
        <v>553</v>
      </c>
      <c r="S399" s="8" t="s">
        <v>396</v>
      </c>
      <c r="T399" s="8"/>
      <c r="U399" s="8"/>
      <c r="V399" s="8" t="s">
        <v>155</v>
      </c>
      <c r="W399" s="8"/>
      <c r="X399" s="8" t="s">
        <v>530</v>
      </c>
      <c r="Y399" s="8" t="s">
        <v>1155</v>
      </c>
      <c r="Z399" s="8" t="s">
        <v>1156</v>
      </c>
    </row>
    <row r="400" customFormat="false" ht="15" hidden="false" customHeight="false" outlineLevel="0" collapsed="false">
      <c r="A400" s="8" t="s">
        <v>395</v>
      </c>
      <c r="B400" s="8" t="s">
        <v>15</v>
      </c>
      <c r="C400" s="8" t="s">
        <v>16</v>
      </c>
      <c r="D400" s="8" t="s">
        <v>615</v>
      </c>
      <c r="E400" s="8" t="s">
        <v>39</v>
      </c>
      <c r="F400" s="8" t="s">
        <v>59</v>
      </c>
      <c r="G400" s="8" t="s">
        <v>31</v>
      </c>
      <c r="H400" s="8" t="s">
        <v>31</v>
      </c>
      <c r="I400" s="8" t="n">
        <f aca="false">IF(EXACT(G400,H400),1,0)</f>
        <v>1</v>
      </c>
      <c r="J400" s="8" t="n">
        <v>2</v>
      </c>
      <c r="K400" s="8" t="s">
        <v>737</v>
      </c>
      <c r="L400" s="8" t="n">
        <v>1</v>
      </c>
      <c r="M400" s="8" t="n">
        <v>0</v>
      </c>
      <c r="N400" s="8"/>
      <c r="O400" s="8" t="n">
        <v>1</v>
      </c>
      <c r="P400" s="10" t="n">
        <v>7.2</v>
      </c>
      <c r="Q400" s="8" t="n">
        <v>1514</v>
      </c>
      <c r="R400" s="8" t="n">
        <v>337</v>
      </c>
      <c r="S400" s="8" t="s">
        <v>396</v>
      </c>
      <c r="T400" s="8"/>
      <c r="U400" s="8"/>
      <c r="V400" s="8" t="s">
        <v>155</v>
      </c>
      <c r="W400" s="8"/>
      <c r="X400" s="8" t="s">
        <v>530</v>
      </c>
      <c r="Y400" s="8" t="s">
        <v>1157</v>
      </c>
      <c r="Z400" s="8" t="s">
        <v>1158</v>
      </c>
    </row>
    <row r="401" customFormat="false" ht="15" hidden="false" customHeight="false" outlineLevel="0" collapsed="false">
      <c r="A401" s="8" t="s">
        <v>399</v>
      </c>
      <c r="B401" s="8" t="s">
        <v>15</v>
      </c>
      <c r="C401" s="8" t="s">
        <v>16</v>
      </c>
      <c r="D401" s="8" t="s">
        <v>615</v>
      </c>
      <c r="E401" s="8" t="s">
        <v>39</v>
      </c>
      <c r="F401" s="8" t="s">
        <v>59</v>
      </c>
      <c r="G401" s="8" t="s">
        <v>32</v>
      </c>
      <c r="H401" s="8" t="s">
        <v>32</v>
      </c>
      <c r="I401" s="8" t="n">
        <f aca="false">IF(EXACT(G401,H401),1,0)</f>
        <v>1</v>
      </c>
      <c r="J401" s="8" t="n">
        <v>0</v>
      </c>
      <c r="K401" s="8" t="s">
        <v>92</v>
      </c>
      <c r="L401" s="8" t="n">
        <v>0</v>
      </c>
      <c r="M401" s="8" t="n">
        <v>0</v>
      </c>
      <c r="N401" s="8"/>
      <c r="O401" s="8" t="n">
        <v>1</v>
      </c>
      <c r="P401" s="10" t="n">
        <v>2.95</v>
      </c>
      <c r="Q401" s="8" t="n">
        <v>1519</v>
      </c>
      <c r="R401" s="8" t="n">
        <v>78</v>
      </c>
      <c r="S401" s="8" t="s">
        <v>400</v>
      </c>
      <c r="T401" s="8"/>
      <c r="U401" s="8"/>
      <c r="V401" s="8" t="s">
        <v>155</v>
      </c>
      <c r="W401" s="8"/>
      <c r="X401" s="8" t="s">
        <v>531</v>
      </c>
      <c r="Y401" s="8" t="s">
        <v>1159</v>
      </c>
      <c r="Z401" s="8"/>
    </row>
    <row r="402" customFormat="false" ht="15" hidden="false" customHeight="false" outlineLevel="0" collapsed="false">
      <c r="A402" s="8" t="s">
        <v>399</v>
      </c>
      <c r="B402" s="8" t="s">
        <v>15</v>
      </c>
      <c r="C402" s="8" t="s">
        <v>16</v>
      </c>
      <c r="D402" s="8" t="s">
        <v>615</v>
      </c>
      <c r="E402" s="8" t="s">
        <v>39</v>
      </c>
      <c r="F402" s="8" t="s">
        <v>59</v>
      </c>
      <c r="G402" s="8" t="s">
        <v>32</v>
      </c>
      <c r="H402" s="8" t="s">
        <v>32</v>
      </c>
      <c r="I402" s="8" t="n">
        <f aca="false">IF(EXACT(G402,H402),1,0)</f>
        <v>1</v>
      </c>
      <c r="J402" s="8" t="n">
        <v>1</v>
      </c>
      <c r="K402" s="8" t="s">
        <v>92</v>
      </c>
      <c r="L402" s="8" t="n">
        <v>0</v>
      </c>
      <c r="M402" s="8" t="n">
        <v>0</v>
      </c>
      <c r="N402" s="8"/>
      <c r="O402" s="8" t="n">
        <v>1</v>
      </c>
      <c r="P402" s="10" t="n">
        <v>2.55</v>
      </c>
      <c r="Q402" s="8" t="n">
        <v>1519</v>
      </c>
      <c r="R402" s="8" t="n">
        <v>78</v>
      </c>
      <c r="S402" s="8" t="s">
        <v>400</v>
      </c>
      <c r="T402" s="8"/>
      <c r="U402" s="8"/>
      <c r="V402" s="8" t="s">
        <v>155</v>
      </c>
      <c r="W402" s="8"/>
      <c r="X402" s="8" t="s">
        <v>531</v>
      </c>
      <c r="Y402" s="8" t="s">
        <v>1159</v>
      </c>
      <c r="Z402" s="8"/>
    </row>
    <row r="403" customFormat="false" ht="15" hidden="false" customHeight="false" outlineLevel="0" collapsed="false">
      <c r="A403" s="8" t="s">
        <v>399</v>
      </c>
      <c r="B403" s="8" t="s">
        <v>15</v>
      </c>
      <c r="C403" s="8" t="s">
        <v>16</v>
      </c>
      <c r="D403" s="8" t="s">
        <v>615</v>
      </c>
      <c r="E403" s="8" t="s">
        <v>39</v>
      </c>
      <c r="F403" s="8" t="s">
        <v>59</v>
      </c>
      <c r="G403" s="8" t="s">
        <v>32</v>
      </c>
      <c r="H403" s="8" t="s">
        <v>32</v>
      </c>
      <c r="I403" s="8" t="n">
        <f aca="false">IF(EXACT(G403,H403),1,0)</f>
        <v>1</v>
      </c>
      <c r="J403" s="8" t="n">
        <v>2</v>
      </c>
      <c r="K403" s="8" t="s">
        <v>92</v>
      </c>
      <c r="L403" s="8" t="n">
        <v>0</v>
      </c>
      <c r="M403" s="8" t="n">
        <v>0</v>
      </c>
      <c r="N403" s="8"/>
      <c r="O403" s="8" t="n">
        <v>1</v>
      </c>
      <c r="P403" s="10" t="n">
        <v>2.86</v>
      </c>
      <c r="Q403" s="8" t="n">
        <v>1519</v>
      </c>
      <c r="R403" s="8" t="n">
        <v>83</v>
      </c>
      <c r="S403" s="8" t="s">
        <v>400</v>
      </c>
      <c r="T403" s="8"/>
      <c r="U403" s="8"/>
      <c r="V403" s="8" t="s">
        <v>155</v>
      </c>
      <c r="W403" s="8"/>
      <c r="X403" s="8" t="s">
        <v>531</v>
      </c>
      <c r="Y403" s="8" t="s">
        <v>1160</v>
      </c>
      <c r="Z403" s="8"/>
    </row>
    <row r="404" customFormat="false" ht="15" hidden="false" customHeight="false" outlineLevel="0" collapsed="false">
      <c r="A404" s="8" t="s">
        <v>402</v>
      </c>
      <c r="B404" s="8" t="s">
        <v>15</v>
      </c>
      <c r="C404" s="8" t="s">
        <v>16</v>
      </c>
      <c r="D404" s="8" t="s">
        <v>615</v>
      </c>
      <c r="E404" s="8" t="s">
        <v>39</v>
      </c>
      <c r="F404" s="8" t="s">
        <v>59</v>
      </c>
      <c r="G404" s="8" t="s">
        <v>32</v>
      </c>
      <c r="H404" s="8" t="s">
        <v>32</v>
      </c>
      <c r="I404" s="8" t="n">
        <f aca="false">IF(EXACT(G404,H404),1,0)</f>
        <v>1</v>
      </c>
      <c r="J404" s="8" t="n">
        <v>0</v>
      </c>
      <c r="K404" s="8" t="s">
        <v>92</v>
      </c>
      <c r="L404" s="8" t="n">
        <v>0</v>
      </c>
      <c r="M404" s="8" t="n">
        <v>0</v>
      </c>
      <c r="N404" s="8"/>
      <c r="O404" s="8" t="n">
        <v>1</v>
      </c>
      <c r="P404" s="10" t="n">
        <v>3.9</v>
      </c>
      <c r="Q404" s="8" t="n">
        <v>1488</v>
      </c>
      <c r="R404" s="8" t="n">
        <v>101</v>
      </c>
      <c r="S404" s="8" t="s">
        <v>403</v>
      </c>
      <c r="T404" s="8"/>
      <c r="U404" s="8"/>
      <c r="V404" s="8" t="s">
        <v>155</v>
      </c>
      <c r="W404" s="8"/>
      <c r="X404" s="8" t="s">
        <v>532</v>
      </c>
      <c r="Y404" s="8" t="s">
        <v>1161</v>
      </c>
      <c r="Z404" s="8"/>
    </row>
    <row r="405" customFormat="false" ht="15" hidden="false" customHeight="false" outlineLevel="0" collapsed="false">
      <c r="A405" s="8" t="s">
        <v>402</v>
      </c>
      <c r="B405" s="8" t="s">
        <v>15</v>
      </c>
      <c r="C405" s="8" t="s">
        <v>16</v>
      </c>
      <c r="D405" s="8" t="s">
        <v>615</v>
      </c>
      <c r="E405" s="8" t="s">
        <v>39</v>
      </c>
      <c r="F405" s="8" t="s">
        <v>59</v>
      </c>
      <c r="G405" s="8" t="s">
        <v>32</v>
      </c>
      <c r="H405" s="8" t="s">
        <v>32</v>
      </c>
      <c r="I405" s="8" t="n">
        <f aca="false">IF(EXACT(G405,H405),1,0)</f>
        <v>1</v>
      </c>
      <c r="J405" s="8" t="n">
        <v>1</v>
      </c>
      <c r="K405" s="8" t="s">
        <v>92</v>
      </c>
      <c r="L405" s="8" t="n">
        <v>0</v>
      </c>
      <c r="M405" s="8" t="n">
        <v>0</v>
      </c>
      <c r="N405" s="8"/>
      <c r="O405" s="8" t="n">
        <v>1</v>
      </c>
      <c r="P405" s="10" t="n">
        <v>3.01</v>
      </c>
      <c r="Q405" s="8" t="n">
        <v>1488</v>
      </c>
      <c r="R405" s="8" t="n">
        <v>101</v>
      </c>
      <c r="S405" s="8" t="s">
        <v>403</v>
      </c>
      <c r="T405" s="8"/>
      <c r="U405" s="8"/>
      <c r="V405" s="8" t="s">
        <v>155</v>
      </c>
      <c r="W405" s="8"/>
      <c r="X405" s="8" t="s">
        <v>532</v>
      </c>
      <c r="Y405" s="8" t="s">
        <v>1161</v>
      </c>
      <c r="Z405" s="8"/>
    </row>
    <row r="406" customFormat="false" ht="15" hidden="false" customHeight="false" outlineLevel="0" collapsed="false">
      <c r="A406" s="8" t="s">
        <v>402</v>
      </c>
      <c r="B406" s="8" t="s">
        <v>15</v>
      </c>
      <c r="C406" s="8" t="s">
        <v>16</v>
      </c>
      <c r="D406" s="8" t="s">
        <v>615</v>
      </c>
      <c r="E406" s="8" t="s">
        <v>39</v>
      </c>
      <c r="F406" s="8" t="s">
        <v>59</v>
      </c>
      <c r="G406" s="8" t="s">
        <v>32</v>
      </c>
      <c r="H406" s="8" t="s">
        <v>32</v>
      </c>
      <c r="I406" s="8" t="n">
        <f aca="false">IF(EXACT(G406,H406),1,0)</f>
        <v>1</v>
      </c>
      <c r="J406" s="8" t="n">
        <v>2</v>
      </c>
      <c r="K406" s="8" t="s">
        <v>92</v>
      </c>
      <c r="L406" s="8" t="n">
        <v>0</v>
      </c>
      <c r="M406" s="8" t="n">
        <v>0</v>
      </c>
      <c r="N406" s="8"/>
      <c r="O406" s="8" t="n">
        <v>1</v>
      </c>
      <c r="P406" s="10" t="n">
        <v>2.63</v>
      </c>
      <c r="Q406" s="8" t="n">
        <v>1488</v>
      </c>
      <c r="R406" s="8" t="n">
        <v>81</v>
      </c>
      <c r="S406" s="8" t="s">
        <v>403</v>
      </c>
      <c r="T406" s="8"/>
      <c r="U406" s="8"/>
      <c r="V406" s="8" t="s">
        <v>155</v>
      </c>
      <c r="W406" s="8"/>
      <c r="X406" s="8" t="s">
        <v>532</v>
      </c>
      <c r="Y406" s="8" t="s">
        <v>1162</v>
      </c>
      <c r="Z406" s="8"/>
    </row>
    <row r="407" customFormat="false" ht="15" hidden="false" customHeight="false" outlineLevel="0" collapsed="false">
      <c r="A407" s="8" t="s">
        <v>405</v>
      </c>
      <c r="B407" s="8" t="s">
        <v>15</v>
      </c>
      <c r="C407" s="8" t="s">
        <v>16</v>
      </c>
      <c r="D407" s="8" t="s">
        <v>615</v>
      </c>
      <c r="E407" s="8" t="s">
        <v>39</v>
      </c>
      <c r="F407" s="8" t="s">
        <v>59</v>
      </c>
      <c r="G407" s="8" t="s">
        <v>30</v>
      </c>
      <c r="H407" s="8" t="s">
        <v>30</v>
      </c>
      <c r="I407" s="8" t="n">
        <f aca="false">IF(EXACT(G407,H407),1,0)</f>
        <v>1</v>
      </c>
      <c r="J407" s="8" t="n">
        <v>0</v>
      </c>
      <c r="K407" s="8" t="s">
        <v>92</v>
      </c>
      <c r="L407" s="8" t="n">
        <v>0</v>
      </c>
      <c r="M407" s="8" t="n">
        <v>0</v>
      </c>
      <c r="N407" s="8"/>
      <c r="O407" s="8" t="n">
        <v>1</v>
      </c>
      <c r="P407" s="10" t="n">
        <v>4.05</v>
      </c>
      <c r="Q407" s="8" t="n">
        <v>1548</v>
      </c>
      <c r="R407" s="8" t="n">
        <v>110</v>
      </c>
      <c r="S407" s="8" t="s">
        <v>406</v>
      </c>
      <c r="T407" s="8"/>
      <c r="U407" s="8"/>
      <c r="V407" s="8" t="s">
        <v>155</v>
      </c>
      <c r="W407" s="8"/>
      <c r="X407" s="8" t="s">
        <v>533</v>
      </c>
      <c r="Y407" s="8" t="s">
        <v>1163</v>
      </c>
      <c r="Z407" s="8"/>
    </row>
    <row r="408" customFormat="false" ht="15" hidden="false" customHeight="false" outlineLevel="0" collapsed="false">
      <c r="A408" s="8" t="s">
        <v>405</v>
      </c>
      <c r="B408" s="8" t="s">
        <v>15</v>
      </c>
      <c r="C408" s="8" t="s">
        <v>16</v>
      </c>
      <c r="D408" s="8" t="s">
        <v>615</v>
      </c>
      <c r="E408" s="8" t="s">
        <v>39</v>
      </c>
      <c r="F408" s="8" t="s">
        <v>59</v>
      </c>
      <c r="G408" s="8" t="s">
        <v>30</v>
      </c>
      <c r="H408" s="8" t="s">
        <v>30</v>
      </c>
      <c r="I408" s="8" t="n">
        <f aca="false">IF(EXACT(G408,H408),1,0)</f>
        <v>1</v>
      </c>
      <c r="J408" s="8" t="n">
        <v>1</v>
      </c>
      <c r="K408" s="8" t="s">
        <v>92</v>
      </c>
      <c r="L408" s="8" t="n">
        <v>0</v>
      </c>
      <c r="M408" s="8" t="n">
        <v>0</v>
      </c>
      <c r="N408" s="8"/>
      <c r="O408" s="8" t="n">
        <v>1</v>
      </c>
      <c r="P408" s="10" t="n">
        <v>3.22</v>
      </c>
      <c r="Q408" s="8" t="n">
        <v>1548</v>
      </c>
      <c r="R408" s="8" t="n">
        <v>104</v>
      </c>
      <c r="S408" s="8" t="s">
        <v>406</v>
      </c>
      <c r="T408" s="8"/>
      <c r="U408" s="8"/>
      <c r="V408" s="8" t="s">
        <v>155</v>
      </c>
      <c r="W408" s="8"/>
      <c r="X408" s="8" t="s">
        <v>533</v>
      </c>
      <c r="Y408" s="8" t="s">
        <v>1164</v>
      </c>
      <c r="Z408" s="8"/>
    </row>
    <row r="409" customFormat="false" ht="15" hidden="false" customHeight="false" outlineLevel="0" collapsed="false">
      <c r="A409" s="8" t="s">
        <v>405</v>
      </c>
      <c r="B409" s="8" t="s">
        <v>15</v>
      </c>
      <c r="C409" s="8" t="s">
        <v>16</v>
      </c>
      <c r="D409" s="8" t="s">
        <v>615</v>
      </c>
      <c r="E409" s="8" t="s">
        <v>39</v>
      </c>
      <c r="F409" s="8" t="s">
        <v>59</v>
      </c>
      <c r="G409" s="8" t="s">
        <v>30</v>
      </c>
      <c r="H409" s="8" t="s">
        <v>30</v>
      </c>
      <c r="I409" s="8" t="n">
        <f aca="false">IF(EXACT(G409,H409),1,0)</f>
        <v>1</v>
      </c>
      <c r="J409" s="8" t="n">
        <v>2</v>
      </c>
      <c r="K409" s="8" t="s">
        <v>92</v>
      </c>
      <c r="L409" s="8" t="n">
        <v>0</v>
      </c>
      <c r="M409" s="8" t="n">
        <v>0</v>
      </c>
      <c r="N409" s="8"/>
      <c r="O409" s="8" t="n">
        <v>1</v>
      </c>
      <c r="P409" s="10" t="n">
        <v>3.46</v>
      </c>
      <c r="Q409" s="8" t="n">
        <v>1548</v>
      </c>
      <c r="R409" s="8" t="n">
        <v>103</v>
      </c>
      <c r="S409" s="8" t="s">
        <v>406</v>
      </c>
      <c r="T409" s="8"/>
      <c r="U409" s="8"/>
      <c r="V409" s="8" t="s">
        <v>155</v>
      </c>
      <c r="W409" s="8"/>
      <c r="X409" s="8" t="s">
        <v>533</v>
      </c>
      <c r="Y409" s="8" t="s">
        <v>1165</v>
      </c>
      <c r="Z409" s="8"/>
    </row>
    <row r="410" customFormat="false" ht="15" hidden="false" customHeight="false" outlineLevel="0" collapsed="false">
      <c r="A410" s="8" t="s">
        <v>408</v>
      </c>
      <c r="B410" s="8" t="s">
        <v>15</v>
      </c>
      <c r="C410" s="8" t="s">
        <v>16</v>
      </c>
      <c r="D410" s="8" t="s">
        <v>615</v>
      </c>
      <c r="E410" s="8" t="s">
        <v>39</v>
      </c>
      <c r="F410" s="8" t="s">
        <v>59</v>
      </c>
      <c r="G410" s="8" t="s">
        <v>30</v>
      </c>
      <c r="H410" s="8" t="s">
        <v>31</v>
      </c>
      <c r="I410" s="8" t="n">
        <f aca="false">IF(EXACT(G410,H410),1,0)</f>
        <v>0</v>
      </c>
      <c r="J410" s="8" t="n">
        <v>0</v>
      </c>
      <c r="K410" s="8" t="s">
        <v>737</v>
      </c>
      <c r="L410" s="8" t="n">
        <v>2</v>
      </c>
      <c r="M410" s="8" t="n">
        <v>0</v>
      </c>
      <c r="N410" s="8"/>
      <c r="O410" s="8" t="n">
        <v>1</v>
      </c>
      <c r="P410" s="10" t="n">
        <v>11.97</v>
      </c>
      <c r="Q410" s="8" t="n">
        <v>1535</v>
      </c>
      <c r="R410" s="8" t="n">
        <v>529</v>
      </c>
      <c r="S410" s="8" t="s">
        <v>409</v>
      </c>
      <c r="T410" s="8"/>
      <c r="U410" s="8"/>
      <c r="V410" s="8" t="s">
        <v>155</v>
      </c>
      <c r="W410" s="8"/>
      <c r="X410" s="8" t="s">
        <v>534</v>
      </c>
      <c r="Y410" s="8" t="s">
        <v>1166</v>
      </c>
      <c r="Z410" s="8" t="s">
        <v>1167</v>
      </c>
    </row>
    <row r="411" customFormat="false" ht="15" hidden="false" customHeight="false" outlineLevel="0" collapsed="false">
      <c r="A411" s="8" t="s">
        <v>408</v>
      </c>
      <c r="B411" s="8" t="s">
        <v>15</v>
      </c>
      <c r="C411" s="8" t="s">
        <v>16</v>
      </c>
      <c r="D411" s="8" t="s">
        <v>615</v>
      </c>
      <c r="E411" s="8" t="s">
        <v>39</v>
      </c>
      <c r="F411" s="8" t="s">
        <v>59</v>
      </c>
      <c r="G411" s="8" t="s">
        <v>30</v>
      </c>
      <c r="H411" s="8" t="s">
        <v>31</v>
      </c>
      <c r="I411" s="8" t="n">
        <f aca="false">IF(EXACT(G411,H411),1,0)</f>
        <v>0</v>
      </c>
      <c r="J411" s="8" t="n">
        <v>1</v>
      </c>
      <c r="K411" s="8" t="s">
        <v>737</v>
      </c>
      <c r="L411" s="8" t="n">
        <v>1</v>
      </c>
      <c r="M411" s="8" t="n">
        <v>0</v>
      </c>
      <c r="N411" s="8"/>
      <c r="O411" s="8" t="n">
        <v>1</v>
      </c>
      <c r="P411" s="10" t="n">
        <v>9.34</v>
      </c>
      <c r="Q411" s="8" t="n">
        <v>1535</v>
      </c>
      <c r="R411" s="8" t="n">
        <v>385</v>
      </c>
      <c r="S411" s="8" t="s">
        <v>409</v>
      </c>
      <c r="T411" s="8"/>
      <c r="U411" s="8"/>
      <c r="V411" s="8" t="s">
        <v>155</v>
      </c>
      <c r="W411" s="8"/>
      <c r="X411" s="8" t="s">
        <v>534</v>
      </c>
      <c r="Y411" s="8" t="s">
        <v>1168</v>
      </c>
      <c r="Z411" s="8" t="s">
        <v>1169</v>
      </c>
    </row>
    <row r="412" customFormat="false" ht="15" hidden="false" customHeight="false" outlineLevel="0" collapsed="false">
      <c r="A412" s="8" t="s">
        <v>408</v>
      </c>
      <c r="B412" s="8" t="s">
        <v>15</v>
      </c>
      <c r="C412" s="8" t="s">
        <v>16</v>
      </c>
      <c r="D412" s="8" t="s">
        <v>615</v>
      </c>
      <c r="E412" s="8" t="s">
        <v>39</v>
      </c>
      <c r="F412" s="8" t="s">
        <v>59</v>
      </c>
      <c r="G412" s="8" t="s">
        <v>30</v>
      </c>
      <c r="H412" s="8" t="s">
        <v>31</v>
      </c>
      <c r="I412" s="8" t="n">
        <f aca="false">IF(EXACT(G412,H412),1,0)</f>
        <v>0</v>
      </c>
      <c r="J412" s="8" t="n">
        <v>2</v>
      </c>
      <c r="K412" s="8" t="s">
        <v>737</v>
      </c>
      <c r="L412" s="8" t="n">
        <v>2</v>
      </c>
      <c r="M412" s="8" t="n">
        <v>0</v>
      </c>
      <c r="N412" s="8"/>
      <c r="O412" s="8" t="n">
        <v>1</v>
      </c>
      <c r="P412" s="10" t="n">
        <v>12.12</v>
      </c>
      <c r="Q412" s="8" t="n">
        <v>1535</v>
      </c>
      <c r="R412" s="8" t="n">
        <v>542</v>
      </c>
      <c r="S412" s="8" t="s">
        <v>409</v>
      </c>
      <c r="T412" s="8"/>
      <c r="U412" s="8"/>
      <c r="V412" s="8" t="s">
        <v>155</v>
      </c>
      <c r="W412" s="8"/>
      <c r="X412" s="8" t="s">
        <v>534</v>
      </c>
      <c r="Y412" s="8" t="s">
        <v>1170</v>
      </c>
      <c r="Z412" s="8" t="s">
        <v>1171</v>
      </c>
    </row>
    <row r="413" customFormat="false" ht="15" hidden="false" customHeight="false" outlineLevel="0" collapsed="false">
      <c r="A413" s="8" t="s">
        <v>535</v>
      </c>
      <c r="B413" s="8" t="s">
        <v>15</v>
      </c>
      <c r="C413" s="8" t="s">
        <v>16</v>
      </c>
      <c r="D413" s="8" t="s">
        <v>615</v>
      </c>
      <c r="E413" s="8" t="s">
        <v>39</v>
      </c>
      <c r="F413" s="8" t="s">
        <v>61</v>
      </c>
      <c r="G413" s="8" t="s">
        <v>30</v>
      </c>
      <c r="H413" s="8" t="s">
        <v>31</v>
      </c>
      <c r="I413" s="8" t="n">
        <f aca="false">IF(EXACT(G413,H413),1,0)</f>
        <v>0</v>
      </c>
      <c r="J413" s="8" t="n">
        <v>0</v>
      </c>
      <c r="K413" s="8" t="s">
        <v>140</v>
      </c>
      <c r="L413" s="8" t="n">
        <v>2</v>
      </c>
      <c r="M413" s="8" t="n">
        <v>0</v>
      </c>
      <c r="N413" s="8"/>
      <c r="O413" s="8" t="n">
        <v>1</v>
      </c>
      <c r="P413" s="10" t="n">
        <v>10.64</v>
      </c>
      <c r="Q413" s="8" t="n">
        <v>1641</v>
      </c>
      <c r="R413" s="8" t="n">
        <v>499</v>
      </c>
      <c r="S413" s="8" t="s">
        <v>110</v>
      </c>
      <c r="T413" s="8" t="s">
        <v>536</v>
      </c>
      <c r="U413" s="8" t="s">
        <v>537</v>
      </c>
      <c r="V413" s="8"/>
      <c r="W413" s="8" t="s">
        <v>538</v>
      </c>
      <c r="X413" s="8" t="s">
        <v>539</v>
      </c>
      <c r="Y413" s="8" t="s">
        <v>1172</v>
      </c>
      <c r="Z413" s="8" t="s">
        <v>1173</v>
      </c>
    </row>
    <row r="414" customFormat="false" ht="15" hidden="false" customHeight="false" outlineLevel="0" collapsed="false">
      <c r="A414" s="8" t="s">
        <v>535</v>
      </c>
      <c r="B414" s="8" t="s">
        <v>15</v>
      </c>
      <c r="C414" s="8" t="s">
        <v>16</v>
      </c>
      <c r="D414" s="8" t="s">
        <v>615</v>
      </c>
      <c r="E414" s="8" t="s">
        <v>39</v>
      </c>
      <c r="F414" s="8" t="s">
        <v>61</v>
      </c>
      <c r="G414" s="8" t="s">
        <v>30</v>
      </c>
      <c r="H414" s="8" t="s">
        <v>31</v>
      </c>
      <c r="I414" s="8" t="n">
        <f aca="false">IF(EXACT(G414,H414),1,0)</f>
        <v>0</v>
      </c>
      <c r="J414" s="8" t="n">
        <v>1</v>
      </c>
      <c r="K414" s="8" t="s">
        <v>140</v>
      </c>
      <c r="L414" s="8" t="n">
        <v>5</v>
      </c>
      <c r="M414" s="8" t="n">
        <v>0</v>
      </c>
      <c r="N414" s="8"/>
      <c r="O414" s="8" t="n">
        <v>1</v>
      </c>
      <c r="P414" s="10" t="n">
        <v>17.96</v>
      </c>
      <c r="Q414" s="8" t="n">
        <v>1641</v>
      </c>
      <c r="R414" s="8" t="n">
        <v>840</v>
      </c>
      <c r="S414" s="8" t="s">
        <v>110</v>
      </c>
      <c r="T414" s="8" t="s">
        <v>536</v>
      </c>
      <c r="U414" s="8" t="s">
        <v>537</v>
      </c>
      <c r="V414" s="8"/>
      <c r="W414" s="8" t="s">
        <v>538</v>
      </c>
      <c r="X414" s="8" t="s">
        <v>539</v>
      </c>
      <c r="Y414" s="8" t="s">
        <v>1174</v>
      </c>
      <c r="Z414" s="8" t="s">
        <v>1175</v>
      </c>
    </row>
    <row r="415" customFormat="false" ht="15" hidden="false" customHeight="false" outlineLevel="0" collapsed="false">
      <c r="A415" s="8" t="s">
        <v>535</v>
      </c>
      <c r="B415" s="8" t="s">
        <v>15</v>
      </c>
      <c r="C415" s="8" t="s">
        <v>16</v>
      </c>
      <c r="D415" s="8" t="s">
        <v>615</v>
      </c>
      <c r="E415" s="8" t="s">
        <v>39</v>
      </c>
      <c r="F415" s="8" t="s">
        <v>61</v>
      </c>
      <c r="G415" s="8" t="s">
        <v>30</v>
      </c>
      <c r="H415" s="8" t="s">
        <v>31</v>
      </c>
      <c r="I415" s="8" t="n">
        <f aca="false">IF(EXACT(G415,H415),1,0)</f>
        <v>0</v>
      </c>
      <c r="J415" s="8" t="n">
        <v>2</v>
      </c>
      <c r="K415" s="8" t="s">
        <v>140</v>
      </c>
      <c r="L415" s="8" t="n">
        <v>2</v>
      </c>
      <c r="M415" s="8" t="n">
        <v>0</v>
      </c>
      <c r="N415" s="8"/>
      <c r="O415" s="8" t="n">
        <v>1</v>
      </c>
      <c r="P415" s="10" t="n">
        <v>12.96</v>
      </c>
      <c r="Q415" s="8" t="n">
        <v>1641</v>
      </c>
      <c r="R415" s="8" t="n">
        <v>537</v>
      </c>
      <c r="S415" s="8" t="s">
        <v>110</v>
      </c>
      <c r="T415" s="8" t="s">
        <v>536</v>
      </c>
      <c r="U415" s="8" t="s">
        <v>537</v>
      </c>
      <c r="V415" s="8"/>
      <c r="W415" s="8" t="s">
        <v>538</v>
      </c>
      <c r="X415" s="8" t="s">
        <v>539</v>
      </c>
      <c r="Y415" s="8" t="s">
        <v>1176</v>
      </c>
      <c r="Z415" s="8" t="s">
        <v>1177</v>
      </c>
    </row>
    <row r="416" customFormat="false" ht="15" hidden="false" customHeight="false" outlineLevel="0" collapsed="false">
      <c r="A416" s="8" t="s">
        <v>540</v>
      </c>
      <c r="B416" s="8" t="s">
        <v>15</v>
      </c>
      <c r="C416" s="8" t="s">
        <v>16</v>
      </c>
      <c r="D416" s="8" t="s">
        <v>615</v>
      </c>
      <c r="E416" s="8" t="s">
        <v>39</v>
      </c>
      <c r="F416" s="8" t="s">
        <v>61</v>
      </c>
      <c r="G416" s="8" t="s">
        <v>31</v>
      </c>
      <c r="H416" s="8" t="s">
        <v>31</v>
      </c>
      <c r="I416" s="8" t="n">
        <f aca="false">IF(EXACT(G416,H416),1,0)</f>
        <v>1</v>
      </c>
      <c r="J416" s="8" t="n">
        <v>0</v>
      </c>
      <c r="K416" s="8" t="s">
        <v>140</v>
      </c>
      <c r="L416" s="8" t="n">
        <v>2</v>
      </c>
      <c r="M416" s="8" t="n">
        <v>0</v>
      </c>
      <c r="N416" s="8"/>
      <c r="O416" s="8" t="n">
        <v>1</v>
      </c>
      <c r="P416" s="10" t="n">
        <v>11.71</v>
      </c>
      <c r="Q416" s="8" t="n">
        <v>1510</v>
      </c>
      <c r="R416" s="8" t="n">
        <v>502</v>
      </c>
      <c r="S416" s="8" t="s">
        <v>117</v>
      </c>
      <c r="T416" s="8" t="s">
        <v>536</v>
      </c>
      <c r="U416" s="8" t="s">
        <v>537</v>
      </c>
      <c r="V416" s="8"/>
      <c r="W416" s="8" t="s">
        <v>541</v>
      </c>
      <c r="X416" s="8" t="s">
        <v>542</v>
      </c>
      <c r="Y416" s="8" t="s">
        <v>1178</v>
      </c>
      <c r="Z416" s="8" t="s">
        <v>1179</v>
      </c>
    </row>
    <row r="417" customFormat="false" ht="15" hidden="false" customHeight="false" outlineLevel="0" collapsed="false">
      <c r="A417" s="8" t="s">
        <v>540</v>
      </c>
      <c r="B417" s="8" t="s">
        <v>15</v>
      </c>
      <c r="C417" s="8" t="s">
        <v>16</v>
      </c>
      <c r="D417" s="8" t="s">
        <v>615</v>
      </c>
      <c r="E417" s="8" t="s">
        <v>39</v>
      </c>
      <c r="F417" s="8" t="s">
        <v>61</v>
      </c>
      <c r="G417" s="8" t="s">
        <v>31</v>
      </c>
      <c r="H417" s="8" t="s">
        <v>31</v>
      </c>
      <c r="I417" s="8" t="n">
        <f aca="false">IF(EXACT(G417,H417),1,0)</f>
        <v>1</v>
      </c>
      <c r="J417" s="8" t="n">
        <v>1</v>
      </c>
      <c r="K417" s="8" t="s">
        <v>140</v>
      </c>
      <c r="L417" s="8" t="n">
        <v>2</v>
      </c>
      <c r="M417" s="8" t="n">
        <v>0</v>
      </c>
      <c r="N417" s="8"/>
      <c r="O417" s="8" t="n">
        <v>1</v>
      </c>
      <c r="P417" s="10" t="n">
        <v>11.61</v>
      </c>
      <c r="Q417" s="8" t="n">
        <v>1510</v>
      </c>
      <c r="R417" s="8" t="n">
        <v>499</v>
      </c>
      <c r="S417" s="8" t="s">
        <v>117</v>
      </c>
      <c r="T417" s="8" t="s">
        <v>536</v>
      </c>
      <c r="U417" s="8" t="s">
        <v>537</v>
      </c>
      <c r="V417" s="8"/>
      <c r="W417" s="8" t="s">
        <v>541</v>
      </c>
      <c r="X417" s="8" t="s">
        <v>542</v>
      </c>
      <c r="Y417" s="8" t="s">
        <v>1180</v>
      </c>
      <c r="Z417" s="8" t="s">
        <v>1181</v>
      </c>
    </row>
    <row r="418" customFormat="false" ht="15" hidden="false" customHeight="false" outlineLevel="0" collapsed="false">
      <c r="A418" s="8" t="s">
        <v>540</v>
      </c>
      <c r="B418" s="8" t="s">
        <v>15</v>
      </c>
      <c r="C418" s="8" t="s">
        <v>16</v>
      </c>
      <c r="D418" s="8" t="s">
        <v>615</v>
      </c>
      <c r="E418" s="8" t="s">
        <v>39</v>
      </c>
      <c r="F418" s="8" t="s">
        <v>61</v>
      </c>
      <c r="G418" s="8" t="s">
        <v>31</v>
      </c>
      <c r="H418" s="8" t="s">
        <v>31</v>
      </c>
      <c r="I418" s="8" t="n">
        <f aca="false">IF(EXACT(G418,H418),1,0)</f>
        <v>1</v>
      </c>
      <c r="J418" s="8" t="n">
        <v>2</v>
      </c>
      <c r="K418" s="8" t="s">
        <v>140</v>
      </c>
      <c r="L418" s="8" t="n">
        <v>3</v>
      </c>
      <c r="M418" s="8" t="n">
        <v>0</v>
      </c>
      <c r="N418" s="8"/>
      <c r="O418" s="8" t="n">
        <v>1</v>
      </c>
      <c r="P418" s="10" t="n">
        <v>14.44</v>
      </c>
      <c r="Q418" s="8" t="n">
        <v>1510</v>
      </c>
      <c r="R418" s="8" t="n">
        <v>674</v>
      </c>
      <c r="S418" s="8" t="s">
        <v>117</v>
      </c>
      <c r="T418" s="8" t="s">
        <v>536</v>
      </c>
      <c r="U418" s="8" t="s">
        <v>537</v>
      </c>
      <c r="V418" s="8"/>
      <c r="W418" s="8" t="s">
        <v>541</v>
      </c>
      <c r="X418" s="8" t="s">
        <v>542</v>
      </c>
      <c r="Y418" s="8" t="s">
        <v>1182</v>
      </c>
      <c r="Z418" s="8" t="s">
        <v>1183</v>
      </c>
    </row>
    <row r="419" customFormat="false" ht="15" hidden="false" customHeight="false" outlineLevel="0" collapsed="false">
      <c r="A419" s="8" t="s">
        <v>544</v>
      </c>
      <c r="B419" s="8" t="s">
        <v>15</v>
      </c>
      <c r="C419" s="8" t="s">
        <v>16</v>
      </c>
      <c r="D419" s="8" t="s">
        <v>615</v>
      </c>
      <c r="E419" s="8" t="s">
        <v>39</v>
      </c>
      <c r="F419" s="8" t="s">
        <v>61</v>
      </c>
      <c r="G419" s="8" t="s">
        <v>31</v>
      </c>
      <c r="H419" s="8" t="s">
        <v>31</v>
      </c>
      <c r="I419" s="8" t="n">
        <f aca="false">IF(EXACT(G419,H419),1,0)</f>
        <v>1</v>
      </c>
      <c r="J419" s="8" t="n">
        <v>0</v>
      </c>
      <c r="K419" s="8" t="s">
        <v>140</v>
      </c>
      <c r="L419" s="8" t="n">
        <v>5</v>
      </c>
      <c r="M419" s="8" t="n">
        <v>0</v>
      </c>
      <c r="N419" s="8"/>
      <c r="O419" s="8" t="n">
        <v>1</v>
      </c>
      <c r="P419" s="10" t="n">
        <v>15.84</v>
      </c>
      <c r="Q419" s="8" t="n">
        <v>1486</v>
      </c>
      <c r="R419" s="8" t="n">
        <v>796</v>
      </c>
      <c r="S419" s="8" t="s">
        <v>255</v>
      </c>
      <c r="T419" s="8" t="s">
        <v>536</v>
      </c>
      <c r="U419" s="8" t="s">
        <v>537</v>
      </c>
      <c r="V419" s="8"/>
      <c r="W419" s="8" t="s">
        <v>545</v>
      </c>
      <c r="X419" s="8" t="s">
        <v>546</v>
      </c>
      <c r="Y419" s="8" t="s">
        <v>1184</v>
      </c>
      <c r="Z419" s="8" t="s">
        <v>1185</v>
      </c>
    </row>
    <row r="420" customFormat="false" ht="15" hidden="false" customHeight="false" outlineLevel="0" collapsed="false">
      <c r="A420" s="8" t="s">
        <v>544</v>
      </c>
      <c r="B420" s="8" t="s">
        <v>15</v>
      </c>
      <c r="C420" s="8" t="s">
        <v>16</v>
      </c>
      <c r="D420" s="8" t="s">
        <v>615</v>
      </c>
      <c r="E420" s="8" t="s">
        <v>39</v>
      </c>
      <c r="F420" s="8" t="s">
        <v>61</v>
      </c>
      <c r="G420" s="8" t="s">
        <v>31</v>
      </c>
      <c r="H420" s="8" t="s">
        <v>31</v>
      </c>
      <c r="I420" s="8" t="n">
        <f aca="false">IF(EXACT(G420,H420),1,0)</f>
        <v>1</v>
      </c>
      <c r="J420" s="8" t="n">
        <v>1</v>
      </c>
      <c r="K420" s="8" t="s">
        <v>140</v>
      </c>
      <c r="L420" s="8" t="n">
        <v>2</v>
      </c>
      <c r="M420" s="8" t="n">
        <v>0</v>
      </c>
      <c r="N420" s="8"/>
      <c r="O420" s="8" t="n">
        <v>1</v>
      </c>
      <c r="P420" s="10" t="n">
        <v>10.99</v>
      </c>
      <c r="Q420" s="8" t="n">
        <v>1486</v>
      </c>
      <c r="R420" s="8" t="n">
        <v>524</v>
      </c>
      <c r="S420" s="8" t="s">
        <v>255</v>
      </c>
      <c r="T420" s="8" t="s">
        <v>536</v>
      </c>
      <c r="U420" s="8" t="s">
        <v>537</v>
      </c>
      <c r="V420" s="8"/>
      <c r="W420" s="8" t="s">
        <v>545</v>
      </c>
      <c r="X420" s="8" t="s">
        <v>546</v>
      </c>
      <c r="Y420" s="8" t="s">
        <v>1186</v>
      </c>
      <c r="Z420" s="8" t="s">
        <v>1187</v>
      </c>
    </row>
    <row r="421" customFormat="false" ht="15" hidden="false" customHeight="false" outlineLevel="0" collapsed="false">
      <c r="A421" s="8" t="s">
        <v>544</v>
      </c>
      <c r="B421" s="8" t="s">
        <v>15</v>
      </c>
      <c r="C421" s="8" t="s">
        <v>16</v>
      </c>
      <c r="D421" s="8" t="s">
        <v>615</v>
      </c>
      <c r="E421" s="8" t="s">
        <v>39</v>
      </c>
      <c r="F421" s="8" t="s">
        <v>61</v>
      </c>
      <c r="G421" s="8" t="s">
        <v>31</v>
      </c>
      <c r="H421" s="8" t="s">
        <v>31</v>
      </c>
      <c r="I421" s="8" t="n">
        <f aca="false">IF(EXACT(G421,H421),1,0)</f>
        <v>1</v>
      </c>
      <c r="J421" s="8" t="n">
        <v>2</v>
      </c>
      <c r="K421" s="8" t="s">
        <v>140</v>
      </c>
      <c r="L421" s="8" t="n">
        <v>5</v>
      </c>
      <c r="M421" s="8" t="n">
        <v>0</v>
      </c>
      <c r="N421" s="8"/>
      <c r="O421" s="8" t="n">
        <v>1</v>
      </c>
      <c r="P421" s="10" t="n">
        <v>18.05</v>
      </c>
      <c r="Q421" s="8" t="n">
        <v>1486</v>
      </c>
      <c r="R421" s="8" t="n">
        <v>893</v>
      </c>
      <c r="S421" s="8" t="s">
        <v>255</v>
      </c>
      <c r="T421" s="8" t="s">
        <v>536</v>
      </c>
      <c r="U421" s="8" t="s">
        <v>537</v>
      </c>
      <c r="V421" s="8"/>
      <c r="W421" s="8" t="s">
        <v>545</v>
      </c>
      <c r="X421" s="8" t="s">
        <v>546</v>
      </c>
      <c r="Y421" s="8" t="s">
        <v>1188</v>
      </c>
      <c r="Z421" s="8" t="s">
        <v>1189</v>
      </c>
    </row>
    <row r="422" customFormat="false" ht="15" hidden="false" customHeight="false" outlineLevel="0" collapsed="false">
      <c r="A422" s="8" t="s">
        <v>547</v>
      </c>
      <c r="B422" s="8" t="s">
        <v>15</v>
      </c>
      <c r="C422" s="8" t="s">
        <v>16</v>
      </c>
      <c r="D422" s="8" t="s">
        <v>615</v>
      </c>
      <c r="E422" s="8" t="s">
        <v>39</v>
      </c>
      <c r="F422" s="8" t="s">
        <v>61</v>
      </c>
      <c r="G422" s="8" t="s">
        <v>32</v>
      </c>
      <c r="H422" s="8" t="s">
        <v>32</v>
      </c>
      <c r="I422" s="8" t="n">
        <f aca="false">IF(EXACT(G422,H422),1,0)</f>
        <v>1</v>
      </c>
      <c r="J422" s="8" t="n">
        <v>0</v>
      </c>
      <c r="K422" s="8" t="s">
        <v>92</v>
      </c>
      <c r="L422" s="8" t="n">
        <v>0</v>
      </c>
      <c r="M422" s="8" t="n">
        <v>0</v>
      </c>
      <c r="N422" s="8"/>
      <c r="O422" s="8" t="n">
        <v>1</v>
      </c>
      <c r="P422" s="10" t="n">
        <v>3.47</v>
      </c>
      <c r="Q422" s="8" t="n">
        <v>1435</v>
      </c>
      <c r="R422" s="8" t="n">
        <v>75</v>
      </c>
      <c r="S422" s="8" t="s">
        <v>132</v>
      </c>
      <c r="T422" s="8" t="s">
        <v>536</v>
      </c>
      <c r="U422" s="8" t="s">
        <v>537</v>
      </c>
      <c r="V422" s="8"/>
      <c r="W422" s="8" t="s">
        <v>548</v>
      </c>
      <c r="X422" s="8" t="s">
        <v>549</v>
      </c>
      <c r="Y422" s="8" t="s">
        <v>1190</v>
      </c>
      <c r="Z422" s="8"/>
    </row>
    <row r="423" customFormat="false" ht="15" hidden="false" customHeight="false" outlineLevel="0" collapsed="false">
      <c r="A423" s="8" t="s">
        <v>547</v>
      </c>
      <c r="B423" s="8" t="s">
        <v>15</v>
      </c>
      <c r="C423" s="8" t="s">
        <v>16</v>
      </c>
      <c r="D423" s="8" t="s">
        <v>615</v>
      </c>
      <c r="E423" s="8" t="s">
        <v>39</v>
      </c>
      <c r="F423" s="8" t="s">
        <v>61</v>
      </c>
      <c r="G423" s="8" t="s">
        <v>32</v>
      </c>
      <c r="H423" s="8" t="s">
        <v>32</v>
      </c>
      <c r="I423" s="8" t="n">
        <f aca="false">IF(EXACT(G423,H423),1,0)</f>
        <v>1</v>
      </c>
      <c r="J423" s="8" t="n">
        <v>1</v>
      </c>
      <c r="K423" s="8" t="s">
        <v>92</v>
      </c>
      <c r="L423" s="8" t="n">
        <v>0</v>
      </c>
      <c r="M423" s="8" t="n">
        <v>0</v>
      </c>
      <c r="N423" s="8"/>
      <c r="O423" s="8" t="n">
        <v>1</v>
      </c>
      <c r="P423" s="10" t="n">
        <v>2.51</v>
      </c>
      <c r="Q423" s="8" t="n">
        <v>1435</v>
      </c>
      <c r="R423" s="8" t="n">
        <v>75</v>
      </c>
      <c r="S423" s="8" t="s">
        <v>132</v>
      </c>
      <c r="T423" s="8" t="s">
        <v>536</v>
      </c>
      <c r="U423" s="8" t="s">
        <v>537</v>
      </c>
      <c r="V423" s="8"/>
      <c r="W423" s="8" t="s">
        <v>548</v>
      </c>
      <c r="X423" s="8" t="s">
        <v>549</v>
      </c>
      <c r="Y423" s="8" t="s">
        <v>1190</v>
      </c>
      <c r="Z423" s="8"/>
    </row>
    <row r="424" customFormat="false" ht="15" hidden="false" customHeight="false" outlineLevel="0" collapsed="false">
      <c r="A424" s="8" t="s">
        <v>547</v>
      </c>
      <c r="B424" s="8" t="s">
        <v>15</v>
      </c>
      <c r="C424" s="8" t="s">
        <v>16</v>
      </c>
      <c r="D424" s="8" t="s">
        <v>615</v>
      </c>
      <c r="E424" s="8" t="s">
        <v>39</v>
      </c>
      <c r="F424" s="8" t="s">
        <v>61</v>
      </c>
      <c r="G424" s="8" t="s">
        <v>32</v>
      </c>
      <c r="H424" s="8" t="s">
        <v>32</v>
      </c>
      <c r="I424" s="8" t="n">
        <f aca="false">IF(EXACT(G424,H424),1,0)</f>
        <v>1</v>
      </c>
      <c r="J424" s="8" t="n">
        <v>2</v>
      </c>
      <c r="K424" s="8" t="s">
        <v>92</v>
      </c>
      <c r="L424" s="8" t="n">
        <v>0</v>
      </c>
      <c r="M424" s="8" t="n">
        <v>0</v>
      </c>
      <c r="N424" s="8"/>
      <c r="O424" s="8" t="n">
        <v>1</v>
      </c>
      <c r="P424" s="10" t="n">
        <v>2.46</v>
      </c>
      <c r="Q424" s="8" t="n">
        <v>1435</v>
      </c>
      <c r="R424" s="8" t="n">
        <v>75</v>
      </c>
      <c r="S424" s="8" t="s">
        <v>132</v>
      </c>
      <c r="T424" s="8" t="s">
        <v>536</v>
      </c>
      <c r="U424" s="8" t="s">
        <v>537</v>
      </c>
      <c r="V424" s="8"/>
      <c r="W424" s="8" t="s">
        <v>548</v>
      </c>
      <c r="X424" s="8" t="s">
        <v>549</v>
      </c>
      <c r="Y424" s="8" t="s">
        <v>1190</v>
      </c>
      <c r="Z424" s="8"/>
    </row>
    <row r="425" customFormat="false" ht="15" hidden="false" customHeight="false" outlineLevel="0" collapsed="false">
      <c r="A425" s="8" t="s">
        <v>550</v>
      </c>
      <c r="B425" s="8" t="s">
        <v>15</v>
      </c>
      <c r="C425" s="8" t="s">
        <v>16</v>
      </c>
      <c r="D425" s="8" t="s">
        <v>615</v>
      </c>
      <c r="E425" s="8" t="s">
        <v>39</v>
      </c>
      <c r="F425" s="8" t="s">
        <v>61</v>
      </c>
      <c r="G425" s="8" t="s">
        <v>30</v>
      </c>
      <c r="H425" s="8" t="s">
        <v>30</v>
      </c>
      <c r="I425" s="8" t="n">
        <f aca="false">IF(EXACT(G425,H425),1,0)</f>
        <v>1</v>
      </c>
      <c r="J425" s="8" t="n">
        <v>0</v>
      </c>
      <c r="K425" s="8" t="s">
        <v>92</v>
      </c>
      <c r="L425" s="8" t="n">
        <v>0</v>
      </c>
      <c r="M425" s="8" t="n">
        <v>0</v>
      </c>
      <c r="N425" s="8"/>
      <c r="O425" s="8" t="n">
        <v>1</v>
      </c>
      <c r="P425" s="10" t="n">
        <v>3.17</v>
      </c>
      <c r="Q425" s="8" t="n">
        <v>1486</v>
      </c>
      <c r="R425" s="8" t="n">
        <v>79</v>
      </c>
      <c r="S425" s="8" t="s">
        <v>150</v>
      </c>
      <c r="T425" s="8" t="s">
        <v>536</v>
      </c>
      <c r="U425" s="8" t="s">
        <v>537</v>
      </c>
      <c r="V425" s="8"/>
      <c r="W425" s="8" t="s">
        <v>551</v>
      </c>
      <c r="X425" s="8" t="s">
        <v>552</v>
      </c>
      <c r="Y425" s="8" t="s">
        <v>1191</v>
      </c>
      <c r="Z425" s="8"/>
    </row>
    <row r="426" customFormat="false" ht="15" hidden="false" customHeight="false" outlineLevel="0" collapsed="false">
      <c r="A426" s="8" t="s">
        <v>550</v>
      </c>
      <c r="B426" s="8" t="s">
        <v>15</v>
      </c>
      <c r="C426" s="8" t="s">
        <v>16</v>
      </c>
      <c r="D426" s="8" t="s">
        <v>615</v>
      </c>
      <c r="E426" s="8" t="s">
        <v>39</v>
      </c>
      <c r="F426" s="8" t="s">
        <v>61</v>
      </c>
      <c r="G426" s="8" t="s">
        <v>30</v>
      </c>
      <c r="H426" s="8" t="s">
        <v>30</v>
      </c>
      <c r="I426" s="8" t="n">
        <f aca="false">IF(EXACT(G426,H426),1,0)</f>
        <v>1</v>
      </c>
      <c r="J426" s="8" t="n">
        <v>1</v>
      </c>
      <c r="K426" s="8" t="s">
        <v>92</v>
      </c>
      <c r="L426" s="8" t="n">
        <v>0</v>
      </c>
      <c r="M426" s="8" t="n">
        <v>0</v>
      </c>
      <c r="N426" s="8"/>
      <c r="O426" s="8" t="n">
        <v>1</v>
      </c>
      <c r="P426" s="10" t="n">
        <v>2.91</v>
      </c>
      <c r="Q426" s="8" t="n">
        <v>1486</v>
      </c>
      <c r="R426" s="8" t="n">
        <v>79</v>
      </c>
      <c r="S426" s="8" t="s">
        <v>150</v>
      </c>
      <c r="T426" s="8" t="s">
        <v>536</v>
      </c>
      <c r="U426" s="8" t="s">
        <v>537</v>
      </c>
      <c r="V426" s="8"/>
      <c r="W426" s="8" t="s">
        <v>551</v>
      </c>
      <c r="X426" s="8" t="s">
        <v>552</v>
      </c>
      <c r="Y426" s="8" t="s">
        <v>1191</v>
      </c>
      <c r="Z426" s="8"/>
    </row>
    <row r="427" customFormat="false" ht="15" hidden="false" customHeight="false" outlineLevel="0" collapsed="false">
      <c r="A427" s="8" t="s">
        <v>550</v>
      </c>
      <c r="B427" s="8" t="s">
        <v>15</v>
      </c>
      <c r="C427" s="8" t="s">
        <v>16</v>
      </c>
      <c r="D427" s="8" t="s">
        <v>615</v>
      </c>
      <c r="E427" s="8" t="s">
        <v>39</v>
      </c>
      <c r="F427" s="8" t="s">
        <v>61</v>
      </c>
      <c r="G427" s="8" t="s">
        <v>30</v>
      </c>
      <c r="H427" s="8" t="s">
        <v>30</v>
      </c>
      <c r="I427" s="8" t="n">
        <f aca="false">IF(EXACT(G427,H427),1,0)</f>
        <v>1</v>
      </c>
      <c r="J427" s="8" t="n">
        <v>2</v>
      </c>
      <c r="K427" s="8" t="s">
        <v>92</v>
      </c>
      <c r="L427" s="8" t="n">
        <v>0</v>
      </c>
      <c r="M427" s="8" t="n">
        <v>0</v>
      </c>
      <c r="N427" s="8"/>
      <c r="O427" s="8" t="n">
        <v>1</v>
      </c>
      <c r="P427" s="10" t="n">
        <v>2.82</v>
      </c>
      <c r="Q427" s="8" t="n">
        <v>1486</v>
      </c>
      <c r="R427" s="8" t="n">
        <v>79</v>
      </c>
      <c r="S427" s="8" t="s">
        <v>150</v>
      </c>
      <c r="T427" s="8" t="s">
        <v>536</v>
      </c>
      <c r="U427" s="8" t="s">
        <v>537</v>
      </c>
      <c r="V427" s="8"/>
      <c r="W427" s="8" t="s">
        <v>551</v>
      </c>
      <c r="X427" s="8" t="s">
        <v>552</v>
      </c>
      <c r="Y427" s="8" t="s">
        <v>1192</v>
      </c>
      <c r="Z427" s="8"/>
    </row>
    <row r="428" customFormat="false" ht="15" hidden="false" customHeight="false" outlineLevel="0" collapsed="false">
      <c r="A428" s="8" t="s">
        <v>553</v>
      </c>
      <c r="B428" s="8" t="s">
        <v>15</v>
      </c>
      <c r="C428" s="8" t="s">
        <v>16</v>
      </c>
      <c r="D428" s="8" t="s">
        <v>615</v>
      </c>
      <c r="E428" s="8" t="s">
        <v>39</v>
      </c>
      <c r="F428" s="8" t="s">
        <v>61</v>
      </c>
      <c r="G428" s="8" t="s">
        <v>32</v>
      </c>
      <c r="H428" s="8" t="s">
        <v>32</v>
      </c>
      <c r="I428" s="8" t="n">
        <f aca="false">IF(EXACT(G428,H428),1,0)</f>
        <v>1</v>
      </c>
      <c r="J428" s="8" t="n">
        <v>0</v>
      </c>
      <c r="K428" s="8" t="s">
        <v>92</v>
      </c>
      <c r="L428" s="8" t="n">
        <v>0</v>
      </c>
      <c r="M428" s="8" t="n">
        <v>0</v>
      </c>
      <c r="N428" s="8"/>
      <c r="O428" s="8" t="n">
        <v>1</v>
      </c>
      <c r="P428" s="10" t="n">
        <v>3.07</v>
      </c>
      <c r="Q428" s="8" t="n">
        <v>1495</v>
      </c>
      <c r="R428" s="8" t="n">
        <v>75</v>
      </c>
      <c r="S428" s="8" t="s">
        <v>554</v>
      </c>
      <c r="T428" s="8"/>
      <c r="U428" s="8"/>
      <c r="V428" s="8" t="s">
        <v>155</v>
      </c>
      <c r="W428" s="8"/>
      <c r="X428" s="8" t="s">
        <v>555</v>
      </c>
      <c r="Y428" s="8" t="s">
        <v>1193</v>
      </c>
      <c r="Z428" s="8"/>
    </row>
    <row r="429" customFormat="false" ht="15" hidden="false" customHeight="false" outlineLevel="0" collapsed="false">
      <c r="A429" s="8" t="s">
        <v>553</v>
      </c>
      <c r="B429" s="8" t="s">
        <v>15</v>
      </c>
      <c r="C429" s="8" t="s">
        <v>16</v>
      </c>
      <c r="D429" s="8" t="s">
        <v>615</v>
      </c>
      <c r="E429" s="8" t="s">
        <v>39</v>
      </c>
      <c r="F429" s="8" t="s">
        <v>61</v>
      </c>
      <c r="G429" s="8" t="s">
        <v>32</v>
      </c>
      <c r="H429" s="8" t="s">
        <v>32</v>
      </c>
      <c r="I429" s="8" t="n">
        <f aca="false">IF(EXACT(G429,H429),1,0)</f>
        <v>1</v>
      </c>
      <c r="J429" s="8" t="n">
        <v>1</v>
      </c>
      <c r="K429" s="8" t="s">
        <v>92</v>
      </c>
      <c r="L429" s="8" t="n">
        <v>0</v>
      </c>
      <c r="M429" s="8" t="n">
        <v>0</v>
      </c>
      <c r="N429" s="8"/>
      <c r="O429" s="8" t="n">
        <v>1</v>
      </c>
      <c r="P429" s="10" t="n">
        <v>2.71</v>
      </c>
      <c r="Q429" s="8" t="n">
        <v>1495</v>
      </c>
      <c r="R429" s="8" t="n">
        <v>83</v>
      </c>
      <c r="S429" s="8" t="s">
        <v>554</v>
      </c>
      <c r="T429" s="8"/>
      <c r="U429" s="8"/>
      <c r="V429" s="8" t="s">
        <v>155</v>
      </c>
      <c r="W429" s="8"/>
      <c r="X429" s="8" t="s">
        <v>555</v>
      </c>
      <c r="Y429" s="8" t="s">
        <v>1194</v>
      </c>
      <c r="Z429" s="8"/>
    </row>
    <row r="430" customFormat="false" ht="15" hidden="false" customHeight="false" outlineLevel="0" collapsed="false">
      <c r="A430" s="8" t="s">
        <v>553</v>
      </c>
      <c r="B430" s="8" t="s">
        <v>15</v>
      </c>
      <c r="C430" s="8" t="s">
        <v>16</v>
      </c>
      <c r="D430" s="8" t="s">
        <v>615</v>
      </c>
      <c r="E430" s="8" t="s">
        <v>39</v>
      </c>
      <c r="F430" s="8" t="s">
        <v>61</v>
      </c>
      <c r="G430" s="8" t="s">
        <v>32</v>
      </c>
      <c r="H430" s="8" t="s">
        <v>32</v>
      </c>
      <c r="I430" s="8" t="n">
        <f aca="false">IF(EXACT(G430,H430),1,0)</f>
        <v>1</v>
      </c>
      <c r="J430" s="8" t="n">
        <v>2</v>
      </c>
      <c r="K430" s="8" t="s">
        <v>92</v>
      </c>
      <c r="L430" s="8" t="n">
        <v>0</v>
      </c>
      <c r="M430" s="8" t="n">
        <v>0</v>
      </c>
      <c r="N430" s="8"/>
      <c r="O430" s="8" t="n">
        <v>1</v>
      </c>
      <c r="P430" s="10" t="n">
        <v>2.28</v>
      </c>
      <c r="Q430" s="8" t="n">
        <v>1495</v>
      </c>
      <c r="R430" s="8" t="n">
        <v>75</v>
      </c>
      <c r="S430" s="8" t="s">
        <v>554</v>
      </c>
      <c r="T430" s="8"/>
      <c r="U430" s="8"/>
      <c r="V430" s="8" t="s">
        <v>155</v>
      </c>
      <c r="W430" s="8"/>
      <c r="X430" s="8" t="s">
        <v>555</v>
      </c>
      <c r="Y430" s="8" t="s">
        <v>1193</v>
      </c>
      <c r="Z430" s="8"/>
    </row>
    <row r="431" customFormat="false" ht="15" hidden="false" customHeight="false" outlineLevel="0" collapsed="false">
      <c r="A431" s="8" t="s">
        <v>556</v>
      </c>
      <c r="B431" s="8" t="s">
        <v>15</v>
      </c>
      <c r="C431" s="8" t="s">
        <v>16</v>
      </c>
      <c r="D431" s="8" t="s">
        <v>615</v>
      </c>
      <c r="E431" s="8" t="s">
        <v>39</v>
      </c>
      <c r="F431" s="8" t="s">
        <v>62</v>
      </c>
      <c r="G431" s="8" t="s">
        <v>30</v>
      </c>
      <c r="H431" s="8" t="s">
        <v>31</v>
      </c>
      <c r="I431" s="8" t="n">
        <f aca="false">IF(EXACT(G431,H431),1,0)</f>
        <v>0</v>
      </c>
      <c r="J431" s="8" t="n">
        <v>0</v>
      </c>
      <c r="K431" s="8" t="s">
        <v>116</v>
      </c>
      <c r="L431" s="8" t="n">
        <v>1</v>
      </c>
      <c r="M431" s="8" t="n">
        <v>0</v>
      </c>
      <c r="N431" s="8"/>
      <c r="O431" s="8" t="n">
        <v>1</v>
      </c>
      <c r="P431" s="10" t="n">
        <v>7.33</v>
      </c>
      <c r="Q431" s="8" t="n">
        <v>1474</v>
      </c>
      <c r="R431" s="8" t="n">
        <v>294</v>
      </c>
      <c r="S431" s="8" t="s">
        <v>557</v>
      </c>
      <c r="T431" s="8"/>
      <c r="U431" s="8"/>
      <c r="V431" s="8" t="s">
        <v>309</v>
      </c>
      <c r="W431" s="8"/>
      <c r="X431" s="8" t="s">
        <v>558</v>
      </c>
      <c r="Y431" s="8" t="s">
        <v>1195</v>
      </c>
      <c r="Z431" s="8" t="s">
        <v>1196</v>
      </c>
    </row>
    <row r="432" customFormat="false" ht="15" hidden="false" customHeight="false" outlineLevel="0" collapsed="false">
      <c r="A432" s="8" t="s">
        <v>556</v>
      </c>
      <c r="B432" s="8" t="s">
        <v>15</v>
      </c>
      <c r="C432" s="8" t="s">
        <v>16</v>
      </c>
      <c r="D432" s="8" t="s">
        <v>615</v>
      </c>
      <c r="E432" s="8" t="s">
        <v>39</v>
      </c>
      <c r="F432" s="8" t="s">
        <v>62</v>
      </c>
      <c r="G432" s="8" t="s">
        <v>30</v>
      </c>
      <c r="H432" s="8" t="s">
        <v>31</v>
      </c>
      <c r="I432" s="8" t="n">
        <f aca="false">IF(EXACT(G432,H432),1,0)</f>
        <v>0</v>
      </c>
      <c r="J432" s="8" t="n">
        <v>1</v>
      </c>
      <c r="K432" s="8" t="s">
        <v>116</v>
      </c>
      <c r="L432" s="8" t="n">
        <v>1</v>
      </c>
      <c r="M432" s="8" t="n">
        <v>0</v>
      </c>
      <c r="N432" s="8"/>
      <c r="O432" s="8" t="n">
        <v>1</v>
      </c>
      <c r="P432" s="10" t="n">
        <v>6.35</v>
      </c>
      <c r="Q432" s="8" t="n">
        <v>1474</v>
      </c>
      <c r="R432" s="8" t="n">
        <v>268</v>
      </c>
      <c r="S432" s="8" t="s">
        <v>557</v>
      </c>
      <c r="T432" s="8"/>
      <c r="U432" s="8"/>
      <c r="V432" s="8" t="s">
        <v>309</v>
      </c>
      <c r="W432" s="8"/>
      <c r="X432" s="8" t="s">
        <v>558</v>
      </c>
      <c r="Y432" s="8" t="s">
        <v>1197</v>
      </c>
      <c r="Z432" s="8" t="s">
        <v>1198</v>
      </c>
    </row>
    <row r="433" customFormat="false" ht="15" hidden="false" customHeight="false" outlineLevel="0" collapsed="false">
      <c r="A433" s="8" t="s">
        <v>556</v>
      </c>
      <c r="B433" s="8" t="s">
        <v>15</v>
      </c>
      <c r="C433" s="8" t="s">
        <v>16</v>
      </c>
      <c r="D433" s="8" t="s">
        <v>615</v>
      </c>
      <c r="E433" s="8" t="s">
        <v>39</v>
      </c>
      <c r="F433" s="8" t="s">
        <v>62</v>
      </c>
      <c r="G433" s="8" t="s">
        <v>30</v>
      </c>
      <c r="H433" s="8" t="s">
        <v>31</v>
      </c>
      <c r="I433" s="8" t="n">
        <f aca="false">IF(EXACT(G433,H433),1,0)</f>
        <v>0</v>
      </c>
      <c r="J433" s="8" t="n">
        <v>2</v>
      </c>
      <c r="K433" s="8" t="s">
        <v>116</v>
      </c>
      <c r="L433" s="8" t="n">
        <v>1</v>
      </c>
      <c r="M433" s="8" t="n">
        <v>0</v>
      </c>
      <c r="N433" s="8"/>
      <c r="O433" s="8" t="n">
        <v>1</v>
      </c>
      <c r="P433" s="10" t="n">
        <v>6.67</v>
      </c>
      <c r="Q433" s="8" t="n">
        <v>1474</v>
      </c>
      <c r="R433" s="8" t="n">
        <v>271</v>
      </c>
      <c r="S433" s="8" t="s">
        <v>557</v>
      </c>
      <c r="T433" s="8"/>
      <c r="U433" s="8"/>
      <c r="V433" s="8" t="s">
        <v>309</v>
      </c>
      <c r="W433" s="8"/>
      <c r="X433" s="8" t="s">
        <v>558</v>
      </c>
      <c r="Y433" s="8" t="s">
        <v>1199</v>
      </c>
      <c r="Z433" s="8" t="s">
        <v>1200</v>
      </c>
    </row>
    <row r="434" customFormat="false" ht="15" hidden="false" customHeight="false" outlineLevel="0" collapsed="false">
      <c r="A434" s="8" t="s">
        <v>559</v>
      </c>
      <c r="B434" s="8" t="s">
        <v>15</v>
      </c>
      <c r="C434" s="8" t="s">
        <v>16</v>
      </c>
      <c r="D434" s="8" t="s">
        <v>615</v>
      </c>
      <c r="E434" s="8" t="s">
        <v>39</v>
      </c>
      <c r="F434" s="8" t="s">
        <v>62</v>
      </c>
      <c r="G434" s="8" t="s">
        <v>30</v>
      </c>
      <c r="H434" s="8" t="s">
        <v>30</v>
      </c>
      <c r="I434" s="8" t="n">
        <f aca="false">IF(EXACT(G434,H434),1,0)</f>
        <v>1</v>
      </c>
      <c r="J434" s="8" t="n">
        <v>0</v>
      </c>
      <c r="K434" s="8" t="s">
        <v>92</v>
      </c>
      <c r="L434" s="8" t="n">
        <v>0</v>
      </c>
      <c r="M434" s="8" t="n">
        <v>0</v>
      </c>
      <c r="N434" s="8"/>
      <c r="O434" s="8" t="n">
        <v>1</v>
      </c>
      <c r="P434" s="10" t="n">
        <v>3.49</v>
      </c>
      <c r="Q434" s="8" t="n">
        <v>1475</v>
      </c>
      <c r="R434" s="8" t="n">
        <v>86</v>
      </c>
      <c r="S434" s="8" t="s">
        <v>557</v>
      </c>
      <c r="T434" s="8"/>
      <c r="U434" s="8"/>
      <c r="V434" s="8" t="s">
        <v>309</v>
      </c>
      <c r="W434" s="8"/>
      <c r="X434" s="8" t="s">
        <v>560</v>
      </c>
      <c r="Y434" s="8" t="s">
        <v>1201</v>
      </c>
      <c r="Z434" s="8"/>
    </row>
    <row r="435" customFormat="false" ht="15" hidden="false" customHeight="false" outlineLevel="0" collapsed="false">
      <c r="A435" s="8" t="s">
        <v>559</v>
      </c>
      <c r="B435" s="8" t="s">
        <v>15</v>
      </c>
      <c r="C435" s="8" t="s">
        <v>16</v>
      </c>
      <c r="D435" s="8" t="s">
        <v>615</v>
      </c>
      <c r="E435" s="8" t="s">
        <v>39</v>
      </c>
      <c r="F435" s="8" t="s">
        <v>62</v>
      </c>
      <c r="G435" s="8" t="s">
        <v>30</v>
      </c>
      <c r="H435" s="8" t="s">
        <v>30</v>
      </c>
      <c r="I435" s="8" t="n">
        <f aca="false">IF(EXACT(G435,H435),1,0)</f>
        <v>1</v>
      </c>
      <c r="J435" s="8" t="n">
        <v>1</v>
      </c>
      <c r="K435" s="8" t="s">
        <v>92</v>
      </c>
      <c r="L435" s="8" t="n">
        <v>0</v>
      </c>
      <c r="M435" s="8" t="n">
        <v>0</v>
      </c>
      <c r="N435" s="8"/>
      <c r="O435" s="8" t="n">
        <v>1</v>
      </c>
      <c r="P435" s="10" t="n">
        <v>3.18</v>
      </c>
      <c r="Q435" s="8" t="n">
        <v>1475</v>
      </c>
      <c r="R435" s="8" t="n">
        <v>82</v>
      </c>
      <c r="S435" s="8" t="s">
        <v>557</v>
      </c>
      <c r="T435" s="8"/>
      <c r="U435" s="8"/>
      <c r="V435" s="8" t="s">
        <v>309</v>
      </c>
      <c r="W435" s="8"/>
      <c r="X435" s="8" t="s">
        <v>560</v>
      </c>
      <c r="Y435" s="8" t="s">
        <v>1202</v>
      </c>
      <c r="Z435" s="8"/>
    </row>
    <row r="436" customFormat="false" ht="15" hidden="false" customHeight="false" outlineLevel="0" collapsed="false">
      <c r="A436" s="8" t="s">
        <v>559</v>
      </c>
      <c r="B436" s="8" t="s">
        <v>15</v>
      </c>
      <c r="C436" s="8" t="s">
        <v>16</v>
      </c>
      <c r="D436" s="8" t="s">
        <v>615</v>
      </c>
      <c r="E436" s="8" t="s">
        <v>39</v>
      </c>
      <c r="F436" s="8" t="s">
        <v>62</v>
      </c>
      <c r="G436" s="8" t="s">
        <v>30</v>
      </c>
      <c r="H436" s="8" t="s">
        <v>30</v>
      </c>
      <c r="I436" s="8" t="n">
        <f aca="false">IF(EXACT(G436,H436),1,0)</f>
        <v>1</v>
      </c>
      <c r="J436" s="8" t="n">
        <v>2</v>
      </c>
      <c r="K436" s="8" t="s">
        <v>92</v>
      </c>
      <c r="L436" s="8" t="n">
        <v>0</v>
      </c>
      <c r="M436" s="8" t="n">
        <v>0</v>
      </c>
      <c r="N436" s="8"/>
      <c r="O436" s="8" t="n">
        <v>1</v>
      </c>
      <c r="P436" s="10" t="n">
        <v>2.93</v>
      </c>
      <c r="Q436" s="8" t="n">
        <v>1475</v>
      </c>
      <c r="R436" s="8" t="n">
        <v>81</v>
      </c>
      <c r="S436" s="8" t="s">
        <v>557</v>
      </c>
      <c r="T436" s="8"/>
      <c r="U436" s="8"/>
      <c r="V436" s="8" t="s">
        <v>309</v>
      </c>
      <c r="W436" s="8"/>
      <c r="X436" s="8" t="s">
        <v>560</v>
      </c>
      <c r="Y436" s="8" t="s">
        <v>1203</v>
      </c>
      <c r="Z436" s="8"/>
    </row>
    <row r="437" customFormat="false" ht="15" hidden="false" customHeight="false" outlineLevel="0" collapsed="false">
      <c r="A437" s="8" t="s">
        <v>561</v>
      </c>
      <c r="B437" s="8" t="s">
        <v>15</v>
      </c>
      <c r="C437" s="8" t="s">
        <v>16</v>
      </c>
      <c r="D437" s="8" t="s">
        <v>615</v>
      </c>
      <c r="E437" s="8" t="s">
        <v>39</v>
      </c>
      <c r="F437" s="8" t="s">
        <v>62</v>
      </c>
      <c r="G437" s="8" t="s">
        <v>31</v>
      </c>
      <c r="H437" s="8" t="s">
        <v>31</v>
      </c>
      <c r="I437" s="8" t="n">
        <f aca="false">IF(EXACT(G437,H437),1,0)</f>
        <v>1</v>
      </c>
      <c r="J437" s="8" t="n">
        <v>0</v>
      </c>
      <c r="K437" s="8" t="s">
        <v>116</v>
      </c>
      <c r="L437" s="8" t="n">
        <v>2</v>
      </c>
      <c r="M437" s="8" t="n">
        <v>0</v>
      </c>
      <c r="N437" s="8"/>
      <c r="O437" s="8" t="n">
        <v>1</v>
      </c>
      <c r="P437" s="10" t="n">
        <v>12.56</v>
      </c>
      <c r="Q437" s="8" t="n">
        <v>1553</v>
      </c>
      <c r="R437" s="8" t="n">
        <v>563</v>
      </c>
      <c r="S437" s="8" t="s">
        <v>562</v>
      </c>
      <c r="T437" s="8"/>
      <c r="U437" s="8"/>
      <c r="V437" s="8" t="s">
        <v>155</v>
      </c>
      <c r="W437" s="8"/>
      <c r="X437" s="8" t="s">
        <v>563</v>
      </c>
      <c r="Y437" s="8" t="s">
        <v>1204</v>
      </c>
      <c r="Z437" s="8" t="s">
        <v>1205</v>
      </c>
    </row>
    <row r="438" customFormat="false" ht="15" hidden="false" customHeight="false" outlineLevel="0" collapsed="false">
      <c r="A438" s="8" t="s">
        <v>561</v>
      </c>
      <c r="B438" s="8" t="s">
        <v>15</v>
      </c>
      <c r="C438" s="8" t="s">
        <v>16</v>
      </c>
      <c r="D438" s="8" t="s">
        <v>615</v>
      </c>
      <c r="E438" s="8" t="s">
        <v>39</v>
      </c>
      <c r="F438" s="8" t="s">
        <v>62</v>
      </c>
      <c r="G438" s="8" t="s">
        <v>31</v>
      </c>
      <c r="H438" s="8" t="s">
        <v>31</v>
      </c>
      <c r="I438" s="8" t="n">
        <f aca="false">IF(EXACT(G438,H438),1,0)</f>
        <v>1</v>
      </c>
      <c r="J438" s="8" t="n">
        <v>1</v>
      </c>
      <c r="K438" s="8" t="s">
        <v>116</v>
      </c>
      <c r="L438" s="8" t="n">
        <v>2</v>
      </c>
      <c r="M438" s="8" t="n">
        <v>0</v>
      </c>
      <c r="N438" s="8"/>
      <c r="O438" s="8" t="n">
        <v>1</v>
      </c>
      <c r="P438" s="10" t="n">
        <v>13.3</v>
      </c>
      <c r="Q438" s="8" t="n">
        <v>1553</v>
      </c>
      <c r="R438" s="8" t="n">
        <v>606</v>
      </c>
      <c r="S438" s="8" t="s">
        <v>562</v>
      </c>
      <c r="T438" s="8"/>
      <c r="U438" s="8"/>
      <c r="V438" s="8" t="s">
        <v>155</v>
      </c>
      <c r="W438" s="8"/>
      <c r="X438" s="8" t="s">
        <v>563</v>
      </c>
      <c r="Y438" s="8" t="s">
        <v>1206</v>
      </c>
      <c r="Z438" s="8" t="s">
        <v>1207</v>
      </c>
    </row>
    <row r="439" customFormat="false" ht="15" hidden="false" customHeight="false" outlineLevel="0" collapsed="false">
      <c r="A439" s="8" t="s">
        <v>561</v>
      </c>
      <c r="B439" s="8" t="s">
        <v>15</v>
      </c>
      <c r="C439" s="8" t="s">
        <v>16</v>
      </c>
      <c r="D439" s="8" t="s">
        <v>615</v>
      </c>
      <c r="E439" s="8" t="s">
        <v>39</v>
      </c>
      <c r="F439" s="8" t="s">
        <v>62</v>
      </c>
      <c r="G439" s="8" t="s">
        <v>31</v>
      </c>
      <c r="H439" s="8" t="s">
        <v>31</v>
      </c>
      <c r="I439" s="8" t="n">
        <f aca="false">IF(EXACT(G439,H439),1,0)</f>
        <v>1</v>
      </c>
      <c r="J439" s="8" t="n">
        <v>2</v>
      </c>
      <c r="K439" s="8" t="s">
        <v>116</v>
      </c>
      <c r="L439" s="8" t="n">
        <v>4</v>
      </c>
      <c r="M439" s="8" t="n">
        <v>0</v>
      </c>
      <c r="N439" s="8"/>
      <c r="O439" s="8" t="n">
        <v>1</v>
      </c>
      <c r="P439" s="10" t="n">
        <v>16.3</v>
      </c>
      <c r="Q439" s="8" t="n">
        <v>1553</v>
      </c>
      <c r="R439" s="8" t="n">
        <v>795</v>
      </c>
      <c r="S439" s="8" t="s">
        <v>562</v>
      </c>
      <c r="T439" s="8"/>
      <c r="U439" s="8"/>
      <c r="V439" s="8" t="s">
        <v>155</v>
      </c>
      <c r="W439" s="8"/>
      <c r="X439" s="8" t="s">
        <v>563</v>
      </c>
      <c r="Y439" s="8" t="s">
        <v>1208</v>
      </c>
      <c r="Z439" s="8" t="s">
        <v>1209</v>
      </c>
    </row>
    <row r="440" customFormat="false" ht="15" hidden="false" customHeight="false" outlineLevel="0" collapsed="false">
      <c r="A440" s="8" t="s">
        <v>564</v>
      </c>
      <c r="B440" s="8" t="s">
        <v>15</v>
      </c>
      <c r="C440" s="8" t="s">
        <v>16</v>
      </c>
      <c r="D440" s="8" t="s">
        <v>615</v>
      </c>
      <c r="E440" s="8" t="s">
        <v>39</v>
      </c>
      <c r="F440" s="8" t="s">
        <v>62</v>
      </c>
      <c r="G440" s="8" t="s">
        <v>31</v>
      </c>
      <c r="H440" s="8" t="s">
        <v>31</v>
      </c>
      <c r="I440" s="8" t="n">
        <f aca="false">IF(EXACT(G440,H440),1,0)</f>
        <v>1</v>
      </c>
      <c r="J440" s="8" t="n">
        <v>0</v>
      </c>
      <c r="K440" s="8" t="s">
        <v>116</v>
      </c>
      <c r="L440" s="8" t="n">
        <v>2</v>
      </c>
      <c r="M440" s="8" t="n">
        <v>0</v>
      </c>
      <c r="N440" s="8"/>
      <c r="O440" s="8" t="n">
        <v>1</v>
      </c>
      <c r="P440" s="10" t="n">
        <v>14.84</v>
      </c>
      <c r="Q440" s="8" t="n">
        <v>1643</v>
      </c>
      <c r="R440" s="8" t="n">
        <v>675</v>
      </c>
      <c r="S440" s="8" t="s">
        <v>565</v>
      </c>
      <c r="T440" s="8"/>
      <c r="U440" s="8"/>
      <c r="V440" s="8" t="s">
        <v>155</v>
      </c>
      <c r="W440" s="8"/>
      <c r="X440" s="8" t="s">
        <v>566</v>
      </c>
      <c r="Y440" s="8" t="s">
        <v>1210</v>
      </c>
      <c r="Z440" s="8" t="s">
        <v>1211</v>
      </c>
    </row>
    <row r="441" customFormat="false" ht="15" hidden="false" customHeight="false" outlineLevel="0" collapsed="false">
      <c r="A441" s="8" t="s">
        <v>564</v>
      </c>
      <c r="B441" s="8" t="s">
        <v>15</v>
      </c>
      <c r="C441" s="8" t="s">
        <v>16</v>
      </c>
      <c r="D441" s="8" t="s">
        <v>615</v>
      </c>
      <c r="E441" s="8" t="s">
        <v>39</v>
      </c>
      <c r="F441" s="8" t="s">
        <v>62</v>
      </c>
      <c r="G441" s="8" t="s">
        <v>31</v>
      </c>
      <c r="H441" s="8" t="s">
        <v>31</v>
      </c>
      <c r="I441" s="8" t="n">
        <f aca="false">IF(EXACT(G441,H441),1,0)</f>
        <v>1</v>
      </c>
      <c r="J441" s="8" t="n">
        <v>1</v>
      </c>
      <c r="K441" s="8" t="s">
        <v>116</v>
      </c>
      <c r="L441" s="8" t="n">
        <v>3</v>
      </c>
      <c r="M441" s="8" t="n">
        <v>0</v>
      </c>
      <c r="N441" s="8"/>
      <c r="O441" s="8" t="n">
        <v>1</v>
      </c>
      <c r="P441" s="10" t="n">
        <v>17.8</v>
      </c>
      <c r="Q441" s="8" t="n">
        <v>1643</v>
      </c>
      <c r="R441" s="8" t="n">
        <v>876</v>
      </c>
      <c r="S441" s="8" t="s">
        <v>565</v>
      </c>
      <c r="T441" s="8"/>
      <c r="U441" s="8"/>
      <c r="V441" s="8" t="s">
        <v>155</v>
      </c>
      <c r="W441" s="8"/>
      <c r="X441" s="8" t="s">
        <v>566</v>
      </c>
      <c r="Y441" s="8" t="s">
        <v>1212</v>
      </c>
      <c r="Z441" s="8" t="s">
        <v>1213</v>
      </c>
    </row>
    <row r="442" customFormat="false" ht="15" hidden="false" customHeight="false" outlineLevel="0" collapsed="false">
      <c r="A442" s="8" t="s">
        <v>564</v>
      </c>
      <c r="B442" s="8" t="s">
        <v>15</v>
      </c>
      <c r="C442" s="8" t="s">
        <v>16</v>
      </c>
      <c r="D442" s="8" t="s">
        <v>615</v>
      </c>
      <c r="E442" s="8" t="s">
        <v>39</v>
      </c>
      <c r="F442" s="8" t="s">
        <v>62</v>
      </c>
      <c r="G442" s="8" t="s">
        <v>31</v>
      </c>
      <c r="H442" s="8" t="s">
        <v>31</v>
      </c>
      <c r="I442" s="8" t="n">
        <f aca="false">IF(EXACT(G442,H442),1,0)</f>
        <v>1</v>
      </c>
      <c r="J442" s="8" t="n">
        <v>2</v>
      </c>
      <c r="K442" s="8" t="s">
        <v>116</v>
      </c>
      <c r="L442" s="8" t="n">
        <v>4</v>
      </c>
      <c r="M442" s="8" t="n">
        <v>0</v>
      </c>
      <c r="N442" s="8"/>
      <c r="O442" s="8" t="n">
        <v>1</v>
      </c>
      <c r="P442" s="10" t="n">
        <v>19.61</v>
      </c>
      <c r="Q442" s="8" t="n">
        <v>1643</v>
      </c>
      <c r="R442" s="8" t="n">
        <v>962</v>
      </c>
      <c r="S442" s="8" t="s">
        <v>565</v>
      </c>
      <c r="T442" s="8"/>
      <c r="U442" s="8"/>
      <c r="V442" s="8" t="s">
        <v>155</v>
      </c>
      <c r="W442" s="8"/>
      <c r="X442" s="8" t="s">
        <v>566</v>
      </c>
      <c r="Y442" s="8" t="s">
        <v>1214</v>
      </c>
      <c r="Z442" s="8" t="s">
        <v>1215</v>
      </c>
    </row>
    <row r="443" customFormat="false" ht="15" hidden="false" customHeight="false" outlineLevel="0" collapsed="false">
      <c r="A443" s="8" t="s">
        <v>567</v>
      </c>
      <c r="B443" s="8" t="s">
        <v>15</v>
      </c>
      <c r="C443" s="8" t="s">
        <v>16</v>
      </c>
      <c r="D443" s="8" t="s">
        <v>615</v>
      </c>
      <c r="E443" s="8" t="s">
        <v>39</v>
      </c>
      <c r="F443" s="8" t="s">
        <v>62</v>
      </c>
      <c r="G443" s="8" t="s">
        <v>32</v>
      </c>
      <c r="H443" s="8" t="s">
        <v>32</v>
      </c>
      <c r="I443" s="8" t="n">
        <f aca="false">IF(EXACT(G443,H443),1,0)</f>
        <v>1</v>
      </c>
      <c r="J443" s="8" t="n">
        <v>0</v>
      </c>
      <c r="K443" s="8" t="s">
        <v>92</v>
      </c>
      <c r="L443" s="8" t="n">
        <v>0</v>
      </c>
      <c r="M443" s="8" t="n">
        <v>0</v>
      </c>
      <c r="N443" s="8"/>
      <c r="O443" s="8" t="n">
        <v>1</v>
      </c>
      <c r="P443" s="10" t="n">
        <v>2.88</v>
      </c>
      <c r="Q443" s="8" t="n">
        <v>1529</v>
      </c>
      <c r="R443" s="8" t="n">
        <v>81</v>
      </c>
      <c r="S443" s="8" t="s">
        <v>568</v>
      </c>
      <c r="T443" s="8"/>
      <c r="U443" s="8"/>
      <c r="V443" s="8" t="s">
        <v>155</v>
      </c>
      <c r="W443" s="8"/>
      <c r="X443" s="8" t="s">
        <v>569</v>
      </c>
      <c r="Y443" s="8" t="s">
        <v>1216</v>
      </c>
      <c r="Z443" s="8"/>
    </row>
    <row r="444" customFormat="false" ht="15" hidden="false" customHeight="false" outlineLevel="0" collapsed="false">
      <c r="A444" s="8" t="s">
        <v>567</v>
      </c>
      <c r="B444" s="8" t="s">
        <v>15</v>
      </c>
      <c r="C444" s="8" t="s">
        <v>16</v>
      </c>
      <c r="D444" s="8" t="s">
        <v>615</v>
      </c>
      <c r="E444" s="8" t="s">
        <v>39</v>
      </c>
      <c r="F444" s="8" t="s">
        <v>62</v>
      </c>
      <c r="G444" s="8" t="s">
        <v>32</v>
      </c>
      <c r="H444" s="8" t="s">
        <v>32</v>
      </c>
      <c r="I444" s="8" t="n">
        <f aca="false">IF(EXACT(G444,H444),1,0)</f>
        <v>1</v>
      </c>
      <c r="J444" s="8" t="n">
        <v>1</v>
      </c>
      <c r="K444" s="8" t="s">
        <v>92</v>
      </c>
      <c r="L444" s="8" t="n">
        <v>0</v>
      </c>
      <c r="M444" s="8" t="n">
        <v>0</v>
      </c>
      <c r="N444" s="8"/>
      <c r="O444" s="8" t="n">
        <v>1</v>
      </c>
      <c r="P444" s="10" t="n">
        <v>2.57</v>
      </c>
      <c r="Q444" s="8" t="n">
        <v>1529</v>
      </c>
      <c r="R444" s="8" t="n">
        <v>81</v>
      </c>
      <c r="S444" s="8" t="s">
        <v>568</v>
      </c>
      <c r="T444" s="8"/>
      <c r="U444" s="8"/>
      <c r="V444" s="8" t="s">
        <v>155</v>
      </c>
      <c r="W444" s="8"/>
      <c r="X444" s="8" t="s">
        <v>569</v>
      </c>
      <c r="Y444" s="8" t="s">
        <v>1217</v>
      </c>
      <c r="Z444" s="8"/>
    </row>
    <row r="445" customFormat="false" ht="15" hidden="false" customHeight="false" outlineLevel="0" collapsed="false">
      <c r="A445" s="8" t="s">
        <v>567</v>
      </c>
      <c r="B445" s="8" t="s">
        <v>15</v>
      </c>
      <c r="C445" s="8" t="s">
        <v>16</v>
      </c>
      <c r="D445" s="8" t="s">
        <v>615</v>
      </c>
      <c r="E445" s="8" t="s">
        <v>39</v>
      </c>
      <c r="F445" s="8" t="s">
        <v>62</v>
      </c>
      <c r="G445" s="8" t="s">
        <v>32</v>
      </c>
      <c r="H445" s="8" t="s">
        <v>32</v>
      </c>
      <c r="I445" s="8" t="n">
        <f aca="false">IF(EXACT(G445,H445),1,0)</f>
        <v>1</v>
      </c>
      <c r="J445" s="8" t="n">
        <v>2</v>
      </c>
      <c r="K445" s="8" t="s">
        <v>92</v>
      </c>
      <c r="L445" s="8" t="n">
        <v>0</v>
      </c>
      <c r="M445" s="8" t="n">
        <v>0</v>
      </c>
      <c r="N445" s="8"/>
      <c r="O445" s="8" t="n">
        <v>1</v>
      </c>
      <c r="P445" s="10" t="n">
        <v>2.9</v>
      </c>
      <c r="Q445" s="8" t="n">
        <v>1529</v>
      </c>
      <c r="R445" s="8" t="n">
        <v>81</v>
      </c>
      <c r="S445" s="8" t="s">
        <v>568</v>
      </c>
      <c r="T445" s="8"/>
      <c r="U445" s="8"/>
      <c r="V445" s="8" t="s">
        <v>155</v>
      </c>
      <c r="W445" s="8"/>
      <c r="X445" s="8" t="s">
        <v>569</v>
      </c>
      <c r="Y445" s="8" t="s">
        <v>1216</v>
      </c>
      <c r="Z445" s="8"/>
    </row>
    <row r="446" customFormat="false" ht="15" hidden="false" customHeight="false" outlineLevel="0" collapsed="false">
      <c r="A446" s="8" t="s">
        <v>570</v>
      </c>
      <c r="B446" s="8" t="s">
        <v>15</v>
      </c>
      <c r="C446" s="8" t="s">
        <v>16</v>
      </c>
      <c r="D446" s="8" t="s">
        <v>615</v>
      </c>
      <c r="E446" s="8" t="s">
        <v>39</v>
      </c>
      <c r="F446" s="8" t="s">
        <v>62</v>
      </c>
      <c r="G446" s="8" t="s">
        <v>32</v>
      </c>
      <c r="H446" s="8" t="s">
        <v>30</v>
      </c>
      <c r="I446" s="8" t="n">
        <f aca="false">IF(EXACT(G446,H446),1,0)</f>
        <v>0</v>
      </c>
      <c r="J446" s="8" t="n">
        <v>0</v>
      </c>
      <c r="K446" s="8" t="s">
        <v>92</v>
      </c>
      <c r="L446" s="8" t="n">
        <v>0</v>
      </c>
      <c r="M446" s="8" t="n">
        <v>0</v>
      </c>
      <c r="N446" s="8"/>
      <c r="O446" s="8" t="n">
        <v>1</v>
      </c>
      <c r="P446" s="10" t="n">
        <v>7.19</v>
      </c>
      <c r="Q446" s="8" t="n">
        <v>1536</v>
      </c>
      <c r="R446" s="8" t="n">
        <v>78</v>
      </c>
      <c r="S446" s="8" t="s">
        <v>571</v>
      </c>
      <c r="T446" s="8"/>
      <c r="U446" s="8"/>
      <c r="V446" s="8" t="s">
        <v>155</v>
      </c>
      <c r="W446" s="8"/>
      <c r="X446" s="8" t="s">
        <v>572</v>
      </c>
      <c r="Y446" s="8" t="s">
        <v>1218</v>
      </c>
      <c r="Z446" s="8"/>
    </row>
    <row r="447" customFormat="false" ht="15" hidden="false" customHeight="false" outlineLevel="0" collapsed="false">
      <c r="A447" s="8" t="s">
        <v>570</v>
      </c>
      <c r="B447" s="8" t="s">
        <v>15</v>
      </c>
      <c r="C447" s="8" t="s">
        <v>16</v>
      </c>
      <c r="D447" s="8" t="s">
        <v>615</v>
      </c>
      <c r="E447" s="8" t="s">
        <v>39</v>
      </c>
      <c r="F447" s="8" t="s">
        <v>62</v>
      </c>
      <c r="G447" s="8" t="s">
        <v>32</v>
      </c>
      <c r="H447" s="8" t="s">
        <v>30</v>
      </c>
      <c r="I447" s="8" t="n">
        <f aca="false">IF(EXACT(G447,H447),1,0)</f>
        <v>0</v>
      </c>
      <c r="J447" s="8" t="n">
        <v>1</v>
      </c>
      <c r="K447" s="8" t="s">
        <v>92</v>
      </c>
      <c r="L447" s="8" t="n">
        <v>0</v>
      </c>
      <c r="M447" s="8" t="n">
        <v>0</v>
      </c>
      <c r="N447" s="8"/>
      <c r="O447" s="8" t="n">
        <v>1</v>
      </c>
      <c r="P447" s="10" t="n">
        <v>7.15</v>
      </c>
      <c r="Q447" s="8" t="n">
        <v>1536</v>
      </c>
      <c r="R447" s="8" t="n">
        <v>85</v>
      </c>
      <c r="S447" s="8" t="s">
        <v>571</v>
      </c>
      <c r="T447" s="8"/>
      <c r="U447" s="8"/>
      <c r="V447" s="8" t="s">
        <v>155</v>
      </c>
      <c r="W447" s="8"/>
      <c r="X447" s="8" t="s">
        <v>572</v>
      </c>
      <c r="Y447" s="8" t="s">
        <v>1219</v>
      </c>
      <c r="Z447" s="8"/>
    </row>
    <row r="448" customFormat="false" ht="15" hidden="false" customHeight="false" outlineLevel="0" collapsed="false">
      <c r="A448" s="8" t="s">
        <v>570</v>
      </c>
      <c r="B448" s="8" t="s">
        <v>15</v>
      </c>
      <c r="C448" s="8" t="s">
        <v>16</v>
      </c>
      <c r="D448" s="8" t="s">
        <v>615</v>
      </c>
      <c r="E448" s="8" t="s">
        <v>39</v>
      </c>
      <c r="F448" s="8" t="s">
        <v>62</v>
      </c>
      <c r="G448" s="8" t="s">
        <v>32</v>
      </c>
      <c r="H448" s="8" t="s">
        <v>30</v>
      </c>
      <c r="I448" s="8" t="n">
        <f aca="false">IF(EXACT(G448,H448),1,0)</f>
        <v>0</v>
      </c>
      <c r="J448" s="8" t="n">
        <v>2</v>
      </c>
      <c r="K448" s="8" t="s">
        <v>92</v>
      </c>
      <c r="L448" s="8" t="n">
        <v>0</v>
      </c>
      <c r="M448" s="8" t="n">
        <v>0</v>
      </c>
      <c r="N448" s="8"/>
      <c r="O448" s="8" t="n">
        <v>1</v>
      </c>
      <c r="P448" s="10" t="n">
        <v>7.15</v>
      </c>
      <c r="Q448" s="8" t="n">
        <v>1536</v>
      </c>
      <c r="R448" s="8" t="n">
        <v>85</v>
      </c>
      <c r="S448" s="8" t="s">
        <v>571</v>
      </c>
      <c r="T448" s="8"/>
      <c r="U448" s="8"/>
      <c r="V448" s="8" t="s">
        <v>155</v>
      </c>
      <c r="W448" s="8"/>
      <c r="X448" s="8" t="s">
        <v>572</v>
      </c>
      <c r="Y448" s="8" t="s">
        <v>1219</v>
      </c>
      <c r="Z448" s="8"/>
    </row>
    <row r="449" customFormat="false" ht="15" hidden="false" customHeight="false" outlineLevel="0" collapsed="false">
      <c r="A449" s="8" t="s">
        <v>242</v>
      </c>
      <c r="B449" s="8" t="s">
        <v>15</v>
      </c>
      <c r="C449" s="8" t="s">
        <v>16</v>
      </c>
      <c r="D449" s="8" t="s">
        <v>615</v>
      </c>
      <c r="E449" s="8" t="s">
        <v>40</v>
      </c>
      <c r="F449" s="8" t="s">
        <v>48</v>
      </c>
      <c r="G449" s="8" t="s">
        <v>32</v>
      </c>
      <c r="H449" s="8" t="s">
        <v>32</v>
      </c>
      <c r="I449" s="8" t="n">
        <f aca="false">IF(EXACT(G449,H449),1,0)</f>
        <v>1</v>
      </c>
      <c r="J449" s="8" t="n">
        <v>0</v>
      </c>
      <c r="K449" s="8" t="s">
        <v>92</v>
      </c>
      <c r="L449" s="8" t="n">
        <v>0</v>
      </c>
      <c r="M449" s="8" t="n">
        <v>0</v>
      </c>
      <c r="N449" s="8"/>
      <c r="O449" s="8" t="n">
        <v>1</v>
      </c>
      <c r="P449" s="10" t="n">
        <v>3.23</v>
      </c>
      <c r="Q449" s="8" t="n">
        <v>1386</v>
      </c>
      <c r="R449" s="8" t="n">
        <v>87</v>
      </c>
      <c r="S449" s="8" t="s">
        <v>94</v>
      </c>
      <c r="T449" s="8" t="s">
        <v>243</v>
      </c>
      <c r="U449" s="8" t="s">
        <v>244</v>
      </c>
      <c r="V449" s="8"/>
      <c r="W449" s="8" t="s">
        <v>245</v>
      </c>
      <c r="X449" s="8" t="s">
        <v>573</v>
      </c>
      <c r="Y449" s="8" t="s">
        <v>1220</v>
      </c>
      <c r="Z449" s="8"/>
    </row>
    <row r="450" customFormat="false" ht="15" hidden="false" customHeight="false" outlineLevel="0" collapsed="false">
      <c r="A450" s="8" t="s">
        <v>242</v>
      </c>
      <c r="B450" s="8" t="s">
        <v>15</v>
      </c>
      <c r="C450" s="8" t="s">
        <v>16</v>
      </c>
      <c r="D450" s="8" t="s">
        <v>615</v>
      </c>
      <c r="E450" s="8" t="s">
        <v>40</v>
      </c>
      <c r="F450" s="8" t="s">
        <v>48</v>
      </c>
      <c r="G450" s="8" t="s">
        <v>32</v>
      </c>
      <c r="H450" s="8" t="s">
        <v>30</v>
      </c>
      <c r="I450" s="8" t="n">
        <f aca="false">IF(EXACT(G450,H450),1,0)</f>
        <v>0</v>
      </c>
      <c r="J450" s="8" t="n">
        <v>1</v>
      </c>
      <c r="K450" s="8" t="s">
        <v>92</v>
      </c>
      <c r="L450" s="8" t="n">
        <v>0</v>
      </c>
      <c r="M450" s="8" t="n">
        <v>0</v>
      </c>
      <c r="N450" s="8"/>
      <c r="O450" s="8" t="n">
        <v>1</v>
      </c>
      <c r="P450" s="10" t="n">
        <v>3.09</v>
      </c>
      <c r="Q450" s="8" t="n">
        <v>1386</v>
      </c>
      <c r="R450" s="8" t="n">
        <v>86</v>
      </c>
      <c r="S450" s="8" t="s">
        <v>94</v>
      </c>
      <c r="T450" s="8" t="s">
        <v>243</v>
      </c>
      <c r="U450" s="8" t="s">
        <v>244</v>
      </c>
      <c r="V450" s="8"/>
      <c r="W450" s="8" t="s">
        <v>245</v>
      </c>
      <c r="X450" s="8" t="s">
        <v>573</v>
      </c>
      <c r="Y450" s="8" t="s">
        <v>1221</v>
      </c>
      <c r="Z450" s="8"/>
    </row>
    <row r="451" customFormat="false" ht="15" hidden="false" customHeight="false" outlineLevel="0" collapsed="false">
      <c r="A451" s="8" t="s">
        <v>242</v>
      </c>
      <c r="B451" s="8" t="s">
        <v>15</v>
      </c>
      <c r="C451" s="8" t="s">
        <v>16</v>
      </c>
      <c r="D451" s="8" t="s">
        <v>615</v>
      </c>
      <c r="E451" s="8" t="s">
        <v>40</v>
      </c>
      <c r="F451" s="8" t="s">
        <v>48</v>
      </c>
      <c r="G451" s="8" t="s">
        <v>32</v>
      </c>
      <c r="H451" s="8" t="s">
        <v>30</v>
      </c>
      <c r="I451" s="8" t="n">
        <f aca="false">IF(EXACT(G451,H451),1,0)</f>
        <v>0</v>
      </c>
      <c r="J451" s="8" t="n">
        <v>2</v>
      </c>
      <c r="K451" s="8" t="s">
        <v>92</v>
      </c>
      <c r="L451" s="8" t="n">
        <v>0</v>
      </c>
      <c r="M451" s="8" t="n">
        <v>0</v>
      </c>
      <c r="N451" s="8"/>
      <c r="O451" s="8" t="n">
        <v>1</v>
      </c>
      <c r="P451" s="10" t="n">
        <v>3.25</v>
      </c>
      <c r="Q451" s="8" t="n">
        <v>1386</v>
      </c>
      <c r="R451" s="8" t="n">
        <v>94</v>
      </c>
      <c r="S451" s="8" t="s">
        <v>94</v>
      </c>
      <c r="T451" s="8" t="s">
        <v>243</v>
      </c>
      <c r="U451" s="8" t="s">
        <v>244</v>
      </c>
      <c r="V451" s="8"/>
      <c r="W451" s="8" t="s">
        <v>245</v>
      </c>
      <c r="X451" s="8" t="s">
        <v>573</v>
      </c>
      <c r="Y451" s="8" t="s">
        <v>1222</v>
      </c>
      <c r="Z451" s="8"/>
    </row>
    <row r="452" customFormat="false" ht="15" hidden="false" customHeight="false" outlineLevel="0" collapsed="false">
      <c r="A452" s="8" t="s">
        <v>247</v>
      </c>
      <c r="B452" s="8" t="s">
        <v>15</v>
      </c>
      <c r="C452" s="8" t="s">
        <v>16</v>
      </c>
      <c r="D452" s="8" t="s">
        <v>615</v>
      </c>
      <c r="E452" s="8" t="s">
        <v>40</v>
      </c>
      <c r="F452" s="8" t="s">
        <v>48</v>
      </c>
      <c r="G452" s="8" t="s">
        <v>30</v>
      </c>
      <c r="H452" s="8" t="s">
        <v>30</v>
      </c>
      <c r="I452" s="8" t="n">
        <f aca="false">IF(EXACT(G452,H452),1,0)</f>
        <v>1</v>
      </c>
      <c r="J452" s="8" t="n">
        <v>0</v>
      </c>
      <c r="K452" s="8" t="s">
        <v>92</v>
      </c>
      <c r="L452" s="8" t="n">
        <v>0</v>
      </c>
      <c r="M452" s="8" t="n">
        <v>0</v>
      </c>
      <c r="N452" s="8"/>
      <c r="O452" s="8" t="n">
        <v>1</v>
      </c>
      <c r="P452" s="10" t="n">
        <v>7.41</v>
      </c>
      <c r="Q452" s="8" t="n">
        <v>1415</v>
      </c>
      <c r="R452" s="8" t="n">
        <v>95</v>
      </c>
      <c r="S452" s="8" t="s">
        <v>216</v>
      </c>
      <c r="T452" s="8" t="s">
        <v>243</v>
      </c>
      <c r="U452" s="8" t="s">
        <v>244</v>
      </c>
      <c r="V452" s="8"/>
      <c r="W452" s="8" t="s">
        <v>248</v>
      </c>
      <c r="X452" s="8" t="s">
        <v>574</v>
      </c>
      <c r="Y452" s="8" t="s">
        <v>1223</v>
      </c>
      <c r="Z452" s="8"/>
    </row>
    <row r="453" customFormat="false" ht="15" hidden="false" customHeight="false" outlineLevel="0" collapsed="false">
      <c r="A453" s="8" t="s">
        <v>247</v>
      </c>
      <c r="B453" s="8" t="s">
        <v>15</v>
      </c>
      <c r="C453" s="8" t="s">
        <v>16</v>
      </c>
      <c r="D453" s="8" t="s">
        <v>615</v>
      </c>
      <c r="E453" s="8" t="s">
        <v>40</v>
      </c>
      <c r="F453" s="8" t="s">
        <v>48</v>
      </c>
      <c r="G453" s="8" t="s">
        <v>30</v>
      </c>
      <c r="H453" s="8" t="s">
        <v>30</v>
      </c>
      <c r="I453" s="8" t="n">
        <f aca="false">IF(EXACT(G453,H453),1,0)</f>
        <v>1</v>
      </c>
      <c r="J453" s="8" t="n">
        <v>1</v>
      </c>
      <c r="K453" s="8" t="s">
        <v>92</v>
      </c>
      <c r="L453" s="8" t="n">
        <v>0</v>
      </c>
      <c r="M453" s="8" t="n">
        <v>0</v>
      </c>
      <c r="N453" s="8"/>
      <c r="O453" s="8" t="n">
        <v>1</v>
      </c>
      <c r="P453" s="10" t="n">
        <v>7.14</v>
      </c>
      <c r="Q453" s="8" t="n">
        <v>1415</v>
      </c>
      <c r="R453" s="8" t="n">
        <v>96</v>
      </c>
      <c r="S453" s="8" t="s">
        <v>216</v>
      </c>
      <c r="T453" s="8" t="s">
        <v>243</v>
      </c>
      <c r="U453" s="8" t="s">
        <v>244</v>
      </c>
      <c r="V453" s="8"/>
      <c r="W453" s="8" t="s">
        <v>248</v>
      </c>
      <c r="X453" s="8" t="s">
        <v>574</v>
      </c>
      <c r="Y453" s="8" t="s">
        <v>1224</v>
      </c>
      <c r="Z453" s="8"/>
    </row>
    <row r="454" customFormat="false" ht="15" hidden="false" customHeight="false" outlineLevel="0" collapsed="false">
      <c r="A454" s="8" t="s">
        <v>247</v>
      </c>
      <c r="B454" s="8" t="s">
        <v>15</v>
      </c>
      <c r="C454" s="8" t="s">
        <v>16</v>
      </c>
      <c r="D454" s="8" t="s">
        <v>615</v>
      </c>
      <c r="E454" s="8" t="s">
        <v>40</v>
      </c>
      <c r="F454" s="8" t="s">
        <v>48</v>
      </c>
      <c r="G454" s="8" t="s">
        <v>30</v>
      </c>
      <c r="H454" s="8" t="s">
        <v>30</v>
      </c>
      <c r="I454" s="8" t="n">
        <f aca="false">IF(EXACT(G454,H454),1,0)</f>
        <v>1</v>
      </c>
      <c r="J454" s="8" t="n">
        <v>2</v>
      </c>
      <c r="K454" s="8" t="s">
        <v>92</v>
      </c>
      <c r="L454" s="8" t="n">
        <v>0</v>
      </c>
      <c r="M454" s="8" t="n">
        <v>0</v>
      </c>
      <c r="N454" s="8"/>
      <c r="O454" s="8" t="n">
        <v>1</v>
      </c>
      <c r="P454" s="10" t="n">
        <v>7.48</v>
      </c>
      <c r="Q454" s="8" t="n">
        <v>1415</v>
      </c>
      <c r="R454" s="8" t="n">
        <v>103</v>
      </c>
      <c r="S454" s="8" t="s">
        <v>216</v>
      </c>
      <c r="T454" s="8" t="s">
        <v>243</v>
      </c>
      <c r="U454" s="8" t="s">
        <v>244</v>
      </c>
      <c r="V454" s="8"/>
      <c r="W454" s="8" t="s">
        <v>248</v>
      </c>
      <c r="X454" s="8" t="s">
        <v>574</v>
      </c>
      <c r="Y454" s="8" t="s">
        <v>1225</v>
      </c>
      <c r="Z454" s="8"/>
    </row>
    <row r="455" customFormat="false" ht="15" hidden="false" customHeight="false" outlineLevel="0" collapsed="false">
      <c r="A455" s="8" t="s">
        <v>250</v>
      </c>
      <c r="B455" s="8" t="s">
        <v>15</v>
      </c>
      <c r="C455" s="8" t="s">
        <v>16</v>
      </c>
      <c r="D455" s="8" t="s">
        <v>615</v>
      </c>
      <c r="E455" s="8" t="s">
        <v>40</v>
      </c>
      <c r="F455" s="8" t="s">
        <v>48</v>
      </c>
      <c r="G455" s="8" t="s">
        <v>32</v>
      </c>
      <c r="H455" s="8" t="s">
        <v>32</v>
      </c>
      <c r="I455" s="8" t="n">
        <f aca="false">IF(EXACT(G455,H455),1,0)</f>
        <v>1</v>
      </c>
      <c r="J455" s="8" t="n">
        <v>0</v>
      </c>
      <c r="K455" s="8" t="s">
        <v>92</v>
      </c>
      <c r="L455" s="8" t="n">
        <v>0</v>
      </c>
      <c r="M455" s="8" t="n">
        <v>0</v>
      </c>
      <c r="N455" s="8"/>
      <c r="O455" s="8" t="n">
        <v>1</v>
      </c>
      <c r="P455" s="10" t="n">
        <v>3</v>
      </c>
      <c r="Q455" s="8" t="n">
        <v>1434</v>
      </c>
      <c r="R455" s="8" t="n">
        <v>84</v>
      </c>
      <c r="S455" s="8" t="s">
        <v>251</v>
      </c>
      <c r="T455" s="8" t="s">
        <v>243</v>
      </c>
      <c r="U455" s="8" t="s">
        <v>244</v>
      </c>
      <c r="V455" s="8"/>
      <c r="W455" s="8" t="s">
        <v>252</v>
      </c>
      <c r="X455" s="8" t="s">
        <v>575</v>
      </c>
      <c r="Y455" s="8" t="s">
        <v>1226</v>
      </c>
      <c r="Z455" s="8"/>
    </row>
    <row r="456" customFormat="false" ht="15" hidden="false" customHeight="false" outlineLevel="0" collapsed="false">
      <c r="A456" s="8" t="s">
        <v>250</v>
      </c>
      <c r="B456" s="8" t="s">
        <v>15</v>
      </c>
      <c r="C456" s="8" t="s">
        <v>16</v>
      </c>
      <c r="D456" s="8" t="s">
        <v>615</v>
      </c>
      <c r="E456" s="8" t="s">
        <v>40</v>
      </c>
      <c r="F456" s="8" t="s">
        <v>48</v>
      </c>
      <c r="G456" s="8" t="s">
        <v>32</v>
      </c>
      <c r="H456" s="8" t="s">
        <v>32</v>
      </c>
      <c r="I456" s="8" t="n">
        <f aca="false">IF(EXACT(G456,H456),1,0)</f>
        <v>1</v>
      </c>
      <c r="J456" s="8" t="n">
        <v>1</v>
      </c>
      <c r="K456" s="8" t="s">
        <v>92</v>
      </c>
      <c r="L456" s="8" t="n">
        <v>0</v>
      </c>
      <c r="M456" s="8" t="n">
        <v>0</v>
      </c>
      <c r="N456" s="8"/>
      <c r="O456" s="8" t="n">
        <v>1</v>
      </c>
      <c r="P456" s="10" t="n">
        <v>2.91</v>
      </c>
      <c r="Q456" s="8" t="n">
        <v>1434</v>
      </c>
      <c r="R456" s="8" t="n">
        <v>91</v>
      </c>
      <c r="S456" s="8" t="s">
        <v>251</v>
      </c>
      <c r="T456" s="8" t="s">
        <v>243</v>
      </c>
      <c r="U456" s="8" t="s">
        <v>244</v>
      </c>
      <c r="V456" s="8"/>
      <c r="W456" s="8" t="s">
        <v>252</v>
      </c>
      <c r="X456" s="8" t="s">
        <v>575</v>
      </c>
      <c r="Y456" s="8" t="s">
        <v>1227</v>
      </c>
      <c r="Z456" s="8"/>
    </row>
    <row r="457" customFormat="false" ht="15" hidden="false" customHeight="false" outlineLevel="0" collapsed="false">
      <c r="A457" s="8" t="s">
        <v>250</v>
      </c>
      <c r="B457" s="8" t="s">
        <v>15</v>
      </c>
      <c r="C457" s="8" t="s">
        <v>16</v>
      </c>
      <c r="D457" s="8" t="s">
        <v>615</v>
      </c>
      <c r="E457" s="8" t="s">
        <v>40</v>
      </c>
      <c r="F457" s="8" t="s">
        <v>48</v>
      </c>
      <c r="G457" s="8" t="s">
        <v>32</v>
      </c>
      <c r="H457" s="8" t="s">
        <v>32</v>
      </c>
      <c r="I457" s="8" t="n">
        <f aca="false">IF(EXACT(G457,H457),1,0)</f>
        <v>1</v>
      </c>
      <c r="J457" s="8" t="n">
        <v>2</v>
      </c>
      <c r="K457" s="8" t="s">
        <v>92</v>
      </c>
      <c r="L457" s="8" t="n">
        <v>0</v>
      </c>
      <c r="M457" s="8" t="n">
        <v>0</v>
      </c>
      <c r="N457" s="8"/>
      <c r="O457" s="8" t="n">
        <v>1</v>
      </c>
      <c r="P457" s="10" t="n">
        <v>2.62</v>
      </c>
      <c r="Q457" s="8" t="n">
        <v>1434</v>
      </c>
      <c r="R457" s="8" t="n">
        <v>84</v>
      </c>
      <c r="S457" s="8" t="s">
        <v>251</v>
      </c>
      <c r="T457" s="8" t="s">
        <v>243</v>
      </c>
      <c r="U457" s="8" t="s">
        <v>244</v>
      </c>
      <c r="V457" s="8"/>
      <c r="W457" s="8" t="s">
        <v>252</v>
      </c>
      <c r="X457" s="8" t="s">
        <v>575</v>
      </c>
      <c r="Y457" s="8" t="s">
        <v>1226</v>
      </c>
      <c r="Z457" s="8"/>
    </row>
    <row r="458" customFormat="false" ht="15" hidden="false" customHeight="false" outlineLevel="0" collapsed="false">
      <c r="A458" s="8" t="s">
        <v>254</v>
      </c>
      <c r="B458" s="8" t="s">
        <v>15</v>
      </c>
      <c r="C458" s="8" t="s">
        <v>16</v>
      </c>
      <c r="D458" s="8" t="s">
        <v>615</v>
      </c>
      <c r="E458" s="8" t="s">
        <v>40</v>
      </c>
      <c r="F458" s="8" t="s">
        <v>48</v>
      </c>
      <c r="G458" s="8" t="s">
        <v>31</v>
      </c>
      <c r="H458" s="8" t="s">
        <v>31</v>
      </c>
      <c r="I458" s="8" t="n">
        <f aca="false">IF(EXACT(G458,H458),1,0)</f>
        <v>1</v>
      </c>
      <c r="J458" s="8" t="n">
        <v>0</v>
      </c>
      <c r="K458" s="8" t="s">
        <v>140</v>
      </c>
      <c r="L458" s="8" t="n">
        <v>5</v>
      </c>
      <c r="M458" s="8" t="n">
        <v>0</v>
      </c>
      <c r="N458" s="8"/>
      <c r="O458" s="8" t="n">
        <v>1</v>
      </c>
      <c r="P458" s="10" t="n">
        <v>15.28</v>
      </c>
      <c r="Q458" s="8" t="n">
        <v>1427</v>
      </c>
      <c r="R458" s="8" t="n">
        <v>724</v>
      </c>
      <c r="S458" s="8" t="s">
        <v>255</v>
      </c>
      <c r="T458" s="8" t="s">
        <v>256</v>
      </c>
      <c r="U458" s="8" t="s">
        <v>257</v>
      </c>
      <c r="V458" s="8"/>
      <c r="W458" s="8" t="s">
        <v>258</v>
      </c>
      <c r="X458" s="8" t="s">
        <v>576</v>
      </c>
      <c r="Y458" s="8" t="s">
        <v>1228</v>
      </c>
      <c r="Z458" s="8" t="s">
        <v>1229</v>
      </c>
    </row>
    <row r="459" customFormat="false" ht="15" hidden="false" customHeight="false" outlineLevel="0" collapsed="false">
      <c r="A459" s="8" t="s">
        <v>254</v>
      </c>
      <c r="B459" s="8" t="s">
        <v>15</v>
      </c>
      <c r="C459" s="8" t="s">
        <v>16</v>
      </c>
      <c r="D459" s="8" t="s">
        <v>615</v>
      </c>
      <c r="E459" s="8" t="s">
        <v>40</v>
      </c>
      <c r="F459" s="8" t="s">
        <v>48</v>
      </c>
      <c r="G459" s="8" t="s">
        <v>31</v>
      </c>
      <c r="H459" s="8" t="s">
        <v>31</v>
      </c>
      <c r="I459" s="8" t="n">
        <f aca="false">IF(EXACT(G459,H459),1,0)</f>
        <v>1</v>
      </c>
      <c r="J459" s="8" t="n">
        <v>1</v>
      </c>
      <c r="K459" s="8" t="s">
        <v>140</v>
      </c>
      <c r="L459" s="8" t="n">
        <v>5</v>
      </c>
      <c r="M459" s="8" t="n">
        <v>0</v>
      </c>
      <c r="N459" s="8"/>
      <c r="O459" s="8" t="n">
        <v>1</v>
      </c>
      <c r="P459" s="10" t="n">
        <v>13.64</v>
      </c>
      <c r="Q459" s="8" t="n">
        <v>1427</v>
      </c>
      <c r="R459" s="8" t="n">
        <v>644</v>
      </c>
      <c r="S459" s="8" t="s">
        <v>255</v>
      </c>
      <c r="T459" s="8" t="s">
        <v>256</v>
      </c>
      <c r="U459" s="8" t="s">
        <v>257</v>
      </c>
      <c r="V459" s="8"/>
      <c r="W459" s="8" t="s">
        <v>258</v>
      </c>
      <c r="X459" s="8" t="s">
        <v>576</v>
      </c>
      <c r="Y459" s="8" t="s">
        <v>1230</v>
      </c>
      <c r="Z459" s="8" t="s">
        <v>1231</v>
      </c>
    </row>
    <row r="460" customFormat="false" ht="15" hidden="false" customHeight="false" outlineLevel="0" collapsed="false">
      <c r="A460" s="8" t="s">
        <v>254</v>
      </c>
      <c r="B460" s="8" t="s">
        <v>15</v>
      </c>
      <c r="C460" s="8" t="s">
        <v>16</v>
      </c>
      <c r="D460" s="8" t="s">
        <v>615</v>
      </c>
      <c r="E460" s="8" t="s">
        <v>40</v>
      </c>
      <c r="F460" s="8" t="s">
        <v>48</v>
      </c>
      <c r="G460" s="8" t="s">
        <v>31</v>
      </c>
      <c r="H460" s="8" t="s">
        <v>31</v>
      </c>
      <c r="I460" s="8" t="n">
        <f aca="false">IF(EXACT(G460,H460),1,0)</f>
        <v>1</v>
      </c>
      <c r="J460" s="8" t="n">
        <v>2</v>
      </c>
      <c r="K460" s="8" t="s">
        <v>140</v>
      </c>
      <c r="L460" s="8" t="n">
        <v>5</v>
      </c>
      <c r="M460" s="8" t="n">
        <v>0</v>
      </c>
      <c r="N460" s="8"/>
      <c r="O460" s="8" t="n">
        <v>1</v>
      </c>
      <c r="P460" s="10" t="n">
        <v>11.52</v>
      </c>
      <c r="Q460" s="8" t="n">
        <v>1427</v>
      </c>
      <c r="R460" s="8" t="n">
        <v>590</v>
      </c>
      <c r="S460" s="8" t="s">
        <v>255</v>
      </c>
      <c r="T460" s="8" t="s">
        <v>256</v>
      </c>
      <c r="U460" s="8" t="s">
        <v>257</v>
      </c>
      <c r="V460" s="8"/>
      <c r="W460" s="8" t="s">
        <v>258</v>
      </c>
      <c r="X460" s="8" t="s">
        <v>576</v>
      </c>
      <c r="Y460" s="8" t="s">
        <v>1232</v>
      </c>
      <c r="Z460" s="8" t="s">
        <v>1233</v>
      </c>
    </row>
    <row r="461" customFormat="false" ht="15" hidden="false" customHeight="false" outlineLevel="0" collapsed="false">
      <c r="A461" s="8" t="s">
        <v>261</v>
      </c>
      <c r="B461" s="8" t="s">
        <v>15</v>
      </c>
      <c r="C461" s="8" t="s">
        <v>16</v>
      </c>
      <c r="D461" s="8" t="s">
        <v>615</v>
      </c>
      <c r="E461" s="8" t="s">
        <v>40</v>
      </c>
      <c r="F461" s="8" t="s">
        <v>48</v>
      </c>
      <c r="G461" s="8" t="s">
        <v>30</v>
      </c>
      <c r="H461" s="8" t="s">
        <v>30</v>
      </c>
      <c r="I461" s="8" t="n">
        <f aca="false">IF(EXACT(G461,H461),1,0)</f>
        <v>1</v>
      </c>
      <c r="J461" s="8" t="n">
        <v>0</v>
      </c>
      <c r="K461" s="8" t="s">
        <v>92</v>
      </c>
      <c r="L461" s="8" t="n">
        <v>0</v>
      </c>
      <c r="M461" s="8" t="n">
        <v>0</v>
      </c>
      <c r="N461" s="8"/>
      <c r="O461" s="8" t="n">
        <v>1</v>
      </c>
      <c r="P461" s="10" t="n">
        <v>2.92</v>
      </c>
      <c r="Q461" s="8" t="n">
        <v>1426</v>
      </c>
      <c r="R461" s="8" t="n">
        <v>74</v>
      </c>
      <c r="S461" s="8" t="s">
        <v>262</v>
      </c>
      <c r="T461" s="8" t="s">
        <v>256</v>
      </c>
      <c r="U461" s="8" t="s">
        <v>257</v>
      </c>
      <c r="V461" s="8"/>
      <c r="W461" s="8" t="s">
        <v>263</v>
      </c>
      <c r="X461" s="8" t="s">
        <v>577</v>
      </c>
      <c r="Y461" s="8" t="s">
        <v>1234</v>
      </c>
      <c r="Z461" s="8"/>
    </row>
    <row r="462" customFormat="false" ht="15" hidden="false" customHeight="false" outlineLevel="0" collapsed="false">
      <c r="A462" s="8" t="s">
        <v>261</v>
      </c>
      <c r="B462" s="8" t="s">
        <v>15</v>
      </c>
      <c r="C462" s="8" t="s">
        <v>16</v>
      </c>
      <c r="D462" s="8" t="s">
        <v>615</v>
      </c>
      <c r="E462" s="8" t="s">
        <v>40</v>
      </c>
      <c r="F462" s="8" t="s">
        <v>48</v>
      </c>
      <c r="G462" s="8" t="s">
        <v>30</v>
      </c>
      <c r="H462" s="8" t="s">
        <v>30</v>
      </c>
      <c r="I462" s="8" t="n">
        <f aca="false">IF(EXACT(G462,H462),1,0)</f>
        <v>1</v>
      </c>
      <c r="J462" s="8" t="n">
        <v>1</v>
      </c>
      <c r="K462" s="8" t="s">
        <v>92</v>
      </c>
      <c r="L462" s="8" t="n">
        <v>0</v>
      </c>
      <c r="M462" s="8" t="n">
        <v>0</v>
      </c>
      <c r="N462" s="8"/>
      <c r="O462" s="8" t="n">
        <v>1</v>
      </c>
      <c r="P462" s="10" t="n">
        <v>2.79</v>
      </c>
      <c r="Q462" s="8" t="n">
        <v>1426</v>
      </c>
      <c r="R462" s="8" t="n">
        <v>76</v>
      </c>
      <c r="S462" s="8" t="s">
        <v>262</v>
      </c>
      <c r="T462" s="8" t="s">
        <v>256</v>
      </c>
      <c r="U462" s="8" t="s">
        <v>257</v>
      </c>
      <c r="V462" s="8"/>
      <c r="W462" s="8" t="s">
        <v>263</v>
      </c>
      <c r="X462" s="8" t="s">
        <v>577</v>
      </c>
      <c r="Y462" s="8" t="s">
        <v>1235</v>
      </c>
      <c r="Z462" s="8"/>
    </row>
    <row r="463" customFormat="false" ht="15" hidden="false" customHeight="false" outlineLevel="0" collapsed="false">
      <c r="A463" s="8" t="s">
        <v>261</v>
      </c>
      <c r="B463" s="8" t="s">
        <v>15</v>
      </c>
      <c r="C463" s="8" t="s">
        <v>16</v>
      </c>
      <c r="D463" s="8" t="s">
        <v>615</v>
      </c>
      <c r="E463" s="8" t="s">
        <v>40</v>
      </c>
      <c r="F463" s="8" t="s">
        <v>48</v>
      </c>
      <c r="G463" s="8" t="s">
        <v>30</v>
      </c>
      <c r="H463" s="8" t="s">
        <v>30</v>
      </c>
      <c r="I463" s="8" t="n">
        <f aca="false">IF(EXACT(G463,H463),1,0)</f>
        <v>1</v>
      </c>
      <c r="J463" s="8" t="n">
        <v>2</v>
      </c>
      <c r="K463" s="8" t="s">
        <v>92</v>
      </c>
      <c r="L463" s="8" t="n">
        <v>0</v>
      </c>
      <c r="M463" s="8" t="n">
        <v>0</v>
      </c>
      <c r="N463" s="8"/>
      <c r="O463" s="8" t="n">
        <v>1</v>
      </c>
      <c r="P463" s="10" t="n">
        <v>2.69</v>
      </c>
      <c r="Q463" s="8" t="n">
        <v>1426</v>
      </c>
      <c r="R463" s="8" t="n">
        <v>76</v>
      </c>
      <c r="S463" s="8" t="s">
        <v>262</v>
      </c>
      <c r="T463" s="8" t="s">
        <v>256</v>
      </c>
      <c r="U463" s="8" t="s">
        <v>257</v>
      </c>
      <c r="V463" s="8"/>
      <c r="W463" s="8" t="s">
        <v>263</v>
      </c>
      <c r="X463" s="8" t="s">
        <v>577</v>
      </c>
      <c r="Y463" s="8" t="s">
        <v>1235</v>
      </c>
      <c r="Z463" s="8"/>
    </row>
    <row r="464" customFormat="false" ht="15" hidden="false" customHeight="false" outlineLevel="0" collapsed="false">
      <c r="A464" s="8" t="s">
        <v>265</v>
      </c>
      <c r="B464" s="8" t="s">
        <v>15</v>
      </c>
      <c r="C464" s="8" t="s">
        <v>16</v>
      </c>
      <c r="D464" s="8" t="s">
        <v>615</v>
      </c>
      <c r="E464" s="8" t="s">
        <v>40</v>
      </c>
      <c r="F464" s="8" t="s">
        <v>48</v>
      </c>
      <c r="G464" s="8" t="s">
        <v>31</v>
      </c>
      <c r="H464" s="8" t="s">
        <v>31</v>
      </c>
      <c r="I464" s="8" t="n">
        <f aca="false">IF(EXACT(G464,H464),1,0)</f>
        <v>1</v>
      </c>
      <c r="J464" s="8" t="n">
        <v>0</v>
      </c>
      <c r="K464" s="8" t="s">
        <v>140</v>
      </c>
      <c r="L464" s="8" t="n">
        <v>5</v>
      </c>
      <c r="M464" s="8" t="n">
        <v>0</v>
      </c>
      <c r="N464" s="8"/>
      <c r="O464" s="8" t="n">
        <v>1</v>
      </c>
      <c r="P464" s="10" t="n">
        <v>12.81</v>
      </c>
      <c r="Q464" s="8" t="n">
        <v>1400</v>
      </c>
      <c r="R464" s="8" t="n">
        <v>618</v>
      </c>
      <c r="S464" s="8" t="s">
        <v>117</v>
      </c>
      <c r="T464" s="8" t="s">
        <v>256</v>
      </c>
      <c r="U464" s="8" t="s">
        <v>257</v>
      </c>
      <c r="V464" s="8"/>
      <c r="W464" s="8" t="s">
        <v>266</v>
      </c>
      <c r="X464" s="8" t="s">
        <v>578</v>
      </c>
      <c r="Y464" s="8" t="s">
        <v>1236</v>
      </c>
      <c r="Z464" s="8" t="s">
        <v>1237</v>
      </c>
    </row>
    <row r="465" customFormat="false" ht="15" hidden="false" customHeight="false" outlineLevel="0" collapsed="false">
      <c r="A465" s="8" t="s">
        <v>265</v>
      </c>
      <c r="B465" s="8" t="s">
        <v>15</v>
      </c>
      <c r="C465" s="8" t="s">
        <v>16</v>
      </c>
      <c r="D465" s="8" t="s">
        <v>615</v>
      </c>
      <c r="E465" s="8" t="s">
        <v>40</v>
      </c>
      <c r="F465" s="8" t="s">
        <v>48</v>
      </c>
      <c r="G465" s="8" t="s">
        <v>31</v>
      </c>
      <c r="H465" s="8" t="s">
        <v>31</v>
      </c>
      <c r="I465" s="8" t="n">
        <f aca="false">IF(EXACT(G465,H465),1,0)</f>
        <v>1</v>
      </c>
      <c r="J465" s="8" t="n">
        <v>1</v>
      </c>
      <c r="K465" s="8" t="s">
        <v>140</v>
      </c>
      <c r="L465" s="8" t="n">
        <v>5</v>
      </c>
      <c r="M465" s="8" t="n">
        <v>0</v>
      </c>
      <c r="N465" s="8"/>
      <c r="O465" s="8" t="n">
        <v>1</v>
      </c>
      <c r="P465" s="10" t="n">
        <v>14.24</v>
      </c>
      <c r="Q465" s="8" t="n">
        <v>1400</v>
      </c>
      <c r="R465" s="8" t="n">
        <v>692</v>
      </c>
      <c r="S465" s="8" t="s">
        <v>117</v>
      </c>
      <c r="T465" s="8" t="s">
        <v>256</v>
      </c>
      <c r="U465" s="8" t="s">
        <v>257</v>
      </c>
      <c r="V465" s="8"/>
      <c r="W465" s="8" t="s">
        <v>266</v>
      </c>
      <c r="X465" s="8" t="s">
        <v>578</v>
      </c>
      <c r="Y465" s="8" t="s">
        <v>1238</v>
      </c>
      <c r="Z465" s="8" t="s">
        <v>1239</v>
      </c>
    </row>
    <row r="466" customFormat="false" ht="15" hidden="false" customHeight="false" outlineLevel="0" collapsed="false">
      <c r="A466" s="8" t="s">
        <v>265</v>
      </c>
      <c r="B466" s="8" t="s">
        <v>15</v>
      </c>
      <c r="C466" s="8" t="s">
        <v>16</v>
      </c>
      <c r="D466" s="8" t="s">
        <v>615</v>
      </c>
      <c r="E466" s="8" t="s">
        <v>40</v>
      </c>
      <c r="F466" s="8" t="s">
        <v>48</v>
      </c>
      <c r="G466" s="8" t="s">
        <v>31</v>
      </c>
      <c r="H466" s="8" t="s">
        <v>31</v>
      </c>
      <c r="I466" s="8" t="n">
        <f aca="false">IF(EXACT(G466,H466),1,0)</f>
        <v>1</v>
      </c>
      <c r="J466" s="8" t="n">
        <v>2</v>
      </c>
      <c r="K466" s="8" t="s">
        <v>140</v>
      </c>
      <c r="L466" s="8" t="n">
        <v>5</v>
      </c>
      <c r="M466" s="8" t="n">
        <v>0</v>
      </c>
      <c r="N466" s="8"/>
      <c r="O466" s="8" t="n">
        <v>1</v>
      </c>
      <c r="P466" s="10" t="n">
        <v>10.65</v>
      </c>
      <c r="Q466" s="8" t="n">
        <v>1400</v>
      </c>
      <c r="R466" s="8" t="n">
        <v>536</v>
      </c>
      <c r="S466" s="8" t="s">
        <v>117</v>
      </c>
      <c r="T466" s="8" t="s">
        <v>256</v>
      </c>
      <c r="U466" s="8" t="s">
        <v>257</v>
      </c>
      <c r="V466" s="8"/>
      <c r="W466" s="8" t="s">
        <v>266</v>
      </c>
      <c r="X466" s="8" t="s">
        <v>578</v>
      </c>
      <c r="Y466" s="8" t="s">
        <v>1240</v>
      </c>
      <c r="Z466" s="8" t="s">
        <v>1241</v>
      </c>
    </row>
    <row r="467" customFormat="false" ht="15" hidden="false" customHeight="false" outlineLevel="0" collapsed="false">
      <c r="A467" s="8" t="s">
        <v>290</v>
      </c>
      <c r="B467" s="8" t="s">
        <v>15</v>
      </c>
      <c r="C467" s="8" t="s">
        <v>16</v>
      </c>
      <c r="D467" s="8" t="s">
        <v>615</v>
      </c>
      <c r="E467" s="8" t="s">
        <v>40</v>
      </c>
      <c r="F467" s="8" t="s">
        <v>51</v>
      </c>
      <c r="G467" s="8" t="s">
        <v>32</v>
      </c>
      <c r="H467" s="8" t="s">
        <v>31</v>
      </c>
      <c r="I467" s="8" t="n">
        <f aca="false">IF(EXACT(G467,H467),1,0)</f>
        <v>0</v>
      </c>
      <c r="J467" s="8" t="n">
        <v>0</v>
      </c>
      <c r="K467" s="8" t="s">
        <v>140</v>
      </c>
      <c r="L467" s="8" t="n">
        <v>3</v>
      </c>
      <c r="M467" s="8" t="n">
        <v>0</v>
      </c>
      <c r="N467" s="8"/>
      <c r="O467" s="8" t="n">
        <v>1</v>
      </c>
      <c r="P467" s="10" t="n">
        <v>13.74</v>
      </c>
      <c r="Q467" s="8" t="n">
        <v>1425</v>
      </c>
      <c r="R467" s="8" t="n">
        <v>615</v>
      </c>
      <c r="S467" s="8" t="s">
        <v>101</v>
      </c>
      <c r="T467" s="8" t="s">
        <v>291</v>
      </c>
      <c r="U467" s="8" t="s">
        <v>292</v>
      </c>
      <c r="V467" s="8"/>
      <c r="W467" s="8" t="s">
        <v>293</v>
      </c>
      <c r="X467" s="8" t="s">
        <v>579</v>
      </c>
      <c r="Y467" s="8" t="s">
        <v>1242</v>
      </c>
      <c r="Z467" s="8" t="s">
        <v>1243</v>
      </c>
    </row>
    <row r="468" customFormat="false" ht="15" hidden="false" customHeight="false" outlineLevel="0" collapsed="false">
      <c r="A468" s="8" t="s">
        <v>290</v>
      </c>
      <c r="B468" s="8" t="s">
        <v>15</v>
      </c>
      <c r="C468" s="8" t="s">
        <v>16</v>
      </c>
      <c r="D468" s="8" t="s">
        <v>615</v>
      </c>
      <c r="E468" s="8" t="s">
        <v>40</v>
      </c>
      <c r="F468" s="8" t="s">
        <v>51</v>
      </c>
      <c r="G468" s="8" t="s">
        <v>32</v>
      </c>
      <c r="H468" s="8" t="s">
        <v>31</v>
      </c>
      <c r="I468" s="8" t="n">
        <f aca="false">IF(EXACT(G468,H468),1,0)</f>
        <v>0</v>
      </c>
      <c r="J468" s="8" t="n">
        <v>1</v>
      </c>
      <c r="K468" s="8" t="s">
        <v>140</v>
      </c>
      <c r="L468" s="8" t="n">
        <v>3</v>
      </c>
      <c r="M468" s="8" t="n">
        <v>0</v>
      </c>
      <c r="N468" s="8"/>
      <c r="O468" s="8" t="n">
        <v>1</v>
      </c>
      <c r="P468" s="10" t="n">
        <v>11.05</v>
      </c>
      <c r="Q468" s="8" t="n">
        <v>1425</v>
      </c>
      <c r="R468" s="8" t="n">
        <v>485</v>
      </c>
      <c r="S468" s="8" t="s">
        <v>101</v>
      </c>
      <c r="T468" s="8" t="s">
        <v>291</v>
      </c>
      <c r="U468" s="8" t="s">
        <v>292</v>
      </c>
      <c r="V468" s="8"/>
      <c r="W468" s="8" t="s">
        <v>293</v>
      </c>
      <c r="X468" s="8" t="s">
        <v>579</v>
      </c>
      <c r="Y468" s="8" t="s">
        <v>1244</v>
      </c>
      <c r="Z468" s="8" t="s">
        <v>1245</v>
      </c>
    </row>
    <row r="469" customFormat="false" ht="15" hidden="false" customHeight="false" outlineLevel="0" collapsed="false">
      <c r="A469" s="8" t="s">
        <v>290</v>
      </c>
      <c r="B469" s="8" t="s">
        <v>15</v>
      </c>
      <c r="C469" s="8" t="s">
        <v>16</v>
      </c>
      <c r="D469" s="8" t="s">
        <v>615</v>
      </c>
      <c r="E469" s="8" t="s">
        <v>40</v>
      </c>
      <c r="F469" s="8" t="s">
        <v>51</v>
      </c>
      <c r="G469" s="8" t="s">
        <v>32</v>
      </c>
      <c r="H469" s="8" t="s">
        <v>31</v>
      </c>
      <c r="I469" s="8" t="n">
        <f aca="false">IF(EXACT(G469,H469),1,0)</f>
        <v>0</v>
      </c>
      <c r="J469" s="8" t="n">
        <v>2</v>
      </c>
      <c r="K469" s="8" t="s">
        <v>140</v>
      </c>
      <c r="L469" s="8" t="n">
        <v>3</v>
      </c>
      <c r="M469" s="8" t="n">
        <v>0</v>
      </c>
      <c r="N469" s="8"/>
      <c r="O469" s="8" t="n">
        <v>1</v>
      </c>
      <c r="P469" s="10" t="n">
        <v>12.55</v>
      </c>
      <c r="Q469" s="8" t="n">
        <v>1425</v>
      </c>
      <c r="R469" s="8" t="n">
        <v>566</v>
      </c>
      <c r="S469" s="8" t="s">
        <v>101</v>
      </c>
      <c r="T469" s="8" t="s">
        <v>291</v>
      </c>
      <c r="U469" s="8" t="s">
        <v>292</v>
      </c>
      <c r="V469" s="8"/>
      <c r="W469" s="8" t="s">
        <v>293</v>
      </c>
      <c r="X469" s="8" t="s">
        <v>579</v>
      </c>
      <c r="Y469" s="8" t="s">
        <v>1246</v>
      </c>
      <c r="Z469" s="8" t="s">
        <v>1247</v>
      </c>
    </row>
    <row r="470" customFormat="false" ht="15" hidden="false" customHeight="false" outlineLevel="0" collapsed="false">
      <c r="A470" s="8" t="s">
        <v>295</v>
      </c>
      <c r="B470" s="8" t="s">
        <v>15</v>
      </c>
      <c r="C470" s="8" t="s">
        <v>16</v>
      </c>
      <c r="D470" s="8" t="s">
        <v>615</v>
      </c>
      <c r="E470" s="8" t="s">
        <v>40</v>
      </c>
      <c r="F470" s="8" t="s">
        <v>51</v>
      </c>
      <c r="G470" s="8" t="s">
        <v>30</v>
      </c>
      <c r="H470" s="8" t="s">
        <v>30</v>
      </c>
      <c r="I470" s="8" t="n">
        <f aca="false">IF(EXACT(G470,H470),1,0)</f>
        <v>1</v>
      </c>
      <c r="J470" s="8" t="n">
        <v>0</v>
      </c>
      <c r="K470" s="8" t="s">
        <v>92</v>
      </c>
      <c r="L470" s="8" t="n">
        <v>0</v>
      </c>
      <c r="M470" s="8" t="n">
        <v>0</v>
      </c>
      <c r="N470" s="8"/>
      <c r="O470" s="8" t="n">
        <v>1</v>
      </c>
      <c r="P470" s="10" t="n">
        <v>5.44</v>
      </c>
      <c r="Q470" s="8" t="n">
        <v>1495</v>
      </c>
      <c r="R470" s="8" t="n">
        <v>161</v>
      </c>
      <c r="S470" s="8" t="s">
        <v>110</v>
      </c>
      <c r="T470" s="8" t="s">
        <v>291</v>
      </c>
      <c r="U470" s="8" t="s">
        <v>292</v>
      </c>
      <c r="V470" s="8"/>
      <c r="W470" s="8" t="s">
        <v>296</v>
      </c>
      <c r="X470" s="8" t="s">
        <v>580</v>
      </c>
      <c r="Y470" s="8" t="s">
        <v>1248</v>
      </c>
      <c r="Z470" s="8"/>
    </row>
    <row r="471" customFormat="false" ht="15" hidden="false" customHeight="false" outlineLevel="0" collapsed="false">
      <c r="A471" s="8" t="s">
        <v>295</v>
      </c>
      <c r="B471" s="8" t="s">
        <v>15</v>
      </c>
      <c r="C471" s="8" t="s">
        <v>16</v>
      </c>
      <c r="D471" s="8" t="s">
        <v>615</v>
      </c>
      <c r="E471" s="8" t="s">
        <v>40</v>
      </c>
      <c r="F471" s="8" t="s">
        <v>51</v>
      </c>
      <c r="G471" s="8" t="s">
        <v>30</v>
      </c>
      <c r="H471" s="8" t="s">
        <v>885</v>
      </c>
      <c r="I471" s="8" t="n">
        <f aca="false">IF(EXACT(G471,H471),1,0)</f>
        <v>0</v>
      </c>
      <c r="J471" s="8" t="n">
        <v>1</v>
      </c>
      <c r="K471" s="8" t="s">
        <v>92</v>
      </c>
      <c r="L471" s="8" t="n">
        <v>0</v>
      </c>
      <c r="M471" s="8" t="n">
        <v>0</v>
      </c>
      <c r="N471" s="8"/>
      <c r="O471" s="8" t="n">
        <v>1</v>
      </c>
      <c r="P471" s="10" t="n">
        <v>6.97</v>
      </c>
      <c r="Q471" s="8" t="n">
        <v>1495</v>
      </c>
      <c r="R471" s="8" t="n">
        <v>280</v>
      </c>
      <c r="S471" s="8" t="s">
        <v>110</v>
      </c>
      <c r="T471" s="8" t="s">
        <v>291</v>
      </c>
      <c r="U471" s="8" t="s">
        <v>292</v>
      </c>
      <c r="V471" s="8"/>
      <c r="W471" s="8" t="s">
        <v>296</v>
      </c>
      <c r="X471" s="8" t="s">
        <v>580</v>
      </c>
      <c r="Y471" s="8" t="s">
        <v>1249</v>
      </c>
      <c r="Z471" s="8"/>
    </row>
    <row r="472" customFormat="false" ht="15" hidden="false" customHeight="false" outlineLevel="0" collapsed="false">
      <c r="A472" s="8" t="s">
        <v>295</v>
      </c>
      <c r="B472" s="8" t="s">
        <v>15</v>
      </c>
      <c r="C472" s="8" t="s">
        <v>16</v>
      </c>
      <c r="D472" s="8" t="s">
        <v>615</v>
      </c>
      <c r="E472" s="8" t="s">
        <v>40</v>
      </c>
      <c r="F472" s="8" t="s">
        <v>51</v>
      </c>
      <c r="G472" s="8" t="s">
        <v>30</v>
      </c>
      <c r="H472" s="8" t="s">
        <v>30</v>
      </c>
      <c r="I472" s="8" t="n">
        <f aca="false">IF(EXACT(G472,H472),1,0)</f>
        <v>1</v>
      </c>
      <c r="J472" s="8" t="n">
        <v>2</v>
      </c>
      <c r="K472" s="8" t="s">
        <v>92</v>
      </c>
      <c r="L472" s="8" t="n">
        <v>0</v>
      </c>
      <c r="M472" s="8" t="n">
        <v>0</v>
      </c>
      <c r="N472" s="8"/>
      <c r="O472" s="8" t="n">
        <v>1</v>
      </c>
      <c r="P472" s="10" t="n">
        <v>3.34</v>
      </c>
      <c r="Q472" s="8" t="n">
        <v>1495</v>
      </c>
      <c r="R472" s="8" t="n">
        <v>92</v>
      </c>
      <c r="S472" s="8" t="s">
        <v>110</v>
      </c>
      <c r="T472" s="8" t="s">
        <v>291</v>
      </c>
      <c r="U472" s="8" t="s">
        <v>292</v>
      </c>
      <c r="V472" s="8"/>
      <c r="W472" s="8" t="s">
        <v>296</v>
      </c>
      <c r="X472" s="8" t="s">
        <v>580</v>
      </c>
      <c r="Y472" s="8" t="s">
        <v>1250</v>
      </c>
      <c r="Z472" s="8"/>
    </row>
    <row r="473" customFormat="false" ht="15" hidden="false" customHeight="false" outlineLevel="0" collapsed="false">
      <c r="A473" s="8" t="s">
        <v>298</v>
      </c>
      <c r="B473" s="8" t="s">
        <v>15</v>
      </c>
      <c r="C473" s="8" t="s">
        <v>16</v>
      </c>
      <c r="D473" s="8" t="s">
        <v>615</v>
      </c>
      <c r="E473" s="8" t="s">
        <v>40</v>
      </c>
      <c r="F473" s="8" t="s">
        <v>51</v>
      </c>
      <c r="G473" s="8" t="s">
        <v>30</v>
      </c>
      <c r="H473" s="8" t="s">
        <v>30</v>
      </c>
      <c r="I473" s="8" t="n">
        <f aca="false">IF(EXACT(G473,H473),1,0)</f>
        <v>1</v>
      </c>
      <c r="J473" s="8" t="n">
        <v>0</v>
      </c>
      <c r="K473" s="8" t="s">
        <v>92</v>
      </c>
      <c r="L473" s="8" t="n">
        <v>0</v>
      </c>
      <c r="M473" s="8" t="n">
        <v>0</v>
      </c>
      <c r="N473" s="8"/>
      <c r="O473" s="8" t="n">
        <v>1</v>
      </c>
      <c r="P473" s="10" t="n">
        <v>4.95</v>
      </c>
      <c r="Q473" s="8" t="n">
        <v>1489</v>
      </c>
      <c r="R473" s="8" t="n">
        <v>146</v>
      </c>
      <c r="S473" s="8" t="s">
        <v>150</v>
      </c>
      <c r="T473" s="8" t="s">
        <v>291</v>
      </c>
      <c r="U473" s="8" t="s">
        <v>292</v>
      </c>
      <c r="V473" s="8"/>
      <c r="W473" s="8" t="s">
        <v>299</v>
      </c>
      <c r="X473" s="8" t="s">
        <v>581</v>
      </c>
      <c r="Y473" s="8" t="s">
        <v>1251</v>
      </c>
      <c r="Z473" s="8"/>
    </row>
    <row r="474" customFormat="false" ht="15" hidden="false" customHeight="false" outlineLevel="0" collapsed="false">
      <c r="A474" s="8" t="s">
        <v>298</v>
      </c>
      <c r="B474" s="8" t="s">
        <v>15</v>
      </c>
      <c r="C474" s="8" t="s">
        <v>16</v>
      </c>
      <c r="D474" s="8" t="s">
        <v>615</v>
      </c>
      <c r="E474" s="8" t="s">
        <v>40</v>
      </c>
      <c r="F474" s="8" t="s">
        <v>51</v>
      </c>
      <c r="G474" s="8" t="s">
        <v>30</v>
      </c>
      <c r="H474" s="8" t="s">
        <v>30</v>
      </c>
      <c r="I474" s="8" t="n">
        <f aca="false">IF(EXACT(G474,H474),1,0)</f>
        <v>1</v>
      </c>
      <c r="J474" s="8" t="n">
        <v>1</v>
      </c>
      <c r="K474" s="8" t="s">
        <v>92</v>
      </c>
      <c r="L474" s="8" t="n">
        <v>0</v>
      </c>
      <c r="M474" s="8" t="n">
        <v>0</v>
      </c>
      <c r="N474" s="8"/>
      <c r="O474" s="8" t="n">
        <v>1</v>
      </c>
      <c r="P474" s="10" t="n">
        <v>3.55</v>
      </c>
      <c r="Q474" s="8" t="n">
        <v>1489</v>
      </c>
      <c r="R474" s="8" t="n">
        <v>107</v>
      </c>
      <c r="S474" s="8" t="s">
        <v>150</v>
      </c>
      <c r="T474" s="8" t="s">
        <v>291</v>
      </c>
      <c r="U474" s="8" t="s">
        <v>292</v>
      </c>
      <c r="V474" s="8"/>
      <c r="W474" s="8" t="s">
        <v>299</v>
      </c>
      <c r="X474" s="8" t="s">
        <v>581</v>
      </c>
      <c r="Y474" s="8" t="s">
        <v>1252</v>
      </c>
      <c r="Z474" s="8"/>
    </row>
    <row r="475" customFormat="false" ht="15" hidden="false" customHeight="false" outlineLevel="0" collapsed="false">
      <c r="A475" s="8" t="s">
        <v>298</v>
      </c>
      <c r="B475" s="8" t="s">
        <v>15</v>
      </c>
      <c r="C475" s="8" t="s">
        <v>16</v>
      </c>
      <c r="D475" s="8" t="s">
        <v>615</v>
      </c>
      <c r="E475" s="8" t="s">
        <v>40</v>
      </c>
      <c r="F475" s="8" t="s">
        <v>51</v>
      </c>
      <c r="G475" s="8" t="s">
        <v>30</v>
      </c>
      <c r="H475" s="8" t="s">
        <v>30</v>
      </c>
      <c r="I475" s="8" t="n">
        <f aca="false">IF(EXACT(G475,H475),1,0)</f>
        <v>1</v>
      </c>
      <c r="J475" s="8" t="n">
        <v>2</v>
      </c>
      <c r="K475" s="8" t="s">
        <v>92</v>
      </c>
      <c r="L475" s="8" t="n">
        <v>0</v>
      </c>
      <c r="M475" s="8" t="n">
        <v>0</v>
      </c>
      <c r="N475" s="8"/>
      <c r="O475" s="8" t="n">
        <v>1</v>
      </c>
      <c r="P475" s="10" t="n">
        <v>5.74</v>
      </c>
      <c r="Q475" s="8" t="n">
        <v>1489</v>
      </c>
      <c r="R475" s="8" t="n">
        <v>194</v>
      </c>
      <c r="S475" s="8" t="s">
        <v>150</v>
      </c>
      <c r="T475" s="8" t="s">
        <v>291</v>
      </c>
      <c r="U475" s="8" t="s">
        <v>292</v>
      </c>
      <c r="V475" s="8"/>
      <c r="W475" s="8" t="s">
        <v>299</v>
      </c>
      <c r="X475" s="8" t="s">
        <v>581</v>
      </c>
      <c r="Y475" s="8" t="s">
        <v>1253</v>
      </c>
      <c r="Z475" s="8"/>
    </row>
    <row r="476" customFormat="false" ht="15" hidden="false" customHeight="false" outlineLevel="0" collapsed="false">
      <c r="A476" s="8" t="s">
        <v>301</v>
      </c>
      <c r="B476" s="8" t="s">
        <v>15</v>
      </c>
      <c r="C476" s="8" t="s">
        <v>16</v>
      </c>
      <c r="D476" s="8" t="s">
        <v>615</v>
      </c>
      <c r="E476" s="8" t="s">
        <v>40</v>
      </c>
      <c r="F476" s="8" t="s">
        <v>51</v>
      </c>
      <c r="G476" s="8" t="s">
        <v>32</v>
      </c>
      <c r="H476" s="8" t="s">
        <v>30</v>
      </c>
      <c r="I476" s="8" t="n">
        <f aca="false">IF(EXACT(G476,H476),1,0)</f>
        <v>0</v>
      </c>
      <c r="J476" s="8" t="n">
        <v>0</v>
      </c>
      <c r="K476" s="8" t="s">
        <v>92</v>
      </c>
      <c r="L476" s="8" t="n">
        <v>0</v>
      </c>
      <c r="M476" s="8" t="n">
        <v>0</v>
      </c>
      <c r="N476" s="8"/>
      <c r="O476" s="8" t="n">
        <v>1</v>
      </c>
      <c r="P476" s="10" t="n">
        <v>3.57</v>
      </c>
      <c r="Q476" s="8" t="n">
        <v>1451</v>
      </c>
      <c r="R476" s="8" t="n">
        <v>93</v>
      </c>
      <c r="S476" s="8" t="s">
        <v>132</v>
      </c>
      <c r="T476" s="8" t="s">
        <v>291</v>
      </c>
      <c r="U476" s="8" t="s">
        <v>292</v>
      </c>
      <c r="V476" s="8"/>
      <c r="W476" s="8" t="s">
        <v>302</v>
      </c>
      <c r="X476" s="8" t="s">
        <v>582</v>
      </c>
      <c r="Y476" s="8" t="s">
        <v>1254</v>
      </c>
      <c r="Z476" s="8"/>
    </row>
    <row r="477" customFormat="false" ht="15" hidden="false" customHeight="false" outlineLevel="0" collapsed="false">
      <c r="A477" s="8" t="s">
        <v>301</v>
      </c>
      <c r="B477" s="8" t="s">
        <v>15</v>
      </c>
      <c r="C477" s="8" t="s">
        <v>16</v>
      </c>
      <c r="D477" s="8" t="s">
        <v>615</v>
      </c>
      <c r="E477" s="8" t="s">
        <v>40</v>
      </c>
      <c r="F477" s="8" t="s">
        <v>51</v>
      </c>
      <c r="G477" s="8" t="s">
        <v>32</v>
      </c>
      <c r="H477" s="8" t="s">
        <v>30</v>
      </c>
      <c r="I477" s="8" t="n">
        <f aca="false">IF(EXACT(G477,H477),1,0)</f>
        <v>0</v>
      </c>
      <c r="J477" s="8" t="n">
        <v>1</v>
      </c>
      <c r="K477" s="8" t="s">
        <v>92</v>
      </c>
      <c r="L477" s="8" t="n">
        <v>0</v>
      </c>
      <c r="M477" s="8" t="n">
        <v>0</v>
      </c>
      <c r="N477" s="8"/>
      <c r="O477" s="8" t="n">
        <v>1</v>
      </c>
      <c r="P477" s="10" t="n">
        <v>3.09</v>
      </c>
      <c r="Q477" s="8" t="n">
        <v>1451</v>
      </c>
      <c r="R477" s="8" t="n">
        <v>92</v>
      </c>
      <c r="S477" s="8" t="s">
        <v>132</v>
      </c>
      <c r="T477" s="8" t="s">
        <v>291</v>
      </c>
      <c r="U477" s="8" t="s">
        <v>292</v>
      </c>
      <c r="V477" s="8"/>
      <c r="W477" s="8" t="s">
        <v>302</v>
      </c>
      <c r="X477" s="8" t="s">
        <v>582</v>
      </c>
      <c r="Y477" s="8" t="s">
        <v>1255</v>
      </c>
      <c r="Z477" s="8"/>
    </row>
    <row r="478" customFormat="false" ht="15" hidden="false" customHeight="false" outlineLevel="0" collapsed="false">
      <c r="A478" s="8" t="s">
        <v>301</v>
      </c>
      <c r="B478" s="8" t="s">
        <v>15</v>
      </c>
      <c r="C478" s="8" t="s">
        <v>16</v>
      </c>
      <c r="D478" s="8" t="s">
        <v>615</v>
      </c>
      <c r="E478" s="8" t="s">
        <v>40</v>
      </c>
      <c r="F478" s="8" t="s">
        <v>51</v>
      </c>
      <c r="G478" s="8" t="s">
        <v>32</v>
      </c>
      <c r="H478" s="8" t="s">
        <v>30</v>
      </c>
      <c r="I478" s="8" t="n">
        <f aca="false">IF(EXACT(G478,H478),1,0)</f>
        <v>0</v>
      </c>
      <c r="J478" s="8" t="n">
        <v>2</v>
      </c>
      <c r="K478" s="8" t="s">
        <v>92</v>
      </c>
      <c r="L478" s="8" t="n">
        <v>0</v>
      </c>
      <c r="M478" s="8" t="n">
        <v>0</v>
      </c>
      <c r="N478" s="8"/>
      <c r="O478" s="8" t="n">
        <v>1</v>
      </c>
      <c r="P478" s="10" t="n">
        <v>3.53</v>
      </c>
      <c r="Q478" s="8" t="n">
        <v>1451</v>
      </c>
      <c r="R478" s="8" t="n">
        <v>90</v>
      </c>
      <c r="S478" s="8" t="s">
        <v>132</v>
      </c>
      <c r="T478" s="8" t="s">
        <v>291</v>
      </c>
      <c r="U478" s="8" t="s">
        <v>292</v>
      </c>
      <c r="V478" s="8"/>
      <c r="W478" s="8" t="s">
        <v>302</v>
      </c>
      <c r="X478" s="8" t="s">
        <v>582</v>
      </c>
      <c r="Y478" s="8" t="s">
        <v>1256</v>
      </c>
      <c r="Z478" s="8"/>
    </row>
    <row r="479" customFormat="false" ht="15" hidden="false" customHeight="false" outlineLevel="0" collapsed="false">
      <c r="A479" s="8" t="s">
        <v>304</v>
      </c>
      <c r="B479" s="8" t="s">
        <v>15</v>
      </c>
      <c r="C479" s="8" t="s">
        <v>16</v>
      </c>
      <c r="D479" s="8" t="s">
        <v>615</v>
      </c>
      <c r="E479" s="8" t="s">
        <v>40</v>
      </c>
      <c r="F479" s="8" t="s">
        <v>51</v>
      </c>
      <c r="G479" s="8" t="s">
        <v>31</v>
      </c>
      <c r="H479" s="8" t="s">
        <v>31</v>
      </c>
      <c r="I479" s="8" t="n">
        <f aca="false">IF(EXACT(G479,H479),1,0)</f>
        <v>1</v>
      </c>
      <c r="J479" s="8" t="n">
        <v>0</v>
      </c>
      <c r="K479" s="8" t="s">
        <v>140</v>
      </c>
      <c r="L479" s="8" t="n">
        <v>4</v>
      </c>
      <c r="M479" s="8" t="n">
        <v>0</v>
      </c>
      <c r="N479" s="8"/>
      <c r="O479" s="8" t="n">
        <v>1</v>
      </c>
      <c r="P479" s="10" t="n">
        <v>16.54</v>
      </c>
      <c r="Q479" s="8" t="n">
        <v>1468</v>
      </c>
      <c r="R479" s="8" t="n">
        <v>782</v>
      </c>
      <c r="S479" s="8" t="s">
        <v>117</v>
      </c>
      <c r="T479" s="8" t="s">
        <v>291</v>
      </c>
      <c r="U479" s="8" t="s">
        <v>292</v>
      </c>
      <c r="V479" s="8"/>
      <c r="W479" s="8" t="s">
        <v>305</v>
      </c>
      <c r="X479" s="8" t="s">
        <v>583</v>
      </c>
      <c r="Y479" s="8" t="s">
        <v>1257</v>
      </c>
      <c r="Z479" s="8" t="s">
        <v>1258</v>
      </c>
    </row>
    <row r="480" customFormat="false" ht="15" hidden="false" customHeight="false" outlineLevel="0" collapsed="false">
      <c r="A480" s="8" t="s">
        <v>304</v>
      </c>
      <c r="B480" s="8" t="s">
        <v>15</v>
      </c>
      <c r="C480" s="8" t="s">
        <v>16</v>
      </c>
      <c r="D480" s="8" t="s">
        <v>615</v>
      </c>
      <c r="E480" s="8" t="s">
        <v>40</v>
      </c>
      <c r="F480" s="8" t="s">
        <v>51</v>
      </c>
      <c r="G480" s="8" t="s">
        <v>31</v>
      </c>
      <c r="H480" s="8" t="s">
        <v>31</v>
      </c>
      <c r="I480" s="8" t="n">
        <f aca="false">IF(EXACT(G480,H480),1,0)</f>
        <v>1</v>
      </c>
      <c r="J480" s="8" t="n">
        <v>1</v>
      </c>
      <c r="K480" s="8" t="s">
        <v>140</v>
      </c>
      <c r="L480" s="8" t="n">
        <v>3</v>
      </c>
      <c r="M480" s="8" t="n">
        <v>0</v>
      </c>
      <c r="N480" s="8"/>
      <c r="O480" s="8" t="n">
        <v>1</v>
      </c>
      <c r="P480" s="10" t="n">
        <v>13.36</v>
      </c>
      <c r="Q480" s="8" t="n">
        <v>1468</v>
      </c>
      <c r="R480" s="8" t="n">
        <v>650</v>
      </c>
      <c r="S480" s="8" t="s">
        <v>117</v>
      </c>
      <c r="T480" s="8" t="s">
        <v>291</v>
      </c>
      <c r="U480" s="8" t="s">
        <v>292</v>
      </c>
      <c r="V480" s="8"/>
      <c r="W480" s="8" t="s">
        <v>305</v>
      </c>
      <c r="X480" s="8" t="s">
        <v>583</v>
      </c>
      <c r="Y480" s="8" t="s">
        <v>1259</v>
      </c>
      <c r="Z480" s="8" t="s">
        <v>1260</v>
      </c>
    </row>
    <row r="481" customFormat="false" ht="15" hidden="false" customHeight="false" outlineLevel="0" collapsed="false">
      <c r="A481" s="8" t="s">
        <v>304</v>
      </c>
      <c r="B481" s="8" t="s">
        <v>15</v>
      </c>
      <c r="C481" s="8" t="s">
        <v>16</v>
      </c>
      <c r="D481" s="8" t="s">
        <v>615</v>
      </c>
      <c r="E481" s="8" t="s">
        <v>40</v>
      </c>
      <c r="F481" s="8" t="s">
        <v>51</v>
      </c>
      <c r="G481" s="8" t="s">
        <v>31</v>
      </c>
      <c r="H481" s="8" t="s">
        <v>31</v>
      </c>
      <c r="I481" s="8" t="n">
        <f aca="false">IF(EXACT(G481,H481),1,0)</f>
        <v>1</v>
      </c>
      <c r="J481" s="8" t="n">
        <v>2</v>
      </c>
      <c r="K481" s="8" t="s">
        <v>140</v>
      </c>
      <c r="L481" s="8" t="n">
        <v>2</v>
      </c>
      <c r="M481" s="8" t="n">
        <v>0</v>
      </c>
      <c r="N481" s="8"/>
      <c r="O481" s="8" t="n">
        <v>1</v>
      </c>
      <c r="P481" s="10" t="n">
        <v>10.1</v>
      </c>
      <c r="Q481" s="8" t="n">
        <v>1468</v>
      </c>
      <c r="R481" s="8" t="n">
        <v>440</v>
      </c>
      <c r="S481" s="8" t="s">
        <v>117</v>
      </c>
      <c r="T481" s="8" t="s">
        <v>291</v>
      </c>
      <c r="U481" s="8" t="s">
        <v>292</v>
      </c>
      <c r="V481" s="8"/>
      <c r="W481" s="8" t="s">
        <v>305</v>
      </c>
      <c r="X481" s="8" t="s">
        <v>583</v>
      </c>
      <c r="Y481" s="8" t="s">
        <v>1261</v>
      </c>
      <c r="Z481" s="8" t="s">
        <v>1262</v>
      </c>
    </row>
    <row r="482" customFormat="false" ht="15" hidden="false" customHeight="false" outlineLevel="0" collapsed="false">
      <c r="A482" s="8" t="s">
        <v>307</v>
      </c>
      <c r="B482" s="8" t="s">
        <v>15</v>
      </c>
      <c r="C482" s="8" t="s">
        <v>16</v>
      </c>
      <c r="D482" s="8" t="s">
        <v>615</v>
      </c>
      <c r="E482" s="8" t="s">
        <v>40</v>
      </c>
      <c r="F482" s="8" t="s">
        <v>51</v>
      </c>
      <c r="G482" s="8" t="s">
        <v>31</v>
      </c>
      <c r="H482" s="8" t="s">
        <v>31</v>
      </c>
      <c r="I482" s="8" t="n">
        <f aca="false">IF(EXACT(G482,H482),1,0)</f>
        <v>1</v>
      </c>
      <c r="J482" s="8" t="n">
        <v>0</v>
      </c>
      <c r="K482" s="8" t="s">
        <v>140</v>
      </c>
      <c r="L482" s="8" t="n">
        <v>2</v>
      </c>
      <c r="M482" s="8" t="n">
        <v>0</v>
      </c>
      <c r="N482" s="8"/>
      <c r="O482" s="8" t="n">
        <v>1</v>
      </c>
      <c r="P482" s="10" t="n">
        <v>11.81</v>
      </c>
      <c r="Q482" s="8" t="n">
        <v>1412</v>
      </c>
      <c r="R482" s="8" t="n">
        <v>472</v>
      </c>
      <c r="S482" s="8" t="s">
        <v>308</v>
      </c>
      <c r="T482" s="8"/>
      <c r="U482" s="8"/>
      <c r="V482" s="8" t="s">
        <v>309</v>
      </c>
      <c r="W482" s="8"/>
      <c r="X482" s="8" t="s">
        <v>584</v>
      </c>
      <c r="Y482" s="8" t="s">
        <v>1263</v>
      </c>
      <c r="Z482" s="8" t="s">
        <v>1264</v>
      </c>
    </row>
    <row r="483" customFormat="false" ht="15" hidden="false" customHeight="false" outlineLevel="0" collapsed="false">
      <c r="A483" s="8" t="s">
        <v>307</v>
      </c>
      <c r="B483" s="8" t="s">
        <v>15</v>
      </c>
      <c r="C483" s="8" t="s">
        <v>16</v>
      </c>
      <c r="D483" s="8" t="s">
        <v>615</v>
      </c>
      <c r="E483" s="8" t="s">
        <v>40</v>
      </c>
      <c r="F483" s="8" t="s">
        <v>51</v>
      </c>
      <c r="G483" s="8" t="s">
        <v>31</v>
      </c>
      <c r="H483" s="8" t="s">
        <v>31</v>
      </c>
      <c r="I483" s="8" t="n">
        <f aca="false">IF(EXACT(G483,H483),1,0)</f>
        <v>1</v>
      </c>
      <c r="J483" s="8" t="n">
        <v>1</v>
      </c>
      <c r="K483" s="8" t="s">
        <v>140</v>
      </c>
      <c r="L483" s="8" t="n">
        <v>1</v>
      </c>
      <c r="M483" s="8" t="n">
        <v>0</v>
      </c>
      <c r="N483" s="8"/>
      <c r="O483" s="8" t="n">
        <v>1</v>
      </c>
      <c r="P483" s="10" t="n">
        <v>6.41</v>
      </c>
      <c r="Q483" s="8" t="n">
        <v>1412</v>
      </c>
      <c r="R483" s="8" t="n">
        <v>265</v>
      </c>
      <c r="S483" s="8" t="s">
        <v>308</v>
      </c>
      <c r="T483" s="8"/>
      <c r="U483" s="8"/>
      <c r="V483" s="8" t="s">
        <v>309</v>
      </c>
      <c r="W483" s="8"/>
      <c r="X483" s="8" t="s">
        <v>584</v>
      </c>
      <c r="Y483" s="8" t="s">
        <v>1265</v>
      </c>
      <c r="Z483" s="8" t="s">
        <v>1266</v>
      </c>
    </row>
    <row r="484" customFormat="false" ht="15" hidden="false" customHeight="false" outlineLevel="0" collapsed="false">
      <c r="A484" s="8" t="s">
        <v>307</v>
      </c>
      <c r="B484" s="8" t="s">
        <v>15</v>
      </c>
      <c r="C484" s="8" t="s">
        <v>16</v>
      </c>
      <c r="D484" s="8" t="s">
        <v>615</v>
      </c>
      <c r="E484" s="8" t="s">
        <v>40</v>
      </c>
      <c r="F484" s="8" t="s">
        <v>51</v>
      </c>
      <c r="G484" s="8" t="s">
        <v>31</v>
      </c>
      <c r="H484" s="8" t="s">
        <v>31</v>
      </c>
      <c r="I484" s="8" t="n">
        <f aca="false">IF(EXACT(G484,H484),1,0)</f>
        <v>1</v>
      </c>
      <c r="J484" s="8" t="n">
        <v>2</v>
      </c>
      <c r="K484" s="8" t="s">
        <v>140</v>
      </c>
      <c r="L484" s="8" t="n">
        <v>1</v>
      </c>
      <c r="M484" s="8" t="n">
        <v>0</v>
      </c>
      <c r="N484" s="8"/>
      <c r="O484" s="8" t="n">
        <v>1</v>
      </c>
      <c r="P484" s="10" t="n">
        <v>6.77</v>
      </c>
      <c r="Q484" s="8" t="n">
        <v>1412</v>
      </c>
      <c r="R484" s="8" t="n">
        <v>273</v>
      </c>
      <c r="S484" s="8" t="s">
        <v>308</v>
      </c>
      <c r="T484" s="8"/>
      <c r="U484" s="8"/>
      <c r="V484" s="8" t="s">
        <v>309</v>
      </c>
      <c r="W484" s="8"/>
      <c r="X484" s="8" t="s">
        <v>584</v>
      </c>
      <c r="Y484" s="8" t="s">
        <v>1267</v>
      </c>
      <c r="Z484" s="8" t="s">
        <v>1268</v>
      </c>
    </row>
    <row r="485" customFormat="false" ht="15" hidden="false" customHeight="false" outlineLevel="0" collapsed="false">
      <c r="A485" s="8" t="s">
        <v>585</v>
      </c>
      <c r="B485" s="8" t="s">
        <v>15</v>
      </c>
      <c r="C485" s="8" t="s">
        <v>16</v>
      </c>
      <c r="D485" s="8" t="s">
        <v>615</v>
      </c>
      <c r="E485" s="8" t="s">
        <v>40</v>
      </c>
      <c r="F485" s="8" t="s">
        <v>54</v>
      </c>
      <c r="G485" s="8" t="s">
        <v>31</v>
      </c>
      <c r="H485" s="8" t="s">
        <v>31</v>
      </c>
      <c r="I485" s="8" t="n">
        <f aca="false">IF(EXACT(G485,H485),1,0)</f>
        <v>1</v>
      </c>
      <c r="J485" s="8" t="n">
        <v>0</v>
      </c>
      <c r="K485" s="8" t="s">
        <v>116</v>
      </c>
      <c r="L485" s="8" t="n">
        <v>2</v>
      </c>
      <c r="M485" s="8" t="n">
        <v>0</v>
      </c>
      <c r="N485" s="8"/>
      <c r="O485" s="8" t="n">
        <v>1</v>
      </c>
      <c r="P485" s="10" t="n">
        <v>9.92</v>
      </c>
      <c r="Q485" s="8" t="n">
        <v>1508</v>
      </c>
      <c r="R485" s="8" t="n">
        <v>405</v>
      </c>
      <c r="S485" s="8" t="s">
        <v>586</v>
      </c>
      <c r="T485" s="8"/>
      <c r="U485" s="8"/>
      <c r="V485" s="8" t="s">
        <v>155</v>
      </c>
      <c r="W485" s="8"/>
      <c r="X485" s="8" t="s">
        <v>587</v>
      </c>
      <c r="Y485" s="8" t="s">
        <v>1269</v>
      </c>
      <c r="Z485" s="8" t="s">
        <v>1270</v>
      </c>
    </row>
    <row r="486" customFormat="false" ht="15" hidden="false" customHeight="false" outlineLevel="0" collapsed="false">
      <c r="A486" s="8" t="s">
        <v>585</v>
      </c>
      <c r="B486" s="8" t="s">
        <v>15</v>
      </c>
      <c r="C486" s="8" t="s">
        <v>16</v>
      </c>
      <c r="D486" s="8" t="s">
        <v>615</v>
      </c>
      <c r="E486" s="8" t="s">
        <v>40</v>
      </c>
      <c r="F486" s="8" t="s">
        <v>54</v>
      </c>
      <c r="G486" s="8" t="s">
        <v>31</v>
      </c>
      <c r="H486" s="8" t="s">
        <v>31</v>
      </c>
      <c r="I486" s="8" t="n">
        <f aca="false">IF(EXACT(G486,H486),1,0)</f>
        <v>1</v>
      </c>
      <c r="J486" s="8" t="n">
        <v>1</v>
      </c>
      <c r="K486" s="8" t="s">
        <v>116</v>
      </c>
      <c r="L486" s="8" t="n">
        <v>2</v>
      </c>
      <c r="M486" s="8" t="n">
        <v>0</v>
      </c>
      <c r="N486" s="8"/>
      <c r="O486" s="8" t="n">
        <v>1</v>
      </c>
      <c r="P486" s="10" t="n">
        <v>8.8</v>
      </c>
      <c r="Q486" s="8" t="n">
        <v>1508</v>
      </c>
      <c r="R486" s="8" t="n">
        <v>380</v>
      </c>
      <c r="S486" s="8" t="s">
        <v>586</v>
      </c>
      <c r="T486" s="8"/>
      <c r="U486" s="8"/>
      <c r="V486" s="8" t="s">
        <v>155</v>
      </c>
      <c r="W486" s="8"/>
      <c r="X486" s="8" t="s">
        <v>587</v>
      </c>
      <c r="Y486" s="8" t="s">
        <v>1271</v>
      </c>
      <c r="Z486" s="8" t="s">
        <v>1272</v>
      </c>
    </row>
    <row r="487" customFormat="false" ht="15" hidden="false" customHeight="false" outlineLevel="0" collapsed="false">
      <c r="A487" s="8" t="s">
        <v>585</v>
      </c>
      <c r="B487" s="8" t="s">
        <v>15</v>
      </c>
      <c r="C487" s="8" t="s">
        <v>16</v>
      </c>
      <c r="D487" s="8" t="s">
        <v>615</v>
      </c>
      <c r="E487" s="8" t="s">
        <v>40</v>
      </c>
      <c r="F487" s="8" t="s">
        <v>54</v>
      </c>
      <c r="G487" s="8" t="s">
        <v>31</v>
      </c>
      <c r="H487" s="8" t="s">
        <v>31</v>
      </c>
      <c r="I487" s="8" t="n">
        <f aca="false">IF(EXACT(G487,H487),1,0)</f>
        <v>1</v>
      </c>
      <c r="J487" s="8" t="n">
        <v>2</v>
      </c>
      <c r="K487" s="8" t="s">
        <v>116</v>
      </c>
      <c r="L487" s="8" t="n">
        <v>1</v>
      </c>
      <c r="M487" s="8" t="n">
        <v>0</v>
      </c>
      <c r="N487" s="8"/>
      <c r="O487" s="8" t="n">
        <v>1</v>
      </c>
      <c r="P487" s="10" t="n">
        <v>6.45</v>
      </c>
      <c r="Q487" s="8" t="n">
        <v>1508</v>
      </c>
      <c r="R487" s="8" t="n">
        <v>259</v>
      </c>
      <c r="S487" s="8" t="s">
        <v>586</v>
      </c>
      <c r="T487" s="8"/>
      <c r="U487" s="8"/>
      <c r="V487" s="8" t="s">
        <v>155</v>
      </c>
      <c r="W487" s="8"/>
      <c r="X487" s="8" t="s">
        <v>587</v>
      </c>
      <c r="Y487" s="8" t="s">
        <v>1273</v>
      </c>
      <c r="Z487" s="8" t="s">
        <v>1274</v>
      </c>
    </row>
    <row r="488" customFormat="false" ht="15" hidden="false" customHeight="false" outlineLevel="0" collapsed="false">
      <c r="A488" s="8" t="s">
        <v>588</v>
      </c>
      <c r="B488" s="8" t="s">
        <v>15</v>
      </c>
      <c r="C488" s="8" t="s">
        <v>16</v>
      </c>
      <c r="D488" s="8" t="s">
        <v>615</v>
      </c>
      <c r="E488" s="8" t="s">
        <v>40</v>
      </c>
      <c r="F488" s="8" t="s">
        <v>54</v>
      </c>
      <c r="G488" s="8" t="s">
        <v>31</v>
      </c>
      <c r="H488" s="8" t="s">
        <v>31</v>
      </c>
      <c r="I488" s="8" t="n">
        <f aca="false">IF(EXACT(G488,H488),1,0)</f>
        <v>1</v>
      </c>
      <c r="J488" s="8" t="n">
        <v>0</v>
      </c>
      <c r="K488" s="8" t="s">
        <v>116</v>
      </c>
      <c r="L488" s="8" t="n">
        <v>2</v>
      </c>
      <c r="M488" s="8" t="n">
        <v>0</v>
      </c>
      <c r="N488" s="8"/>
      <c r="O488" s="8" t="n">
        <v>1</v>
      </c>
      <c r="P488" s="10" t="n">
        <v>11.77</v>
      </c>
      <c r="Q488" s="8" t="n">
        <v>1473</v>
      </c>
      <c r="R488" s="8" t="n">
        <v>486</v>
      </c>
      <c r="S488" s="8" t="s">
        <v>589</v>
      </c>
      <c r="T488" s="8"/>
      <c r="U488" s="8"/>
      <c r="V488" s="8" t="s">
        <v>155</v>
      </c>
      <c r="W488" s="8"/>
      <c r="X488" s="8" t="s">
        <v>590</v>
      </c>
      <c r="Y488" s="8" t="s">
        <v>1275</v>
      </c>
      <c r="Z488" s="8" t="s">
        <v>1276</v>
      </c>
    </row>
    <row r="489" customFormat="false" ht="15" hidden="false" customHeight="false" outlineLevel="0" collapsed="false">
      <c r="A489" s="8" t="s">
        <v>588</v>
      </c>
      <c r="B489" s="8" t="s">
        <v>15</v>
      </c>
      <c r="C489" s="8" t="s">
        <v>16</v>
      </c>
      <c r="D489" s="8" t="s">
        <v>615</v>
      </c>
      <c r="E489" s="8" t="s">
        <v>40</v>
      </c>
      <c r="F489" s="8" t="s">
        <v>54</v>
      </c>
      <c r="G489" s="8" t="s">
        <v>31</v>
      </c>
      <c r="H489" s="8" t="s">
        <v>31</v>
      </c>
      <c r="I489" s="8" t="n">
        <f aca="false">IF(EXACT(G489,H489),1,0)</f>
        <v>1</v>
      </c>
      <c r="J489" s="8" t="n">
        <v>1</v>
      </c>
      <c r="K489" s="8" t="s">
        <v>116</v>
      </c>
      <c r="L489" s="8" t="n">
        <v>5</v>
      </c>
      <c r="M489" s="8" t="n">
        <v>0</v>
      </c>
      <c r="N489" s="8"/>
      <c r="O489" s="8" t="n">
        <v>1</v>
      </c>
      <c r="P489" s="10" t="n">
        <v>17.1</v>
      </c>
      <c r="Q489" s="8" t="n">
        <v>1473</v>
      </c>
      <c r="R489" s="8" t="n">
        <v>819</v>
      </c>
      <c r="S489" s="8" t="s">
        <v>589</v>
      </c>
      <c r="T489" s="8"/>
      <c r="U489" s="8"/>
      <c r="V489" s="8" t="s">
        <v>155</v>
      </c>
      <c r="W489" s="8"/>
      <c r="X489" s="8" t="s">
        <v>590</v>
      </c>
      <c r="Y489" s="8" t="s">
        <v>1277</v>
      </c>
      <c r="Z489" s="8" t="s">
        <v>1278</v>
      </c>
    </row>
    <row r="490" customFormat="false" ht="15" hidden="false" customHeight="false" outlineLevel="0" collapsed="false">
      <c r="A490" s="8" t="s">
        <v>588</v>
      </c>
      <c r="B490" s="8" t="s">
        <v>15</v>
      </c>
      <c r="C490" s="8" t="s">
        <v>16</v>
      </c>
      <c r="D490" s="8" t="s">
        <v>615</v>
      </c>
      <c r="E490" s="8" t="s">
        <v>40</v>
      </c>
      <c r="F490" s="8" t="s">
        <v>54</v>
      </c>
      <c r="G490" s="8" t="s">
        <v>31</v>
      </c>
      <c r="H490" s="8" t="s">
        <v>31</v>
      </c>
      <c r="I490" s="8" t="n">
        <f aca="false">IF(EXACT(G490,H490),1,0)</f>
        <v>1</v>
      </c>
      <c r="J490" s="8" t="n">
        <v>2</v>
      </c>
      <c r="K490" s="8" t="s">
        <v>116</v>
      </c>
      <c r="L490" s="8" t="n">
        <v>2</v>
      </c>
      <c r="M490" s="8" t="n">
        <v>0</v>
      </c>
      <c r="N490" s="8"/>
      <c r="O490" s="8" t="n">
        <v>1</v>
      </c>
      <c r="P490" s="10" t="n">
        <v>10.88</v>
      </c>
      <c r="Q490" s="8" t="n">
        <v>1473</v>
      </c>
      <c r="R490" s="8" t="n">
        <v>496</v>
      </c>
      <c r="S490" s="8" t="s">
        <v>589</v>
      </c>
      <c r="T490" s="8"/>
      <c r="U490" s="8"/>
      <c r="V490" s="8" t="s">
        <v>155</v>
      </c>
      <c r="W490" s="8"/>
      <c r="X490" s="8" t="s">
        <v>590</v>
      </c>
      <c r="Y490" s="8" t="s">
        <v>1279</v>
      </c>
      <c r="Z490" s="8" t="s">
        <v>1280</v>
      </c>
    </row>
    <row r="491" customFormat="false" ht="15" hidden="false" customHeight="false" outlineLevel="0" collapsed="false">
      <c r="A491" s="8" t="s">
        <v>591</v>
      </c>
      <c r="B491" s="8" t="s">
        <v>15</v>
      </c>
      <c r="C491" s="8" t="s">
        <v>16</v>
      </c>
      <c r="D491" s="8" t="s">
        <v>615</v>
      </c>
      <c r="E491" s="8" t="s">
        <v>40</v>
      </c>
      <c r="F491" s="8" t="s">
        <v>54</v>
      </c>
      <c r="G491" s="8" t="s">
        <v>32</v>
      </c>
      <c r="H491" s="8" t="s">
        <v>30</v>
      </c>
      <c r="I491" s="8" t="n">
        <f aca="false">IF(EXACT(G491,H491),1,0)</f>
        <v>0</v>
      </c>
      <c r="J491" s="8" t="n">
        <v>0</v>
      </c>
      <c r="K491" s="8" t="s">
        <v>92</v>
      </c>
      <c r="L491" s="8" t="n">
        <v>0</v>
      </c>
      <c r="M491" s="8" t="n">
        <v>0</v>
      </c>
      <c r="N491" s="8"/>
      <c r="O491" s="8" t="n">
        <v>1</v>
      </c>
      <c r="P491" s="10" t="n">
        <v>3.86</v>
      </c>
      <c r="Q491" s="8" t="n">
        <v>1450</v>
      </c>
      <c r="R491" s="8" t="n">
        <v>102</v>
      </c>
      <c r="S491" s="8" t="s">
        <v>592</v>
      </c>
      <c r="T491" s="8"/>
      <c r="U491" s="8"/>
      <c r="V491" s="8" t="s">
        <v>155</v>
      </c>
      <c r="W491" s="8"/>
      <c r="X491" s="8" t="s">
        <v>593</v>
      </c>
      <c r="Y491" s="8" t="s">
        <v>1281</v>
      </c>
      <c r="Z491" s="8"/>
    </row>
    <row r="492" customFormat="false" ht="15" hidden="false" customHeight="false" outlineLevel="0" collapsed="false">
      <c r="A492" s="8" t="s">
        <v>591</v>
      </c>
      <c r="B492" s="8" t="s">
        <v>15</v>
      </c>
      <c r="C492" s="8" t="s">
        <v>16</v>
      </c>
      <c r="D492" s="8" t="s">
        <v>615</v>
      </c>
      <c r="E492" s="8" t="s">
        <v>40</v>
      </c>
      <c r="F492" s="8" t="s">
        <v>54</v>
      </c>
      <c r="G492" s="8" t="s">
        <v>32</v>
      </c>
      <c r="H492" s="8" t="s">
        <v>30</v>
      </c>
      <c r="I492" s="8" t="n">
        <f aca="false">IF(EXACT(G492,H492),1,0)</f>
        <v>0</v>
      </c>
      <c r="J492" s="8" t="n">
        <v>1</v>
      </c>
      <c r="K492" s="8" t="s">
        <v>92</v>
      </c>
      <c r="L492" s="8" t="n">
        <v>0</v>
      </c>
      <c r="M492" s="8" t="n">
        <v>0</v>
      </c>
      <c r="N492" s="8"/>
      <c r="O492" s="8" t="n">
        <v>1</v>
      </c>
      <c r="P492" s="10" t="n">
        <v>2.89</v>
      </c>
      <c r="Q492" s="8" t="n">
        <v>1450</v>
      </c>
      <c r="R492" s="8" t="n">
        <v>83</v>
      </c>
      <c r="S492" s="8" t="s">
        <v>592</v>
      </c>
      <c r="T492" s="8"/>
      <c r="U492" s="8"/>
      <c r="V492" s="8" t="s">
        <v>155</v>
      </c>
      <c r="W492" s="8"/>
      <c r="X492" s="8" t="s">
        <v>593</v>
      </c>
      <c r="Y492" s="8" t="s">
        <v>1282</v>
      </c>
      <c r="Z492" s="8"/>
    </row>
    <row r="493" customFormat="false" ht="15" hidden="false" customHeight="false" outlineLevel="0" collapsed="false">
      <c r="A493" s="8" t="s">
        <v>591</v>
      </c>
      <c r="B493" s="8" t="s">
        <v>15</v>
      </c>
      <c r="C493" s="8" t="s">
        <v>16</v>
      </c>
      <c r="D493" s="8" t="s">
        <v>615</v>
      </c>
      <c r="E493" s="8" t="s">
        <v>40</v>
      </c>
      <c r="F493" s="8" t="s">
        <v>54</v>
      </c>
      <c r="G493" s="8" t="s">
        <v>32</v>
      </c>
      <c r="H493" s="8" t="s">
        <v>30</v>
      </c>
      <c r="I493" s="8" t="n">
        <f aca="false">IF(EXACT(G493,H493),1,0)</f>
        <v>0</v>
      </c>
      <c r="J493" s="8" t="n">
        <v>2</v>
      </c>
      <c r="K493" s="8" t="s">
        <v>92</v>
      </c>
      <c r="L493" s="8" t="n">
        <v>0</v>
      </c>
      <c r="M493" s="8" t="n">
        <v>0</v>
      </c>
      <c r="N493" s="8"/>
      <c r="O493" s="8" t="n">
        <v>1</v>
      </c>
      <c r="P493" s="10" t="n">
        <v>2.96</v>
      </c>
      <c r="Q493" s="8" t="n">
        <v>1450</v>
      </c>
      <c r="R493" s="8" t="n">
        <v>91</v>
      </c>
      <c r="S493" s="8" t="s">
        <v>592</v>
      </c>
      <c r="T493" s="8"/>
      <c r="U493" s="8"/>
      <c r="V493" s="8" t="s">
        <v>155</v>
      </c>
      <c r="W493" s="8"/>
      <c r="X493" s="8" t="s">
        <v>593</v>
      </c>
      <c r="Y493" s="8" t="s">
        <v>1283</v>
      </c>
      <c r="Z493" s="8"/>
    </row>
    <row r="494" customFormat="false" ht="15" hidden="false" customHeight="false" outlineLevel="0" collapsed="false">
      <c r="A494" s="8" t="s">
        <v>594</v>
      </c>
      <c r="B494" s="8" t="s">
        <v>15</v>
      </c>
      <c r="C494" s="8" t="s">
        <v>16</v>
      </c>
      <c r="D494" s="8" t="s">
        <v>615</v>
      </c>
      <c r="E494" s="8" t="s">
        <v>40</v>
      </c>
      <c r="F494" s="8" t="s">
        <v>54</v>
      </c>
      <c r="G494" s="8" t="s">
        <v>32</v>
      </c>
      <c r="H494" s="8" t="s">
        <v>30</v>
      </c>
      <c r="I494" s="8" t="n">
        <f aca="false">IF(EXACT(G494,H494),1,0)</f>
        <v>0</v>
      </c>
      <c r="J494" s="8" t="n">
        <v>0</v>
      </c>
      <c r="K494" s="8" t="s">
        <v>92</v>
      </c>
      <c r="L494" s="8" t="n">
        <v>0</v>
      </c>
      <c r="M494" s="8" t="n">
        <v>0</v>
      </c>
      <c r="N494" s="8"/>
      <c r="O494" s="8" t="n">
        <v>1</v>
      </c>
      <c r="P494" s="10" t="n">
        <v>3.05</v>
      </c>
      <c r="Q494" s="8" t="n">
        <v>1485</v>
      </c>
      <c r="R494" s="8" t="n">
        <v>81</v>
      </c>
      <c r="S494" s="8" t="s">
        <v>595</v>
      </c>
      <c r="T494" s="8"/>
      <c r="U494" s="8"/>
      <c r="V494" s="8" t="s">
        <v>155</v>
      </c>
      <c r="W494" s="8"/>
      <c r="X494" s="8" t="s">
        <v>596</v>
      </c>
      <c r="Y494" s="8" t="s">
        <v>1284</v>
      </c>
      <c r="Z494" s="8"/>
    </row>
    <row r="495" customFormat="false" ht="15" hidden="false" customHeight="false" outlineLevel="0" collapsed="false">
      <c r="A495" s="8" t="s">
        <v>594</v>
      </c>
      <c r="B495" s="8" t="s">
        <v>15</v>
      </c>
      <c r="C495" s="8" t="s">
        <v>16</v>
      </c>
      <c r="D495" s="8" t="s">
        <v>615</v>
      </c>
      <c r="E495" s="8" t="s">
        <v>40</v>
      </c>
      <c r="F495" s="8" t="s">
        <v>54</v>
      </c>
      <c r="G495" s="8" t="s">
        <v>32</v>
      </c>
      <c r="H495" s="8" t="s">
        <v>30</v>
      </c>
      <c r="I495" s="8" t="n">
        <f aca="false">IF(EXACT(G495,H495),1,0)</f>
        <v>0</v>
      </c>
      <c r="J495" s="8" t="n">
        <v>1</v>
      </c>
      <c r="K495" s="8" t="s">
        <v>92</v>
      </c>
      <c r="L495" s="8" t="n">
        <v>0</v>
      </c>
      <c r="M495" s="8" t="n">
        <v>0</v>
      </c>
      <c r="N495" s="8"/>
      <c r="O495" s="8" t="n">
        <v>1</v>
      </c>
      <c r="P495" s="10" t="n">
        <v>3.06</v>
      </c>
      <c r="Q495" s="8" t="n">
        <v>1485</v>
      </c>
      <c r="R495" s="8" t="n">
        <v>101</v>
      </c>
      <c r="S495" s="8" t="s">
        <v>595</v>
      </c>
      <c r="T495" s="8"/>
      <c r="U495" s="8"/>
      <c r="V495" s="8" t="s">
        <v>155</v>
      </c>
      <c r="W495" s="8"/>
      <c r="X495" s="8" t="s">
        <v>596</v>
      </c>
      <c r="Y495" s="8" t="s">
        <v>1285</v>
      </c>
      <c r="Z495" s="8"/>
    </row>
    <row r="496" customFormat="false" ht="15" hidden="false" customHeight="false" outlineLevel="0" collapsed="false">
      <c r="A496" s="8" t="s">
        <v>594</v>
      </c>
      <c r="B496" s="8" t="s">
        <v>15</v>
      </c>
      <c r="C496" s="8" t="s">
        <v>16</v>
      </c>
      <c r="D496" s="8" t="s">
        <v>615</v>
      </c>
      <c r="E496" s="8" t="s">
        <v>40</v>
      </c>
      <c r="F496" s="8" t="s">
        <v>54</v>
      </c>
      <c r="G496" s="8" t="s">
        <v>32</v>
      </c>
      <c r="H496" s="8" t="s">
        <v>30</v>
      </c>
      <c r="I496" s="8" t="n">
        <f aca="false">IF(EXACT(G496,H496),1,0)</f>
        <v>0</v>
      </c>
      <c r="J496" s="8" t="n">
        <v>2</v>
      </c>
      <c r="K496" s="8" t="s">
        <v>92</v>
      </c>
      <c r="L496" s="8" t="n">
        <v>0</v>
      </c>
      <c r="M496" s="8" t="n">
        <v>0</v>
      </c>
      <c r="N496" s="8"/>
      <c r="O496" s="8" t="n">
        <v>1</v>
      </c>
      <c r="P496" s="10" t="n">
        <v>2.41</v>
      </c>
      <c r="Q496" s="8" t="n">
        <v>1485</v>
      </c>
      <c r="R496" s="8" t="n">
        <v>80</v>
      </c>
      <c r="S496" s="8" t="s">
        <v>595</v>
      </c>
      <c r="T496" s="8"/>
      <c r="U496" s="8"/>
      <c r="V496" s="8" t="s">
        <v>155</v>
      </c>
      <c r="W496" s="8"/>
      <c r="X496" s="8" t="s">
        <v>596</v>
      </c>
      <c r="Y496" s="8" t="s">
        <v>1286</v>
      </c>
      <c r="Z496" s="8"/>
    </row>
    <row r="497" customFormat="false" ht="15" hidden="false" customHeight="false" outlineLevel="0" collapsed="false">
      <c r="A497" s="8" t="s">
        <v>597</v>
      </c>
      <c r="B497" s="8" t="s">
        <v>15</v>
      </c>
      <c r="C497" s="8" t="s">
        <v>16</v>
      </c>
      <c r="D497" s="8" t="s">
        <v>615</v>
      </c>
      <c r="E497" s="8" t="s">
        <v>40</v>
      </c>
      <c r="F497" s="8" t="s">
        <v>54</v>
      </c>
      <c r="G497" s="8" t="s">
        <v>30</v>
      </c>
      <c r="H497" s="8" t="s">
        <v>30</v>
      </c>
      <c r="I497" s="8" t="n">
        <f aca="false">IF(EXACT(G497,H497),1,0)</f>
        <v>1</v>
      </c>
      <c r="J497" s="8" t="n">
        <v>0</v>
      </c>
      <c r="K497" s="8" t="s">
        <v>92</v>
      </c>
      <c r="L497" s="8" t="n">
        <v>0</v>
      </c>
      <c r="M497" s="8" t="n">
        <v>0</v>
      </c>
      <c r="N497" s="8"/>
      <c r="O497" s="8" t="n">
        <v>1</v>
      </c>
      <c r="P497" s="10" t="n">
        <v>3.65</v>
      </c>
      <c r="Q497" s="8" t="n">
        <v>1584</v>
      </c>
      <c r="R497" s="8" t="n">
        <v>102</v>
      </c>
      <c r="S497" s="8" t="s">
        <v>598</v>
      </c>
      <c r="T497" s="8"/>
      <c r="U497" s="8"/>
      <c r="V497" s="8" t="s">
        <v>155</v>
      </c>
      <c r="W497" s="8"/>
      <c r="X497" s="8" t="s">
        <v>599</v>
      </c>
      <c r="Y497" s="8" t="s">
        <v>1287</v>
      </c>
      <c r="Z497" s="8"/>
    </row>
    <row r="498" customFormat="false" ht="15" hidden="false" customHeight="false" outlineLevel="0" collapsed="false">
      <c r="A498" s="8" t="s">
        <v>597</v>
      </c>
      <c r="B498" s="8" t="s">
        <v>15</v>
      </c>
      <c r="C498" s="8" t="s">
        <v>16</v>
      </c>
      <c r="D498" s="8" t="s">
        <v>615</v>
      </c>
      <c r="E498" s="8" t="s">
        <v>40</v>
      </c>
      <c r="F498" s="8" t="s">
        <v>54</v>
      </c>
      <c r="G498" s="8" t="s">
        <v>30</v>
      </c>
      <c r="H498" s="8" t="s">
        <v>30</v>
      </c>
      <c r="I498" s="8" t="n">
        <f aca="false">IF(EXACT(G498,H498),1,0)</f>
        <v>1</v>
      </c>
      <c r="J498" s="8" t="n">
        <v>1</v>
      </c>
      <c r="K498" s="8" t="s">
        <v>92</v>
      </c>
      <c r="L498" s="8" t="n">
        <v>0</v>
      </c>
      <c r="M498" s="8" t="n">
        <v>0</v>
      </c>
      <c r="N498" s="8"/>
      <c r="O498" s="8" t="n">
        <v>1</v>
      </c>
      <c r="P498" s="10" t="n">
        <v>3.2</v>
      </c>
      <c r="Q498" s="8" t="n">
        <v>1584</v>
      </c>
      <c r="R498" s="8" t="n">
        <v>96</v>
      </c>
      <c r="S498" s="8" t="s">
        <v>598</v>
      </c>
      <c r="T498" s="8"/>
      <c r="U498" s="8"/>
      <c r="V498" s="8" t="s">
        <v>155</v>
      </c>
      <c r="W498" s="8"/>
      <c r="X498" s="8" t="s">
        <v>599</v>
      </c>
      <c r="Y498" s="8" t="s">
        <v>1288</v>
      </c>
      <c r="Z498" s="8"/>
    </row>
    <row r="499" customFormat="false" ht="15" hidden="false" customHeight="false" outlineLevel="0" collapsed="false">
      <c r="A499" s="8" t="s">
        <v>597</v>
      </c>
      <c r="B499" s="8" t="s">
        <v>15</v>
      </c>
      <c r="C499" s="8" t="s">
        <v>16</v>
      </c>
      <c r="D499" s="8" t="s">
        <v>615</v>
      </c>
      <c r="E499" s="8" t="s">
        <v>40</v>
      </c>
      <c r="F499" s="8" t="s">
        <v>54</v>
      </c>
      <c r="G499" s="8" t="s">
        <v>30</v>
      </c>
      <c r="H499" s="8" t="s">
        <v>30</v>
      </c>
      <c r="I499" s="8" t="n">
        <f aca="false">IF(EXACT(G499,H499),1,0)</f>
        <v>1</v>
      </c>
      <c r="J499" s="8" t="n">
        <v>2</v>
      </c>
      <c r="K499" s="8" t="s">
        <v>92</v>
      </c>
      <c r="L499" s="8" t="n">
        <v>0</v>
      </c>
      <c r="M499" s="8" t="n">
        <v>0</v>
      </c>
      <c r="N499" s="8"/>
      <c r="O499" s="8" t="n">
        <v>1</v>
      </c>
      <c r="P499" s="10" t="n">
        <v>3.2</v>
      </c>
      <c r="Q499" s="8" t="n">
        <v>1584</v>
      </c>
      <c r="R499" s="8" t="n">
        <v>100</v>
      </c>
      <c r="S499" s="8" t="s">
        <v>598</v>
      </c>
      <c r="T499" s="8"/>
      <c r="U499" s="8"/>
      <c r="V499" s="8" t="s">
        <v>155</v>
      </c>
      <c r="W499" s="8"/>
      <c r="X499" s="8" t="s">
        <v>599</v>
      </c>
      <c r="Y499" s="8" t="s">
        <v>1289</v>
      </c>
      <c r="Z499" s="8"/>
    </row>
    <row r="500" customFormat="false" ht="15" hidden="false" customHeight="false" outlineLevel="0" collapsed="false">
      <c r="A500" s="8" t="s">
        <v>600</v>
      </c>
      <c r="B500" s="8" t="s">
        <v>15</v>
      </c>
      <c r="C500" s="8" t="s">
        <v>16</v>
      </c>
      <c r="D500" s="8" t="s">
        <v>615</v>
      </c>
      <c r="E500" s="8" t="s">
        <v>40</v>
      </c>
      <c r="F500" s="8" t="s">
        <v>54</v>
      </c>
      <c r="G500" s="8" t="s">
        <v>30</v>
      </c>
      <c r="H500" s="8" t="s">
        <v>30</v>
      </c>
      <c r="I500" s="8" t="n">
        <f aca="false">IF(EXACT(G500,H500),1,0)</f>
        <v>1</v>
      </c>
      <c r="J500" s="8" t="n">
        <v>0</v>
      </c>
      <c r="K500" s="8" t="s">
        <v>92</v>
      </c>
      <c r="L500" s="8" t="n">
        <v>0</v>
      </c>
      <c r="M500" s="8" t="n">
        <v>0</v>
      </c>
      <c r="N500" s="8"/>
      <c r="O500" s="8" t="n">
        <v>1</v>
      </c>
      <c r="P500" s="10" t="n">
        <v>3.59</v>
      </c>
      <c r="Q500" s="8" t="n">
        <v>1562</v>
      </c>
      <c r="R500" s="8" t="n">
        <v>95</v>
      </c>
      <c r="S500" s="8" t="s">
        <v>601</v>
      </c>
      <c r="T500" s="8"/>
      <c r="U500" s="8"/>
      <c r="V500" s="8" t="s">
        <v>155</v>
      </c>
      <c r="W500" s="8"/>
      <c r="X500" s="8" t="s">
        <v>602</v>
      </c>
      <c r="Y500" s="8" t="s">
        <v>1290</v>
      </c>
      <c r="Z500" s="8"/>
    </row>
    <row r="501" customFormat="false" ht="15" hidden="false" customHeight="false" outlineLevel="0" collapsed="false">
      <c r="A501" s="8" t="s">
        <v>600</v>
      </c>
      <c r="B501" s="8" t="s">
        <v>15</v>
      </c>
      <c r="C501" s="8" t="s">
        <v>16</v>
      </c>
      <c r="D501" s="8" t="s">
        <v>615</v>
      </c>
      <c r="E501" s="8" t="s">
        <v>40</v>
      </c>
      <c r="F501" s="8" t="s">
        <v>54</v>
      </c>
      <c r="G501" s="8" t="s">
        <v>30</v>
      </c>
      <c r="H501" s="8" t="s">
        <v>30</v>
      </c>
      <c r="I501" s="8" t="n">
        <f aca="false">IF(EXACT(G501,H501),1,0)</f>
        <v>1</v>
      </c>
      <c r="J501" s="8" t="n">
        <v>1</v>
      </c>
      <c r="K501" s="8" t="s">
        <v>92</v>
      </c>
      <c r="L501" s="8" t="n">
        <v>0</v>
      </c>
      <c r="M501" s="8" t="n">
        <v>0</v>
      </c>
      <c r="N501" s="8"/>
      <c r="O501" s="8" t="n">
        <v>1</v>
      </c>
      <c r="P501" s="10" t="n">
        <v>3.25</v>
      </c>
      <c r="Q501" s="8" t="n">
        <v>1562</v>
      </c>
      <c r="R501" s="8" t="n">
        <v>95</v>
      </c>
      <c r="S501" s="8" t="s">
        <v>601</v>
      </c>
      <c r="T501" s="8"/>
      <c r="U501" s="8"/>
      <c r="V501" s="8" t="s">
        <v>155</v>
      </c>
      <c r="W501" s="8"/>
      <c r="X501" s="8" t="s">
        <v>602</v>
      </c>
      <c r="Y501" s="8" t="s">
        <v>1290</v>
      </c>
      <c r="Z501" s="8"/>
    </row>
    <row r="502" customFormat="false" ht="15" hidden="false" customHeight="false" outlineLevel="0" collapsed="false">
      <c r="A502" s="8" t="s">
        <v>600</v>
      </c>
      <c r="B502" s="8" t="s">
        <v>15</v>
      </c>
      <c r="C502" s="8" t="s">
        <v>16</v>
      </c>
      <c r="D502" s="8" t="s">
        <v>615</v>
      </c>
      <c r="E502" s="8" t="s">
        <v>40</v>
      </c>
      <c r="F502" s="8" t="s">
        <v>54</v>
      </c>
      <c r="G502" s="8" t="s">
        <v>30</v>
      </c>
      <c r="H502" s="8" t="s">
        <v>30</v>
      </c>
      <c r="I502" s="8" t="n">
        <f aca="false">IF(EXACT(G502,H502),1,0)</f>
        <v>1</v>
      </c>
      <c r="J502" s="8" t="n">
        <v>2</v>
      </c>
      <c r="K502" s="8" t="s">
        <v>92</v>
      </c>
      <c r="L502" s="8" t="n">
        <v>0</v>
      </c>
      <c r="M502" s="8" t="n">
        <v>0</v>
      </c>
      <c r="N502" s="8"/>
      <c r="O502" s="8" t="n">
        <v>1</v>
      </c>
      <c r="P502" s="10" t="n">
        <v>3.07</v>
      </c>
      <c r="Q502" s="8" t="n">
        <v>1562</v>
      </c>
      <c r="R502" s="8" t="n">
        <v>93</v>
      </c>
      <c r="S502" s="8" t="s">
        <v>601</v>
      </c>
      <c r="T502" s="8"/>
      <c r="U502" s="8"/>
      <c r="V502" s="8" t="s">
        <v>155</v>
      </c>
      <c r="W502" s="8"/>
      <c r="X502" s="8" t="s">
        <v>602</v>
      </c>
      <c r="Y502" s="8" t="s">
        <v>1291</v>
      </c>
      <c r="Z502" s="8"/>
    </row>
    <row r="503" customFormat="false" ht="15" hidden="false" customHeight="false" outlineLevel="0" collapsed="false">
      <c r="A503" s="8" t="s">
        <v>365</v>
      </c>
      <c r="B503" s="8" t="s">
        <v>15</v>
      </c>
      <c r="C503" s="8" t="s">
        <v>16</v>
      </c>
      <c r="D503" s="8" t="s">
        <v>615</v>
      </c>
      <c r="E503" s="8" t="s">
        <v>40</v>
      </c>
      <c r="F503" s="8" t="s">
        <v>55</v>
      </c>
      <c r="G503" s="8" t="s">
        <v>30</v>
      </c>
      <c r="H503" s="8" t="s">
        <v>32</v>
      </c>
      <c r="I503" s="8" t="n">
        <f aca="false">IF(EXACT(G503,H503),1,0)</f>
        <v>0</v>
      </c>
      <c r="J503" s="8" t="n">
        <v>0</v>
      </c>
      <c r="K503" s="8" t="s">
        <v>92</v>
      </c>
      <c r="L503" s="8" t="n">
        <v>0</v>
      </c>
      <c r="M503" s="8" t="n">
        <v>0</v>
      </c>
      <c r="N503" s="8"/>
      <c r="O503" s="8" t="n">
        <v>1</v>
      </c>
      <c r="P503" s="10" t="n">
        <v>3.61</v>
      </c>
      <c r="Q503" s="8" t="n">
        <v>1360</v>
      </c>
      <c r="R503" s="8" t="n">
        <v>83</v>
      </c>
      <c r="S503" s="8" t="s">
        <v>366</v>
      </c>
      <c r="T503" s="8" t="s">
        <v>367</v>
      </c>
      <c r="U503" s="8" t="s">
        <v>368</v>
      </c>
      <c r="V503" s="8"/>
      <c r="W503" s="8" t="s">
        <v>369</v>
      </c>
      <c r="X503" s="8" t="s">
        <v>603</v>
      </c>
      <c r="Y503" s="8" t="s">
        <v>1292</v>
      </c>
      <c r="Z503" s="8"/>
    </row>
    <row r="504" customFormat="false" ht="15" hidden="false" customHeight="false" outlineLevel="0" collapsed="false">
      <c r="A504" s="8" t="s">
        <v>365</v>
      </c>
      <c r="B504" s="8" t="s">
        <v>15</v>
      </c>
      <c r="C504" s="8" t="s">
        <v>16</v>
      </c>
      <c r="D504" s="8" t="s">
        <v>615</v>
      </c>
      <c r="E504" s="8" t="s">
        <v>40</v>
      </c>
      <c r="F504" s="8" t="s">
        <v>55</v>
      </c>
      <c r="G504" s="8" t="s">
        <v>30</v>
      </c>
      <c r="H504" s="8" t="s">
        <v>32</v>
      </c>
      <c r="I504" s="8" t="n">
        <f aca="false">IF(EXACT(G504,H504),1,0)</f>
        <v>0</v>
      </c>
      <c r="J504" s="8" t="n">
        <v>1</v>
      </c>
      <c r="K504" s="8" t="s">
        <v>92</v>
      </c>
      <c r="L504" s="8" t="n">
        <v>0</v>
      </c>
      <c r="M504" s="8" t="n">
        <v>0</v>
      </c>
      <c r="N504" s="8"/>
      <c r="O504" s="8" t="n">
        <v>1</v>
      </c>
      <c r="P504" s="10" t="n">
        <v>3.12</v>
      </c>
      <c r="Q504" s="8" t="n">
        <v>1360</v>
      </c>
      <c r="R504" s="8" t="n">
        <v>94</v>
      </c>
      <c r="S504" s="8" t="s">
        <v>366</v>
      </c>
      <c r="T504" s="8" t="s">
        <v>367</v>
      </c>
      <c r="U504" s="8" t="s">
        <v>368</v>
      </c>
      <c r="V504" s="8"/>
      <c r="W504" s="8" t="s">
        <v>369</v>
      </c>
      <c r="X504" s="8" t="s">
        <v>603</v>
      </c>
      <c r="Y504" s="8" t="s">
        <v>1293</v>
      </c>
      <c r="Z504" s="8"/>
    </row>
    <row r="505" customFormat="false" ht="15" hidden="false" customHeight="false" outlineLevel="0" collapsed="false">
      <c r="A505" s="8" t="s">
        <v>365</v>
      </c>
      <c r="B505" s="8" t="s">
        <v>15</v>
      </c>
      <c r="C505" s="8" t="s">
        <v>16</v>
      </c>
      <c r="D505" s="8" t="s">
        <v>615</v>
      </c>
      <c r="E505" s="8" t="s">
        <v>40</v>
      </c>
      <c r="F505" s="8" t="s">
        <v>55</v>
      </c>
      <c r="G505" s="8" t="s">
        <v>30</v>
      </c>
      <c r="H505" s="8" t="s">
        <v>32</v>
      </c>
      <c r="I505" s="8" t="n">
        <f aca="false">IF(EXACT(G505,H505),1,0)</f>
        <v>0</v>
      </c>
      <c r="J505" s="8" t="n">
        <v>2</v>
      </c>
      <c r="K505" s="8" t="s">
        <v>92</v>
      </c>
      <c r="L505" s="8" t="n">
        <v>0</v>
      </c>
      <c r="M505" s="8" t="n">
        <v>0</v>
      </c>
      <c r="N505" s="8"/>
      <c r="O505" s="8" t="n">
        <v>1</v>
      </c>
      <c r="P505" s="10" t="n">
        <v>2.61</v>
      </c>
      <c r="Q505" s="8" t="n">
        <v>1360</v>
      </c>
      <c r="R505" s="8" t="n">
        <v>82</v>
      </c>
      <c r="S505" s="8" t="s">
        <v>366</v>
      </c>
      <c r="T505" s="8" t="s">
        <v>367</v>
      </c>
      <c r="U505" s="8" t="s">
        <v>368</v>
      </c>
      <c r="V505" s="8"/>
      <c r="W505" s="8" t="s">
        <v>369</v>
      </c>
      <c r="X505" s="8" t="s">
        <v>603</v>
      </c>
      <c r="Y505" s="8" t="s">
        <v>1294</v>
      </c>
      <c r="Z505" s="8"/>
    </row>
    <row r="506" customFormat="false" ht="15" hidden="false" customHeight="false" outlineLevel="0" collapsed="false">
      <c r="A506" s="8" t="s">
        <v>371</v>
      </c>
      <c r="B506" s="8" t="s">
        <v>15</v>
      </c>
      <c r="C506" s="8" t="s">
        <v>16</v>
      </c>
      <c r="D506" s="8" t="s">
        <v>615</v>
      </c>
      <c r="E506" s="8" t="s">
        <v>40</v>
      </c>
      <c r="F506" s="8" t="s">
        <v>55</v>
      </c>
      <c r="G506" s="8" t="s">
        <v>30</v>
      </c>
      <c r="H506" s="8" t="s">
        <v>30</v>
      </c>
      <c r="I506" s="8" t="n">
        <f aca="false">IF(EXACT(G506,H506),1,0)</f>
        <v>1</v>
      </c>
      <c r="J506" s="8" t="n">
        <v>0</v>
      </c>
      <c r="K506" s="8" t="s">
        <v>92</v>
      </c>
      <c r="L506" s="8" t="n">
        <v>0</v>
      </c>
      <c r="M506" s="8" t="n">
        <v>0</v>
      </c>
      <c r="N506" s="8"/>
      <c r="O506" s="8" t="n">
        <v>1</v>
      </c>
      <c r="P506" s="10" t="n">
        <v>3.22</v>
      </c>
      <c r="Q506" s="8" t="n">
        <v>1440</v>
      </c>
      <c r="R506" s="8" t="n">
        <v>85</v>
      </c>
      <c r="S506" s="8" t="s">
        <v>180</v>
      </c>
      <c r="T506" s="8" t="s">
        <v>372</v>
      </c>
      <c r="U506" s="8" t="s">
        <v>373</v>
      </c>
      <c r="V506" s="8"/>
      <c r="W506" s="8" t="s">
        <v>374</v>
      </c>
      <c r="X506" s="8" t="s">
        <v>604</v>
      </c>
      <c r="Y506" s="8" t="s">
        <v>1295</v>
      </c>
      <c r="Z506" s="8"/>
    </row>
    <row r="507" customFormat="false" ht="15" hidden="false" customHeight="false" outlineLevel="0" collapsed="false">
      <c r="A507" s="8" t="s">
        <v>371</v>
      </c>
      <c r="B507" s="8" t="s">
        <v>15</v>
      </c>
      <c r="C507" s="8" t="s">
        <v>16</v>
      </c>
      <c r="D507" s="8" t="s">
        <v>615</v>
      </c>
      <c r="E507" s="8" t="s">
        <v>40</v>
      </c>
      <c r="F507" s="8" t="s">
        <v>55</v>
      </c>
      <c r="G507" s="8" t="s">
        <v>30</v>
      </c>
      <c r="H507" s="8" t="s">
        <v>30</v>
      </c>
      <c r="I507" s="8" t="n">
        <f aca="false">IF(EXACT(G507,H507),1,0)</f>
        <v>1</v>
      </c>
      <c r="J507" s="8" t="n">
        <v>1</v>
      </c>
      <c r="K507" s="8" t="s">
        <v>92</v>
      </c>
      <c r="L507" s="8" t="n">
        <v>0</v>
      </c>
      <c r="M507" s="8" t="n">
        <v>0</v>
      </c>
      <c r="N507" s="8"/>
      <c r="O507" s="8" t="n">
        <v>1</v>
      </c>
      <c r="P507" s="10" t="n">
        <v>3.03</v>
      </c>
      <c r="Q507" s="8" t="n">
        <v>1440</v>
      </c>
      <c r="R507" s="8" t="n">
        <v>90</v>
      </c>
      <c r="S507" s="8" t="s">
        <v>180</v>
      </c>
      <c r="T507" s="8" t="s">
        <v>372</v>
      </c>
      <c r="U507" s="8" t="s">
        <v>373</v>
      </c>
      <c r="V507" s="8"/>
      <c r="W507" s="8" t="s">
        <v>374</v>
      </c>
      <c r="X507" s="8" t="s">
        <v>604</v>
      </c>
      <c r="Y507" s="8" t="s">
        <v>1296</v>
      </c>
      <c r="Z507" s="8"/>
    </row>
    <row r="508" customFormat="false" ht="15" hidden="false" customHeight="false" outlineLevel="0" collapsed="false">
      <c r="A508" s="8" t="s">
        <v>371</v>
      </c>
      <c r="B508" s="8" t="s">
        <v>15</v>
      </c>
      <c r="C508" s="8" t="s">
        <v>16</v>
      </c>
      <c r="D508" s="8" t="s">
        <v>615</v>
      </c>
      <c r="E508" s="8" t="s">
        <v>40</v>
      </c>
      <c r="F508" s="8" t="s">
        <v>55</v>
      </c>
      <c r="G508" s="8" t="s">
        <v>30</v>
      </c>
      <c r="H508" s="8" t="s">
        <v>30</v>
      </c>
      <c r="I508" s="8" t="n">
        <f aca="false">IF(EXACT(G508,H508),1,0)</f>
        <v>1</v>
      </c>
      <c r="J508" s="8" t="n">
        <v>2</v>
      </c>
      <c r="K508" s="8" t="s">
        <v>92</v>
      </c>
      <c r="L508" s="8" t="n">
        <v>0</v>
      </c>
      <c r="M508" s="8" t="n">
        <v>0</v>
      </c>
      <c r="N508" s="8"/>
      <c r="O508" s="8" t="n">
        <v>1</v>
      </c>
      <c r="P508" s="10" t="n">
        <v>2.85</v>
      </c>
      <c r="Q508" s="8" t="n">
        <v>1440</v>
      </c>
      <c r="R508" s="8" t="n">
        <v>83</v>
      </c>
      <c r="S508" s="8" t="s">
        <v>180</v>
      </c>
      <c r="T508" s="8" t="s">
        <v>372</v>
      </c>
      <c r="U508" s="8" t="s">
        <v>373</v>
      </c>
      <c r="V508" s="8"/>
      <c r="W508" s="8" t="s">
        <v>374</v>
      </c>
      <c r="X508" s="8" t="s">
        <v>604</v>
      </c>
      <c r="Y508" s="8" t="s">
        <v>1297</v>
      </c>
      <c r="Z508" s="8"/>
    </row>
    <row r="509" customFormat="false" ht="15" hidden="false" customHeight="false" outlineLevel="0" collapsed="false">
      <c r="A509" s="8" t="s">
        <v>376</v>
      </c>
      <c r="B509" s="8" t="s">
        <v>15</v>
      </c>
      <c r="C509" s="8" t="s">
        <v>16</v>
      </c>
      <c r="D509" s="8" t="s">
        <v>615</v>
      </c>
      <c r="E509" s="8" t="s">
        <v>40</v>
      </c>
      <c r="F509" s="8" t="s">
        <v>55</v>
      </c>
      <c r="G509" s="8" t="s">
        <v>32</v>
      </c>
      <c r="H509" s="8" t="s">
        <v>32</v>
      </c>
      <c r="I509" s="8" t="n">
        <f aca="false">IF(EXACT(G509,H509),1,0)</f>
        <v>1</v>
      </c>
      <c r="J509" s="8" t="n">
        <v>0</v>
      </c>
      <c r="K509" s="8" t="s">
        <v>92</v>
      </c>
      <c r="L509" s="8" t="n">
        <v>0</v>
      </c>
      <c r="M509" s="8" t="n">
        <v>0</v>
      </c>
      <c r="N509" s="8"/>
      <c r="O509" s="8" t="n">
        <v>1</v>
      </c>
      <c r="P509" s="10" t="n">
        <v>3.01</v>
      </c>
      <c r="Q509" s="8" t="n">
        <v>1356</v>
      </c>
      <c r="R509" s="8" t="n">
        <v>81</v>
      </c>
      <c r="S509" s="8" t="s">
        <v>132</v>
      </c>
      <c r="T509" s="8" t="s">
        <v>367</v>
      </c>
      <c r="U509" s="8" t="s">
        <v>368</v>
      </c>
      <c r="V509" s="8"/>
      <c r="W509" s="8" t="s">
        <v>377</v>
      </c>
      <c r="X509" s="8" t="s">
        <v>605</v>
      </c>
      <c r="Y509" s="8" t="s">
        <v>1298</v>
      </c>
      <c r="Z509" s="8"/>
    </row>
    <row r="510" customFormat="false" ht="15" hidden="false" customHeight="false" outlineLevel="0" collapsed="false">
      <c r="A510" s="8" t="s">
        <v>376</v>
      </c>
      <c r="B510" s="8" t="s">
        <v>15</v>
      </c>
      <c r="C510" s="8" t="s">
        <v>16</v>
      </c>
      <c r="D510" s="8" t="s">
        <v>615</v>
      </c>
      <c r="E510" s="8" t="s">
        <v>40</v>
      </c>
      <c r="F510" s="8" t="s">
        <v>55</v>
      </c>
      <c r="G510" s="8" t="s">
        <v>32</v>
      </c>
      <c r="H510" s="8" t="s">
        <v>32</v>
      </c>
      <c r="I510" s="8" t="n">
        <f aca="false">IF(EXACT(G510,H510),1,0)</f>
        <v>1</v>
      </c>
      <c r="J510" s="8" t="n">
        <v>1</v>
      </c>
      <c r="K510" s="8" t="s">
        <v>92</v>
      </c>
      <c r="L510" s="8" t="n">
        <v>0</v>
      </c>
      <c r="M510" s="8" t="n">
        <v>0</v>
      </c>
      <c r="N510" s="8"/>
      <c r="O510" s="8" t="n">
        <v>1</v>
      </c>
      <c r="P510" s="10" t="n">
        <v>2.77</v>
      </c>
      <c r="Q510" s="8" t="n">
        <v>1356</v>
      </c>
      <c r="R510" s="8" t="n">
        <v>81</v>
      </c>
      <c r="S510" s="8" t="s">
        <v>132</v>
      </c>
      <c r="T510" s="8" t="s">
        <v>367</v>
      </c>
      <c r="U510" s="8" t="s">
        <v>368</v>
      </c>
      <c r="V510" s="8"/>
      <c r="W510" s="8" t="s">
        <v>377</v>
      </c>
      <c r="X510" s="8" t="s">
        <v>605</v>
      </c>
      <c r="Y510" s="8" t="s">
        <v>1298</v>
      </c>
      <c r="Z510" s="8"/>
    </row>
    <row r="511" customFormat="false" ht="15" hidden="false" customHeight="false" outlineLevel="0" collapsed="false">
      <c r="A511" s="8" t="s">
        <v>376</v>
      </c>
      <c r="B511" s="8" t="s">
        <v>15</v>
      </c>
      <c r="C511" s="8" t="s">
        <v>16</v>
      </c>
      <c r="D511" s="8" t="s">
        <v>615</v>
      </c>
      <c r="E511" s="8" t="s">
        <v>40</v>
      </c>
      <c r="F511" s="8" t="s">
        <v>55</v>
      </c>
      <c r="G511" s="8" t="s">
        <v>32</v>
      </c>
      <c r="H511" s="8" t="s">
        <v>32</v>
      </c>
      <c r="I511" s="8" t="n">
        <f aca="false">IF(EXACT(G511,H511),1,0)</f>
        <v>1</v>
      </c>
      <c r="J511" s="8" t="n">
        <v>2</v>
      </c>
      <c r="K511" s="8" t="s">
        <v>92</v>
      </c>
      <c r="L511" s="8" t="n">
        <v>0</v>
      </c>
      <c r="M511" s="8" t="n">
        <v>0</v>
      </c>
      <c r="N511" s="8"/>
      <c r="O511" s="8" t="n">
        <v>1</v>
      </c>
      <c r="P511" s="10" t="n">
        <v>2.61</v>
      </c>
      <c r="Q511" s="8" t="n">
        <v>1356</v>
      </c>
      <c r="R511" s="8" t="n">
        <v>81</v>
      </c>
      <c r="S511" s="8" t="s">
        <v>132</v>
      </c>
      <c r="T511" s="8" t="s">
        <v>367</v>
      </c>
      <c r="U511" s="8" t="s">
        <v>368</v>
      </c>
      <c r="V511" s="8"/>
      <c r="W511" s="8" t="s">
        <v>377</v>
      </c>
      <c r="X511" s="8" t="s">
        <v>605</v>
      </c>
      <c r="Y511" s="8" t="s">
        <v>1298</v>
      </c>
      <c r="Z511" s="8"/>
    </row>
    <row r="512" customFormat="false" ht="15" hidden="false" customHeight="false" outlineLevel="0" collapsed="false">
      <c r="A512" s="8" t="s">
        <v>379</v>
      </c>
      <c r="B512" s="8" t="s">
        <v>15</v>
      </c>
      <c r="C512" s="8" t="s">
        <v>16</v>
      </c>
      <c r="D512" s="8" t="s">
        <v>615</v>
      </c>
      <c r="E512" s="8" t="s">
        <v>40</v>
      </c>
      <c r="F512" s="8" t="s">
        <v>55</v>
      </c>
      <c r="G512" s="8" t="s">
        <v>31</v>
      </c>
      <c r="H512" s="8" t="s">
        <v>32</v>
      </c>
      <c r="I512" s="8" t="n">
        <f aca="false">IF(EXACT(G512,H512),1,0)</f>
        <v>0</v>
      </c>
      <c r="J512" s="8" t="n">
        <v>0</v>
      </c>
      <c r="K512" s="8" t="s">
        <v>92</v>
      </c>
      <c r="L512" s="8" t="n">
        <v>0</v>
      </c>
      <c r="M512" s="8" t="n">
        <v>0</v>
      </c>
      <c r="N512" s="8"/>
      <c r="O512" s="8" t="n">
        <v>1</v>
      </c>
      <c r="P512" s="10" t="n">
        <v>3.27</v>
      </c>
      <c r="Q512" s="8" t="n">
        <v>1362</v>
      </c>
      <c r="R512" s="8" t="n">
        <v>90</v>
      </c>
      <c r="S512" s="8" t="s">
        <v>255</v>
      </c>
      <c r="T512" s="8" t="s">
        <v>367</v>
      </c>
      <c r="U512" s="8" t="s">
        <v>368</v>
      </c>
      <c r="V512" s="8"/>
      <c r="W512" s="8" t="s">
        <v>380</v>
      </c>
      <c r="X512" s="8" t="s">
        <v>606</v>
      </c>
      <c r="Y512" s="8" t="s">
        <v>1299</v>
      </c>
      <c r="Z512" s="8"/>
    </row>
    <row r="513" customFormat="false" ht="15" hidden="false" customHeight="false" outlineLevel="0" collapsed="false">
      <c r="A513" s="8" t="s">
        <v>379</v>
      </c>
      <c r="B513" s="8" t="s">
        <v>15</v>
      </c>
      <c r="C513" s="8" t="s">
        <v>16</v>
      </c>
      <c r="D513" s="8" t="s">
        <v>615</v>
      </c>
      <c r="E513" s="8" t="s">
        <v>40</v>
      </c>
      <c r="F513" s="8" t="s">
        <v>55</v>
      </c>
      <c r="G513" s="8" t="s">
        <v>31</v>
      </c>
      <c r="H513" s="8" t="s">
        <v>32</v>
      </c>
      <c r="I513" s="8" t="n">
        <f aca="false">IF(EXACT(G513,H513),1,0)</f>
        <v>0</v>
      </c>
      <c r="J513" s="8" t="n">
        <v>1</v>
      </c>
      <c r="K513" s="8" t="s">
        <v>92</v>
      </c>
      <c r="L513" s="8" t="n">
        <v>0</v>
      </c>
      <c r="M513" s="8" t="n">
        <v>0</v>
      </c>
      <c r="N513" s="8"/>
      <c r="O513" s="8" t="n">
        <v>1</v>
      </c>
      <c r="P513" s="10" t="n">
        <v>2.62</v>
      </c>
      <c r="Q513" s="8" t="n">
        <v>1362</v>
      </c>
      <c r="R513" s="8" t="n">
        <v>84</v>
      </c>
      <c r="S513" s="8" t="s">
        <v>255</v>
      </c>
      <c r="T513" s="8" t="s">
        <v>367</v>
      </c>
      <c r="U513" s="8" t="s">
        <v>368</v>
      </c>
      <c r="V513" s="8"/>
      <c r="W513" s="8" t="s">
        <v>380</v>
      </c>
      <c r="X513" s="8" t="s">
        <v>606</v>
      </c>
      <c r="Y513" s="8" t="s">
        <v>1300</v>
      </c>
      <c r="Z513" s="8"/>
    </row>
    <row r="514" customFormat="false" ht="15" hidden="false" customHeight="false" outlineLevel="0" collapsed="false">
      <c r="A514" s="8" t="s">
        <v>379</v>
      </c>
      <c r="B514" s="8" t="s">
        <v>15</v>
      </c>
      <c r="C514" s="8" t="s">
        <v>16</v>
      </c>
      <c r="D514" s="8" t="s">
        <v>615</v>
      </c>
      <c r="E514" s="8" t="s">
        <v>40</v>
      </c>
      <c r="F514" s="8" t="s">
        <v>55</v>
      </c>
      <c r="G514" s="8" t="s">
        <v>31</v>
      </c>
      <c r="H514" s="8" t="s">
        <v>32</v>
      </c>
      <c r="I514" s="8" t="n">
        <f aca="false">IF(EXACT(G514,H514),1,0)</f>
        <v>0</v>
      </c>
      <c r="J514" s="8" t="n">
        <v>2</v>
      </c>
      <c r="K514" s="8" t="s">
        <v>92</v>
      </c>
      <c r="L514" s="8" t="n">
        <v>0</v>
      </c>
      <c r="M514" s="8" t="n">
        <v>0</v>
      </c>
      <c r="N514" s="8"/>
      <c r="O514" s="8" t="n">
        <v>1</v>
      </c>
      <c r="P514" s="10" t="n">
        <v>2.93</v>
      </c>
      <c r="Q514" s="8" t="n">
        <v>1362</v>
      </c>
      <c r="R514" s="8" t="n">
        <v>90</v>
      </c>
      <c r="S514" s="8" t="s">
        <v>255</v>
      </c>
      <c r="T514" s="8" t="s">
        <v>367</v>
      </c>
      <c r="U514" s="8" t="s">
        <v>368</v>
      </c>
      <c r="V514" s="8"/>
      <c r="W514" s="8" t="s">
        <v>380</v>
      </c>
      <c r="X514" s="8" t="s">
        <v>606</v>
      </c>
      <c r="Y514" s="8" t="s">
        <v>1301</v>
      </c>
      <c r="Z514" s="8"/>
    </row>
    <row r="515" customFormat="false" ht="15" hidden="false" customHeight="false" outlineLevel="0" collapsed="false">
      <c r="A515" s="8" t="s">
        <v>383</v>
      </c>
      <c r="B515" s="8" t="s">
        <v>15</v>
      </c>
      <c r="C515" s="8" t="s">
        <v>16</v>
      </c>
      <c r="D515" s="8" t="s">
        <v>615</v>
      </c>
      <c r="E515" s="8" t="s">
        <v>40</v>
      </c>
      <c r="F515" s="8" t="s">
        <v>55</v>
      </c>
      <c r="G515" s="8" t="s">
        <v>32</v>
      </c>
      <c r="H515" s="8" t="s">
        <v>30</v>
      </c>
      <c r="I515" s="8" t="n">
        <f aca="false">IF(EXACT(G515,H515),1,0)</f>
        <v>0</v>
      </c>
      <c r="J515" s="8" t="n">
        <v>0</v>
      </c>
      <c r="K515" s="8" t="s">
        <v>92</v>
      </c>
      <c r="L515" s="8" t="n">
        <v>0</v>
      </c>
      <c r="M515" s="8" t="n">
        <v>0</v>
      </c>
      <c r="N515" s="8"/>
      <c r="O515" s="8" t="n">
        <v>1</v>
      </c>
      <c r="P515" s="10" t="n">
        <v>3.53</v>
      </c>
      <c r="Q515" s="8" t="n">
        <v>1349</v>
      </c>
      <c r="R515" s="8" t="n">
        <v>86</v>
      </c>
      <c r="S515" s="8" t="s">
        <v>384</v>
      </c>
      <c r="T515" s="8" t="s">
        <v>372</v>
      </c>
      <c r="U515" s="8" t="s">
        <v>373</v>
      </c>
      <c r="V515" s="8"/>
      <c r="W515" s="8" t="s">
        <v>385</v>
      </c>
      <c r="X515" s="8" t="s">
        <v>607</v>
      </c>
      <c r="Y515" s="8" t="s">
        <v>1302</v>
      </c>
      <c r="Z515" s="8"/>
    </row>
    <row r="516" customFormat="false" ht="15" hidden="false" customHeight="false" outlineLevel="0" collapsed="false">
      <c r="A516" s="8" t="s">
        <v>383</v>
      </c>
      <c r="B516" s="8" t="s">
        <v>15</v>
      </c>
      <c r="C516" s="8" t="s">
        <v>16</v>
      </c>
      <c r="D516" s="8" t="s">
        <v>615</v>
      </c>
      <c r="E516" s="8" t="s">
        <v>40</v>
      </c>
      <c r="F516" s="8" t="s">
        <v>55</v>
      </c>
      <c r="G516" s="8" t="s">
        <v>32</v>
      </c>
      <c r="H516" s="8" t="s">
        <v>30</v>
      </c>
      <c r="I516" s="8" t="n">
        <f aca="false">IF(EXACT(G516,H516),1,0)</f>
        <v>0</v>
      </c>
      <c r="J516" s="8" t="n">
        <v>1</v>
      </c>
      <c r="K516" s="8" t="s">
        <v>92</v>
      </c>
      <c r="L516" s="8" t="n">
        <v>0</v>
      </c>
      <c r="M516" s="8" t="n">
        <v>0</v>
      </c>
      <c r="N516" s="8"/>
      <c r="O516" s="8" t="n">
        <v>1</v>
      </c>
      <c r="P516" s="10" t="n">
        <v>2.71</v>
      </c>
      <c r="Q516" s="8" t="n">
        <v>1349</v>
      </c>
      <c r="R516" s="8" t="n">
        <v>76</v>
      </c>
      <c r="S516" s="8" t="s">
        <v>384</v>
      </c>
      <c r="T516" s="8" t="s">
        <v>372</v>
      </c>
      <c r="U516" s="8" t="s">
        <v>373</v>
      </c>
      <c r="V516" s="8"/>
      <c r="W516" s="8" t="s">
        <v>385</v>
      </c>
      <c r="X516" s="8" t="s">
        <v>607</v>
      </c>
      <c r="Y516" s="8" t="s">
        <v>1303</v>
      </c>
      <c r="Z516" s="8"/>
    </row>
    <row r="517" customFormat="false" ht="15" hidden="false" customHeight="false" outlineLevel="0" collapsed="false">
      <c r="A517" s="8" t="s">
        <v>383</v>
      </c>
      <c r="B517" s="8" t="s">
        <v>15</v>
      </c>
      <c r="C517" s="8" t="s">
        <v>16</v>
      </c>
      <c r="D517" s="8" t="s">
        <v>615</v>
      </c>
      <c r="E517" s="8" t="s">
        <v>40</v>
      </c>
      <c r="F517" s="8" t="s">
        <v>55</v>
      </c>
      <c r="G517" s="8" t="s">
        <v>32</v>
      </c>
      <c r="H517" s="8" t="s">
        <v>30</v>
      </c>
      <c r="I517" s="8" t="n">
        <f aca="false">IF(EXACT(G517,H517),1,0)</f>
        <v>0</v>
      </c>
      <c r="J517" s="8" t="n">
        <v>2</v>
      </c>
      <c r="K517" s="8" t="s">
        <v>92</v>
      </c>
      <c r="L517" s="8" t="n">
        <v>0</v>
      </c>
      <c r="M517" s="8" t="n">
        <v>0</v>
      </c>
      <c r="N517" s="8"/>
      <c r="O517" s="8" t="n">
        <v>1</v>
      </c>
      <c r="P517" s="10" t="n">
        <v>3.11</v>
      </c>
      <c r="Q517" s="8" t="n">
        <v>1349</v>
      </c>
      <c r="R517" s="8" t="n">
        <v>83</v>
      </c>
      <c r="S517" s="8" t="s">
        <v>384</v>
      </c>
      <c r="T517" s="8" t="s">
        <v>372</v>
      </c>
      <c r="U517" s="8" t="s">
        <v>373</v>
      </c>
      <c r="V517" s="8"/>
      <c r="W517" s="8" t="s">
        <v>385</v>
      </c>
      <c r="X517" s="8" t="s">
        <v>607</v>
      </c>
      <c r="Y517" s="8" t="s">
        <v>1304</v>
      </c>
      <c r="Z517" s="8"/>
    </row>
    <row r="518" customFormat="false" ht="15" hidden="false" customHeight="false" outlineLevel="0" collapsed="false">
      <c r="A518" s="8" t="s">
        <v>387</v>
      </c>
      <c r="B518" s="8" t="s">
        <v>15</v>
      </c>
      <c r="C518" s="8" t="s">
        <v>16</v>
      </c>
      <c r="D518" s="8" t="s">
        <v>615</v>
      </c>
      <c r="E518" s="8" t="s">
        <v>40</v>
      </c>
      <c r="F518" s="8" t="s">
        <v>55</v>
      </c>
      <c r="G518" s="8" t="s">
        <v>31</v>
      </c>
      <c r="H518" s="8" t="s">
        <v>31</v>
      </c>
      <c r="I518" s="8" t="n">
        <f aca="false">IF(EXACT(G518,H518),1,0)</f>
        <v>1</v>
      </c>
      <c r="J518" s="8" t="n">
        <v>0</v>
      </c>
      <c r="K518" s="8" t="s">
        <v>116</v>
      </c>
      <c r="L518" s="8" t="n">
        <v>5</v>
      </c>
      <c r="M518" s="8" t="n">
        <v>0</v>
      </c>
      <c r="N518" s="8"/>
      <c r="O518" s="8" t="n">
        <v>1</v>
      </c>
      <c r="P518" s="10" t="n">
        <v>18.95</v>
      </c>
      <c r="Q518" s="8" t="n">
        <v>1385</v>
      </c>
      <c r="R518" s="8" t="n">
        <v>828</v>
      </c>
      <c r="S518" s="8" t="s">
        <v>388</v>
      </c>
      <c r="T518" s="8" t="s">
        <v>367</v>
      </c>
      <c r="U518" s="8" t="s">
        <v>368</v>
      </c>
      <c r="V518" s="8"/>
      <c r="W518" s="8" t="s">
        <v>389</v>
      </c>
      <c r="X518" s="8" t="s">
        <v>608</v>
      </c>
      <c r="Y518" s="8" t="s">
        <v>1305</v>
      </c>
      <c r="Z518" s="8" t="s">
        <v>1306</v>
      </c>
    </row>
    <row r="519" customFormat="false" ht="15" hidden="false" customHeight="false" outlineLevel="0" collapsed="false">
      <c r="A519" s="8" t="s">
        <v>387</v>
      </c>
      <c r="B519" s="8" t="s">
        <v>15</v>
      </c>
      <c r="C519" s="8" t="s">
        <v>16</v>
      </c>
      <c r="D519" s="8" t="s">
        <v>615</v>
      </c>
      <c r="E519" s="8" t="s">
        <v>40</v>
      </c>
      <c r="F519" s="8" t="s">
        <v>55</v>
      </c>
      <c r="G519" s="8" t="s">
        <v>31</v>
      </c>
      <c r="H519" s="8" t="s">
        <v>31</v>
      </c>
      <c r="I519" s="8" t="n">
        <f aca="false">IF(EXACT(G519,H519),1,0)</f>
        <v>1</v>
      </c>
      <c r="J519" s="8" t="n">
        <v>1</v>
      </c>
      <c r="K519" s="8" t="s">
        <v>116</v>
      </c>
      <c r="L519" s="8" t="n">
        <v>5</v>
      </c>
      <c r="M519" s="8" t="n">
        <v>0</v>
      </c>
      <c r="N519" s="8"/>
      <c r="O519" s="8" t="n">
        <v>1</v>
      </c>
      <c r="P519" s="10" t="n">
        <v>16.17</v>
      </c>
      <c r="Q519" s="8" t="n">
        <v>1385</v>
      </c>
      <c r="R519" s="8" t="n">
        <v>709</v>
      </c>
      <c r="S519" s="8" t="s">
        <v>388</v>
      </c>
      <c r="T519" s="8" t="s">
        <v>367</v>
      </c>
      <c r="U519" s="8" t="s">
        <v>368</v>
      </c>
      <c r="V519" s="8"/>
      <c r="W519" s="8" t="s">
        <v>389</v>
      </c>
      <c r="X519" s="8" t="s">
        <v>608</v>
      </c>
      <c r="Y519" s="8" t="s">
        <v>1307</v>
      </c>
      <c r="Z519" s="8" t="s">
        <v>1308</v>
      </c>
    </row>
    <row r="520" customFormat="false" ht="15" hidden="false" customHeight="false" outlineLevel="0" collapsed="false">
      <c r="A520" s="8" t="s">
        <v>387</v>
      </c>
      <c r="B520" s="8" t="s">
        <v>15</v>
      </c>
      <c r="C520" s="8" t="s">
        <v>16</v>
      </c>
      <c r="D520" s="8" t="s">
        <v>615</v>
      </c>
      <c r="E520" s="8" t="s">
        <v>40</v>
      </c>
      <c r="F520" s="8" t="s">
        <v>55</v>
      </c>
      <c r="G520" s="8" t="s">
        <v>31</v>
      </c>
      <c r="H520" s="8" t="s">
        <v>31</v>
      </c>
      <c r="I520" s="8" t="n">
        <f aca="false">IF(EXACT(G520,H520),1,0)</f>
        <v>1</v>
      </c>
      <c r="J520" s="8" t="n">
        <v>2</v>
      </c>
      <c r="K520" s="8" t="s">
        <v>116</v>
      </c>
      <c r="L520" s="8" t="n">
        <v>5</v>
      </c>
      <c r="M520" s="8" t="n">
        <v>0</v>
      </c>
      <c r="N520" s="8"/>
      <c r="O520" s="8" t="n">
        <v>1</v>
      </c>
      <c r="P520" s="10" t="n">
        <v>16.94</v>
      </c>
      <c r="Q520" s="8" t="n">
        <v>1385</v>
      </c>
      <c r="R520" s="8" t="n">
        <v>769</v>
      </c>
      <c r="S520" s="8" t="s">
        <v>388</v>
      </c>
      <c r="T520" s="8" t="s">
        <v>367</v>
      </c>
      <c r="U520" s="8" t="s">
        <v>368</v>
      </c>
      <c r="V520" s="8"/>
      <c r="W520" s="8" t="s">
        <v>389</v>
      </c>
      <c r="X520" s="8" t="s">
        <v>608</v>
      </c>
      <c r="Y520" s="8" t="s">
        <v>1309</v>
      </c>
      <c r="Z520" s="8" t="s">
        <v>1310</v>
      </c>
    </row>
    <row r="521" customFormat="false" ht="15" hidden="false" customHeight="false" outlineLevel="0" collapsed="false">
      <c r="A521" s="8" t="s">
        <v>391</v>
      </c>
      <c r="B521" s="8" t="s">
        <v>15</v>
      </c>
      <c r="C521" s="8" t="s">
        <v>16</v>
      </c>
      <c r="D521" s="8" t="s">
        <v>615</v>
      </c>
      <c r="E521" s="8" t="s">
        <v>40</v>
      </c>
      <c r="F521" s="8" t="s">
        <v>59</v>
      </c>
      <c r="G521" s="8" t="s">
        <v>31</v>
      </c>
      <c r="H521" s="8" t="s">
        <v>31</v>
      </c>
      <c r="I521" s="8" t="n">
        <f aca="false">IF(EXACT(G521,H521),1,0)</f>
        <v>1</v>
      </c>
      <c r="J521" s="8" t="n">
        <v>0</v>
      </c>
      <c r="K521" s="8" t="s">
        <v>737</v>
      </c>
      <c r="L521" s="8" t="n">
        <v>5</v>
      </c>
      <c r="M521" s="8" t="n">
        <v>0</v>
      </c>
      <c r="N521" s="8"/>
      <c r="O521" s="8" t="n">
        <v>1</v>
      </c>
      <c r="P521" s="10" t="n">
        <v>21.26</v>
      </c>
      <c r="Q521" s="8" t="n">
        <v>1474</v>
      </c>
      <c r="R521" s="8" t="n">
        <v>1021</v>
      </c>
      <c r="S521" s="8" t="s">
        <v>392</v>
      </c>
      <c r="T521" s="8"/>
      <c r="U521" s="8"/>
      <c r="V521" s="8" t="s">
        <v>155</v>
      </c>
      <c r="W521" s="8"/>
      <c r="X521" s="8" t="s">
        <v>609</v>
      </c>
      <c r="Y521" s="8" t="s">
        <v>1311</v>
      </c>
      <c r="Z521" s="8" t="s">
        <v>1312</v>
      </c>
    </row>
    <row r="522" customFormat="false" ht="15" hidden="false" customHeight="false" outlineLevel="0" collapsed="false">
      <c r="A522" s="8" t="s">
        <v>391</v>
      </c>
      <c r="B522" s="8" t="s">
        <v>15</v>
      </c>
      <c r="C522" s="8" t="s">
        <v>16</v>
      </c>
      <c r="D522" s="8" t="s">
        <v>615</v>
      </c>
      <c r="E522" s="8" t="s">
        <v>40</v>
      </c>
      <c r="F522" s="8" t="s">
        <v>59</v>
      </c>
      <c r="G522" s="8" t="s">
        <v>31</v>
      </c>
      <c r="H522" s="8" t="s">
        <v>31</v>
      </c>
      <c r="I522" s="8" t="n">
        <f aca="false">IF(EXACT(G522,H522),1,0)</f>
        <v>1</v>
      </c>
      <c r="J522" s="8" t="n">
        <v>1</v>
      </c>
      <c r="K522" s="8" t="s">
        <v>737</v>
      </c>
      <c r="L522" s="8" t="n">
        <v>5</v>
      </c>
      <c r="M522" s="8" t="n">
        <v>0</v>
      </c>
      <c r="N522" s="8"/>
      <c r="O522" s="8" t="n">
        <v>1</v>
      </c>
      <c r="P522" s="10" t="n">
        <v>20.55</v>
      </c>
      <c r="Q522" s="8" t="n">
        <v>1474</v>
      </c>
      <c r="R522" s="8" t="n">
        <v>938</v>
      </c>
      <c r="S522" s="8" t="s">
        <v>392</v>
      </c>
      <c r="T522" s="8"/>
      <c r="U522" s="8"/>
      <c r="V522" s="8" t="s">
        <v>155</v>
      </c>
      <c r="W522" s="8"/>
      <c r="X522" s="8" t="s">
        <v>609</v>
      </c>
      <c r="Y522" s="8" t="s">
        <v>1313</v>
      </c>
      <c r="Z522" s="8" t="s">
        <v>1314</v>
      </c>
    </row>
    <row r="523" customFormat="false" ht="15" hidden="false" customHeight="false" outlineLevel="0" collapsed="false">
      <c r="A523" s="8" t="s">
        <v>391</v>
      </c>
      <c r="B523" s="8" t="s">
        <v>15</v>
      </c>
      <c r="C523" s="8" t="s">
        <v>16</v>
      </c>
      <c r="D523" s="8" t="s">
        <v>615</v>
      </c>
      <c r="E523" s="8" t="s">
        <v>40</v>
      </c>
      <c r="F523" s="8" t="s">
        <v>59</v>
      </c>
      <c r="G523" s="8" t="s">
        <v>31</v>
      </c>
      <c r="H523" s="8" t="s">
        <v>31</v>
      </c>
      <c r="I523" s="8" t="n">
        <f aca="false">IF(EXACT(G523,H523),1,0)</f>
        <v>1</v>
      </c>
      <c r="J523" s="8" t="n">
        <v>2</v>
      </c>
      <c r="K523" s="8" t="s">
        <v>737</v>
      </c>
      <c r="L523" s="8" t="n">
        <v>5</v>
      </c>
      <c r="M523" s="8" t="n">
        <v>0</v>
      </c>
      <c r="N523" s="8"/>
      <c r="O523" s="8" t="n">
        <v>1</v>
      </c>
      <c r="P523" s="10" t="n">
        <v>20.27</v>
      </c>
      <c r="Q523" s="8" t="n">
        <v>1474</v>
      </c>
      <c r="R523" s="8" t="n">
        <v>920</v>
      </c>
      <c r="S523" s="8" t="s">
        <v>392</v>
      </c>
      <c r="T523" s="8"/>
      <c r="U523" s="8"/>
      <c r="V523" s="8" t="s">
        <v>155</v>
      </c>
      <c r="W523" s="8"/>
      <c r="X523" s="8" t="s">
        <v>609</v>
      </c>
      <c r="Y523" s="8" t="s">
        <v>1315</v>
      </c>
      <c r="Z523" s="8" t="s">
        <v>1316</v>
      </c>
    </row>
    <row r="524" customFormat="false" ht="15" hidden="false" customHeight="false" outlineLevel="0" collapsed="false">
      <c r="A524" s="8" t="s">
        <v>395</v>
      </c>
      <c r="B524" s="8" t="s">
        <v>15</v>
      </c>
      <c r="C524" s="8" t="s">
        <v>16</v>
      </c>
      <c r="D524" s="8" t="s">
        <v>615</v>
      </c>
      <c r="E524" s="8" t="s">
        <v>40</v>
      </c>
      <c r="F524" s="8" t="s">
        <v>59</v>
      </c>
      <c r="G524" s="8" t="s">
        <v>31</v>
      </c>
      <c r="H524" s="8" t="s">
        <v>31</v>
      </c>
      <c r="I524" s="8" t="n">
        <f aca="false">IF(EXACT(G524,H524),1,0)</f>
        <v>1</v>
      </c>
      <c r="J524" s="8" t="n">
        <v>0</v>
      </c>
      <c r="K524" s="8" t="s">
        <v>737</v>
      </c>
      <c r="L524" s="8" t="n">
        <v>1</v>
      </c>
      <c r="M524" s="8" t="n">
        <v>0</v>
      </c>
      <c r="N524" s="8"/>
      <c r="O524" s="8" t="n">
        <v>1</v>
      </c>
      <c r="P524" s="10" t="n">
        <v>8.05</v>
      </c>
      <c r="Q524" s="8" t="n">
        <v>1456</v>
      </c>
      <c r="R524" s="8" t="n">
        <v>359</v>
      </c>
      <c r="S524" s="8" t="s">
        <v>396</v>
      </c>
      <c r="T524" s="8"/>
      <c r="U524" s="8"/>
      <c r="V524" s="8" t="s">
        <v>155</v>
      </c>
      <c r="W524" s="8"/>
      <c r="X524" s="8" t="s">
        <v>610</v>
      </c>
      <c r="Y524" s="8" t="s">
        <v>1317</v>
      </c>
      <c r="Z524" s="8" t="s">
        <v>1318</v>
      </c>
    </row>
    <row r="525" customFormat="false" ht="15" hidden="false" customHeight="false" outlineLevel="0" collapsed="false">
      <c r="A525" s="8" t="s">
        <v>395</v>
      </c>
      <c r="B525" s="8" t="s">
        <v>15</v>
      </c>
      <c r="C525" s="8" t="s">
        <v>16</v>
      </c>
      <c r="D525" s="8" t="s">
        <v>615</v>
      </c>
      <c r="E525" s="8" t="s">
        <v>40</v>
      </c>
      <c r="F525" s="8" t="s">
        <v>59</v>
      </c>
      <c r="G525" s="8" t="s">
        <v>31</v>
      </c>
      <c r="H525" s="8" t="s">
        <v>31</v>
      </c>
      <c r="I525" s="8" t="n">
        <f aca="false">IF(EXACT(G525,H525),1,0)</f>
        <v>1</v>
      </c>
      <c r="J525" s="8" t="n">
        <v>1</v>
      </c>
      <c r="K525" s="8" t="s">
        <v>737</v>
      </c>
      <c r="L525" s="8" t="n">
        <v>2</v>
      </c>
      <c r="M525" s="8" t="n">
        <v>0</v>
      </c>
      <c r="N525" s="8"/>
      <c r="O525" s="8" t="n">
        <v>1</v>
      </c>
      <c r="P525" s="10" t="n">
        <v>11.24</v>
      </c>
      <c r="Q525" s="8" t="n">
        <v>1456</v>
      </c>
      <c r="R525" s="8" t="n">
        <v>512</v>
      </c>
      <c r="S525" s="8" t="s">
        <v>396</v>
      </c>
      <c r="T525" s="8"/>
      <c r="U525" s="8"/>
      <c r="V525" s="8" t="s">
        <v>155</v>
      </c>
      <c r="W525" s="8"/>
      <c r="X525" s="8" t="s">
        <v>610</v>
      </c>
      <c r="Y525" s="8" t="s">
        <v>1319</v>
      </c>
      <c r="Z525" s="8" t="s">
        <v>1320</v>
      </c>
    </row>
    <row r="526" customFormat="false" ht="15" hidden="false" customHeight="false" outlineLevel="0" collapsed="false">
      <c r="A526" s="8" t="s">
        <v>395</v>
      </c>
      <c r="B526" s="8" t="s">
        <v>15</v>
      </c>
      <c r="C526" s="8" t="s">
        <v>16</v>
      </c>
      <c r="D526" s="8" t="s">
        <v>615</v>
      </c>
      <c r="E526" s="8" t="s">
        <v>40</v>
      </c>
      <c r="F526" s="8" t="s">
        <v>59</v>
      </c>
      <c r="G526" s="8" t="s">
        <v>31</v>
      </c>
      <c r="H526" s="8" t="s">
        <v>31</v>
      </c>
      <c r="I526" s="8" t="n">
        <f aca="false">IF(EXACT(G526,H526),1,0)</f>
        <v>1</v>
      </c>
      <c r="J526" s="8" t="n">
        <v>2</v>
      </c>
      <c r="K526" s="8" t="s">
        <v>737</v>
      </c>
      <c r="L526" s="8" t="n">
        <v>1</v>
      </c>
      <c r="M526" s="8" t="n">
        <v>0</v>
      </c>
      <c r="N526" s="8"/>
      <c r="O526" s="8" t="n">
        <v>1</v>
      </c>
      <c r="P526" s="10" t="n">
        <v>9.34</v>
      </c>
      <c r="Q526" s="8" t="n">
        <v>1456</v>
      </c>
      <c r="R526" s="8" t="n">
        <v>369</v>
      </c>
      <c r="S526" s="8" t="s">
        <v>396</v>
      </c>
      <c r="T526" s="8"/>
      <c r="U526" s="8"/>
      <c r="V526" s="8" t="s">
        <v>155</v>
      </c>
      <c r="W526" s="8"/>
      <c r="X526" s="8" t="s">
        <v>610</v>
      </c>
      <c r="Y526" s="8" t="s">
        <v>1321</v>
      </c>
      <c r="Z526" s="8" t="s">
        <v>1322</v>
      </c>
    </row>
    <row r="527" customFormat="false" ht="15" hidden="false" customHeight="false" outlineLevel="0" collapsed="false">
      <c r="A527" s="8" t="s">
        <v>399</v>
      </c>
      <c r="B527" s="8" t="s">
        <v>15</v>
      </c>
      <c r="C527" s="8" t="s">
        <v>16</v>
      </c>
      <c r="D527" s="8" t="s">
        <v>615</v>
      </c>
      <c r="E527" s="8" t="s">
        <v>40</v>
      </c>
      <c r="F527" s="8" t="s">
        <v>59</v>
      </c>
      <c r="G527" s="8" t="s">
        <v>32</v>
      </c>
      <c r="H527" s="8" t="s">
        <v>30</v>
      </c>
      <c r="I527" s="8" t="n">
        <f aca="false">IF(EXACT(G527,H527),1,0)</f>
        <v>0</v>
      </c>
      <c r="J527" s="8" t="n">
        <v>0</v>
      </c>
      <c r="K527" s="8" t="s">
        <v>92</v>
      </c>
      <c r="L527" s="8" t="n">
        <v>0</v>
      </c>
      <c r="M527" s="8" t="n">
        <v>0</v>
      </c>
      <c r="N527" s="8"/>
      <c r="O527" s="8" t="n">
        <v>1</v>
      </c>
      <c r="P527" s="10" t="n">
        <v>3.65</v>
      </c>
      <c r="Q527" s="8" t="n">
        <v>1461</v>
      </c>
      <c r="R527" s="8" t="n">
        <v>91</v>
      </c>
      <c r="S527" s="8" t="s">
        <v>400</v>
      </c>
      <c r="T527" s="8"/>
      <c r="U527" s="8"/>
      <c r="V527" s="8" t="s">
        <v>155</v>
      </c>
      <c r="W527" s="8"/>
      <c r="X527" s="8" t="s">
        <v>611</v>
      </c>
      <c r="Y527" s="8" t="s">
        <v>1323</v>
      </c>
      <c r="Z527" s="8"/>
    </row>
    <row r="528" customFormat="false" ht="15" hidden="false" customHeight="false" outlineLevel="0" collapsed="false">
      <c r="A528" s="8" t="s">
        <v>399</v>
      </c>
      <c r="B528" s="8" t="s">
        <v>15</v>
      </c>
      <c r="C528" s="8" t="s">
        <v>16</v>
      </c>
      <c r="D528" s="8" t="s">
        <v>615</v>
      </c>
      <c r="E528" s="8" t="s">
        <v>40</v>
      </c>
      <c r="F528" s="8" t="s">
        <v>59</v>
      </c>
      <c r="G528" s="8" t="s">
        <v>32</v>
      </c>
      <c r="H528" s="8" t="s">
        <v>30</v>
      </c>
      <c r="I528" s="8" t="n">
        <f aca="false">IF(EXACT(G528,H528),1,0)</f>
        <v>0</v>
      </c>
      <c r="J528" s="8" t="n">
        <v>1</v>
      </c>
      <c r="K528" s="8" t="s">
        <v>92</v>
      </c>
      <c r="L528" s="8" t="n">
        <v>0</v>
      </c>
      <c r="M528" s="8" t="n">
        <v>0</v>
      </c>
      <c r="N528" s="8"/>
      <c r="O528" s="8" t="n">
        <v>1</v>
      </c>
      <c r="P528" s="10" t="n">
        <v>3.89</v>
      </c>
      <c r="Q528" s="8" t="n">
        <v>1461</v>
      </c>
      <c r="R528" s="8" t="n">
        <v>102</v>
      </c>
      <c r="S528" s="8" t="s">
        <v>400</v>
      </c>
      <c r="T528" s="8"/>
      <c r="U528" s="8"/>
      <c r="V528" s="8" t="s">
        <v>155</v>
      </c>
      <c r="W528" s="8"/>
      <c r="X528" s="8" t="s">
        <v>611</v>
      </c>
      <c r="Y528" s="8" t="s">
        <v>1324</v>
      </c>
      <c r="Z528" s="8"/>
    </row>
    <row r="529" customFormat="false" ht="15" hidden="false" customHeight="false" outlineLevel="0" collapsed="false">
      <c r="A529" s="8" t="s">
        <v>399</v>
      </c>
      <c r="B529" s="8" t="s">
        <v>15</v>
      </c>
      <c r="C529" s="8" t="s">
        <v>16</v>
      </c>
      <c r="D529" s="8" t="s">
        <v>615</v>
      </c>
      <c r="E529" s="8" t="s">
        <v>40</v>
      </c>
      <c r="F529" s="8" t="s">
        <v>59</v>
      </c>
      <c r="G529" s="8" t="s">
        <v>32</v>
      </c>
      <c r="H529" s="8" t="s">
        <v>30</v>
      </c>
      <c r="I529" s="8" t="n">
        <f aca="false">IF(EXACT(G529,H529),1,0)</f>
        <v>0</v>
      </c>
      <c r="J529" s="8" t="n">
        <v>2</v>
      </c>
      <c r="K529" s="8" t="s">
        <v>92</v>
      </c>
      <c r="L529" s="8" t="n">
        <v>0</v>
      </c>
      <c r="M529" s="8" t="n">
        <v>0</v>
      </c>
      <c r="N529" s="8"/>
      <c r="O529" s="8" t="n">
        <v>1</v>
      </c>
      <c r="P529" s="10" t="n">
        <v>3.27</v>
      </c>
      <c r="Q529" s="8" t="n">
        <v>1461</v>
      </c>
      <c r="R529" s="8" t="n">
        <v>91</v>
      </c>
      <c r="S529" s="8" t="s">
        <v>400</v>
      </c>
      <c r="T529" s="8"/>
      <c r="U529" s="8"/>
      <c r="V529" s="8" t="s">
        <v>155</v>
      </c>
      <c r="W529" s="8"/>
      <c r="X529" s="8" t="s">
        <v>611</v>
      </c>
      <c r="Y529" s="8" t="s">
        <v>1323</v>
      </c>
      <c r="Z529" s="8"/>
    </row>
    <row r="530" customFormat="false" ht="15" hidden="false" customHeight="false" outlineLevel="0" collapsed="false">
      <c r="A530" s="8" t="s">
        <v>402</v>
      </c>
      <c r="B530" s="8" t="s">
        <v>15</v>
      </c>
      <c r="C530" s="8" t="s">
        <v>16</v>
      </c>
      <c r="D530" s="8" t="s">
        <v>615</v>
      </c>
      <c r="E530" s="8" t="s">
        <v>40</v>
      </c>
      <c r="F530" s="8" t="s">
        <v>59</v>
      </c>
      <c r="G530" s="8" t="s">
        <v>32</v>
      </c>
      <c r="H530" s="8" t="s">
        <v>30</v>
      </c>
      <c r="I530" s="8" t="n">
        <f aca="false">IF(EXACT(G530,H530),1,0)</f>
        <v>0</v>
      </c>
      <c r="J530" s="8" t="n">
        <v>0</v>
      </c>
      <c r="K530" s="8" t="s">
        <v>92</v>
      </c>
      <c r="L530" s="8" t="n">
        <v>0</v>
      </c>
      <c r="M530" s="8" t="n">
        <v>0</v>
      </c>
      <c r="N530" s="8"/>
      <c r="O530" s="8" t="n">
        <v>1</v>
      </c>
      <c r="P530" s="10" t="n">
        <v>3</v>
      </c>
      <c r="Q530" s="8" t="n">
        <v>1430</v>
      </c>
      <c r="R530" s="8" t="n">
        <v>75</v>
      </c>
      <c r="S530" s="8" t="s">
        <v>403</v>
      </c>
      <c r="T530" s="8"/>
      <c r="U530" s="8"/>
      <c r="V530" s="8" t="s">
        <v>155</v>
      </c>
      <c r="W530" s="8"/>
      <c r="X530" s="8" t="s">
        <v>612</v>
      </c>
      <c r="Y530" s="8" t="s">
        <v>1325</v>
      </c>
      <c r="Z530" s="8"/>
    </row>
    <row r="531" customFormat="false" ht="15" hidden="false" customHeight="false" outlineLevel="0" collapsed="false">
      <c r="A531" s="8" t="s">
        <v>402</v>
      </c>
      <c r="B531" s="8" t="s">
        <v>15</v>
      </c>
      <c r="C531" s="8" t="s">
        <v>16</v>
      </c>
      <c r="D531" s="8" t="s">
        <v>615</v>
      </c>
      <c r="E531" s="8" t="s">
        <v>40</v>
      </c>
      <c r="F531" s="8" t="s">
        <v>59</v>
      </c>
      <c r="G531" s="8" t="s">
        <v>32</v>
      </c>
      <c r="H531" s="8" t="s">
        <v>30</v>
      </c>
      <c r="I531" s="8" t="n">
        <f aca="false">IF(EXACT(G531,H531),1,0)</f>
        <v>0</v>
      </c>
      <c r="J531" s="8" t="n">
        <v>1</v>
      </c>
      <c r="K531" s="8" t="s">
        <v>92</v>
      </c>
      <c r="L531" s="8" t="n">
        <v>0</v>
      </c>
      <c r="M531" s="8" t="n">
        <v>0</v>
      </c>
      <c r="N531" s="8"/>
      <c r="O531" s="8" t="n">
        <v>1</v>
      </c>
      <c r="P531" s="10" t="n">
        <v>2.47</v>
      </c>
      <c r="Q531" s="8" t="n">
        <v>1430</v>
      </c>
      <c r="R531" s="8" t="n">
        <v>75</v>
      </c>
      <c r="S531" s="8" t="s">
        <v>403</v>
      </c>
      <c r="T531" s="8"/>
      <c r="U531" s="8"/>
      <c r="V531" s="8" t="s">
        <v>155</v>
      </c>
      <c r="W531" s="8"/>
      <c r="X531" s="8" t="s">
        <v>612</v>
      </c>
      <c r="Y531" s="8" t="s">
        <v>1326</v>
      </c>
      <c r="Z531" s="8"/>
    </row>
    <row r="532" customFormat="false" ht="15" hidden="false" customHeight="false" outlineLevel="0" collapsed="false">
      <c r="A532" s="8" t="s">
        <v>402</v>
      </c>
      <c r="B532" s="8" t="s">
        <v>15</v>
      </c>
      <c r="C532" s="8" t="s">
        <v>16</v>
      </c>
      <c r="D532" s="8" t="s">
        <v>615</v>
      </c>
      <c r="E532" s="8" t="s">
        <v>40</v>
      </c>
      <c r="F532" s="8" t="s">
        <v>59</v>
      </c>
      <c r="G532" s="8" t="s">
        <v>32</v>
      </c>
      <c r="H532" s="8" t="s">
        <v>30</v>
      </c>
      <c r="I532" s="8" t="n">
        <f aca="false">IF(EXACT(G532,H532),1,0)</f>
        <v>0</v>
      </c>
      <c r="J532" s="8" t="n">
        <v>2</v>
      </c>
      <c r="K532" s="8" t="s">
        <v>92</v>
      </c>
      <c r="L532" s="8" t="n">
        <v>0</v>
      </c>
      <c r="M532" s="8" t="n">
        <v>0</v>
      </c>
      <c r="N532" s="8"/>
      <c r="O532" s="8" t="n">
        <v>1</v>
      </c>
      <c r="P532" s="10" t="n">
        <v>2.34</v>
      </c>
      <c r="Q532" s="8" t="n">
        <v>1430</v>
      </c>
      <c r="R532" s="8" t="n">
        <v>75</v>
      </c>
      <c r="S532" s="8" t="s">
        <v>403</v>
      </c>
      <c r="T532" s="8"/>
      <c r="U532" s="8"/>
      <c r="V532" s="8" t="s">
        <v>155</v>
      </c>
      <c r="W532" s="8"/>
      <c r="X532" s="8" t="s">
        <v>612</v>
      </c>
      <c r="Y532" s="8" t="s">
        <v>1326</v>
      </c>
      <c r="Z532" s="8"/>
    </row>
    <row r="533" customFormat="false" ht="15" hidden="false" customHeight="false" outlineLevel="0" collapsed="false">
      <c r="A533" s="8" t="s">
        <v>405</v>
      </c>
      <c r="B533" s="8" t="s">
        <v>15</v>
      </c>
      <c r="C533" s="8" t="s">
        <v>16</v>
      </c>
      <c r="D533" s="8" t="s">
        <v>615</v>
      </c>
      <c r="E533" s="8" t="s">
        <v>40</v>
      </c>
      <c r="F533" s="8" t="s">
        <v>59</v>
      </c>
      <c r="G533" s="8" t="s">
        <v>30</v>
      </c>
      <c r="H533" s="8" t="s">
        <v>30</v>
      </c>
      <c r="I533" s="8" t="n">
        <f aca="false">IF(EXACT(G533,H533),1,0)</f>
        <v>1</v>
      </c>
      <c r="J533" s="8" t="n">
        <v>0</v>
      </c>
      <c r="K533" s="8" t="s">
        <v>92</v>
      </c>
      <c r="L533" s="8" t="n">
        <v>0</v>
      </c>
      <c r="M533" s="8" t="n">
        <v>0</v>
      </c>
      <c r="N533" s="8"/>
      <c r="O533" s="8" t="n">
        <v>1</v>
      </c>
      <c r="P533" s="10" t="n">
        <v>4.25</v>
      </c>
      <c r="Q533" s="8" t="n">
        <v>1490</v>
      </c>
      <c r="R533" s="8" t="n">
        <v>116</v>
      </c>
      <c r="S533" s="8" t="s">
        <v>406</v>
      </c>
      <c r="T533" s="8"/>
      <c r="U533" s="8"/>
      <c r="V533" s="8" t="s">
        <v>155</v>
      </c>
      <c r="W533" s="8"/>
      <c r="X533" s="8" t="s">
        <v>613</v>
      </c>
      <c r="Y533" s="8" t="s">
        <v>1327</v>
      </c>
      <c r="Z533" s="8"/>
    </row>
    <row r="534" customFormat="false" ht="15" hidden="false" customHeight="false" outlineLevel="0" collapsed="false">
      <c r="A534" s="8" t="s">
        <v>405</v>
      </c>
      <c r="B534" s="8" t="s">
        <v>15</v>
      </c>
      <c r="C534" s="8" t="s">
        <v>16</v>
      </c>
      <c r="D534" s="8" t="s">
        <v>615</v>
      </c>
      <c r="E534" s="8" t="s">
        <v>40</v>
      </c>
      <c r="F534" s="8" t="s">
        <v>59</v>
      </c>
      <c r="G534" s="8" t="s">
        <v>30</v>
      </c>
      <c r="H534" s="8" t="s">
        <v>31</v>
      </c>
      <c r="I534" s="8" t="n">
        <f aca="false">IF(EXACT(G534,H534),1,0)</f>
        <v>0</v>
      </c>
      <c r="J534" s="8" t="n">
        <v>1</v>
      </c>
      <c r="K534" s="8" t="s">
        <v>116</v>
      </c>
      <c r="L534" s="8" t="n">
        <v>5</v>
      </c>
      <c r="M534" s="8" t="n">
        <v>0</v>
      </c>
      <c r="N534" s="8"/>
      <c r="O534" s="8" t="n">
        <v>1</v>
      </c>
      <c r="P534" s="10" t="n">
        <v>17.48</v>
      </c>
      <c r="Q534" s="8" t="n">
        <v>1490</v>
      </c>
      <c r="R534" s="8" t="n">
        <v>832</v>
      </c>
      <c r="S534" s="8" t="s">
        <v>406</v>
      </c>
      <c r="T534" s="8"/>
      <c r="U534" s="8"/>
      <c r="V534" s="8" t="s">
        <v>155</v>
      </c>
      <c r="W534" s="8"/>
      <c r="X534" s="8" t="s">
        <v>613</v>
      </c>
      <c r="Y534" s="8" t="s">
        <v>1328</v>
      </c>
      <c r="Z534" s="8" t="s">
        <v>1329</v>
      </c>
    </row>
    <row r="535" customFormat="false" ht="15" hidden="false" customHeight="false" outlineLevel="0" collapsed="false">
      <c r="A535" s="8" t="s">
        <v>405</v>
      </c>
      <c r="B535" s="8" t="s">
        <v>15</v>
      </c>
      <c r="C535" s="8" t="s">
        <v>16</v>
      </c>
      <c r="D535" s="8" t="s">
        <v>615</v>
      </c>
      <c r="E535" s="8" t="s">
        <v>40</v>
      </c>
      <c r="F535" s="8" t="s">
        <v>59</v>
      </c>
      <c r="G535" s="8" t="s">
        <v>30</v>
      </c>
      <c r="H535" s="8" t="s">
        <v>30</v>
      </c>
      <c r="I535" s="8" t="n">
        <f aca="false">IF(EXACT(G535,H535),1,0)</f>
        <v>1</v>
      </c>
      <c r="J535" s="8" t="n">
        <v>2</v>
      </c>
      <c r="K535" s="8" t="s">
        <v>92</v>
      </c>
      <c r="L535" s="8" t="n">
        <v>0</v>
      </c>
      <c r="M535" s="8" t="n">
        <v>0</v>
      </c>
      <c r="N535" s="8"/>
      <c r="O535" s="8" t="n">
        <v>1</v>
      </c>
      <c r="P535" s="10" t="n">
        <v>4.22</v>
      </c>
      <c r="Q535" s="8" t="n">
        <v>1490</v>
      </c>
      <c r="R535" s="8" t="n">
        <v>115</v>
      </c>
      <c r="S535" s="8" t="s">
        <v>406</v>
      </c>
      <c r="T535" s="8"/>
      <c r="U535" s="8"/>
      <c r="V535" s="8" t="s">
        <v>155</v>
      </c>
      <c r="W535" s="8"/>
      <c r="X535" s="8" t="s">
        <v>613</v>
      </c>
      <c r="Y535" s="8" t="s">
        <v>1330</v>
      </c>
      <c r="Z535" s="8"/>
    </row>
    <row r="536" customFormat="false" ht="15" hidden="false" customHeight="false" outlineLevel="0" collapsed="false">
      <c r="A536" s="8" t="s">
        <v>408</v>
      </c>
      <c r="B536" s="8" t="s">
        <v>15</v>
      </c>
      <c r="C536" s="8" t="s">
        <v>16</v>
      </c>
      <c r="D536" s="8" t="s">
        <v>615</v>
      </c>
      <c r="E536" s="8" t="s">
        <v>40</v>
      </c>
      <c r="F536" s="8" t="s">
        <v>59</v>
      </c>
      <c r="G536" s="8" t="s">
        <v>30</v>
      </c>
      <c r="H536" s="8" t="s">
        <v>31</v>
      </c>
      <c r="I536" s="8" t="n">
        <f aca="false">IF(EXACT(G536,H536),1,0)</f>
        <v>0</v>
      </c>
      <c r="J536" s="8" t="n">
        <v>0</v>
      </c>
      <c r="K536" s="8" t="s">
        <v>737</v>
      </c>
      <c r="L536" s="8" t="n">
        <v>5</v>
      </c>
      <c r="M536" s="8" t="n">
        <v>0</v>
      </c>
      <c r="N536" s="8"/>
      <c r="O536" s="8" t="n">
        <v>1</v>
      </c>
      <c r="P536" s="10" t="n">
        <v>23.21</v>
      </c>
      <c r="Q536" s="8" t="n">
        <v>1477</v>
      </c>
      <c r="R536" s="8" t="n">
        <v>1040</v>
      </c>
      <c r="S536" s="8" t="s">
        <v>409</v>
      </c>
      <c r="T536" s="8"/>
      <c r="U536" s="8"/>
      <c r="V536" s="8" t="s">
        <v>155</v>
      </c>
      <c r="W536" s="8"/>
      <c r="X536" s="8" t="s">
        <v>614</v>
      </c>
      <c r="Y536" s="8" t="s">
        <v>1331</v>
      </c>
      <c r="Z536" s="8" t="s">
        <v>1332</v>
      </c>
    </row>
    <row r="537" customFormat="false" ht="15" hidden="false" customHeight="false" outlineLevel="0" collapsed="false">
      <c r="A537" s="8" t="s">
        <v>408</v>
      </c>
      <c r="B537" s="8" t="s">
        <v>15</v>
      </c>
      <c r="C537" s="8" t="s">
        <v>16</v>
      </c>
      <c r="D537" s="8" t="s">
        <v>615</v>
      </c>
      <c r="E537" s="8" t="s">
        <v>40</v>
      </c>
      <c r="F537" s="8" t="s">
        <v>59</v>
      </c>
      <c r="G537" s="8" t="s">
        <v>30</v>
      </c>
      <c r="H537" s="8" t="s">
        <v>31</v>
      </c>
      <c r="I537" s="8" t="n">
        <f aca="false">IF(EXACT(G537,H537),1,0)</f>
        <v>0</v>
      </c>
      <c r="J537" s="8" t="n">
        <v>1</v>
      </c>
      <c r="K537" s="8" t="s">
        <v>737</v>
      </c>
      <c r="L537" s="8" t="n">
        <v>5</v>
      </c>
      <c r="M537" s="8" t="n">
        <v>0</v>
      </c>
      <c r="N537" s="8"/>
      <c r="O537" s="8" t="n">
        <v>1</v>
      </c>
      <c r="P537" s="10" t="n">
        <v>20.16</v>
      </c>
      <c r="Q537" s="8" t="n">
        <v>1477</v>
      </c>
      <c r="R537" s="8" t="n">
        <v>896</v>
      </c>
      <c r="S537" s="8" t="s">
        <v>409</v>
      </c>
      <c r="T537" s="8"/>
      <c r="U537" s="8"/>
      <c r="V537" s="8" t="s">
        <v>155</v>
      </c>
      <c r="W537" s="8"/>
      <c r="X537" s="8" t="s">
        <v>614</v>
      </c>
      <c r="Y537" s="8" t="s">
        <v>1333</v>
      </c>
      <c r="Z537" s="8" t="s">
        <v>1334</v>
      </c>
    </row>
    <row r="538" customFormat="false" ht="15" hidden="false" customHeight="false" outlineLevel="0" collapsed="false">
      <c r="A538" s="8" t="s">
        <v>408</v>
      </c>
      <c r="B538" s="8" t="s">
        <v>15</v>
      </c>
      <c r="C538" s="8" t="s">
        <v>16</v>
      </c>
      <c r="D538" s="8" t="s">
        <v>615</v>
      </c>
      <c r="E538" s="8" t="s">
        <v>40</v>
      </c>
      <c r="F538" s="8" t="s">
        <v>59</v>
      </c>
      <c r="G538" s="8" t="s">
        <v>30</v>
      </c>
      <c r="H538" s="8" t="s">
        <v>31</v>
      </c>
      <c r="I538" s="8" t="n">
        <f aca="false">IF(EXACT(G538,H538),1,0)</f>
        <v>0</v>
      </c>
      <c r="J538" s="8" t="n">
        <v>2</v>
      </c>
      <c r="K538" s="8" t="s">
        <v>737</v>
      </c>
      <c r="L538" s="8" t="n">
        <v>5</v>
      </c>
      <c r="M538" s="8" t="n">
        <v>0</v>
      </c>
      <c r="N538" s="8"/>
      <c r="O538" s="8" t="n">
        <v>1</v>
      </c>
      <c r="P538" s="10" t="n">
        <v>19.35</v>
      </c>
      <c r="Q538" s="8" t="n">
        <v>1477</v>
      </c>
      <c r="R538" s="8" t="n">
        <v>929</v>
      </c>
      <c r="S538" s="8" t="s">
        <v>409</v>
      </c>
      <c r="T538" s="8"/>
      <c r="U538" s="8"/>
      <c r="V538" s="8" t="s">
        <v>155</v>
      </c>
      <c r="W538" s="8"/>
      <c r="X538" s="8" t="s">
        <v>614</v>
      </c>
      <c r="Y538" s="8" t="s">
        <v>1335</v>
      </c>
      <c r="Z538" s="8" t="s">
        <v>1336</v>
      </c>
    </row>
  </sheetData>
  <autoFilter ref="A1:Z5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6"/>
    <col collapsed="false" customWidth="true" hidden="false" outlineLevel="0" max="4" min="4" style="0" width="18"/>
    <col collapsed="false" customWidth="true" hidden="false" outlineLevel="0" max="5" min="5" style="0" width="10"/>
    <col collapsed="false" customWidth="true" hidden="false" outlineLevel="0" max="6" min="6" style="0" width="9"/>
    <col collapsed="false" customWidth="true" hidden="false" outlineLevel="0" max="8" min="7" style="0" width="13"/>
    <col collapsed="false" customWidth="true" hidden="false" outlineLevel="0" max="9" min="9" style="0" width="8"/>
    <col collapsed="false" customWidth="true" hidden="false" outlineLevel="0" max="10" min="10" style="0" width="6"/>
    <col collapsed="false" customWidth="true" hidden="false" outlineLevel="0" max="11" min="11" style="0" width="10"/>
    <col collapsed="false" customWidth="true" hidden="false" outlineLevel="0" max="12" min="12" style="0" width="7"/>
    <col collapsed="false" customWidth="true" hidden="false" outlineLevel="0" max="13" min="13" style="0" width="8"/>
    <col collapsed="false" customWidth="true" hidden="false" outlineLevel="0" max="14" min="14" style="0" width="34"/>
    <col collapsed="false" customWidth="true" hidden="false" outlineLevel="0" max="15" min="15" style="0" width="8"/>
    <col collapsed="false" customWidth="true" hidden="false" outlineLevel="0" max="16" min="16" style="0" width="10"/>
    <col collapsed="false" customWidth="true" hidden="false" outlineLevel="0" max="17" min="17" style="0" width="8"/>
    <col collapsed="false" customWidth="true" hidden="false" outlineLevel="0" max="18" min="18" style="0" width="9"/>
    <col collapsed="false" customWidth="true" hidden="false" outlineLevel="0" max="19" min="19" style="0" width="24"/>
    <col collapsed="false" customWidth="true" hidden="false" outlineLevel="0" max="20" min="20" style="0" width="10"/>
    <col collapsed="false" customWidth="true" hidden="false" outlineLevel="0" max="21" min="21" style="0" width="34"/>
    <col collapsed="false" customWidth="true" hidden="false" outlineLevel="0" max="22" min="22" style="0" width="12"/>
    <col collapsed="false" customWidth="true" hidden="false" outlineLevel="0" max="23" min="23" style="0" width="32"/>
    <col collapsed="false" customWidth="true" hidden="false" outlineLevel="0" max="24" min="24" style="0" width="40"/>
    <col collapsed="false" customWidth="true" hidden="false" outlineLevel="0" max="26" min="25" style="0" width="60"/>
  </cols>
  <sheetData>
    <row r="1" customFormat="false" ht="45" hidden="false" customHeight="true" outlineLevel="0" collapsed="false">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customFormat="false" ht="15" hidden="false" customHeight="false" outlineLevel="0" collapsed="false">
      <c r="A2" s="8" t="s">
        <v>90</v>
      </c>
      <c r="B2" s="8" t="s">
        <v>17</v>
      </c>
      <c r="C2" s="8" t="s">
        <v>18</v>
      </c>
      <c r="D2" s="8" t="s">
        <v>615</v>
      </c>
      <c r="E2" s="8" t="s">
        <v>35</v>
      </c>
      <c r="F2" s="8" t="s">
        <v>49</v>
      </c>
      <c r="G2" s="8" t="s">
        <v>32</v>
      </c>
      <c r="H2" s="8" t="s">
        <v>32</v>
      </c>
      <c r="I2" s="8" t="n">
        <f aca="false">IF(EXACT(G2,H2),1,0)</f>
        <v>1</v>
      </c>
      <c r="J2" s="8" t="n">
        <v>0</v>
      </c>
      <c r="K2" s="8" t="s">
        <v>92</v>
      </c>
      <c r="L2" s="8" t="n">
        <v>0</v>
      </c>
      <c r="M2" s="8" t="n">
        <v>6</v>
      </c>
      <c r="N2" s="8" t="s">
        <v>1337</v>
      </c>
      <c r="O2" s="8" t="n">
        <v>2</v>
      </c>
      <c r="P2" s="10" t="n">
        <v>34.84</v>
      </c>
      <c r="Q2" s="8" t="n">
        <v>9844</v>
      </c>
      <c r="R2" s="8" t="n">
        <v>1082</v>
      </c>
      <c r="S2" s="8" t="s">
        <v>94</v>
      </c>
      <c r="T2" s="8" t="s">
        <v>95</v>
      </c>
      <c r="U2" s="8" t="s">
        <v>96</v>
      </c>
      <c r="V2" s="8"/>
      <c r="W2" s="8" t="s">
        <v>97</v>
      </c>
      <c r="X2" s="8" t="s">
        <v>98</v>
      </c>
      <c r="Y2" s="8" t="s">
        <v>1338</v>
      </c>
      <c r="Z2" s="8"/>
    </row>
    <row r="3" customFormat="false" ht="15" hidden="false" customHeight="false" outlineLevel="0" collapsed="false">
      <c r="A3" s="8" t="s">
        <v>90</v>
      </c>
      <c r="B3" s="8" t="s">
        <v>17</v>
      </c>
      <c r="C3" s="8" t="s">
        <v>18</v>
      </c>
      <c r="D3" s="8" t="s">
        <v>615</v>
      </c>
      <c r="E3" s="8" t="s">
        <v>35</v>
      </c>
      <c r="F3" s="8" t="s">
        <v>49</v>
      </c>
      <c r="G3" s="8" t="s">
        <v>32</v>
      </c>
      <c r="H3" s="8" t="s">
        <v>32</v>
      </c>
      <c r="I3" s="8" t="n">
        <f aca="false">IF(EXACT(G3,H3),1,0)</f>
        <v>1</v>
      </c>
      <c r="J3" s="8" t="n">
        <v>1</v>
      </c>
      <c r="K3" s="8" t="s">
        <v>92</v>
      </c>
      <c r="L3" s="8" t="n">
        <v>0</v>
      </c>
      <c r="M3" s="8" t="n">
        <v>6</v>
      </c>
      <c r="N3" s="8" t="s">
        <v>1337</v>
      </c>
      <c r="O3" s="8" t="n">
        <v>2</v>
      </c>
      <c r="P3" s="10" t="n">
        <v>30.99</v>
      </c>
      <c r="Q3" s="8" t="n">
        <v>9884</v>
      </c>
      <c r="R3" s="8" t="n">
        <v>926</v>
      </c>
      <c r="S3" s="8" t="s">
        <v>94</v>
      </c>
      <c r="T3" s="8" t="s">
        <v>95</v>
      </c>
      <c r="U3" s="8" t="s">
        <v>96</v>
      </c>
      <c r="V3" s="8"/>
      <c r="W3" s="8" t="s">
        <v>97</v>
      </c>
      <c r="X3" s="8" t="s">
        <v>98</v>
      </c>
      <c r="Y3" s="8" t="s">
        <v>1339</v>
      </c>
      <c r="Z3" s="8"/>
    </row>
    <row r="4" customFormat="false" ht="15" hidden="false" customHeight="false" outlineLevel="0" collapsed="false">
      <c r="A4" s="8" t="s">
        <v>90</v>
      </c>
      <c r="B4" s="8" t="s">
        <v>17</v>
      </c>
      <c r="C4" s="8" t="s">
        <v>18</v>
      </c>
      <c r="D4" s="8" t="s">
        <v>615</v>
      </c>
      <c r="E4" s="8" t="s">
        <v>35</v>
      </c>
      <c r="F4" s="8" t="s">
        <v>49</v>
      </c>
      <c r="G4" s="8" t="s">
        <v>32</v>
      </c>
      <c r="H4" s="8" t="s">
        <v>32</v>
      </c>
      <c r="I4" s="8" t="n">
        <f aca="false">IF(EXACT(G4,H4),1,0)</f>
        <v>1</v>
      </c>
      <c r="J4" s="8" t="n">
        <v>2</v>
      </c>
      <c r="K4" s="8" t="s">
        <v>92</v>
      </c>
      <c r="L4" s="8" t="n">
        <v>0</v>
      </c>
      <c r="M4" s="8" t="n">
        <v>6</v>
      </c>
      <c r="N4" s="8" t="s">
        <v>1337</v>
      </c>
      <c r="O4" s="8" t="n">
        <v>2</v>
      </c>
      <c r="P4" s="10" t="n">
        <v>34.62</v>
      </c>
      <c r="Q4" s="8" t="n">
        <v>9884</v>
      </c>
      <c r="R4" s="8" t="n">
        <v>1144</v>
      </c>
      <c r="S4" s="8" t="s">
        <v>94</v>
      </c>
      <c r="T4" s="8" t="s">
        <v>95</v>
      </c>
      <c r="U4" s="8" t="s">
        <v>96</v>
      </c>
      <c r="V4" s="8"/>
      <c r="W4" s="8" t="s">
        <v>97</v>
      </c>
      <c r="X4" s="8" t="s">
        <v>98</v>
      </c>
      <c r="Y4" s="8" t="s">
        <v>1340</v>
      </c>
      <c r="Z4" s="8"/>
    </row>
    <row r="5" customFormat="false" ht="15" hidden="false" customHeight="false" outlineLevel="0" collapsed="false">
      <c r="A5" s="8" t="s">
        <v>100</v>
      </c>
      <c r="B5" s="8" t="s">
        <v>17</v>
      </c>
      <c r="C5" s="8" t="s">
        <v>18</v>
      </c>
      <c r="D5" s="8" t="s">
        <v>615</v>
      </c>
      <c r="E5" s="8" t="s">
        <v>35</v>
      </c>
      <c r="F5" s="8" t="s">
        <v>49</v>
      </c>
      <c r="G5" s="8" t="s">
        <v>32</v>
      </c>
      <c r="H5" s="8" t="s">
        <v>32</v>
      </c>
      <c r="I5" s="8" t="n">
        <f aca="false">IF(EXACT(G5,H5),1,0)</f>
        <v>1</v>
      </c>
      <c r="J5" s="8" t="n">
        <v>0</v>
      </c>
      <c r="K5" s="8" t="s">
        <v>92</v>
      </c>
      <c r="L5" s="8" t="n">
        <v>0</v>
      </c>
      <c r="M5" s="8" t="n">
        <v>6</v>
      </c>
      <c r="N5" s="8" t="s">
        <v>1337</v>
      </c>
      <c r="O5" s="8" t="n">
        <v>2</v>
      </c>
      <c r="P5" s="10" t="n">
        <v>27.22</v>
      </c>
      <c r="Q5" s="8" t="n">
        <v>9893</v>
      </c>
      <c r="R5" s="8" t="n">
        <v>1160</v>
      </c>
      <c r="S5" s="8" t="s">
        <v>101</v>
      </c>
      <c r="T5" s="8" t="s">
        <v>95</v>
      </c>
      <c r="U5" s="8" t="s">
        <v>96</v>
      </c>
      <c r="V5" s="8"/>
      <c r="W5" s="8" t="s">
        <v>102</v>
      </c>
      <c r="X5" s="8" t="s">
        <v>103</v>
      </c>
      <c r="Y5" s="8" t="s">
        <v>1341</v>
      </c>
      <c r="Z5" s="8"/>
    </row>
    <row r="6" customFormat="false" ht="15" hidden="false" customHeight="false" outlineLevel="0" collapsed="false">
      <c r="A6" s="8" t="s">
        <v>100</v>
      </c>
      <c r="B6" s="8" t="s">
        <v>17</v>
      </c>
      <c r="C6" s="8" t="s">
        <v>18</v>
      </c>
      <c r="D6" s="8" t="s">
        <v>615</v>
      </c>
      <c r="E6" s="8" t="s">
        <v>35</v>
      </c>
      <c r="F6" s="8" t="s">
        <v>49</v>
      </c>
      <c r="G6" s="8" t="s">
        <v>32</v>
      </c>
      <c r="H6" s="8" t="s">
        <v>32</v>
      </c>
      <c r="I6" s="8" t="n">
        <f aca="false">IF(EXACT(G6,H6),1,0)</f>
        <v>1</v>
      </c>
      <c r="J6" s="8" t="n">
        <v>1</v>
      </c>
      <c r="K6" s="8" t="s">
        <v>92</v>
      </c>
      <c r="L6" s="8" t="n">
        <v>0</v>
      </c>
      <c r="M6" s="8" t="n">
        <v>6</v>
      </c>
      <c r="N6" s="8" t="s">
        <v>1337</v>
      </c>
      <c r="O6" s="8" t="n">
        <v>2</v>
      </c>
      <c r="P6" s="10" t="n">
        <v>25.7</v>
      </c>
      <c r="Q6" s="8" t="n">
        <v>9892</v>
      </c>
      <c r="R6" s="8" t="n">
        <v>1039</v>
      </c>
      <c r="S6" s="8" t="s">
        <v>101</v>
      </c>
      <c r="T6" s="8" t="s">
        <v>95</v>
      </c>
      <c r="U6" s="8" t="s">
        <v>96</v>
      </c>
      <c r="V6" s="8"/>
      <c r="W6" s="8" t="s">
        <v>102</v>
      </c>
      <c r="X6" s="8" t="s">
        <v>103</v>
      </c>
      <c r="Y6" s="8" t="s">
        <v>1342</v>
      </c>
      <c r="Z6" s="8"/>
    </row>
    <row r="7" customFormat="false" ht="15" hidden="false" customHeight="false" outlineLevel="0" collapsed="false">
      <c r="A7" s="8" t="s">
        <v>100</v>
      </c>
      <c r="B7" s="8" t="s">
        <v>17</v>
      </c>
      <c r="C7" s="8" t="s">
        <v>18</v>
      </c>
      <c r="D7" s="8" t="s">
        <v>615</v>
      </c>
      <c r="E7" s="8" t="s">
        <v>35</v>
      </c>
      <c r="F7" s="8" t="s">
        <v>49</v>
      </c>
      <c r="G7" s="8" t="s">
        <v>32</v>
      </c>
      <c r="H7" s="8" t="s">
        <v>32</v>
      </c>
      <c r="I7" s="8" t="n">
        <f aca="false">IF(EXACT(G7,H7),1,0)</f>
        <v>1</v>
      </c>
      <c r="J7" s="8" t="n">
        <v>2</v>
      </c>
      <c r="K7" s="8" t="s">
        <v>92</v>
      </c>
      <c r="L7" s="8" t="n">
        <v>0</v>
      </c>
      <c r="M7" s="8" t="n">
        <v>6</v>
      </c>
      <c r="N7" s="8" t="s">
        <v>1337</v>
      </c>
      <c r="O7" s="8" t="n">
        <v>2</v>
      </c>
      <c r="P7" s="10" t="n">
        <v>25.77</v>
      </c>
      <c r="Q7" s="8" t="n">
        <v>9893</v>
      </c>
      <c r="R7" s="8" t="n">
        <v>1027</v>
      </c>
      <c r="S7" s="8" t="s">
        <v>101</v>
      </c>
      <c r="T7" s="8" t="s">
        <v>95</v>
      </c>
      <c r="U7" s="8" t="s">
        <v>96</v>
      </c>
      <c r="V7" s="8"/>
      <c r="W7" s="8" t="s">
        <v>102</v>
      </c>
      <c r="X7" s="8" t="s">
        <v>103</v>
      </c>
      <c r="Y7" s="8" t="s">
        <v>1343</v>
      </c>
      <c r="Z7" s="8"/>
    </row>
    <row r="8" customFormat="false" ht="15" hidden="false" customHeight="false" outlineLevel="0" collapsed="false">
      <c r="A8" s="8" t="s">
        <v>104</v>
      </c>
      <c r="B8" s="8" t="s">
        <v>17</v>
      </c>
      <c r="C8" s="8" t="s">
        <v>18</v>
      </c>
      <c r="D8" s="8" t="s">
        <v>615</v>
      </c>
      <c r="E8" s="8" t="s">
        <v>35</v>
      </c>
      <c r="F8" s="8" t="s">
        <v>49</v>
      </c>
      <c r="G8" s="8" t="s">
        <v>30</v>
      </c>
      <c r="H8" s="8" t="s">
        <v>32</v>
      </c>
      <c r="I8" s="8" t="n">
        <f aca="false">IF(EXACT(G8,H8),1,0)</f>
        <v>0</v>
      </c>
      <c r="J8" s="8" t="n">
        <v>0</v>
      </c>
      <c r="K8" s="8" t="s">
        <v>92</v>
      </c>
      <c r="L8" s="8" t="n">
        <v>0</v>
      </c>
      <c r="M8" s="8" t="n">
        <v>6</v>
      </c>
      <c r="N8" s="8" t="s">
        <v>1337</v>
      </c>
      <c r="O8" s="8" t="n">
        <v>2</v>
      </c>
      <c r="P8" s="10" t="n">
        <v>24.41</v>
      </c>
      <c r="Q8" s="8" t="n">
        <v>9801</v>
      </c>
      <c r="R8" s="8" t="n">
        <v>746</v>
      </c>
      <c r="S8" s="8" t="s">
        <v>105</v>
      </c>
      <c r="T8" s="8" t="s">
        <v>95</v>
      </c>
      <c r="U8" s="8" t="s">
        <v>96</v>
      </c>
      <c r="V8" s="8"/>
      <c r="W8" s="8" t="s">
        <v>106</v>
      </c>
      <c r="X8" s="8" t="s">
        <v>107</v>
      </c>
      <c r="Y8" s="8" t="s">
        <v>1344</v>
      </c>
      <c r="Z8" s="8"/>
    </row>
    <row r="9" customFormat="false" ht="15" hidden="false" customHeight="false" outlineLevel="0" collapsed="false">
      <c r="A9" s="8" t="s">
        <v>104</v>
      </c>
      <c r="B9" s="8" t="s">
        <v>17</v>
      </c>
      <c r="C9" s="8" t="s">
        <v>18</v>
      </c>
      <c r="D9" s="8" t="s">
        <v>615</v>
      </c>
      <c r="E9" s="8" t="s">
        <v>35</v>
      </c>
      <c r="F9" s="8" t="s">
        <v>49</v>
      </c>
      <c r="G9" s="8" t="s">
        <v>30</v>
      </c>
      <c r="H9" s="8" t="s">
        <v>32</v>
      </c>
      <c r="I9" s="8" t="n">
        <f aca="false">IF(EXACT(G9,H9),1,0)</f>
        <v>0</v>
      </c>
      <c r="J9" s="8" t="n">
        <v>1</v>
      </c>
      <c r="K9" s="8" t="s">
        <v>92</v>
      </c>
      <c r="L9" s="8" t="n">
        <v>0</v>
      </c>
      <c r="M9" s="8" t="n">
        <v>6</v>
      </c>
      <c r="N9" s="8" t="s">
        <v>1337</v>
      </c>
      <c r="O9" s="8" t="n">
        <v>2</v>
      </c>
      <c r="P9" s="10" t="n">
        <v>25.36</v>
      </c>
      <c r="Q9" s="8" t="n">
        <v>9801</v>
      </c>
      <c r="R9" s="8" t="n">
        <v>758</v>
      </c>
      <c r="S9" s="8" t="s">
        <v>105</v>
      </c>
      <c r="T9" s="8" t="s">
        <v>95</v>
      </c>
      <c r="U9" s="8" t="s">
        <v>96</v>
      </c>
      <c r="V9" s="8"/>
      <c r="W9" s="8" t="s">
        <v>106</v>
      </c>
      <c r="X9" s="8" t="s">
        <v>107</v>
      </c>
      <c r="Y9" s="8" t="s">
        <v>1345</v>
      </c>
      <c r="Z9" s="8"/>
    </row>
    <row r="10" customFormat="false" ht="15" hidden="false" customHeight="false" outlineLevel="0" collapsed="false">
      <c r="A10" s="8" t="s">
        <v>104</v>
      </c>
      <c r="B10" s="8" t="s">
        <v>17</v>
      </c>
      <c r="C10" s="8" t="s">
        <v>18</v>
      </c>
      <c r="D10" s="8" t="s">
        <v>615</v>
      </c>
      <c r="E10" s="8" t="s">
        <v>35</v>
      </c>
      <c r="F10" s="8" t="s">
        <v>49</v>
      </c>
      <c r="G10" s="8" t="s">
        <v>30</v>
      </c>
      <c r="H10" s="8" t="s">
        <v>32</v>
      </c>
      <c r="I10" s="8" t="n">
        <f aca="false">IF(EXACT(G10,H10),1,0)</f>
        <v>0</v>
      </c>
      <c r="J10" s="8" t="n">
        <v>2</v>
      </c>
      <c r="K10" s="8" t="s">
        <v>92</v>
      </c>
      <c r="L10" s="8" t="n">
        <v>0</v>
      </c>
      <c r="M10" s="8" t="n">
        <v>6</v>
      </c>
      <c r="N10" s="8" t="s">
        <v>1337</v>
      </c>
      <c r="O10" s="8" t="n">
        <v>2</v>
      </c>
      <c r="P10" s="10" t="n">
        <v>28.57</v>
      </c>
      <c r="Q10" s="8" t="n">
        <v>9801</v>
      </c>
      <c r="R10" s="8" t="n">
        <v>896</v>
      </c>
      <c r="S10" s="8" t="s">
        <v>105</v>
      </c>
      <c r="T10" s="8" t="s">
        <v>95</v>
      </c>
      <c r="U10" s="8" t="s">
        <v>96</v>
      </c>
      <c r="V10" s="8"/>
      <c r="W10" s="8" t="s">
        <v>106</v>
      </c>
      <c r="X10" s="8" t="s">
        <v>107</v>
      </c>
      <c r="Y10" s="8" t="s">
        <v>1346</v>
      </c>
      <c r="Z10" s="8"/>
    </row>
    <row r="11" customFormat="false" ht="15" hidden="false" customHeight="false" outlineLevel="0" collapsed="false">
      <c r="A11" s="8" t="s">
        <v>109</v>
      </c>
      <c r="B11" s="8" t="s">
        <v>17</v>
      </c>
      <c r="C11" s="8" t="s">
        <v>18</v>
      </c>
      <c r="D11" s="8" t="s">
        <v>615</v>
      </c>
      <c r="E11" s="8" t="s">
        <v>35</v>
      </c>
      <c r="F11" s="8" t="s">
        <v>49</v>
      </c>
      <c r="G11" s="8" t="s">
        <v>30</v>
      </c>
      <c r="H11" s="8" t="s">
        <v>31</v>
      </c>
      <c r="I11" s="8" t="n">
        <f aca="false">IF(EXACT(G11,H11),1,0)</f>
        <v>0</v>
      </c>
      <c r="J11" s="8" t="n">
        <v>0</v>
      </c>
      <c r="K11" s="8" t="s">
        <v>116</v>
      </c>
      <c r="L11" s="8" t="n">
        <v>1</v>
      </c>
      <c r="M11" s="8" t="n">
        <v>6</v>
      </c>
      <c r="N11" s="8" t="s">
        <v>1337</v>
      </c>
      <c r="O11" s="8" t="n">
        <v>2</v>
      </c>
      <c r="P11" s="10" t="n">
        <v>42.29</v>
      </c>
      <c r="Q11" s="8" t="n">
        <v>11873</v>
      </c>
      <c r="R11" s="8" t="n">
        <v>2276</v>
      </c>
      <c r="S11" s="8" t="s">
        <v>110</v>
      </c>
      <c r="T11" s="8" t="s">
        <v>111</v>
      </c>
      <c r="U11" s="8" t="s">
        <v>112</v>
      </c>
      <c r="V11" s="8"/>
      <c r="W11" s="8" t="s">
        <v>113</v>
      </c>
      <c r="X11" s="8" t="s">
        <v>114</v>
      </c>
      <c r="Y11" s="8" t="s">
        <v>1347</v>
      </c>
      <c r="Z11" s="8" t="s">
        <v>1348</v>
      </c>
    </row>
    <row r="12" customFormat="false" ht="15" hidden="false" customHeight="false" outlineLevel="0" collapsed="false">
      <c r="A12" s="8" t="s">
        <v>109</v>
      </c>
      <c r="B12" s="8" t="s">
        <v>17</v>
      </c>
      <c r="C12" s="8" t="s">
        <v>18</v>
      </c>
      <c r="D12" s="8" t="s">
        <v>615</v>
      </c>
      <c r="E12" s="8" t="s">
        <v>35</v>
      </c>
      <c r="F12" s="8" t="s">
        <v>49</v>
      </c>
      <c r="G12" s="8" t="s">
        <v>30</v>
      </c>
      <c r="H12" s="8" t="s">
        <v>31</v>
      </c>
      <c r="I12" s="8" t="n">
        <f aca="false">IF(EXACT(G12,H12),1,0)</f>
        <v>0</v>
      </c>
      <c r="J12" s="8" t="n">
        <v>1</v>
      </c>
      <c r="K12" s="8" t="s">
        <v>737</v>
      </c>
      <c r="L12" s="8" t="n">
        <v>1</v>
      </c>
      <c r="M12" s="8" t="n">
        <v>6</v>
      </c>
      <c r="N12" s="8" t="s">
        <v>1337</v>
      </c>
      <c r="O12" s="8" t="n">
        <v>2</v>
      </c>
      <c r="P12" s="10" t="n">
        <v>40.9</v>
      </c>
      <c r="Q12" s="8" t="n">
        <v>12079</v>
      </c>
      <c r="R12" s="8" t="n">
        <v>2321</v>
      </c>
      <c r="S12" s="8" t="s">
        <v>110</v>
      </c>
      <c r="T12" s="8" t="s">
        <v>111</v>
      </c>
      <c r="U12" s="8" t="s">
        <v>112</v>
      </c>
      <c r="V12" s="8"/>
      <c r="W12" s="8" t="s">
        <v>113</v>
      </c>
      <c r="X12" s="8" t="s">
        <v>114</v>
      </c>
      <c r="Y12" s="8" t="s">
        <v>1349</v>
      </c>
      <c r="Z12" s="8" t="s">
        <v>1350</v>
      </c>
    </row>
    <row r="13" customFormat="false" ht="15" hidden="false" customHeight="false" outlineLevel="0" collapsed="false">
      <c r="A13" s="8" t="s">
        <v>109</v>
      </c>
      <c r="B13" s="8" t="s">
        <v>17</v>
      </c>
      <c r="C13" s="8" t="s">
        <v>18</v>
      </c>
      <c r="D13" s="8" t="s">
        <v>615</v>
      </c>
      <c r="E13" s="8" t="s">
        <v>35</v>
      </c>
      <c r="F13" s="8" t="s">
        <v>49</v>
      </c>
      <c r="G13" s="8" t="s">
        <v>30</v>
      </c>
      <c r="H13" s="8" t="s">
        <v>31</v>
      </c>
      <c r="I13" s="8" t="n">
        <f aca="false">IF(EXACT(G13,H13),1,0)</f>
        <v>0</v>
      </c>
      <c r="J13" s="8" t="n">
        <v>2</v>
      </c>
      <c r="K13" s="8" t="s">
        <v>737</v>
      </c>
      <c r="L13" s="8" t="n">
        <v>1</v>
      </c>
      <c r="M13" s="8" t="n">
        <v>6</v>
      </c>
      <c r="N13" s="8" t="s">
        <v>1337</v>
      </c>
      <c r="O13" s="8" t="n">
        <v>2</v>
      </c>
      <c r="P13" s="10" t="n">
        <v>41.43</v>
      </c>
      <c r="Q13" s="8" t="n">
        <v>12086</v>
      </c>
      <c r="R13" s="8" t="n">
        <v>2316</v>
      </c>
      <c r="S13" s="8" t="s">
        <v>110</v>
      </c>
      <c r="T13" s="8" t="s">
        <v>111</v>
      </c>
      <c r="U13" s="8" t="s">
        <v>112</v>
      </c>
      <c r="V13" s="8"/>
      <c r="W13" s="8" t="s">
        <v>113</v>
      </c>
      <c r="X13" s="8" t="s">
        <v>114</v>
      </c>
      <c r="Y13" s="8" t="s">
        <v>1351</v>
      </c>
      <c r="Z13" s="8" t="s">
        <v>1352</v>
      </c>
    </row>
    <row r="14" customFormat="false" ht="15" hidden="false" customHeight="false" outlineLevel="0" collapsed="false">
      <c r="A14" s="8" t="s">
        <v>115</v>
      </c>
      <c r="B14" s="8" t="s">
        <v>17</v>
      </c>
      <c r="C14" s="8" t="s">
        <v>18</v>
      </c>
      <c r="D14" s="8" t="s">
        <v>615</v>
      </c>
      <c r="E14" s="8" t="s">
        <v>35</v>
      </c>
      <c r="F14" s="8" t="s">
        <v>49</v>
      </c>
      <c r="G14" s="8" t="s">
        <v>31</v>
      </c>
      <c r="H14" s="8" t="s">
        <v>31</v>
      </c>
      <c r="I14" s="8" t="n">
        <f aca="false">IF(EXACT(G14,H14),1,0)</f>
        <v>1</v>
      </c>
      <c r="J14" s="8" t="n">
        <v>0</v>
      </c>
      <c r="K14" s="8" t="s">
        <v>140</v>
      </c>
      <c r="L14" s="8" t="n">
        <v>1</v>
      </c>
      <c r="M14" s="8" t="n">
        <v>6</v>
      </c>
      <c r="N14" s="8" t="s">
        <v>1337</v>
      </c>
      <c r="O14" s="8" t="n">
        <v>2</v>
      </c>
      <c r="P14" s="10" t="n">
        <v>40.34</v>
      </c>
      <c r="Q14" s="8" t="n">
        <v>11327</v>
      </c>
      <c r="R14" s="8" t="n">
        <v>2140</v>
      </c>
      <c r="S14" s="8" t="s">
        <v>117</v>
      </c>
      <c r="T14" s="8" t="s">
        <v>111</v>
      </c>
      <c r="U14" s="8" t="s">
        <v>112</v>
      </c>
      <c r="V14" s="8"/>
      <c r="W14" s="8" t="s">
        <v>118</v>
      </c>
      <c r="X14" s="8" t="s">
        <v>119</v>
      </c>
      <c r="Y14" s="8" t="s">
        <v>1353</v>
      </c>
      <c r="Z14" s="8" t="s">
        <v>1354</v>
      </c>
    </row>
    <row r="15" customFormat="false" ht="15" hidden="false" customHeight="false" outlineLevel="0" collapsed="false">
      <c r="A15" s="8" t="s">
        <v>115</v>
      </c>
      <c r="B15" s="8" t="s">
        <v>17</v>
      </c>
      <c r="C15" s="8" t="s">
        <v>18</v>
      </c>
      <c r="D15" s="8" t="s">
        <v>615</v>
      </c>
      <c r="E15" s="8" t="s">
        <v>35</v>
      </c>
      <c r="F15" s="8" t="s">
        <v>49</v>
      </c>
      <c r="G15" s="8" t="s">
        <v>31</v>
      </c>
      <c r="H15" s="8" t="s">
        <v>31</v>
      </c>
      <c r="I15" s="8" t="n">
        <f aca="false">IF(EXACT(G15,H15),1,0)</f>
        <v>1</v>
      </c>
      <c r="J15" s="8" t="n">
        <v>1</v>
      </c>
      <c r="K15" s="8" t="s">
        <v>140</v>
      </c>
      <c r="L15" s="8" t="n">
        <v>1</v>
      </c>
      <c r="M15" s="8" t="n">
        <v>6</v>
      </c>
      <c r="N15" s="8" t="s">
        <v>1337</v>
      </c>
      <c r="O15" s="8" t="n">
        <v>2</v>
      </c>
      <c r="P15" s="10" t="n">
        <v>41.65</v>
      </c>
      <c r="Q15" s="8" t="n">
        <v>11329</v>
      </c>
      <c r="R15" s="8" t="n">
        <v>2114</v>
      </c>
      <c r="S15" s="8" t="s">
        <v>117</v>
      </c>
      <c r="T15" s="8" t="s">
        <v>111</v>
      </c>
      <c r="U15" s="8" t="s">
        <v>112</v>
      </c>
      <c r="V15" s="8"/>
      <c r="W15" s="8" t="s">
        <v>118</v>
      </c>
      <c r="X15" s="8" t="s">
        <v>119</v>
      </c>
      <c r="Y15" s="8" t="s">
        <v>1355</v>
      </c>
      <c r="Z15" s="8" t="s">
        <v>1356</v>
      </c>
    </row>
    <row r="16" customFormat="false" ht="15" hidden="false" customHeight="false" outlineLevel="0" collapsed="false">
      <c r="A16" s="8" t="s">
        <v>115</v>
      </c>
      <c r="B16" s="8" t="s">
        <v>17</v>
      </c>
      <c r="C16" s="8" t="s">
        <v>18</v>
      </c>
      <c r="D16" s="8" t="s">
        <v>615</v>
      </c>
      <c r="E16" s="8" t="s">
        <v>35</v>
      </c>
      <c r="F16" s="8" t="s">
        <v>49</v>
      </c>
      <c r="G16" s="8" t="s">
        <v>31</v>
      </c>
      <c r="H16" s="8" t="s">
        <v>31</v>
      </c>
      <c r="I16" s="8" t="n">
        <f aca="false">IF(EXACT(G16,H16),1,0)</f>
        <v>1</v>
      </c>
      <c r="J16" s="8" t="n">
        <v>2</v>
      </c>
      <c r="K16" s="8" t="s">
        <v>140</v>
      </c>
      <c r="L16" s="8" t="n">
        <v>1</v>
      </c>
      <c r="M16" s="8" t="n">
        <v>6</v>
      </c>
      <c r="N16" s="8" t="s">
        <v>1337</v>
      </c>
      <c r="O16" s="8" t="n">
        <v>2</v>
      </c>
      <c r="P16" s="10" t="n">
        <v>43.3</v>
      </c>
      <c r="Q16" s="8" t="n">
        <v>11328</v>
      </c>
      <c r="R16" s="8" t="n">
        <v>2186</v>
      </c>
      <c r="S16" s="8" t="s">
        <v>117</v>
      </c>
      <c r="T16" s="8" t="s">
        <v>111</v>
      </c>
      <c r="U16" s="8" t="s">
        <v>112</v>
      </c>
      <c r="V16" s="8"/>
      <c r="W16" s="8" t="s">
        <v>118</v>
      </c>
      <c r="X16" s="8" t="s">
        <v>119</v>
      </c>
      <c r="Y16" s="8" t="s">
        <v>1357</v>
      </c>
      <c r="Z16" s="8" t="s">
        <v>1358</v>
      </c>
    </row>
    <row r="17" customFormat="false" ht="15" hidden="false" customHeight="false" outlineLevel="0" collapsed="false">
      <c r="A17" s="8" t="s">
        <v>121</v>
      </c>
      <c r="B17" s="8" t="s">
        <v>17</v>
      </c>
      <c r="C17" s="8" t="s">
        <v>18</v>
      </c>
      <c r="D17" s="8" t="s">
        <v>615</v>
      </c>
      <c r="E17" s="8" t="s">
        <v>35</v>
      </c>
      <c r="F17" s="8" t="s">
        <v>49</v>
      </c>
      <c r="G17" s="8" t="s">
        <v>31</v>
      </c>
      <c r="H17" s="8" t="s">
        <v>31</v>
      </c>
      <c r="I17" s="8" t="n">
        <f aca="false">IF(EXACT(G17,H17),1,0)</f>
        <v>1</v>
      </c>
      <c r="J17" s="8" t="n">
        <v>0</v>
      </c>
      <c r="K17" s="8" t="s">
        <v>140</v>
      </c>
      <c r="L17" s="8" t="n">
        <v>1</v>
      </c>
      <c r="M17" s="8" t="n">
        <v>6</v>
      </c>
      <c r="N17" s="8" t="s">
        <v>1337</v>
      </c>
      <c r="O17" s="8" t="n">
        <v>2</v>
      </c>
      <c r="P17" s="10" t="n">
        <v>37.35</v>
      </c>
      <c r="Q17" s="8" t="n">
        <v>9847</v>
      </c>
      <c r="R17" s="8" t="n">
        <v>1120</v>
      </c>
      <c r="S17" s="8" t="s">
        <v>117</v>
      </c>
      <c r="T17" s="8" t="s">
        <v>95</v>
      </c>
      <c r="U17" s="8" t="s">
        <v>96</v>
      </c>
      <c r="V17" s="8"/>
      <c r="W17" s="8" t="s">
        <v>122</v>
      </c>
      <c r="X17" s="8" t="s">
        <v>123</v>
      </c>
      <c r="Y17" s="8" t="s">
        <v>1359</v>
      </c>
      <c r="Z17" s="8" t="s">
        <v>1360</v>
      </c>
    </row>
    <row r="18" customFormat="false" ht="15" hidden="false" customHeight="false" outlineLevel="0" collapsed="false">
      <c r="A18" s="8" t="s">
        <v>121</v>
      </c>
      <c r="B18" s="8" t="s">
        <v>17</v>
      </c>
      <c r="C18" s="8" t="s">
        <v>18</v>
      </c>
      <c r="D18" s="8" t="s">
        <v>615</v>
      </c>
      <c r="E18" s="8" t="s">
        <v>35</v>
      </c>
      <c r="F18" s="8" t="s">
        <v>49</v>
      </c>
      <c r="G18" s="8" t="s">
        <v>31</v>
      </c>
      <c r="H18" s="8" t="s">
        <v>31</v>
      </c>
      <c r="I18" s="8" t="n">
        <f aca="false">IF(EXACT(G18,H18),1,0)</f>
        <v>1</v>
      </c>
      <c r="J18" s="8" t="n">
        <v>1</v>
      </c>
      <c r="K18" s="8" t="s">
        <v>140</v>
      </c>
      <c r="L18" s="8" t="n">
        <v>1</v>
      </c>
      <c r="M18" s="8" t="n">
        <v>6</v>
      </c>
      <c r="N18" s="8" t="s">
        <v>1337</v>
      </c>
      <c r="O18" s="8" t="n">
        <v>2</v>
      </c>
      <c r="P18" s="10" t="n">
        <v>36.82</v>
      </c>
      <c r="Q18" s="8" t="n">
        <v>9841</v>
      </c>
      <c r="R18" s="8" t="n">
        <v>1145</v>
      </c>
      <c r="S18" s="8" t="s">
        <v>117</v>
      </c>
      <c r="T18" s="8" t="s">
        <v>95</v>
      </c>
      <c r="U18" s="8" t="s">
        <v>96</v>
      </c>
      <c r="V18" s="8"/>
      <c r="W18" s="8" t="s">
        <v>122</v>
      </c>
      <c r="X18" s="8" t="s">
        <v>123</v>
      </c>
      <c r="Y18" s="8" t="s">
        <v>1361</v>
      </c>
      <c r="Z18" s="8" t="s">
        <v>1362</v>
      </c>
    </row>
    <row r="19" customFormat="false" ht="15" hidden="false" customHeight="false" outlineLevel="0" collapsed="false">
      <c r="A19" s="8" t="s">
        <v>121</v>
      </c>
      <c r="B19" s="8" t="s">
        <v>17</v>
      </c>
      <c r="C19" s="8" t="s">
        <v>18</v>
      </c>
      <c r="D19" s="8" t="s">
        <v>615</v>
      </c>
      <c r="E19" s="8" t="s">
        <v>35</v>
      </c>
      <c r="F19" s="8" t="s">
        <v>49</v>
      </c>
      <c r="G19" s="8" t="s">
        <v>31</v>
      </c>
      <c r="H19" s="8" t="s">
        <v>31</v>
      </c>
      <c r="I19" s="8" t="n">
        <f aca="false">IF(EXACT(G19,H19),1,0)</f>
        <v>1</v>
      </c>
      <c r="J19" s="8" t="n">
        <v>2</v>
      </c>
      <c r="K19" s="8" t="s">
        <v>140</v>
      </c>
      <c r="L19" s="8" t="n">
        <v>1</v>
      </c>
      <c r="M19" s="8" t="n">
        <v>6</v>
      </c>
      <c r="N19" s="8" t="s">
        <v>1337</v>
      </c>
      <c r="O19" s="8" t="n">
        <v>2</v>
      </c>
      <c r="P19" s="10" t="n">
        <v>40.81</v>
      </c>
      <c r="Q19" s="8" t="n">
        <v>9847</v>
      </c>
      <c r="R19" s="8" t="n">
        <v>1311</v>
      </c>
      <c r="S19" s="8" t="s">
        <v>117</v>
      </c>
      <c r="T19" s="8" t="s">
        <v>95</v>
      </c>
      <c r="U19" s="8" t="s">
        <v>96</v>
      </c>
      <c r="V19" s="8"/>
      <c r="W19" s="8" t="s">
        <v>122</v>
      </c>
      <c r="X19" s="8" t="s">
        <v>123</v>
      </c>
      <c r="Y19" s="8" t="s">
        <v>1363</v>
      </c>
      <c r="Z19" s="8" t="s">
        <v>1364</v>
      </c>
    </row>
    <row r="20" customFormat="false" ht="15" hidden="false" customHeight="false" outlineLevel="0" collapsed="false">
      <c r="A20" s="8" t="s">
        <v>124</v>
      </c>
      <c r="B20" s="8" t="s">
        <v>17</v>
      </c>
      <c r="C20" s="8" t="s">
        <v>18</v>
      </c>
      <c r="D20" s="8" t="s">
        <v>615</v>
      </c>
      <c r="E20" s="8" t="s">
        <v>35</v>
      </c>
      <c r="F20" s="8" t="s">
        <v>50</v>
      </c>
      <c r="G20" s="8" t="s">
        <v>32</v>
      </c>
      <c r="H20" s="8" t="s">
        <v>31</v>
      </c>
      <c r="I20" s="8" t="n">
        <f aca="false">IF(EXACT(G20,H20),1,0)</f>
        <v>0</v>
      </c>
      <c r="J20" s="8" t="n">
        <v>0</v>
      </c>
      <c r="K20" s="8" t="s">
        <v>140</v>
      </c>
      <c r="L20" s="8" t="n">
        <v>1</v>
      </c>
      <c r="M20" s="8" t="n">
        <v>6</v>
      </c>
      <c r="N20" s="8" t="s">
        <v>1337</v>
      </c>
      <c r="O20" s="8" t="n">
        <v>2</v>
      </c>
      <c r="P20" s="10" t="n">
        <v>33.42</v>
      </c>
      <c r="Q20" s="8" t="n">
        <v>9860</v>
      </c>
      <c r="R20" s="8" t="n">
        <v>1016</v>
      </c>
      <c r="S20" s="8" t="s">
        <v>125</v>
      </c>
      <c r="T20" s="8" t="s">
        <v>126</v>
      </c>
      <c r="U20" s="8" t="s">
        <v>127</v>
      </c>
      <c r="V20" s="8"/>
      <c r="W20" s="8" t="s">
        <v>128</v>
      </c>
      <c r="X20" s="8" t="s">
        <v>129</v>
      </c>
      <c r="Y20" s="8" t="s">
        <v>1365</v>
      </c>
      <c r="Z20" s="8" t="s">
        <v>1366</v>
      </c>
    </row>
    <row r="21" customFormat="false" ht="15" hidden="false" customHeight="false" outlineLevel="0" collapsed="false">
      <c r="A21" s="8" t="s">
        <v>124</v>
      </c>
      <c r="B21" s="8" t="s">
        <v>17</v>
      </c>
      <c r="C21" s="8" t="s">
        <v>18</v>
      </c>
      <c r="D21" s="8" t="s">
        <v>615</v>
      </c>
      <c r="E21" s="8" t="s">
        <v>35</v>
      </c>
      <c r="F21" s="8" t="s">
        <v>50</v>
      </c>
      <c r="G21" s="8" t="s">
        <v>32</v>
      </c>
      <c r="H21" s="8" t="s">
        <v>31</v>
      </c>
      <c r="I21" s="8" t="n">
        <f aca="false">IF(EXACT(G21,H21),1,0)</f>
        <v>0</v>
      </c>
      <c r="J21" s="8" t="n">
        <v>1</v>
      </c>
      <c r="K21" s="8" t="s">
        <v>140</v>
      </c>
      <c r="L21" s="8" t="n">
        <v>1</v>
      </c>
      <c r="M21" s="8" t="n">
        <v>6</v>
      </c>
      <c r="N21" s="8" t="s">
        <v>1337</v>
      </c>
      <c r="O21" s="8" t="n">
        <v>2</v>
      </c>
      <c r="P21" s="10" t="n">
        <v>33.18</v>
      </c>
      <c r="Q21" s="8" t="n">
        <v>9866</v>
      </c>
      <c r="R21" s="8" t="n">
        <v>993</v>
      </c>
      <c r="S21" s="8" t="s">
        <v>125</v>
      </c>
      <c r="T21" s="8" t="s">
        <v>126</v>
      </c>
      <c r="U21" s="8" t="s">
        <v>127</v>
      </c>
      <c r="V21" s="8"/>
      <c r="W21" s="8" t="s">
        <v>128</v>
      </c>
      <c r="X21" s="8" t="s">
        <v>129</v>
      </c>
      <c r="Y21" s="8" t="s">
        <v>1367</v>
      </c>
      <c r="Z21" s="8" t="s">
        <v>1368</v>
      </c>
    </row>
    <row r="22" customFormat="false" ht="15" hidden="false" customHeight="false" outlineLevel="0" collapsed="false">
      <c r="A22" s="8" t="s">
        <v>124</v>
      </c>
      <c r="B22" s="8" t="s">
        <v>17</v>
      </c>
      <c r="C22" s="8" t="s">
        <v>18</v>
      </c>
      <c r="D22" s="8" t="s">
        <v>615</v>
      </c>
      <c r="E22" s="8" t="s">
        <v>35</v>
      </c>
      <c r="F22" s="8" t="s">
        <v>50</v>
      </c>
      <c r="G22" s="8" t="s">
        <v>32</v>
      </c>
      <c r="H22" s="8" t="s">
        <v>31</v>
      </c>
      <c r="I22" s="8" t="n">
        <f aca="false">IF(EXACT(G22,H22),1,0)</f>
        <v>0</v>
      </c>
      <c r="J22" s="8" t="n">
        <v>2</v>
      </c>
      <c r="K22" s="8" t="s">
        <v>140</v>
      </c>
      <c r="L22" s="8" t="n">
        <v>1</v>
      </c>
      <c r="M22" s="8" t="n">
        <v>6</v>
      </c>
      <c r="N22" s="8" t="s">
        <v>1337</v>
      </c>
      <c r="O22" s="8" t="n">
        <v>2</v>
      </c>
      <c r="P22" s="10" t="n">
        <v>35.32</v>
      </c>
      <c r="Q22" s="8" t="n">
        <v>9866</v>
      </c>
      <c r="R22" s="8" t="n">
        <v>1020</v>
      </c>
      <c r="S22" s="8" t="s">
        <v>125</v>
      </c>
      <c r="T22" s="8" t="s">
        <v>126</v>
      </c>
      <c r="U22" s="8" t="s">
        <v>127</v>
      </c>
      <c r="V22" s="8"/>
      <c r="W22" s="8" t="s">
        <v>128</v>
      </c>
      <c r="X22" s="8" t="s">
        <v>129</v>
      </c>
      <c r="Y22" s="8" t="s">
        <v>1369</v>
      </c>
      <c r="Z22" s="8" t="s">
        <v>1370</v>
      </c>
    </row>
    <row r="23" customFormat="false" ht="15" hidden="false" customHeight="false" outlineLevel="0" collapsed="false">
      <c r="A23" s="8" t="s">
        <v>131</v>
      </c>
      <c r="B23" s="8" t="s">
        <v>17</v>
      </c>
      <c r="C23" s="8" t="s">
        <v>18</v>
      </c>
      <c r="D23" s="8" t="s">
        <v>615</v>
      </c>
      <c r="E23" s="8" t="s">
        <v>35</v>
      </c>
      <c r="F23" s="8" t="s">
        <v>50</v>
      </c>
      <c r="G23" s="8" t="s">
        <v>32</v>
      </c>
      <c r="H23" s="8" t="s">
        <v>32</v>
      </c>
      <c r="I23" s="8" t="n">
        <f aca="false">IF(EXACT(G23,H23),1,0)</f>
        <v>1</v>
      </c>
      <c r="J23" s="8" t="n">
        <v>0</v>
      </c>
      <c r="K23" s="8" t="s">
        <v>92</v>
      </c>
      <c r="L23" s="8" t="n">
        <v>0</v>
      </c>
      <c r="M23" s="8" t="n">
        <v>6</v>
      </c>
      <c r="N23" s="8" t="s">
        <v>1337</v>
      </c>
      <c r="O23" s="8" t="n">
        <v>2</v>
      </c>
      <c r="P23" s="10" t="n">
        <v>31.95</v>
      </c>
      <c r="Q23" s="8" t="n">
        <v>9738</v>
      </c>
      <c r="R23" s="8" t="n">
        <v>803</v>
      </c>
      <c r="S23" s="8" t="s">
        <v>132</v>
      </c>
      <c r="T23" s="8" t="s">
        <v>126</v>
      </c>
      <c r="U23" s="8" t="s">
        <v>127</v>
      </c>
      <c r="V23" s="8"/>
      <c r="W23" s="8" t="s">
        <v>133</v>
      </c>
      <c r="X23" s="8" t="s">
        <v>134</v>
      </c>
      <c r="Y23" s="8" t="s">
        <v>1371</v>
      </c>
      <c r="Z23" s="8"/>
    </row>
    <row r="24" customFormat="false" ht="15" hidden="false" customHeight="false" outlineLevel="0" collapsed="false">
      <c r="A24" s="8" t="s">
        <v>131</v>
      </c>
      <c r="B24" s="8" t="s">
        <v>17</v>
      </c>
      <c r="C24" s="8" t="s">
        <v>18</v>
      </c>
      <c r="D24" s="8" t="s">
        <v>615</v>
      </c>
      <c r="E24" s="8" t="s">
        <v>35</v>
      </c>
      <c r="F24" s="8" t="s">
        <v>50</v>
      </c>
      <c r="G24" s="8" t="s">
        <v>32</v>
      </c>
      <c r="H24" s="8" t="s">
        <v>30</v>
      </c>
      <c r="I24" s="8" t="n">
        <f aca="false">IF(EXACT(G24,H24),1,0)</f>
        <v>0</v>
      </c>
      <c r="J24" s="8" t="n">
        <v>1</v>
      </c>
      <c r="K24" s="8" t="s">
        <v>92</v>
      </c>
      <c r="L24" s="8" t="n">
        <v>0</v>
      </c>
      <c r="M24" s="8" t="n">
        <v>6</v>
      </c>
      <c r="N24" s="8" t="s">
        <v>1337</v>
      </c>
      <c r="O24" s="8" t="n">
        <v>2</v>
      </c>
      <c r="P24" s="10" t="n">
        <v>34</v>
      </c>
      <c r="Q24" s="8" t="n">
        <v>9738</v>
      </c>
      <c r="R24" s="8" t="n">
        <v>1001</v>
      </c>
      <c r="S24" s="8" t="s">
        <v>132</v>
      </c>
      <c r="T24" s="8" t="s">
        <v>126</v>
      </c>
      <c r="U24" s="8" t="s">
        <v>127</v>
      </c>
      <c r="V24" s="8"/>
      <c r="W24" s="8" t="s">
        <v>133</v>
      </c>
      <c r="X24" s="8" t="s">
        <v>134</v>
      </c>
      <c r="Y24" s="8" t="s">
        <v>1372</v>
      </c>
      <c r="Z24" s="8"/>
    </row>
    <row r="25" customFormat="false" ht="15" hidden="false" customHeight="false" outlineLevel="0" collapsed="false">
      <c r="A25" s="8" t="s">
        <v>131</v>
      </c>
      <c r="B25" s="8" t="s">
        <v>17</v>
      </c>
      <c r="C25" s="8" t="s">
        <v>18</v>
      </c>
      <c r="D25" s="8" t="s">
        <v>615</v>
      </c>
      <c r="E25" s="8" t="s">
        <v>35</v>
      </c>
      <c r="F25" s="8" t="s">
        <v>50</v>
      </c>
      <c r="G25" s="8" t="s">
        <v>32</v>
      </c>
      <c r="H25" s="8" t="s">
        <v>32</v>
      </c>
      <c r="I25" s="8" t="n">
        <f aca="false">IF(EXACT(G25,H25),1,0)</f>
        <v>1</v>
      </c>
      <c r="J25" s="8" t="n">
        <v>2</v>
      </c>
      <c r="K25" s="8" t="s">
        <v>92</v>
      </c>
      <c r="L25" s="8" t="n">
        <v>0</v>
      </c>
      <c r="M25" s="8" t="n">
        <v>6</v>
      </c>
      <c r="N25" s="8" t="s">
        <v>1337</v>
      </c>
      <c r="O25" s="8" t="n">
        <v>2</v>
      </c>
      <c r="P25" s="10" t="n">
        <v>30.82</v>
      </c>
      <c r="Q25" s="8" t="n">
        <v>9738</v>
      </c>
      <c r="R25" s="8" t="n">
        <v>812</v>
      </c>
      <c r="S25" s="8" t="s">
        <v>132</v>
      </c>
      <c r="T25" s="8" t="s">
        <v>126</v>
      </c>
      <c r="U25" s="8" t="s">
        <v>127</v>
      </c>
      <c r="V25" s="8"/>
      <c r="W25" s="8" t="s">
        <v>133</v>
      </c>
      <c r="X25" s="8" t="s">
        <v>134</v>
      </c>
      <c r="Y25" s="8" t="s">
        <v>1373</v>
      </c>
      <c r="Z25" s="8"/>
    </row>
    <row r="26" customFormat="false" ht="15" hidden="false" customHeight="false" outlineLevel="0" collapsed="false">
      <c r="A26" s="8" t="s">
        <v>135</v>
      </c>
      <c r="B26" s="8" t="s">
        <v>17</v>
      </c>
      <c r="C26" s="8" t="s">
        <v>18</v>
      </c>
      <c r="D26" s="8" t="s">
        <v>615</v>
      </c>
      <c r="E26" s="8" t="s">
        <v>35</v>
      </c>
      <c r="F26" s="8" t="s">
        <v>50</v>
      </c>
      <c r="G26" s="8" t="s">
        <v>30</v>
      </c>
      <c r="H26" s="8" t="s">
        <v>31</v>
      </c>
      <c r="I26" s="8" t="n">
        <f aca="false">IF(EXACT(G26,H26),1,0)</f>
        <v>0</v>
      </c>
      <c r="J26" s="8" t="n">
        <v>0</v>
      </c>
      <c r="K26" s="8" t="s">
        <v>140</v>
      </c>
      <c r="L26" s="8" t="n">
        <v>1</v>
      </c>
      <c r="M26" s="8" t="n">
        <v>6</v>
      </c>
      <c r="N26" s="8" t="s">
        <v>1374</v>
      </c>
      <c r="O26" s="8" t="n">
        <v>2</v>
      </c>
      <c r="P26" s="10" t="n">
        <v>36.46</v>
      </c>
      <c r="Q26" s="8" t="n">
        <v>10203</v>
      </c>
      <c r="R26" s="8" t="n">
        <v>1000</v>
      </c>
      <c r="S26" s="8" t="s">
        <v>105</v>
      </c>
      <c r="T26" s="8" t="s">
        <v>126</v>
      </c>
      <c r="U26" s="8" t="s">
        <v>127</v>
      </c>
      <c r="V26" s="8"/>
      <c r="W26" s="8" t="s">
        <v>136</v>
      </c>
      <c r="X26" s="8" t="s">
        <v>137</v>
      </c>
      <c r="Y26" s="8" t="s">
        <v>1375</v>
      </c>
      <c r="Z26" s="8" t="s">
        <v>1376</v>
      </c>
    </row>
    <row r="27" customFormat="false" ht="15" hidden="false" customHeight="false" outlineLevel="0" collapsed="false">
      <c r="A27" s="8" t="s">
        <v>135</v>
      </c>
      <c r="B27" s="8" t="s">
        <v>17</v>
      </c>
      <c r="C27" s="8" t="s">
        <v>18</v>
      </c>
      <c r="D27" s="8" t="s">
        <v>615</v>
      </c>
      <c r="E27" s="8" t="s">
        <v>35</v>
      </c>
      <c r="F27" s="8" t="s">
        <v>50</v>
      </c>
      <c r="G27" s="8" t="s">
        <v>30</v>
      </c>
      <c r="H27" s="8" t="s">
        <v>31</v>
      </c>
      <c r="I27" s="8" t="n">
        <f aca="false">IF(EXACT(G27,H27),1,0)</f>
        <v>0</v>
      </c>
      <c r="J27" s="8" t="n">
        <v>1</v>
      </c>
      <c r="K27" s="8" t="s">
        <v>140</v>
      </c>
      <c r="L27" s="8" t="n">
        <v>3</v>
      </c>
      <c r="M27" s="8" t="n">
        <v>6</v>
      </c>
      <c r="N27" s="8" t="s">
        <v>1337</v>
      </c>
      <c r="O27" s="8" t="n">
        <v>2</v>
      </c>
      <c r="P27" s="10" t="n">
        <v>38.68</v>
      </c>
      <c r="Q27" s="8" t="n">
        <v>10012</v>
      </c>
      <c r="R27" s="8" t="n">
        <v>1305</v>
      </c>
      <c r="S27" s="8" t="s">
        <v>105</v>
      </c>
      <c r="T27" s="8" t="s">
        <v>126</v>
      </c>
      <c r="U27" s="8" t="s">
        <v>127</v>
      </c>
      <c r="V27" s="8"/>
      <c r="W27" s="8" t="s">
        <v>136</v>
      </c>
      <c r="X27" s="8" t="s">
        <v>137</v>
      </c>
      <c r="Y27" s="8" t="s">
        <v>1377</v>
      </c>
      <c r="Z27" s="8" t="s">
        <v>1378</v>
      </c>
    </row>
    <row r="28" customFormat="false" ht="15" hidden="false" customHeight="false" outlineLevel="0" collapsed="false">
      <c r="A28" s="8" t="s">
        <v>135</v>
      </c>
      <c r="B28" s="8" t="s">
        <v>17</v>
      </c>
      <c r="C28" s="8" t="s">
        <v>18</v>
      </c>
      <c r="D28" s="8" t="s">
        <v>615</v>
      </c>
      <c r="E28" s="8" t="s">
        <v>35</v>
      </c>
      <c r="F28" s="8" t="s">
        <v>50</v>
      </c>
      <c r="G28" s="8" t="s">
        <v>30</v>
      </c>
      <c r="H28" s="8" t="s">
        <v>31</v>
      </c>
      <c r="I28" s="8" t="n">
        <f aca="false">IF(EXACT(G28,H28),1,0)</f>
        <v>0</v>
      </c>
      <c r="J28" s="8" t="n">
        <v>2</v>
      </c>
      <c r="K28" s="8" t="s">
        <v>140</v>
      </c>
      <c r="L28" s="8" t="n">
        <v>2</v>
      </c>
      <c r="M28" s="8" t="n">
        <v>6</v>
      </c>
      <c r="N28" s="8" t="s">
        <v>1337</v>
      </c>
      <c r="O28" s="8" t="n">
        <v>2</v>
      </c>
      <c r="P28" s="10" t="n">
        <v>34.81</v>
      </c>
      <c r="Q28" s="8" t="n">
        <v>10136</v>
      </c>
      <c r="R28" s="8" t="n">
        <v>1170</v>
      </c>
      <c r="S28" s="8" t="s">
        <v>105</v>
      </c>
      <c r="T28" s="8" t="s">
        <v>126</v>
      </c>
      <c r="U28" s="8" t="s">
        <v>127</v>
      </c>
      <c r="V28" s="8"/>
      <c r="W28" s="8" t="s">
        <v>136</v>
      </c>
      <c r="X28" s="8" t="s">
        <v>137</v>
      </c>
      <c r="Y28" s="8" t="s">
        <v>1379</v>
      </c>
      <c r="Z28" s="8" t="s">
        <v>1380</v>
      </c>
    </row>
    <row r="29" customFormat="false" ht="15" hidden="false" customHeight="false" outlineLevel="0" collapsed="false">
      <c r="A29" s="8" t="s">
        <v>139</v>
      </c>
      <c r="B29" s="8" t="s">
        <v>17</v>
      </c>
      <c r="C29" s="8" t="s">
        <v>18</v>
      </c>
      <c r="D29" s="8" t="s">
        <v>615</v>
      </c>
      <c r="E29" s="8" t="s">
        <v>35</v>
      </c>
      <c r="F29" s="8" t="s">
        <v>50</v>
      </c>
      <c r="G29" s="8" t="s">
        <v>31</v>
      </c>
      <c r="H29" s="8" t="s">
        <v>31</v>
      </c>
      <c r="I29" s="8" t="n">
        <f aca="false">IF(EXACT(G29,H29),1,0)</f>
        <v>1</v>
      </c>
      <c r="J29" s="8" t="n">
        <v>0</v>
      </c>
      <c r="K29" s="8" t="s">
        <v>140</v>
      </c>
      <c r="L29" s="8" t="n">
        <v>1</v>
      </c>
      <c r="M29" s="8" t="n">
        <v>6</v>
      </c>
      <c r="N29" s="8" t="s">
        <v>1337</v>
      </c>
      <c r="O29" s="8" t="n">
        <v>2</v>
      </c>
      <c r="P29" s="10" t="n">
        <v>26.11</v>
      </c>
      <c r="Q29" s="8" t="n">
        <v>9827</v>
      </c>
      <c r="R29" s="8" t="n">
        <v>1017</v>
      </c>
      <c r="S29" s="8" t="s">
        <v>117</v>
      </c>
      <c r="T29" s="8" t="s">
        <v>126</v>
      </c>
      <c r="U29" s="8" t="s">
        <v>127</v>
      </c>
      <c r="V29" s="8"/>
      <c r="W29" s="8" t="s">
        <v>141</v>
      </c>
      <c r="X29" s="8" t="s">
        <v>142</v>
      </c>
      <c r="Y29" s="8" t="s">
        <v>1381</v>
      </c>
      <c r="Z29" s="8" t="s">
        <v>1382</v>
      </c>
    </row>
    <row r="30" customFormat="false" ht="15" hidden="false" customHeight="false" outlineLevel="0" collapsed="false">
      <c r="A30" s="8" t="s">
        <v>139</v>
      </c>
      <c r="B30" s="8" t="s">
        <v>17</v>
      </c>
      <c r="C30" s="8" t="s">
        <v>18</v>
      </c>
      <c r="D30" s="8" t="s">
        <v>615</v>
      </c>
      <c r="E30" s="8" t="s">
        <v>35</v>
      </c>
      <c r="F30" s="8" t="s">
        <v>50</v>
      </c>
      <c r="G30" s="8" t="s">
        <v>31</v>
      </c>
      <c r="H30" s="8" t="s">
        <v>31</v>
      </c>
      <c r="I30" s="8" t="n">
        <f aca="false">IF(EXACT(G30,H30),1,0)</f>
        <v>1</v>
      </c>
      <c r="J30" s="8" t="n">
        <v>1</v>
      </c>
      <c r="K30" s="8" t="s">
        <v>140</v>
      </c>
      <c r="L30" s="8" t="n">
        <v>1</v>
      </c>
      <c r="M30" s="8" t="n">
        <v>6</v>
      </c>
      <c r="N30" s="8" t="s">
        <v>1337</v>
      </c>
      <c r="O30" s="8" t="n">
        <v>2</v>
      </c>
      <c r="P30" s="10" t="n">
        <v>25.3</v>
      </c>
      <c r="Q30" s="8" t="n">
        <v>9827</v>
      </c>
      <c r="R30" s="8" t="n">
        <v>984</v>
      </c>
      <c r="S30" s="8" t="s">
        <v>117</v>
      </c>
      <c r="T30" s="8" t="s">
        <v>126</v>
      </c>
      <c r="U30" s="8" t="s">
        <v>127</v>
      </c>
      <c r="V30" s="8"/>
      <c r="W30" s="8" t="s">
        <v>141</v>
      </c>
      <c r="X30" s="8" t="s">
        <v>142</v>
      </c>
      <c r="Y30" s="8" t="s">
        <v>1383</v>
      </c>
      <c r="Z30" s="8" t="s">
        <v>1384</v>
      </c>
    </row>
    <row r="31" customFormat="false" ht="15" hidden="false" customHeight="false" outlineLevel="0" collapsed="false">
      <c r="A31" s="8" t="s">
        <v>139</v>
      </c>
      <c r="B31" s="8" t="s">
        <v>17</v>
      </c>
      <c r="C31" s="8" t="s">
        <v>18</v>
      </c>
      <c r="D31" s="8" t="s">
        <v>615</v>
      </c>
      <c r="E31" s="8" t="s">
        <v>35</v>
      </c>
      <c r="F31" s="8" t="s">
        <v>50</v>
      </c>
      <c r="G31" s="8" t="s">
        <v>31</v>
      </c>
      <c r="H31" s="8" t="s">
        <v>31</v>
      </c>
      <c r="I31" s="8" t="n">
        <f aca="false">IF(EXACT(G31,H31),1,0)</f>
        <v>1</v>
      </c>
      <c r="J31" s="8" t="n">
        <v>2</v>
      </c>
      <c r="K31" s="8" t="s">
        <v>140</v>
      </c>
      <c r="L31" s="8" t="n">
        <v>1</v>
      </c>
      <c r="M31" s="8" t="n">
        <v>6</v>
      </c>
      <c r="N31" s="8" t="s">
        <v>1337</v>
      </c>
      <c r="O31" s="8" t="n">
        <v>2</v>
      </c>
      <c r="P31" s="10" t="n">
        <v>25.63</v>
      </c>
      <c r="Q31" s="8" t="n">
        <v>9828</v>
      </c>
      <c r="R31" s="8" t="n">
        <v>986</v>
      </c>
      <c r="S31" s="8" t="s">
        <v>117</v>
      </c>
      <c r="T31" s="8" t="s">
        <v>126</v>
      </c>
      <c r="U31" s="8" t="s">
        <v>127</v>
      </c>
      <c r="V31" s="8"/>
      <c r="W31" s="8" t="s">
        <v>141</v>
      </c>
      <c r="X31" s="8" t="s">
        <v>142</v>
      </c>
      <c r="Y31" s="8" t="s">
        <v>1385</v>
      </c>
      <c r="Z31" s="8" t="s">
        <v>1386</v>
      </c>
    </row>
    <row r="32" customFormat="false" ht="15" hidden="false" customHeight="false" outlineLevel="0" collapsed="false">
      <c r="A32" s="8" t="s">
        <v>145</v>
      </c>
      <c r="B32" s="8" t="s">
        <v>17</v>
      </c>
      <c r="C32" s="8" t="s">
        <v>18</v>
      </c>
      <c r="D32" s="8" t="s">
        <v>615</v>
      </c>
      <c r="E32" s="8" t="s">
        <v>35</v>
      </c>
      <c r="F32" s="8" t="s">
        <v>50</v>
      </c>
      <c r="G32" s="8" t="s">
        <v>31</v>
      </c>
      <c r="H32" s="8" t="s">
        <v>31</v>
      </c>
      <c r="I32" s="8" t="n">
        <f aca="false">IF(EXACT(G32,H32),1,0)</f>
        <v>1</v>
      </c>
      <c r="J32" s="8" t="n">
        <v>0</v>
      </c>
      <c r="K32" s="8" t="s">
        <v>140</v>
      </c>
      <c r="L32" s="8" t="n">
        <v>1</v>
      </c>
      <c r="M32" s="8" t="n">
        <v>6</v>
      </c>
      <c r="N32" s="8" t="s">
        <v>1337</v>
      </c>
      <c r="O32" s="8" t="n">
        <v>2</v>
      </c>
      <c r="P32" s="10" t="n">
        <v>31.74</v>
      </c>
      <c r="Q32" s="8" t="n">
        <v>9900</v>
      </c>
      <c r="R32" s="8" t="n">
        <v>1029</v>
      </c>
      <c r="S32" s="8" t="s">
        <v>146</v>
      </c>
      <c r="T32" s="8" t="s">
        <v>126</v>
      </c>
      <c r="U32" s="8" t="s">
        <v>127</v>
      </c>
      <c r="V32" s="8"/>
      <c r="W32" s="8" t="s">
        <v>147</v>
      </c>
      <c r="X32" s="8" t="s">
        <v>148</v>
      </c>
      <c r="Y32" s="8" t="s">
        <v>1387</v>
      </c>
      <c r="Z32" s="8" t="s">
        <v>1388</v>
      </c>
    </row>
    <row r="33" customFormat="false" ht="15" hidden="false" customHeight="false" outlineLevel="0" collapsed="false">
      <c r="A33" s="8" t="s">
        <v>145</v>
      </c>
      <c r="B33" s="8" t="s">
        <v>17</v>
      </c>
      <c r="C33" s="8" t="s">
        <v>18</v>
      </c>
      <c r="D33" s="8" t="s">
        <v>615</v>
      </c>
      <c r="E33" s="8" t="s">
        <v>35</v>
      </c>
      <c r="F33" s="8" t="s">
        <v>50</v>
      </c>
      <c r="G33" s="8" t="s">
        <v>31</v>
      </c>
      <c r="H33" s="8" t="s">
        <v>31</v>
      </c>
      <c r="I33" s="8" t="n">
        <f aca="false">IF(EXACT(G33,H33),1,0)</f>
        <v>1</v>
      </c>
      <c r="J33" s="8" t="n">
        <v>1</v>
      </c>
      <c r="K33" s="8" t="s">
        <v>140</v>
      </c>
      <c r="L33" s="8" t="n">
        <v>1</v>
      </c>
      <c r="M33" s="8" t="n">
        <v>6</v>
      </c>
      <c r="N33" s="8" t="s">
        <v>1337</v>
      </c>
      <c r="O33" s="8" t="n">
        <v>2</v>
      </c>
      <c r="P33" s="10" t="n">
        <v>32.25</v>
      </c>
      <c r="Q33" s="8" t="n">
        <v>9900</v>
      </c>
      <c r="R33" s="8" t="n">
        <v>1058</v>
      </c>
      <c r="S33" s="8" t="s">
        <v>146</v>
      </c>
      <c r="T33" s="8" t="s">
        <v>126</v>
      </c>
      <c r="U33" s="8" t="s">
        <v>127</v>
      </c>
      <c r="V33" s="8"/>
      <c r="W33" s="8" t="s">
        <v>147</v>
      </c>
      <c r="X33" s="8" t="s">
        <v>148</v>
      </c>
      <c r="Y33" s="8" t="s">
        <v>1389</v>
      </c>
      <c r="Z33" s="8" t="s">
        <v>1390</v>
      </c>
    </row>
    <row r="34" customFormat="false" ht="15" hidden="false" customHeight="false" outlineLevel="0" collapsed="false">
      <c r="A34" s="8" t="s">
        <v>145</v>
      </c>
      <c r="B34" s="8" t="s">
        <v>17</v>
      </c>
      <c r="C34" s="8" t="s">
        <v>18</v>
      </c>
      <c r="D34" s="8" t="s">
        <v>615</v>
      </c>
      <c r="E34" s="8" t="s">
        <v>35</v>
      </c>
      <c r="F34" s="8" t="s">
        <v>50</v>
      </c>
      <c r="G34" s="8" t="s">
        <v>31</v>
      </c>
      <c r="H34" s="8" t="s">
        <v>31</v>
      </c>
      <c r="I34" s="8" t="n">
        <f aca="false">IF(EXACT(G34,H34),1,0)</f>
        <v>1</v>
      </c>
      <c r="J34" s="8" t="n">
        <v>2</v>
      </c>
      <c r="K34" s="8" t="s">
        <v>140</v>
      </c>
      <c r="L34" s="8" t="n">
        <v>1</v>
      </c>
      <c r="M34" s="8" t="n">
        <v>6</v>
      </c>
      <c r="N34" s="8" t="s">
        <v>1337</v>
      </c>
      <c r="O34" s="8" t="n">
        <v>2</v>
      </c>
      <c r="P34" s="10" t="n">
        <v>31.53</v>
      </c>
      <c r="Q34" s="8" t="n">
        <v>9900</v>
      </c>
      <c r="R34" s="8" t="n">
        <v>1044</v>
      </c>
      <c r="S34" s="8" t="s">
        <v>146</v>
      </c>
      <c r="T34" s="8" t="s">
        <v>126</v>
      </c>
      <c r="U34" s="8" t="s">
        <v>127</v>
      </c>
      <c r="V34" s="8"/>
      <c r="W34" s="8" t="s">
        <v>147</v>
      </c>
      <c r="X34" s="8" t="s">
        <v>148</v>
      </c>
      <c r="Y34" s="8" t="s">
        <v>1391</v>
      </c>
      <c r="Z34" s="8" t="s">
        <v>1392</v>
      </c>
    </row>
    <row r="35" customFormat="false" ht="15" hidden="false" customHeight="false" outlineLevel="0" collapsed="false">
      <c r="A35" s="8" t="s">
        <v>149</v>
      </c>
      <c r="B35" s="8" t="s">
        <v>17</v>
      </c>
      <c r="C35" s="8" t="s">
        <v>18</v>
      </c>
      <c r="D35" s="8" t="s">
        <v>615</v>
      </c>
      <c r="E35" s="8" t="s">
        <v>35</v>
      </c>
      <c r="F35" s="8" t="s">
        <v>50</v>
      </c>
      <c r="G35" s="8" t="s">
        <v>30</v>
      </c>
      <c r="H35" s="8" t="s">
        <v>31</v>
      </c>
      <c r="I35" s="8" t="n">
        <f aca="false">IF(EXACT(G35,H35),1,0)</f>
        <v>0</v>
      </c>
      <c r="J35" s="8" t="n">
        <v>0</v>
      </c>
      <c r="K35" s="8" t="s">
        <v>140</v>
      </c>
      <c r="L35" s="8" t="n">
        <v>1</v>
      </c>
      <c r="M35" s="8" t="n">
        <v>6</v>
      </c>
      <c r="N35" s="8" t="s">
        <v>1337</v>
      </c>
      <c r="O35" s="8" t="n">
        <v>2</v>
      </c>
      <c r="P35" s="10" t="n">
        <v>25.84</v>
      </c>
      <c r="Q35" s="8" t="n">
        <v>9700</v>
      </c>
      <c r="R35" s="8" t="n">
        <v>918</v>
      </c>
      <c r="S35" s="8" t="s">
        <v>150</v>
      </c>
      <c r="T35" s="8" t="s">
        <v>126</v>
      </c>
      <c r="U35" s="8" t="s">
        <v>127</v>
      </c>
      <c r="V35" s="8"/>
      <c r="W35" s="8" t="s">
        <v>151</v>
      </c>
      <c r="X35" s="8" t="s">
        <v>152</v>
      </c>
      <c r="Y35" s="8" t="s">
        <v>1393</v>
      </c>
      <c r="Z35" s="8" t="s">
        <v>1394</v>
      </c>
    </row>
    <row r="36" customFormat="false" ht="15" hidden="false" customHeight="false" outlineLevel="0" collapsed="false">
      <c r="A36" s="8" t="s">
        <v>149</v>
      </c>
      <c r="B36" s="8" t="s">
        <v>17</v>
      </c>
      <c r="C36" s="8" t="s">
        <v>18</v>
      </c>
      <c r="D36" s="8" t="s">
        <v>615</v>
      </c>
      <c r="E36" s="8" t="s">
        <v>35</v>
      </c>
      <c r="F36" s="8" t="s">
        <v>50</v>
      </c>
      <c r="G36" s="8" t="s">
        <v>30</v>
      </c>
      <c r="H36" s="8" t="s">
        <v>31</v>
      </c>
      <c r="I36" s="8" t="n">
        <f aca="false">IF(EXACT(G36,H36),1,0)</f>
        <v>0</v>
      </c>
      <c r="J36" s="8" t="n">
        <v>1</v>
      </c>
      <c r="K36" s="8" t="s">
        <v>140</v>
      </c>
      <c r="L36" s="8" t="n">
        <v>1</v>
      </c>
      <c r="M36" s="8" t="n">
        <v>6</v>
      </c>
      <c r="N36" s="8" t="s">
        <v>1374</v>
      </c>
      <c r="O36" s="8" t="n">
        <v>2</v>
      </c>
      <c r="P36" s="10" t="n">
        <v>24.36</v>
      </c>
      <c r="Q36" s="8" t="n">
        <v>9700</v>
      </c>
      <c r="R36" s="8" t="n">
        <v>846</v>
      </c>
      <c r="S36" s="8" t="s">
        <v>150</v>
      </c>
      <c r="T36" s="8" t="s">
        <v>126</v>
      </c>
      <c r="U36" s="8" t="s">
        <v>127</v>
      </c>
      <c r="V36" s="8"/>
      <c r="W36" s="8" t="s">
        <v>151</v>
      </c>
      <c r="X36" s="8" t="s">
        <v>152</v>
      </c>
      <c r="Y36" s="8" t="s">
        <v>1395</v>
      </c>
      <c r="Z36" s="8" t="s">
        <v>1396</v>
      </c>
    </row>
    <row r="37" customFormat="false" ht="15" hidden="false" customHeight="false" outlineLevel="0" collapsed="false">
      <c r="A37" s="8" t="s">
        <v>149</v>
      </c>
      <c r="B37" s="8" t="s">
        <v>17</v>
      </c>
      <c r="C37" s="8" t="s">
        <v>18</v>
      </c>
      <c r="D37" s="8" t="s">
        <v>615</v>
      </c>
      <c r="E37" s="8" t="s">
        <v>35</v>
      </c>
      <c r="F37" s="8" t="s">
        <v>50</v>
      </c>
      <c r="G37" s="8" t="s">
        <v>30</v>
      </c>
      <c r="H37" s="8" t="s">
        <v>31</v>
      </c>
      <c r="I37" s="8" t="n">
        <f aca="false">IF(EXACT(G37,H37),1,0)</f>
        <v>0</v>
      </c>
      <c r="J37" s="8" t="n">
        <v>2</v>
      </c>
      <c r="K37" s="8" t="s">
        <v>140</v>
      </c>
      <c r="L37" s="8" t="n">
        <v>1</v>
      </c>
      <c r="M37" s="8" t="n">
        <v>6</v>
      </c>
      <c r="N37" s="8" t="s">
        <v>1337</v>
      </c>
      <c r="O37" s="8" t="n">
        <v>2</v>
      </c>
      <c r="P37" s="10" t="n">
        <v>23.77</v>
      </c>
      <c r="Q37" s="8" t="n">
        <v>9700</v>
      </c>
      <c r="R37" s="8" t="n">
        <v>862</v>
      </c>
      <c r="S37" s="8" t="s">
        <v>150</v>
      </c>
      <c r="T37" s="8" t="s">
        <v>126</v>
      </c>
      <c r="U37" s="8" t="s">
        <v>127</v>
      </c>
      <c r="V37" s="8"/>
      <c r="W37" s="8" t="s">
        <v>151</v>
      </c>
      <c r="X37" s="8" t="s">
        <v>152</v>
      </c>
      <c r="Y37" s="8" t="s">
        <v>1397</v>
      </c>
      <c r="Z37" s="8" t="s">
        <v>1398</v>
      </c>
    </row>
    <row r="38" customFormat="false" ht="15" hidden="false" customHeight="false" outlineLevel="0" collapsed="false">
      <c r="A38" s="8" t="s">
        <v>153</v>
      </c>
      <c r="B38" s="8" t="s">
        <v>17</v>
      </c>
      <c r="C38" s="8" t="s">
        <v>18</v>
      </c>
      <c r="D38" s="8" t="s">
        <v>615</v>
      </c>
      <c r="E38" s="8" t="s">
        <v>35</v>
      </c>
      <c r="F38" s="8" t="s">
        <v>53</v>
      </c>
      <c r="G38" s="8" t="s">
        <v>31</v>
      </c>
      <c r="H38" s="8" t="s">
        <v>31</v>
      </c>
      <c r="I38" s="8" t="n">
        <f aca="false">IF(EXACT(G38,H38),1,0)</f>
        <v>1</v>
      </c>
      <c r="J38" s="8" t="n">
        <v>0</v>
      </c>
      <c r="K38" s="8" t="s">
        <v>116</v>
      </c>
      <c r="L38" s="8" t="n">
        <v>2</v>
      </c>
      <c r="M38" s="8" t="n">
        <v>6</v>
      </c>
      <c r="N38" s="8" t="s">
        <v>1337</v>
      </c>
      <c r="O38" s="8" t="n">
        <v>2</v>
      </c>
      <c r="P38" s="10" t="n">
        <v>49.15</v>
      </c>
      <c r="Q38" s="8" t="n">
        <v>13679</v>
      </c>
      <c r="R38" s="8" t="n">
        <v>2145</v>
      </c>
      <c r="S38" s="8" t="s">
        <v>154</v>
      </c>
      <c r="T38" s="8"/>
      <c r="U38" s="8"/>
      <c r="V38" s="8" t="s">
        <v>155</v>
      </c>
      <c r="W38" s="8"/>
      <c r="X38" s="8" t="s">
        <v>156</v>
      </c>
      <c r="Y38" s="8" t="s">
        <v>1399</v>
      </c>
      <c r="Z38" s="8" t="s">
        <v>1400</v>
      </c>
    </row>
    <row r="39" customFormat="false" ht="15" hidden="false" customHeight="false" outlineLevel="0" collapsed="false">
      <c r="A39" s="8" t="s">
        <v>153</v>
      </c>
      <c r="B39" s="8" t="s">
        <v>17</v>
      </c>
      <c r="C39" s="8" t="s">
        <v>18</v>
      </c>
      <c r="D39" s="8" t="s">
        <v>615</v>
      </c>
      <c r="E39" s="8" t="s">
        <v>35</v>
      </c>
      <c r="F39" s="8" t="s">
        <v>53</v>
      </c>
      <c r="G39" s="8" t="s">
        <v>31</v>
      </c>
      <c r="H39" s="8" t="s">
        <v>31</v>
      </c>
      <c r="I39" s="8" t="n">
        <f aca="false">IF(EXACT(G39,H39),1,0)</f>
        <v>1</v>
      </c>
      <c r="J39" s="8" t="n">
        <v>1</v>
      </c>
      <c r="K39" s="8" t="s">
        <v>116</v>
      </c>
      <c r="L39" s="8" t="n">
        <v>2</v>
      </c>
      <c r="M39" s="8" t="n">
        <v>6</v>
      </c>
      <c r="N39" s="8" t="s">
        <v>1337</v>
      </c>
      <c r="O39" s="8" t="n">
        <v>2</v>
      </c>
      <c r="P39" s="10" t="n">
        <v>50.68</v>
      </c>
      <c r="Q39" s="8" t="n">
        <v>13678</v>
      </c>
      <c r="R39" s="8" t="n">
        <v>2186</v>
      </c>
      <c r="S39" s="8" t="s">
        <v>154</v>
      </c>
      <c r="T39" s="8"/>
      <c r="U39" s="8"/>
      <c r="V39" s="8" t="s">
        <v>155</v>
      </c>
      <c r="W39" s="8"/>
      <c r="X39" s="8" t="s">
        <v>156</v>
      </c>
      <c r="Y39" s="8" t="s">
        <v>1401</v>
      </c>
      <c r="Z39" s="8" t="s">
        <v>1402</v>
      </c>
    </row>
    <row r="40" customFormat="false" ht="15" hidden="false" customHeight="false" outlineLevel="0" collapsed="false">
      <c r="A40" s="8" t="s">
        <v>153</v>
      </c>
      <c r="B40" s="8" t="s">
        <v>17</v>
      </c>
      <c r="C40" s="8" t="s">
        <v>18</v>
      </c>
      <c r="D40" s="8" t="s">
        <v>615</v>
      </c>
      <c r="E40" s="8" t="s">
        <v>35</v>
      </c>
      <c r="F40" s="8" t="s">
        <v>53</v>
      </c>
      <c r="G40" s="8" t="s">
        <v>31</v>
      </c>
      <c r="H40" s="8" t="s">
        <v>31</v>
      </c>
      <c r="I40" s="8" t="n">
        <f aca="false">IF(EXACT(G40,H40),1,0)</f>
        <v>1</v>
      </c>
      <c r="J40" s="8" t="n">
        <v>2</v>
      </c>
      <c r="K40" s="8" t="s">
        <v>116</v>
      </c>
      <c r="L40" s="8" t="n">
        <v>2</v>
      </c>
      <c r="M40" s="8" t="n">
        <v>6</v>
      </c>
      <c r="N40" s="8" t="s">
        <v>1337</v>
      </c>
      <c r="O40" s="8" t="n">
        <v>2</v>
      </c>
      <c r="P40" s="10" t="n">
        <v>51.3</v>
      </c>
      <c r="Q40" s="8" t="n">
        <v>13679</v>
      </c>
      <c r="R40" s="8" t="n">
        <v>2210</v>
      </c>
      <c r="S40" s="8" t="s">
        <v>154</v>
      </c>
      <c r="T40" s="8"/>
      <c r="U40" s="8"/>
      <c r="V40" s="8" t="s">
        <v>155</v>
      </c>
      <c r="W40" s="8"/>
      <c r="X40" s="8" t="s">
        <v>156</v>
      </c>
      <c r="Y40" s="8" t="s">
        <v>1403</v>
      </c>
      <c r="Z40" s="8" t="s">
        <v>1404</v>
      </c>
    </row>
    <row r="41" customFormat="false" ht="15" hidden="false" customHeight="false" outlineLevel="0" collapsed="false">
      <c r="A41" s="8" t="s">
        <v>158</v>
      </c>
      <c r="B41" s="8" t="s">
        <v>17</v>
      </c>
      <c r="C41" s="8" t="s">
        <v>18</v>
      </c>
      <c r="D41" s="8" t="s">
        <v>615</v>
      </c>
      <c r="E41" s="8" t="s">
        <v>35</v>
      </c>
      <c r="F41" s="8" t="s">
        <v>53</v>
      </c>
      <c r="G41" s="8" t="s">
        <v>31</v>
      </c>
      <c r="H41" s="8" t="s">
        <v>31</v>
      </c>
      <c r="I41" s="8" t="n">
        <f aca="false">IF(EXACT(G41,H41),1,0)</f>
        <v>1</v>
      </c>
      <c r="J41" s="8" t="n">
        <v>0</v>
      </c>
      <c r="K41" s="8" t="s">
        <v>116</v>
      </c>
      <c r="L41" s="8" t="n">
        <v>2</v>
      </c>
      <c r="M41" s="8" t="n">
        <v>6</v>
      </c>
      <c r="N41" s="8" t="s">
        <v>1337</v>
      </c>
      <c r="O41" s="8" t="n">
        <v>2</v>
      </c>
      <c r="P41" s="10" t="n">
        <v>48.03</v>
      </c>
      <c r="Q41" s="8" t="n">
        <v>12581</v>
      </c>
      <c r="R41" s="8" t="n">
        <v>2213</v>
      </c>
      <c r="S41" s="8" t="s">
        <v>159</v>
      </c>
      <c r="T41" s="8"/>
      <c r="U41" s="8"/>
      <c r="V41" s="8" t="s">
        <v>155</v>
      </c>
      <c r="W41" s="8"/>
      <c r="X41" s="8" t="s">
        <v>160</v>
      </c>
      <c r="Y41" s="8" t="s">
        <v>1405</v>
      </c>
      <c r="Z41" s="8" t="s">
        <v>1406</v>
      </c>
    </row>
    <row r="42" customFormat="false" ht="15" hidden="false" customHeight="false" outlineLevel="0" collapsed="false">
      <c r="A42" s="8" t="s">
        <v>158</v>
      </c>
      <c r="B42" s="8" t="s">
        <v>17</v>
      </c>
      <c r="C42" s="8" t="s">
        <v>18</v>
      </c>
      <c r="D42" s="8" t="s">
        <v>615</v>
      </c>
      <c r="E42" s="8" t="s">
        <v>35</v>
      </c>
      <c r="F42" s="8" t="s">
        <v>53</v>
      </c>
      <c r="G42" s="8" t="s">
        <v>31</v>
      </c>
      <c r="H42" s="8" t="s">
        <v>31</v>
      </c>
      <c r="I42" s="8" t="n">
        <f aca="false">IF(EXACT(G42,H42),1,0)</f>
        <v>1</v>
      </c>
      <c r="J42" s="8" t="n">
        <v>1</v>
      </c>
      <c r="K42" s="8" t="s">
        <v>116</v>
      </c>
      <c r="L42" s="8" t="n">
        <v>2</v>
      </c>
      <c r="M42" s="8" t="n">
        <v>6</v>
      </c>
      <c r="N42" s="8" t="s">
        <v>1337</v>
      </c>
      <c r="O42" s="8" t="n">
        <v>2</v>
      </c>
      <c r="P42" s="10" t="n">
        <v>47.62</v>
      </c>
      <c r="Q42" s="8" t="n">
        <v>12580</v>
      </c>
      <c r="R42" s="8" t="n">
        <v>2158</v>
      </c>
      <c r="S42" s="8" t="s">
        <v>159</v>
      </c>
      <c r="T42" s="8"/>
      <c r="U42" s="8"/>
      <c r="V42" s="8" t="s">
        <v>155</v>
      </c>
      <c r="W42" s="8"/>
      <c r="X42" s="8" t="s">
        <v>160</v>
      </c>
      <c r="Y42" s="8" t="s">
        <v>1407</v>
      </c>
      <c r="Z42" s="8" t="s">
        <v>1408</v>
      </c>
    </row>
    <row r="43" customFormat="false" ht="15" hidden="false" customHeight="false" outlineLevel="0" collapsed="false">
      <c r="A43" s="8" t="s">
        <v>158</v>
      </c>
      <c r="B43" s="8" t="s">
        <v>17</v>
      </c>
      <c r="C43" s="8" t="s">
        <v>18</v>
      </c>
      <c r="D43" s="8" t="s">
        <v>615</v>
      </c>
      <c r="E43" s="8" t="s">
        <v>35</v>
      </c>
      <c r="F43" s="8" t="s">
        <v>53</v>
      </c>
      <c r="G43" s="8" t="s">
        <v>31</v>
      </c>
      <c r="H43" s="8" t="s">
        <v>31</v>
      </c>
      <c r="I43" s="8" t="n">
        <f aca="false">IF(EXACT(G43,H43),1,0)</f>
        <v>1</v>
      </c>
      <c r="J43" s="8" t="n">
        <v>2</v>
      </c>
      <c r="K43" s="8" t="s">
        <v>116</v>
      </c>
      <c r="L43" s="8" t="n">
        <v>2</v>
      </c>
      <c r="M43" s="8" t="n">
        <v>6</v>
      </c>
      <c r="N43" s="8" t="s">
        <v>1337</v>
      </c>
      <c r="O43" s="8" t="n">
        <v>2</v>
      </c>
      <c r="P43" s="10" t="n">
        <v>48.53</v>
      </c>
      <c r="Q43" s="8" t="n">
        <v>12581</v>
      </c>
      <c r="R43" s="8" t="n">
        <v>2166</v>
      </c>
      <c r="S43" s="8" t="s">
        <v>159</v>
      </c>
      <c r="T43" s="8"/>
      <c r="U43" s="8"/>
      <c r="V43" s="8" t="s">
        <v>155</v>
      </c>
      <c r="W43" s="8"/>
      <c r="X43" s="8" t="s">
        <v>160</v>
      </c>
      <c r="Y43" s="8" t="s">
        <v>1409</v>
      </c>
      <c r="Z43" s="8" t="s">
        <v>1410</v>
      </c>
    </row>
    <row r="44" customFormat="false" ht="15" hidden="false" customHeight="false" outlineLevel="0" collapsed="false">
      <c r="A44" s="8" t="s">
        <v>162</v>
      </c>
      <c r="B44" s="8" t="s">
        <v>17</v>
      </c>
      <c r="C44" s="8" t="s">
        <v>18</v>
      </c>
      <c r="D44" s="8" t="s">
        <v>615</v>
      </c>
      <c r="E44" s="8" t="s">
        <v>35</v>
      </c>
      <c r="F44" s="8" t="s">
        <v>53</v>
      </c>
      <c r="G44" s="8" t="s">
        <v>32</v>
      </c>
      <c r="H44" s="8" t="s">
        <v>32</v>
      </c>
      <c r="I44" s="8" t="n">
        <f aca="false">IF(EXACT(G44,H44),1,0)</f>
        <v>1</v>
      </c>
      <c r="J44" s="8" t="n">
        <v>0</v>
      </c>
      <c r="K44" s="8" t="s">
        <v>92</v>
      </c>
      <c r="L44" s="8" t="n">
        <v>0</v>
      </c>
      <c r="M44" s="8" t="n">
        <v>6</v>
      </c>
      <c r="N44" s="8" t="s">
        <v>1337</v>
      </c>
      <c r="O44" s="8" t="n">
        <v>2</v>
      </c>
      <c r="P44" s="10" t="n">
        <v>38.29</v>
      </c>
      <c r="Q44" s="8" t="n">
        <v>10194</v>
      </c>
      <c r="R44" s="8" t="n">
        <v>1370</v>
      </c>
      <c r="S44" s="8" t="s">
        <v>163</v>
      </c>
      <c r="T44" s="8"/>
      <c r="U44" s="8"/>
      <c r="V44" s="8" t="s">
        <v>155</v>
      </c>
      <c r="W44" s="8"/>
      <c r="X44" s="8" t="s">
        <v>164</v>
      </c>
      <c r="Y44" s="8" t="s">
        <v>1411</v>
      </c>
      <c r="Z44" s="8"/>
    </row>
    <row r="45" customFormat="false" ht="15" hidden="false" customHeight="false" outlineLevel="0" collapsed="false">
      <c r="A45" s="8" t="s">
        <v>162</v>
      </c>
      <c r="B45" s="8" t="s">
        <v>17</v>
      </c>
      <c r="C45" s="8" t="s">
        <v>18</v>
      </c>
      <c r="D45" s="8" t="s">
        <v>615</v>
      </c>
      <c r="E45" s="8" t="s">
        <v>35</v>
      </c>
      <c r="F45" s="8" t="s">
        <v>53</v>
      </c>
      <c r="G45" s="8" t="s">
        <v>32</v>
      </c>
      <c r="H45" s="8" t="s">
        <v>32</v>
      </c>
      <c r="I45" s="8" t="n">
        <f aca="false">IF(EXACT(G45,H45),1,0)</f>
        <v>1</v>
      </c>
      <c r="J45" s="8" t="n">
        <v>1</v>
      </c>
      <c r="K45" s="8" t="s">
        <v>92</v>
      </c>
      <c r="L45" s="8" t="n">
        <v>0</v>
      </c>
      <c r="M45" s="8" t="n">
        <v>6</v>
      </c>
      <c r="N45" s="8" t="s">
        <v>1337</v>
      </c>
      <c r="O45" s="8" t="n">
        <v>2</v>
      </c>
      <c r="P45" s="10" t="n">
        <v>36.46</v>
      </c>
      <c r="Q45" s="8" t="n">
        <v>10211</v>
      </c>
      <c r="R45" s="8" t="n">
        <v>1333</v>
      </c>
      <c r="S45" s="8" t="s">
        <v>163</v>
      </c>
      <c r="T45" s="8"/>
      <c r="U45" s="8"/>
      <c r="V45" s="8" t="s">
        <v>155</v>
      </c>
      <c r="W45" s="8"/>
      <c r="X45" s="8" t="s">
        <v>164</v>
      </c>
      <c r="Y45" s="8" t="s">
        <v>1412</v>
      </c>
      <c r="Z45" s="8"/>
    </row>
    <row r="46" customFormat="false" ht="15" hidden="false" customHeight="false" outlineLevel="0" collapsed="false">
      <c r="A46" s="8" t="s">
        <v>162</v>
      </c>
      <c r="B46" s="8" t="s">
        <v>17</v>
      </c>
      <c r="C46" s="8" t="s">
        <v>18</v>
      </c>
      <c r="D46" s="8" t="s">
        <v>615</v>
      </c>
      <c r="E46" s="8" t="s">
        <v>35</v>
      </c>
      <c r="F46" s="8" t="s">
        <v>53</v>
      </c>
      <c r="G46" s="8" t="s">
        <v>32</v>
      </c>
      <c r="H46" s="8" t="s">
        <v>32</v>
      </c>
      <c r="I46" s="8" t="n">
        <f aca="false">IF(EXACT(G46,H46),1,0)</f>
        <v>1</v>
      </c>
      <c r="J46" s="8" t="n">
        <v>2</v>
      </c>
      <c r="K46" s="8" t="s">
        <v>92</v>
      </c>
      <c r="L46" s="8" t="n">
        <v>0</v>
      </c>
      <c r="M46" s="8" t="n">
        <v>6</v>
      </c>
      <c r="N46" s="8" t="s">
        <v>1337</v>
      </c>
      <c r="O46" s="8" t="n">
        <v>2</v>
      </c>
      <c r="P46" s="10" t="n">
        <v>36.96</v>
      </c>
      <c r="Q46" s="8" t="n">
        <v>10212</v>
      </c>
      <c r="R46" s="8" t="n">
        <v>1324</v>
      </c>
      <c r="S46" s="8" t="s">
        <v>163</v>
      </c>
      <c r="T46" s="8"/>
      <c r="U46" s="8"/>
      <c r="V46" s="8" t="s">
        <v>155</v>
      </c>
      <c r="W46" s="8"/>
      <c r="X46" s="8" t="s">
        <v>164</v>
      </c>
      <c r="Y46" s="8" t="s">
        <v>1413</v>
      </c>
      <c r="Z46" s="8"/>
    </row>
    <row r="47" customFormat="false" ht="15" hidden="false" customHeight="false" outlineLevel="0" collapsed="false">
      <c r="A47" s="8" t="s">
        <v>165</v>
      </c>
      <c r="B47" s="8" t="s">
        <v>17</v>
      </c>
      <c r="C47" s="8" t="s">
        <v>18</v>
      </c>
      <c r="D47" s="8" t="s">
        <v>615</v>
      </c>
      <c r="E47" s="8" t="s">
        <v>35</v>
      </c>
      <c r="F47" s="8" t="s">
        <v>53</v>
      </c>
      <c r="G47" s="8" t="s">
        <v>32</v>
      </c>
      <c r="H47" s="8" t="s">
        <v>31</v>
      </c>
      <c r="I47" s="8" t="n">
        <f aca="false">IF(EXACT(G47,H47),1,0)</f>
        <v>0</v>
      </c>
      <c r="J47" s="8" t="n">
        <v>0</v>
      </c>
      <c r="K47" s="8" t="s">
        <v>116</v>
      </c>
      <c r="L47" s="8" t="n">
        <v>1</v>
      </c>
      <c r="M47" s="8" t="n">
        <v>6</v>
      </c>
      <c r="N47" s="8" t="s">
        <v>1337</v>
      </c>
      <c r="O47" s="8" t="n">
        <v>2</v>
      </c>
      <c r="P47" s="10" t="n">
        <v>40.22</v>
      </c>
      <c r="Q47" s="8" t="n">
        <v>10835</v>
      </c>
      <c r="R47" s="8" t="n">
        <v>1476</v>
      </c>
      <c r="S47" s="8" t="s">
        <v>166</v>
      </c>
      <c r="T47" s="8"/>
      <c r="U47" s="8"/>
      <c r="V47" s="8" t="s">
        <v>155</v>
      </c>
      <c r="W47" s="8"/>
      <c r="X47" s="8" t="s">
        <v>167</v>
      </c>
      <c r="Y47" s="8" t="s">
        <v>1414</v>
      </c>
      <c r="Z47" s="8" t="s">
        <v>1415</v>
      </c>
    </row>
    <row r="48" customFormat="false" ht="15" hidden="false" customHeight="false" outlineLevel="0" collapsed="false">
      <c r="A48" s="8" t="s">
        <v>165</v>
      </c>
      <c r="B48" s="8" t="s">
        <v>17</v>
      </c>
      <c r="C48" s="8" t="s">
        <v>18</v>
      </c>
      <c r="D48" s="8" t="s">
        <v>615</v>
      </c>
      <c r="E48" s="8" t="s">
        <v>35</v>
      </c>
      <c r="F48" s="8" t="s">
        <v>53</v>
      </c>
      <c r="G48" s="8" t="s">
        <v>32</v>
      </c>
      <c r="H48" s="8" t="s">
        <v>31</v>
      </c>
      <c r="I48" s="8" t="n">
        <f aca="false">IF(EXACT(G48,H48),1,0)</f>
        <v>0</v>
      </c>
      <c r="J48" s="8" t="n">
        <v>1</v>
      </c>
      <c r="K48" s="8" t="s">
        <v>116</v>
      </c>
      <c r="L48" s="8" t="n">
        <v>1</v>
      </c>
      <c r="M48" s="8" t="n">
        <v>6</v>
      </c>
      <c r="N48" s="8" t="s">
        <v>1337</v>
      </c>
      <c r="O48" s="8" t="n">
        <v>2</v>
      </c>
      <c r="P48" s="10" t="n">
        <v>35.32</v>
      </c>
      <c r="Q48" s="8" t="n">
        <v>10834</v>
      </c>
      <c r="R48" s="8" t="n">
        <v>1206</v>
      </c>
      <c r="S48" s="8" t="s">
        <v>166</v>
      </c>
      <c r="T48" s="8"/>
      <c r="U48" s="8"/>
      <c r="V48" s="8" t="s">
        <v>155</v>
      </c>
      <c r="W48" s="8"/>
      <c r="X48" s="8" t="s">
        <v>167</v>
      </c>
      <c r="Y48" s="8" t="s">
        <v>1416</v>
      </c>
      <c r="Z48" s="8" t="s">
        <v>1417</v>
      </c>
    </row>
    <row r="49" customFormat="false" ht="15" hidden="false" customHeight="false" outlineLevel="0" collapsed="false">
      <c r="A49" s="8" t="s">
        <v>165</v>
      </c>
      <c r="B49" s="8" t="s">
        <v>17</v>
      </c>
      <c r="C49" s="8" t="s">
        <v>18</v>
      </c>
      <c r="D49" s="8" t="s">
        <v>615</v>
      </c>
      <c r="E49" s="8" t="s">
        <v>35</v>
      </c>
      <c r="F49" s="8" t="s">
        <v>53</v>
      </c>
      <c r="G49" s="8" t="s">
        <v>32</v>
      </c>
      <c r="H49" s="8" t="s">
        <v>31</v>
      </c>
      <c r="I49" s="8" t="n">
        <f aca="false">IF(EXACT(G49,H49),1,0)</f>
        <v>0</v>
      </c>
      <c r="J49" s="8" t="n">
        <v>2</v>
      </c>
      <c r="K49" s="8" t="s">
        <v>116</v>
      </c>
      <c r="L49" s="8" t="n">
        <v>1</v>
      </c>
      <c r="M49" s="8" t="n">
        <v>6</v>
      </c>
      <c r="N49" s="8" t="s">
        <v>1337</v>
      </c>
      <c r="O49" s="8" t="n">
        <v>2</v>
      </c>
      <c r="P49" s="10" t="n">
        <v>39.62</v>
      </c>
      <c r="Q49" s="8" t="n">
        <v>10834</v>
      </c>
      <c r="R49" s="8" t="n">
        <v>1465</v>
      </c>
      <c r="S49" s="8" t="s">
        <v>166</v>
      </c>
      <c r="T49" s="8"/>
      <c r="U49" s="8"/>
      <c r="V49" s="8" t="s">
        <v>155</v>
      </c>
      <c r="W49" s="8"/>
      <c r="X49" s="8" t="s">
        <v>167</v>
      </c>
      <c r="Y49" s="8" t="s">
        <v>1418</v>
      </c>
      <c r="Z49" s="8" t="s">
        <v>1419</v>
      </c>
    </row>
    <row r="50" customFormat="false" ht="15" hidden="false" customHeight="false" outlineLevel="0" collapsed="false">
      <c r="A50" s="8" t="s">
        <v>168</v>
      </c>
      <c r="B50" s="8" t="s">
        <v>17</v>
      </c>
      <c r="C50" s="8" t="s">
        <v>18</v>
      </c>
      <c r="D50" s="8" t="s">
        <v>615</v>
      </c>
      <c r="E50" s="8" t="s">
        <v>35</v>
      </c>
      <c r="F50" s="8" t="s">
        <v>53</v>
      </c>
      <c r="G50" s="8" t="s">
        <v>30</v>
      </c>
      <c r="H50" s="8" t="s">
        <v>31</v>
      </c>
      <c r="I50" s="8" t="n">
        <f aca="false">IF(EXACT(G50,H50),1,0)</f>
        <v>0</v>
      </c>
      <c r="J50" s="8" t="n">
        <v>0</v>
      </c>
      <c r="K50" s="8" t="s">
        <v>116</v>
      </c>
      <c r="L50" s="8" t="n">
        <v>1</v>
      </c>
      <c r="M50" s="8" t="n">
        <v>6</v>
      </c>
      <c r="N50" s="8" t="s">
        <v>1337</v>
      </c>
      <c r="O50" s="8" t="n">
        <v>2</v>
      </c>
      <c r="P50" s="10" t="n">
        <v>57.45</v>
      </c>
      <c r="Q50" s="8" t="n">
        <v>13993</v>
      </c>
      <c r="R50" s="8" t="n">
        <v>2225</v>
      </c>
      <c r="S50" s="8" t="s">
        <v>169</v>
      </c>
      <c r="T50" s="8"/>
      <c r="U50" s="8"/>
      <c r="V50" s="8" t="s">
        <v>155</v>
      </c>
      <c r="W50" s="8"/>
      <c r="X50" s="8" t="s">
        <v>170</v>
      </c>
      <c r="Y50" s="8" t="s">
        <v>1420</v>
      </c>
      <c r="Z50" s="8" t="s">
        <v>1421</v>
      </c>
    </row>
    <row r="51" customFormat="false" ht="15" hidden="false" customHeight="false" outlineLevel="0" collapsed="false">
      <c r="A51" s="8" t="s">
        <v>168</v>
      </c>
      <c r="B51" s="8" t="s">
        <v>17</v>
      </c>
      <c r="C51" s="8" t="s">
        <v>18</v>
      </c>
      <c r="D51" s="8" t="s">
        <v>615</v>
      </c>
      <c r="E51" s="8" t="s">
        <v>35</v>
      </c>
      <c r="F51" s="8" t="s">
        <v>53</v>
      </c>
      <c r="G51" s="8" t="s">
        <v>30</v>
      </c>
      <c r="H51" s="8" t="s">
        <v>31</v>
      </c>
      <c r="I51" s="8" t="n">
        <f aca="false">IF(EXACT(G51,H51),1,0)</f>
        <v>0</v>
      </c>
      <c r="J51" s="8" t="n">
        <v>1</v>
      </c>
      <c r="K51" s="8" t="s">
        <v>116</v>
      </c>
      <c r="L51" s="8" t="n">
        <v>1</v>
      </c>
      <c r="M51" s="8" t="n">
        <v>6</v>
      </c>
      <c r="N51" s="8" t="s">
        <v>1337</v>
      </c>
      <c r="O51" s="8" t="n">
        <v>2</v>
      </c>
      <c r="P51" s="10" t="n">
        <v>49.15</v>
      </c>
      <c r="Q51" s="8" t="n">
        <v>13993</v>
      </c>
      <c r="R51" s="8" t="n">
        <v>2213</v>
      </c>
      <c r="S51" s="8" t="s">
        <v>169</v>
      </c>
      <c r="T51" s="8"/>
      <c r="U51" s="8"/>
      <c r="V51" s="8" t="s">
        <v>155</v>
      </c>
      <c r="W51" s="8"/>
      <c r="X51" s="8" t="s">
        <v>170</v>
      </c>
      <c r="Y51" s="8" t="s">
        <v>1422</v>
      </c>
      <c r="Z51" s="8" t="s">
        <v>1423</v>
      </c>
    </row>
    <row r="52" customFormat="false" ht="15" hidden="false" customHeight="false" outlineLevel="0" collapsed="false">
      <c r="A52" s="8" t="s">
        <v>168</v>
      </c>
      <c r="B52" s="8" t="s">
        <v>17</v>
      </c>
      <c r="C52" s="8" t="s">
        <v>18</v>
      </c>
      <c r="D52" s="8" t="s">
        <v>615</v>
      </c>
      <c r="E52" s="8" t="s">
        <v>35</v>
      </c>
      <c r="F52" s="8" t="s">
        <v>53</v>
      </c>
      <c r="G52" s="8" t="s">
        <v>30</v>
      </c>
      <c r="H52" s="8" t="s">
        <v>31</v>
      </c>
      <c r="I52" s="8" t="n">
        <f aca="false">IF(EXACT(G52,H52),1,0)</f>
        <v>0</v>
      </c>
      <c r="J52" s="8" t="n">
        <v>2</v>
      </c>
      <c r="K52" s="8" t="s">
        <v>116</v>
      </c>
      <c r="L52" s="8" t="n">
        <v>1</v>
      </c>
      <c r="M52" s="8" t="n">
        <v>6</v>
      </c>
      <c r="N52" s="8" t="s">
        <v>1337</v>
      </c>
      <c r="O52" s="8" t="n">
        <v>2</v>
      </c>
      <c r="P52" s="10" t="n">
        <v>50.69</v>
      </c>
      <c r="Q52" s="8" t="n">
        <v>13993</v>
      </c>
      <c r="R52" s="8" t="n">
        <v>2291</v>
      </c>
      <c r="S52" s="8" t="s">
        <v>169</v>
      </c>
      <c r="T52" s="8"/>
      <c r="U52" s="8"/>
      <c r="V52" s="8" t="s">
        <v>155</v>
      </c>
      <c r="W52" s="8"/>
      <c r="X52" s="8" t="s">
        <v>170</v>
      </c>
      <c r="Y52" s="8" t="s">
        <v>1424</v>
      </c>
      <c r="Z52" s="8" t="s">
        <v>1425</v>
      </c>
    </row>
    <row r="53" customFormat="false" ht="15" hidden="false" customHeight="false" outlineLevel="0" collapsed="false">
      <c r="A53" s="8" t="s">
        <v>171</v>
      </c>
      <c r="B53" s="8" t="s">
        <v>17</v>
      </c>
      <c r="C53" s="8" t="s">
        <v>18</v>
      </c>
      <c r="D53" s="8" t="s">
        <v>615</v>
      </c>
      <c r="E53" s="8" t="s">
        <v>35</v>
      </c>
      <c r="F53" s="8" t="s">
        <v>53</v>
      </c>
      <c r="G53" s="8" t="s">
        <v>30</v>
      </c>
      <c r="H53" s="8" t="s">
        <v>31</v>
      </c>
      <c r="I53" s="8" t="n">
        <f aca="false">IF(EXACT(G53,H53),1,0)</f>
        <v>0</v>
      </c>
      <c r="J53" s="8" t="n">
        <v>0</v>
      </c>
      <c r="K53" s="8" t="s">
        <v>140</v>
      </c>
      <c r="L53" s="8" t="n">
        <v>2</v>
      </c>
      <c r="M53" s="8" t="n">
        <v>6</v>
      </c>
      <c r="N53" s="8" t="s">
        <v>1337</v>
      </c>
      <c r="O53" s="8" t="n">
        <v>2</v>
      </c>
      <c r="P53" s="10" t="n">
        <v>49.62</v>
      </c>
      <c r="Q53" s="8" t="n">
        <v>12064</v>
      </c>
      <c r="R53" s="8" t="n">
        <v>2257</v>
      </c>
      <c r="S53" s="8" t="s">
        <v>172</v>
      </c>
      <c r="T53" s="8"/>
      <c r="U53" s="8"/>
      <c r="V53" s="8" t="s">
        <v>155</v>
      </c>
      <c r="W53" s="8"/>
      <c r="X53" s="8" t="s">
        <v>173</v>
      </c>
      <c r="Y53" s="8" t="s">
        <v>1426</v>
      </c>
      <c r="Z53" s="8" t="s">
        <v>1427</v>
      </c>
    </row>
    <row r="54" customFormat="false" ht="15" hidden="false" customHeight="false" outlineLevel="0" collapsed="false">
      <c r="A54" s="8" t="s">
        <v>171</v>
      </c>
      <c r="B54" s="8" t="s">
        <v>17</v>
      </c>
      <c r="C54" s="8" t="s">
        <v>18</v>
      </c>
      <c r="D54" s="8" t="s">
        <v>615</v>
      </c>
      <c r="E54" s="8" t="s">
        <v>35</v>
      </c>
      <c r="F54" s="8" t="s">
        <v>53</v>
      </c>
      <c r="G54" s="8" t="s">
        <v>30</v>
      </c>
      <c r="H54" s="8" t="s">
        <v>31</v>
      </c>
      <c r="I54" s="8" t="n">
        <f aca="false">IF(EXACT(G54,H54),1,0)</f>
        <v>0</v>
      </c>
      <c r="J54" s="8" t="n">
        <v>1</v>
      </c>
      <c r="K54" s="8" t="s">
        <v>140</v>
      </c>
      <c r="L54" s="8" t="n">
        <v>2</v>
      </c>
      <c r="M54" s="8" t="n">
        <v>6</v>
      </c>
      <c r="N54" s="8" t="s">
        <v>1337</v>
      </c>
      <c r="O54" s="8" t="n">
        <v>2</v>
      </c>
      <c r="P54" s="10" t="n">
        <v>47.15</v>
      </c>
      <c r="Q54" s="8" t="n">
        <v>12064</v>
      </c>
      <c r="R54" s="8" t="n">
        <v>2199</v>
      </c>
      <c r="S54" s="8" t="s">
        <v>172</v>
      </c>
      <c r="T54" s="8"/>
      <c r="U54" s="8"/>
      <c r="V54" s="8" t="s">
        <v>155</v>
      </c>
      <c r="W54" s="8"/>
      <c r="X54" s="8" t="s">
        <v>173</v>
      </c>
      <c r="Y54" s="8" t="s">
        <v>1428</v>
      </c>
      <c r="Z54" s="8" t="s">
        <v>1429</v>
      </c>
    </row>
    <row r="55" customFormat="false" ht="15" hidden="false" customHeight="false" outlineLevel="0" collapsed="false">
      <c r="A55" s="8" t="s">
        <v>171</v>
      </c>
      <c r="B55" s="8" t="s">
        <v>17</v>
      </c>
      <c r="C55" s="8" t="s">
        <v>18</v>
      </c>
      <c r="D55" s="8" t="s">
        <v>615</v>
      </c>
      <c r="E55" s="8" t="s">
        <v>35</v>
      </c>
      <c r="F55" s="8" t="s">
        <v>53</v>
      </c>
      <c r="G55" s="8" t="s">
        <v>30</v>
      </c>
      <c r="H55" s="8" t="s">
        <v>31</v>
      </c>
      <c r="I55" s="8" t="n">
        <f aca="false">IF(EXACT(G55,H55),1,0)</f>
        <v>0</v>
      </c>
      <c r="J55" s="8" t="n">
        <v>2</v>
      </c>
      <c r="K55" s="8" t="s">
        <v>140</v>
      </c>
      <c r="L55" s="8" t="n">
        <v>2</v>
      </c>
      <c r="M55" s="8" t="n">
        <v>6</v>
      </c>
      <c r="N55" s="8" t="s">
        <v>1337</v>
      </c>
      <c r="O55" s="8" t="n">
        <v>2</v>
      </c>
      <c r="P55" s="10" t="n">
        <v>41.1</v>
      </c>
      <c r="Q55" s="8" t="n">
        <v>12065</v>
      </c>
      <c r="R55" s="8" t="n">
        <v>1850</v>
      </c>
      <c r="S55" s="8" t="s">
        <v>172</v>
      </c>
      <c r="T55" s="8"/>
      <c r="U55" s="8"/>
      <c r="V55" s="8" t="s">
        <v>155</v>
      </c>
      <c r="W55" s="8"/>
      <c r="X55" s="8" t="s">
        <v>173</v>
      </c>
      <c r="Y55" s="8" t="s">
        <v>1430</v>
      </c>
      <c r="Z55" s="8" t="s">
        <v>1431</v>
      </c>
    </row>
    <row r="56" customFormat="false" ht="15" hidden="false" customHeight="false" outlineLevel="0" collapsed="false">
      <c r="A56" s="8" t="s">
        <v>174</v>
      </c>
      <c r="B56" s="8" t="s">
        <v>17</v>
      </c>
      <c r="C56" s="8" t="s">
        <v>18</v>
      </c>
      <c r="D56" s="8" t="s">
        <v>615</v>
      </c>
      <c r="E56" s="8" t="s">
        <v>35</v>
      </c>
      <c r="F56" s="8" t="s">
        <v>56</v>
      </c>
      <c r="G56" s="8" t="s">
        <v>30</v>
      </c>
      <c r="H56" s="8" t="s">
        <v>31</v>
      </c>
      <c r="I56" s="8" t="n">
        <f aca="false">IF(EXACT(G56,H56),1,0)</f>
        <v>0</v>
      </c>
      <c r="J56" s="8" t="n">
        <v>0</v>
      </c>
      <c r="K56" s="8" t="s">
        <v>116</v>
      </c>
      <c r="L56" s="8" t="n">
        <v>1</v>
      </c>
      <c r="M56" s="8" t="n">
        <v>6</v>
      </c>
      <c r="N56" s="8" t="s">
        <v>1337</v>
      </c>
      <c r="O56" s="8" t="n">
        <v>2</v>
      </c>
      <c r="P56" s="10" t="n">
        <v>36.6</v>
      </c>
      <c r="Q56" s="8" t="n">
        <v>10092</v>
      </c>
      <c r="R56" s="8" t="n">
        <v>946</v>
      </c>
      <c r="S56" s="8" t="s">
        <v>105</v>
      </c>
      <c r="T56" s="8" t="s">
        <v>175</v>
      </c>
      <c r="U56" s="8" t="s">
        <v>176</v>
      </c>
      <c r="V56" s="8"/>
      <c r="W56" s="8" t="s">
        <v>177</v>
      </c>
      <c r="X56" s="8" t="s">
        <v>178</v>
      </c>
      <c r="Y56" s="8" t="s">
        <v>1432</v>
      </c>
      <c r="Z56" s="8" t="s">
        <v>1433</v>
      </c>
    </row>
    <row r="57" customFormat="false" ht="15" hidden="false" customHeight="false" outlineLevel="0" collapsed="false">
      <c r="A57" s="8" t="s">
        <v>174</v>
      </c>
      <c r="B57" s="8" t="s">
        <v>17</v>
      </c>
      <c r="C57" s="8" t="s">
        <v>18</v>
      </c>
      <c r="D57" s="8" t="s">
        <v>615</v>
      </c>
      <c r="E57" s="8" t="s">
        <v>35</v>
      </c>
      <c r="F57" s="8" t="s">
        <v>56</v>
      </c>
      <c r="G57" s="8" t="s">
        <v>30</v>
      </c>
      <c r="H57" s="8" t="s">
        <v>31</v>
      </c>
      <c r="I57" s="8" t="n">
        <f aca="false">IF(EXACT(G57,H57),1,0)</f>
        <v>0</v>
      </c>
      <c r="J57" s="8" t="n">
        <v>1</v>
      </c>
      <c r="K57" s="8" t="s">
        <v>116</v>
      </c>
      <c r="L57" s="8" t="n">
        <v>1</v>
      </c>
      <c r="M57" s="8" t="n">
        <v>6</v>
      </c>
      <c r="N57" s="8" t="s">
        <v>1337</v>
      </c>
      <c r="O57" s="8" t="n">
        <v>2</v>
      </c>
      <c r="P57" s="10" t="n">
        <v>33.52</v>
      </c>
      <c r="Q57" s="8" t="n">
        <v>10088</v>
      </c>
      <c r="R57" s="8" t="n">
        <v>944</v>
      </c>
      <c r="S57" s="8" t="s">
        <v>105</v>
      </c>
      <c r="T57" s="8" t="s">
        <v>175</v>
      </c>
      <c r="U57" s="8" t="s">
        <v>176</v>
      </c>
      <c r="V57" s="8"/>
      <c r="W57" s="8" t="s">
        <v>177</v>
      </c>
      <c r="X57" s="8" t="s">
        <v>178</v>
      </c>
      <c r="Y57" s="8" t="s">
        <v>1434</v>
      </c>
      <c r="Z57" s="8" t="s">
        <v>1435</v>
      </c>
    </row>
    <row r="58" customFormat="false" ht="15" hidden="false" customHeight="false" outlineLevel="0" collapsed="false">
      <c r="A58" s="8" t="s">
        <v>174</v>
      </c>
      <c r="B58" s="8" t="s">
        <v>17</v>
      </c>
      <c r="C58" s="8" t="s">
        <v>18</v>
      </c>
      <c r="D58" s="8" t="s">
        <v>615</v>
      </c>
      <c r="E58" s="8" t="s">
        <v>35</v>
      </c>
      <c r="F58" s="8" t="s">
        <v>56</v>
      </c>
      <c r="G58" s="8" t="s">
        <v>30</v>
      </c>
      <c r="H58" s="8" t="s">
        <v>31</v>
      </c>
      <c r="I58" s="8" t="n">
        <f aca="false">IF(EXACT(G58,H58),1,0)</f>
        <v>0</v>
      </c>
      <c r="J58" s="8" t="n">
        <v>2</v>
      </c>
      <c r="K58" s="8" t="s">
        <v>116</v>
      </c>
      <c r="L58" s="8" t="n">
        <v>1</v>
      </c>
      <c r="M58" s="8" t="n">
        <v>6</v>
      </c>
      <c r="N58" s="8" t="s">
        <v>1337</v>
      </c>
      <c r="O58" s="8" t="n">
        <v>2</v>
      </c>
      <c r="P58" s="10" t="n">
        <v>34.05</v>
      </c>
      <c r="Q58" s="8" t="n">
        <v>10271</v>
      </c>
      <c r="R58" s="8" t="n">
        <v>960</v>
      </c>
      <c r="S58" s="8" t="s">
        <v>105</v>
      </c>
      <c r="T58" s="8" t="s">
        <v>175</v>
      </c>
      <c r="U58" s="8" t="s">
        <v>176</v>
      </c>
      <c r="V58" s="8"/>
      <c r="W58" s="8" t="s">
        <v>177</v>
      </c>
      <c r="X58" s="8" t="s">
        <v>178</v>
      </c>
      <c r="Y58" s="8" t="s">
        <v>1436</v>
      </c>
      <c r="Z58" s="8" t="s">
        <v>1437</v>
      </c>
    </row>
    <row r="59" customFormat="false" ht="15" hidden="false" customHeight="false" outlineLevel="0" collapsed="false">
      <c r="A59" s="8" t="s">
        <v>179</v>
      </c>
      <c r="B59" s="8" t="s">
        <v>17</v>
      </c>
      <c r="C59" s="8" t="s">
        <v>18</v>
      </c>
      <c r="D59" s="8" t="s">
        <v>615</v>
      </c>
      <c r="E59" s="8" t="s">
        <v>35</v>
      </c>
      <c r="F59" s="8" t="s">
        <v>56</v>
      </c>
      <c r="G59" s="8" t="s">
        <v>30</v>
      </c>
      <c r="H59" s="8" t="s">
        <v>31</v>
      </c>
      <c r="I59" s="8" t="n">
        <f aca="false">IF(EXACT(G59,H59),1,0)</f>
        <v>0</v>
      </c>
      <c r="J59" s="8" t="n">
        <v>0</v>
      </c>
      <c r="K59" s="8" t="s">
        <v>116</v>
      </c>
      <c r="L59" s="8" t="n">
        <v>1</v>
      </c>
      <c r="M59" s="8" t="n">
        <v>6</v>
      </c>
      <c r="N59" s="8" t="s">
        <v>1337</v>
      </c>
      <c r="O59" s="8" t="n">
        <v>2</v>
      </c>
      <c r="P59" s="10" t="n">
        <v>54.61</v>
      </c>
      <c r="Q59" s="8" t="n">
        <v>14343</v>
      </c>
      <c r="R59" s="8" t="n">
        <v>3521</v>
      </c>
      <c r="S59" s="8" t="s">
        <v>180</v>
      </c>
      <c r="T59" s="8" t="s">
        <v>175</v>
      </c>
      <c r="U59" s="8" t="s">
        <v>176</v>
      </c>
      <c r="V59" s="8"/>
      <c r="W59" s="8" t="s">
        <v>181</v>
      </c>
      <c r="X59" s="8" t="s">
        <v>182</v>
      </c>
      <c r="Y59" s="8" t="s">
        <v>1438</v>
      </c>
      <c r="Z59" s="8" t="s">
        <v>1439</v>
      </c>
    </row>
    <row r="60" customFormat="false" ht="15" hidden="false" customHeight="false" outlineLevel="0" collapsed="false">
      <c r="A60" s="8" t="s">
        <v>179</v>
      </c>
      <c r="B60" s="8" t="s">
        <v>17</v>
      </c>
      <c r="C60" s="8" t="s">
        <v>18</v>
      </c>
      <c r="D60" s="8" t="s">
        <v>615</v>
      </c>
      <c r="E60" s="8" t="s">
        <v>35</v>
      </c>
      <c r="F60" s="8" t="s">
        <v>56</v>
      </c>
      <c r="G60" s="8" t="s">
        <v>30</v>
      </c>
      <c r="H60" s="8" t="s">
        <v>31</v>
      </c>
      <c r="I60" s="8" t="n">
        <f aca="false">IF(EXACT(G60,H60),1,0)</f>
        <v>0</v>
      </c>
      <c r="J60" s="8" t="n">
        <v>1</v>
      </c>
      <c r="K60" s="8" t="s">
        <v>116</v>
      </c>
      <c r="L60" s="8" t="n">
        <v>1</v>
      </c>
      <c r="M60" s="8" t="n">
        <v>6</v>
      </c>
      <c r="N60" s="8" t="s">
        <v>1337</v>
      </c>
      <c r="O60" s="8" t="n">
        <v>2</v>
      </c>
      <c r="P60" s="10" t="n">
        <v>57.2</v>
      </c>
      <c r="Q60" s="8" t="n">
        <v>14343</v>
      </c>
      <c r="R60" s="8" t="n">
        <v>3555</v>
      </c>
      <c r="S60" s="8" t="s">
        <v>180</v>
      </c>
      <c r="T60" s="8" t="s">
        <v>175</v>
      </c>
      <c r="U60" s="8" t="s">
        <v>176</v>
      </c>
      <c r="V60" s="8"/>
      <c r="W60" s="8" t="s">
        <v>181</v>
      </c>
      <c r="X60" s="8" t="s">
        <v>182</v>
      </c>
      <c r="Y60" s="8" t="s">
        <v>1440</v>
      </c>
      <c r="Z60" s="8" t="s">
        <v>1441</v>
      </c>
    </row>
    <row r="61" customFormat="false" ht="15" hidden="false" customHeight="false" outlineLevel="0" collapsed="false">
      <c r="A61" s="8" t="s">
        <v>179</v>
      </c>
      <c r="B61" s="8" t="s">
        <v>17</v>
      </c>
      <c r="C61" s="8" t="s">
        <v>18</v>
      </c>
      <c r="D61" s="8" t="s">
        <v>615</v>
      </c>
      <c r="E61" s="8" t="s">
        <v>35</v>
      </c>
      <c r="F61" s="8" t="s">
        <v>56</v>
      </c>
      <c r="G61" s="8" t="s">
        <v>30</v>
      </c>
      <c r="H61" s="8" t="s">
        <v>31</v>
      </c>
      <c r="I61" s="8" t="n">
        <f aca="false">IF(EXACT(G61,H61),1,0)</f>
        <v>0</v>
      </c>
      <c r="J61" s="8" t="n">
        <v>2</v>
      </c>
      <c r="K61" s="8" t="s">
        <v>116</v>
      </c>
      <c r="L61" s="8" t="n">
        <v>1</v>
      </c>
      <c r="M61" s="8" t="n">
        <v>6</v>
      </c>
      <c r="N61" s="8" t="s">
        <v>1337</v>
      </c>
      <c r="O61" s="8" t="n">
        <v>2</v>
      </c>
      <c r="P61" s="10" t="n">
        <v>56.52</v>
      </c>
      <c r="Q61" s="8" t="n">
        <v>14156</v>
      </c>
      <c r="R61" s="8" t="n">
        <v>3568</v>
      </c>
      <c r="S61" s="8" t="s">
        <v>180</v>
      </c>
      <c r="T61" s="8" t="s">
        <v>175</v>
      </c>
      <c r="U61" s="8" t="s">
        <v>176</v>
      </c>
      <c r="V61" s="8"/>
      <c r="W61" s="8" t="s">
        <v>181</v>
      </c>
      <c r="X61" s="8" t="s">
        <v>182</v>
      </c>
      <c r="Y61" s="8" t="s">
        <v>1442</v>
      </c>
      <c r="Z61" s="8" t="s">
        <v>1443</v>
      </c>
    </row>
    <row r="62" customFormat="false" ht="15" hidden="false" customHeight="false" outlineLevel="0" collapsed="false">
      <c r="A62" s="8" t="s">
        <v>184</v>
      </c>
      <c r="B62" s="8" t="s">
        <v>17</v>
      </c>
      <c r="C62" s="8" t="s">
        <v>18</v>
      </c>
      <c r="D62" s="8" t="s">
        <v>615</v>
      </c>
      <c r="E62" s="8" t="s">
        <v>35</v>
      </c>
      <c r="F62" s="8" t="s">
        <v>56</v>
      </c>
      <c r="G62" s="8" t="s">
        <v>32</v>
      </c>
      <c r="H62" s="8" t="s">
        <v>32</v>
      </c>
      <c r="I62" s="8" t="n">
        <f aca="false">IF(EXACT(G62,H62),1,0)</f>
        <v>1</v>
      </c>
      <c r="J62" s="8" t="n">
        <v>0</v>
      </c>
      <c r="K62" s="8" t="s">
        <v>92</v>
      </c>
      <c r="L62" s="8" t="n">
        <v>0</v>
      </c>
      <c r="M62" s="8" t="n">
        <v>6</v>
      </c>
      <c r="N62" s="8" t="s">
        <v>1337</v>
      </c>
      <c r="O62" s="8" t="n">
        <v>2</v>
      </c>
      <c r="P62" s="10" t="n">
        <v>25.13</v>
      </c>
      <c r="Q62" s="8" t="n">
        <v>9756</v>
      </c>
      <c r="R62" s="8" t="n">
        <v>962</v>
      </c>
      <c r="S62" s="8" t="s">
        <v>132</v>
      </c>
      <c r="T62" s="8" t="s">
        <v>175</v>
      </c>
      <c r="U62" s="8" t="s">
        <v>176</v>
      </c>
      <c r="V62" s="8"/>
      <c r="W62" s="8" t="s">
        <v>185</v>
      </c>
      <c r="X62" s="8" t="s">
        <v>186</v>
      </c>
      <c r="Y62" s="8" t="s">
        <v>1444</v>
      </c>
      <c r="Z62" s="8"/>
    </row>
    <row r="63" customFormat="false" ht="15" hidden="false" customHeight="false" outlineLevel="0" collapsed="false">
      <c r="A63" s="8" t="s">
        <v>184</v>
      </c>
      <c r="B63" s="8" t="s">
        <v>17</v>
      </c>
      <c r="C63" s="8" t="s">
        <v>18</v>
      </c>
      <c r="D63" s="8" t="s">
        <v>615</v>
      </c>
      <c r="E63" s="8" t="s">
        <v>35</v>
      </c>
      <c r="F63" s="8" t="s">
        <v>56</v>
      </c>
      <c r="G63" s="8" t="s">
        <v>32</v>
      </c>
      <c r="H63" s="8" t="s">
        <v>32</v>
      </c>
      <c r="I63" s="8" t="n">
        <f aca="false">IF(EXACT(G63,H63),1,0)</f>
        <v>1</v>
      </c>
      <c r="J63" s="8" t="n">
        <v>1</v>
      </c>
      <c r="K63" s="8" t="s">
        <v>92</v>
      </c>
      <c r="L63" s="8" t="n">
        <v>0</v>
      </c>
      <c r="M63" s="8" t="n">
        <v>6</v>
      </c>
      <c r="N63" s="8" t="s">
        <v>1337</v>
      </c>
      <c r="O63" s="8" t="n">
        <v>2</v>
      </c>
      <c r="P63" s="10" t="n">
        <v>20.21</v>
      </c>
      <c r="Q63" s="8" t="n">
        <v>9756</v>
      </c>
      <c r="R63" s="8" t="n">
        <v>715</v>
      </c>
      <c r="S63" s="8" t="s">
        <v>132</v>
      </c>
      <c r="T63" s="8" t="s">
        <v>175</v>
      </c>
      <c r="U63" s="8" t="s">
        <v>176</v>
      </c>
      <c r="V63" s="8"/>
      <c r="W63" s="8" t="s">
        <v>185</v>
      </c>
      <c r="X63" s="8" t="s">
        <v>186</v>
      </c>
      <c r="Y63" s="8" t="s">
        <v>1445</v>
      </c>
      <c r="Z63" s="8"/>
    </row>
    <row r="64" customFormat="false" ht="15" hidden="false" customHeight="false" outlineLevel="0" collapsed="false">
      <c r="A64" s="8" t="s">
        <v>184</v>
      </c>
      <c r="B64" s="8" t="s">
        <v>17</v>
      </c>
      <c r="C64" s="8" t="s">
        <v>18</v>
      </c>
      <c r="D64" s="8" t="s">
        <v>615</v>
      </c>
      <c r="E64" s="8" t="s">
        <v>35</v>
      </c>
      <c r="F64" s="8" t="s">
        <v>56</v>
      </c>
      <c r="G64" s="8" t="s">
        <v>32</v>
      </c>
      <c r="H64" s="8" t="s">
        <v>32</v>
      </c>
      <c r="I64" s="8" t="n">
        <f aca="false">IF(EXACT(G64,H64),1,0)</f>
        <v>1</v>
      </c>
      <c r="J64" s="8" t="n">
        <v>2</v>
      </c>
      <c r="K64" s="8" t="s">
        <v>92</v>
      </c>
      <c r="L64" s="8" t="n">
        <v>0</v>
      </c>
      <c r="M64" s="8" t="n">
        <v>6</v>
      </c>
      <c r="N64" s="8" t="s">
        <v>1337</v>
      </c>
      <c r="O64" s="8" t="n">
        <v>2</v>
      </c>
      <c r="P64" s="10" t="n">
        <v>24.75</v>
      </c>
      <c r="Q64" s="8" t="n">
        <v>9756</v>
      </c>
      <c r="R64" s="8" t="n">
        <v>941</v>
      </c>
      <c r="S64" s="8" t="s">
        <v>132</v>
      </c>
      <c r="T64" s="8" t="s">
        <v>175</v>
      </c>
      <c r="U64" s="8" t="s">
        <v>176</v>
      </c>
      <c r="V64" s="8"/>
      <c r="W64" s="8" t="s">
        <v>185</v>
      </c>
      <c r="X64" s="8" t="s">
        <v>186</v>
      </c>
      <c r="Y64" s="8" t="s">
        <v>1445</v>
      </c>
      <c r="Z64" s="8"/>
    </row>
    <row r="65" customFormat="false" ht="15" hidden="false" customHeight="false" outlineLevel="0" collapsed="false">
      <c r="A65" s="8" t="s">
        <v>187</v>
      </c>
      <c r="B65" s="8" t="s">
        <v>17</v>
      </c>
      <c r="C65" s="8" t="s">
        <v>18</v>
      </c>
      <c r="D65" s="8" t="s">
        <v>615</v>
      </c>
      <c r="E65" s="8" t="s">
        <v>35</v>
      </c>
      <c r="F65" s="8" t="s">
        <v>56</v>
      </c>
      <c r="G65" s="8" t="s">
        <v>32</v>
      </c>
      <c r="H65" s="8" t="s">
        <v>31</v>
      </c>
      <c r="I65" s="8" t="n">
        <f aca="false">IF(EXACT(G65,H65),1,0)</f>
        <v>0</v>
      </c>
      <c r="J65" s="8" t="n">
        <v>0</v>
      </c>
      <c r="K65" s="8" t="s">
        <v>116</v>
      </c>
      <c r="L65" s="8" t="n">
        <v>2</v>
      </c>
      <c r="M65" s="8" t="n">
        <v>6</v>
      </c>
      <c r="N65" s="8" t="s">
        <v>1337</v>
      </c>
      <c r="O65" s="8" t="n">
        <v>2</v>
      </c>
      <c r="P65" s="10" t="n">
        <v>33.53</v>
      </c>
      <c r="Q65" s="8" t="n">
        <v>10755</v>
      </c>
      <c r="R65" s="8" t="n">
        <v>1510</v>
      </c>
      <c r="S65" s="8" t="s">
        <v>94</v>
      </c>
      <c r="T65" s="8" t="s">
        <v>175</v>
      </c>
      <c r="U65" s="8" t="s">
        <v>176</v>
      </c>
      <c r="V65" s="8"/>
      <c r="W65" s="8" t="s">
        <v>188</v>
      </c>
      <c r="X65" s="8" t="s">
        <v>189</v>
      </c>
      <c r="Y65" s="8" t="s">
        <v>1446</v>
      </c>
      <c r="Z65" s="8" t="s">
        <v>1447</v>
      </c>
    </row>
    <row r="66" customFormat="false" ht="15" hidden="false" customHeight="false" outlineLevel="0" collapsed="false">
      <c r="A66" s="8" t="s">
        <v>187</v>
      </c>
      <c r="B66" s="8" t="s">
        <v>17</v>
      </c>
      <c r="C66" s="8" t="s">
        <v>18</v>
      </c>
      <c r="D66" s="8" t="s">
        <v>615</v>
      </c>
      <c r="E66" s="8" t="s">
        <v>35</v>
      </c>
      <c r="F66" s="8" t="s">
        <v>56</v>
      </c>
      <c r="G66" s="8" t="s">
        <v>32</v>
      </c>
      <c r="H66" s="8" t="s">
        <v>31</v>
      </c>
      <c r="I66" s="8" t="n">
        <f aca="false">IF(EXACT(G66,H66),1,0)</f>
        <v>0</v>
      </c>
      <c r="J66" s="8" t="n">
        <v>1</v>
      </c>
      <c r="K66" s="8" t="s">
        <v>116</v>
      </c>
      <c r="L66" s="8" t="n">
        <v>2</v>
      </c>
      <c r="M66" s="8" t="n">
        <v>6</v>
      </c>
      <c r="N66" s="8" t="s">
        <v>1337</v>
      </c>
      <c r="O66" s="8" t="n">
        <v>2</v>
      </c>
      <c r="P66" s="10" t="n">
        <v>30.44</v>
      </c>
      <c r="Q66" s="8" t="n">
        <v>10750</v>
      </c>
      <c r="R66" s="8" t="n">
        <v>1412</v>
      </c>
      <c r="S66" s="8" t="s">
        <v>94</v>
      </c>
      <c r="T66" s="8" t="s">
        <v>175</v>
      </c>
      <c r="U66" s="8" t="s">
        <v>176</v>
      </c>
      <c r="V66" s="8"/>
      <c r="W66" s="8" t="s">
        <v>188</v>
      </c>
      <c r="X66" s="8" t="s">
        <v>189</v>
      </c>
      <c r="Y66" s="8" t="s">
        <v>1448</v>
      </c>
      <c r="Z66" s="8" t="s">
        <v>1449</v>
      </c>
    </row>
    <row r="67" customFormat="false" ht="15" hidden="false" customHeight="false" outlineLevel="0" collapsed="false">
      <c r="A67" s="8" t="s">
        <v>187</v>
      </c>
      <c r="B67" s="8" t="s">
        <v>17</v>
      </c>
      <c r="C67" s="8" t="s">
        <v>18</v>
      </c>
      <c r="D67" s="8" t="s">
        <v>615</v>
      </c>
      <c r="E67" s="8" t="s">
        <v>35</v>
      </c>
      <c r="F67" s="8" t="s">
        <v>56</v>
      </c>
      <c r="G67" s="8" t="s">
        <v>32</v>
      </c>
      <c r="H67" s="8" t="s">
        <v>31</v>
      </c>
      <c r="I67" s="8" t="n">
        <f aca="false">IF(EXACT(G67,H67),1,0)</f>
        <v>0</v>
      </c>
      <c r="J67" s="8" t="n">
        <v>2</v>
      </c>
      <c r="K67" s="8" t="s">
        <v>116</v>
      </c>
      <c r="L67" s="8" t="n">
        <v>2</v>
      </c>
      <c r="M67" s="8" t="n">
        <v>6</v>
      </c>
      <c r="N67" s="8" t="s">
        <v>1337</v>
      </c>
      <c r="O67" s="8" t="n">
        <v>2</v>
      </c>
      <c r="P67" s="10" t="n">
        <v>36.98</v>
      </c>
      <c r="Q67" s="8" t="n">
        <v>10754</v>
      </c>
      <c r="R67" s="8" t="n">
        <v>1404</v>
      </c>
      <c r="S67" s="8" t="s">
        <v>94</v>
      </c>
      <c r="T67" s="8" t="s">
        <v>175</v>
      </c>
      <c r="U67" s="8" t="s">
        <v>176</v>
      </c>
      <c r="V67" s="8"/>
      <c r="W67" s="8" t="s">
        <v>188</v>
      </c>
      <c r="X67" s="8" t="s">
        <v>189</v>
      </c>
      <c r="Y67" s="8" t="s">
        <v>1450</v>
      </c>
      <c r="Z67" s="8" t="s">
        <v>1451</v>
      </c>
    </row>
    <row r="68" customFormat="false" ht="15" hidden="false" customHeight="false" outlineLevel="0" collapsed="false">
      <c r="A68" s="8" t="s">
        <v>191</v>
      </c>
      <c r="B68" s="8" t="s">
        <v>17</v>
      </c>
      <c r="C68" s="8" t="s">
        <v>18</v>
      </c>
      <c r="D68" s="8" t="s">
        <v>615</v>
      </c>
      <c r="E68" s="8" t="s">
        <v>35</v>
      </c>
      <c r="F68" s="8" t="s">
        <v>56</v>
      </c>
      <c r="G68" s="8" t="s">
        <v>31</v>
      </c>
      <c r="H68" s="8" t="s">
        <v>31</v>
      </c>
      <c r="I68" s="8" t="n">
        <f aca="false">IF(EXACT(G68,H68),1,0)</f>
        <v>1</v>
      </c>
      <c r="J68" s="8" t="n">
        <v>0</v>
      </c>
      <c r="K68" s="8" t="s">
        <v>116</v>
      </c>
      <c r="L68" s="8" t="n">
        <v>1</v>
      </c>
      <c r="M68" s="8" t="n">
        <v>6</v>
      </c>
      <c r="N68" s="8" t="s">
        <v>1337</v>
      </c>
      <c r="O68" s="8" t="n">
        <v>2</v>
      </c>
      <c r="P68" s="10" t="n">
        <v>34.14</v>
      </c>
      <c r="Q68" s="8" t="n">
        <v>10492</v>
      </c>
      <c r="R68" s="8" t="n">
        <v>1562</v>
      </c>
      <c r="S68" s="8" t="s">
        <v>117</v>
      </c>
      <c r="T68" s="8" t="s">
        <v>175</v>
      </c>
      <c r="U68" s="8" t="s">
        <v>176</v>
      </c>
      <c r="V68" s="8"/>
      <c r="W68" s="8" t="s">
        <v>192</v>
      </c>
      <c r="X68" s="8" t="s">
        <v>193</v>
      </c>
      <c r="Y68" s="8" t="s">
        <v>1452</v>
      </c>
      <c r="Z68" s="8" t="s">
        <v>1453</v>
      </c>
    </row>
    <row r="69" customFormat="false" ht="15" hidden="false" customHeight="false" outlineLevel="0" collapsed="false">
      <c r="A69" s="8" t="s">
        <v>191</v>
      </c>
      <c r="B69" s="8" t="s">
        <v>17</v>
      </c>
      <c r="C69" s="8" t="s">
        <v>18</v>
      </c>
      <c r="D69" s="8" t="s">
        <v>615</v>
      </c>
      <c r="E69" s="8" t="s">
        <v>35</v>
      </c>
      <c r="F69" s="8" t="s">
        <v>56</v>
      </c>
      <c r="G69" s="8" t="s">
        <v>31</v>
      </c>
      <c r="H69" s="8" t="s">
        <v>31</v>
      </c>
      <c r="I69" s="8" t="n">
        <f aca="false">IF(EXACT(G69,H69),1,0)</f>
        <v>1</v>
      </c>
      <c r="J69" s="8" t="n">
        <v>1</v>
      </c>
      <c r="K69" s="8" t="s">
        <v>116</v>
      </c>
      <c r="L69" s="8" t="n">
        <v>1</v>
      </c>
      <c r="M69" s="8" t="n">
        <v>6</v>
      </c>
      <c r="N69" s="8" t="s">
        <v>1337</v>
      </c>
      <c r="O69" s="8" t="n">
        <v>2</v>
      </c>
      <c r="P69" s="10" t="n">
        <v>28.44</v>
      </c>
      <c r="Q69" s="8" t="n">
        <v>10676</v>
      </c>
      <c r="R69" s="8" t="n">
        <v>1243</v>
      </c>
      <c r="S69" s="8" t="s">
        <v>117</v>
      </c>
      <c r="T69" s="8" t="s">
        <v>175</v>
      </c>
      <c r="U69" s="8" t="s">
        <v>176</v>
      </c>
      <c r="V69" s="8"/>
      <c r="W69" s="8" t="s">
        <v>192</v>
      </c>
      <c r="X69" s="8" t="s">
        <v>193</v>
      </c>
      <c r="Y69" s="8" t="s">
        <v>1454</v>
      </c>
      <c r="Z69" s="8" t="s">
        <v>1455</v>
      </c>
    </row>
    <row r="70" customFormat="false" ht="15" hidden="false" customHeight="false" outlineLevel="0" collapsed="false">
      <c r="A70" s="8" t="s">
        <v>191</v>
      </c>
      <c r="B70" s="8" t="s">
        <v>17</v>
      </c>
      <c r="C70" s="8" t="s">
        <v>18</v>
      </c>
      <c r="D70" s="8" t="s">
        <v>615</v>
      </c>
      <c r="E70" s="8" t="s">
        <v>35</v>
      </c>
      <c r="F70" s="8" t="s">
        <v>56</v>
      </c>
      <c r="G70" s="8" t="s">
        <v>31</v>
      </c>
      <c r="H70" s="8" t="s">
        <v>31</v>
      </c>
      <c r="I70" s="8" t="n">
        <f aca="false">IF(EXACT(G70,H70),1,0)</f>
        <v>1</v>
      </c>
      <c r="J70" s="8" t="n">
        <v>2</v>
      </c>
      <c r="K70" s="8" t="s">
        <v>116</v>
      </c>
      <c r="L70" s="8" t="n">
        <v>1</v>
      </c>
      <c r="M70" s="8" t="n">
        <v>6</v>
      </c>
      <c r="N70" s="8" t="s">
        <v>1337</v>
      </c>
      <c r="O70" s="8" t="n">
        <v>2</v>
      </c>
      <c r="P70" s="10" t="n">
        <v>32.04</v>
      </c>
      <c r="Q70" s="8" t="n">
        <v>10676</v>
      </c>
      <c r="R70" s="8" t="n">
        <v>1406</v>
      </c>
      <c r="S70" s="8" t="s">
        <v>117</v>
      </c>
      <c r="T70" s="8" t="s">
        <v>175</v>
      </c>
      <c r="U70" s="8" t="s">
        <v>176</v>
      </c>
      <c r="V70" s="8"/>
      <c r="W70" s="8" t="s">
        <v>192</v>
      </c>
      <c r="X70" s="8" t="s">
        <v>193</v>
      </c>
      <c r="Y70" s="8" t="s">
        <v>1456</v>
      </c>
      <c r="Z70" s="8" t="s">
        <v>1457</v>
      </c>
    </row>
    <row r="71" customFormat="false" ht="15" hidden="false" customHeight="false" outlineLevel="0" collapsed="false">
      <c r="A71" s="8" t="s">
        <v>194</v>
      </c>
      <c r="B71" s="8" t="s">
        <v>17</v>
      </c>
      <c r="C71" s="8" t="s">
        <v>18</v>
      </c>
      <c r="D71" s="8" t="s">
        <v>615</v>
      </c>
      <c r="E71" s="8" t="s">
        <v>35</v>
      </c>
      <c r="F71" s="8" t="s">
        <v>56</v>
      </c>
      <c r="G71" s="8" t="s">
        <v>31</v>
      </c>
      <c r="H71" s="8" t="s">
        <v>31</v>
      </c>
      <c r="I71" s="8" t="n">
        <f aca="false">IF(EXACT(G71,H71),1,0)</f>
        <v>1</v>
      </c>
      <c r="J71" s="8" t="n">
        <v>0</v>
      </c>
      <c r="K71" s="8" t="s">
        <v>140</v>
      </c>
      <c r="L71" s="8" t="n">
        <v>3</v>
      </c>
      <c r="M71" s="8" t="n">
        <v>6</v>
      </c>
      <c r="N71" s="8" t="s">
        <v>1337</v>
      </c>
      <c r="O71" s="8" t="n">
        <v>2</v>
      </c>
      <c r="P71" s="10" t="n">
        <v>44.75</v>
      </c>
      <c r="Q71" s="8" t="n">
        <v>12825</v>
      </c>
      <c r="R71" s="8" t="n">
        <v>2304</v>
      </c>
      <c r="S71" s="8" t="s">
        <v>195</v>
      </c>
      <c r="T71" s="8"/>
      <c r="U71" s="8"/>
      <c r="V71" s="8" t="s">
        <v>155</v>
      </c>
      <c r="W71" s="8"/>
      <c r="X71" s="8" t="s">
        <v>196</v>
      </c>
      <c r="Y71" s="8" t="s">
        <v>1458</v>
      </c>
      <c r="Z71" s="8" t="s">
        <v>1459</v>
      </c>
    </row>
    <row r="72" customFormat="false" ht="15" hidden="false" customHeight="false" outlineLevel="0" collapsed="false">
      <c r="A72" s="8" t="s">
        <v>194</v>
      </c>
      <c r="B72" s="8" t="s">
        <v>17</v>
      </c>
      <c r="C72" s="8" t="s">
        <v>18</v>
      </c>
      <c r="D72" s="8" t="s">
        <v>615</v>
      </c>
      <c r="E72" s="8" t="s">
        <v>35</v>
      </c>
      <c r="F72" s="8" t="s">
        <v>56</v>
      </c>
      <c r="G72" s="8" t="s">
        <v>31</v>
      </c>
      <c r="H72" s="8" t="s">
        <v>31</v>
      </c>
      <c r="I72" s="8" t="n">
        <f aca="false">IF(EXACT(G72,H72),1,0)</f>
        <v>1</v>
      </c>
      <c r="J72" s="8" t="n">
        <v>1</v>
      </c>
      <c r="K72" s="8" t="s">
        <v>140</v>
      </c>
      <c r="L72" s="8" t="n">
        <v>3</v>
      </c>
      <c r="M72" s="8" t="n">
        <v>6</v>
      </c>
      <c r="N72" s="8" t="s">
        <v>1337</v>
      </c>
      <c r="O72" s="8" t="n">
        <v>2</v>
      </c>
      <c r="P72" s="10" t="n">
        <v>42.45</v>
      </c>
      <c r="Q72" s="8" t="n">
        <v>12825</v>
      </c>
      <c r="R72" s="8" t="n">
        <v>2208</v>
      </c>
      <c r="S72" s="8" t="s">
        <v>195</v>
      </c>
      <c r="T72" s="8"/>
      <c r="U72" s="8"/>
      <c r="V72" s="8" t="s">
        <v>155</v>
      </c>
      <c r="W72" s="8"/>
      <c r="X72" s="8" t="s">
        <v>196</v>
      </c>
      <c r="Y72" s="8" t="s">
        <v>1460</v>
      </c>
      <c r="Z72" s="8" t="s">
        <v>1461</v>
      </c>
    </row>
    <row r="73" customFormat="false" ht="15" hidden="false" customHeight="false" outlineLevel="0" collapsed="false">
      <c r="A73" s="8" t="s">
        <v>194</v>
      </c>
      <c r="B73" s="8" t="s">
        <v>17</v>
      </c>
      <c r="C73" s="8" t="s">
        <v>18</v>
      </c>
      <c r="D73" s="8" t="s">
        <v>615</v>
      </c>
      <c r="E73" s="8" t="s">
        <v>35</v>
      </c>
      <c r="F73" s="8" t="s">
        <v>56</v>
      </c>
      <c r="G73" s="8" t="s">
        <v>31</v>
      </c>
      <c r="H73" s="8" t="s">
        <v>31</v>
      </c>
      <c r="I73" s="8" t="n">
        <f aca="false">IF(EXACT(G73,H73),1,0)</f>
        <v>1</v>
      </c>
      <c r="J73" s="8" t="n">
        <v>2</v>
      </c>
      <c r="K73" s="8" t="s">
        <v>140</v>
      </c>
      <c r="L73" s="8" t="n">
        <v>2</v>
      </c>
      <c r="M73" s="8" t="n">
        <v>6</v>
      </c>
      <c r="N73" s="8" t="s">
        <v>1337</v>
      </c>
      <c r="O73" s="8" t="n">
        <v>2</v>
      </c>
      <c r="P73" s="10" t="n">
        <v>39.43</v>
      </c>
      <c r="Q73" s="8" t="n">
        <v>12825</v>
      </c>
      <c r="R73" s="8" t="n">
        <v>2055</v>
      </c>
      <c r="S73" s="8" t="s">
        <v>195</v>
      </c>
      <c r="T73" s="8"/>
      <c r="U73" s="8"/>
      <c r="V73" s="8" t="s">
        <v>155</v>
      </c>
      <c r="W73" s="8"/>
      <c r="X73" s="8" t="s">
        <v>196</v>
      </c>
      <c r="Y73" s="8" t="s">
        <v>1462</v>
      </c>
      <c r="Z73" s="8" t="s">
        <v>1463</v>
      </c>
    </row>
    <row r="74" customFormat="false" ht="15" hidden="false" customHeight="false" outlineLevel="0" collapsed="false">
      <c r="A74" s="8" t="s">
        <v>197</v>
      </c>
      <c r="B74" s="8" t="s">
        <v>17</v>
      </c>
      <c r="C74" s="8" t="s">
        <v>18</v>
      </c>
      <c r="D74" s="8" t="s">
        <v>615</v>
      </c>
      <c r="E74" s="8" t="s">
        <v>35</v>
      </c>
      <c r="F74" s="8" t="s">
        <v>58</v>
      </c>
      <c r="G74" s="8" t="s">
        <v>31</v>
      </c>
      <c r="H74" s="8" t="s">
        <v>31</v>
      </c>
      <c r="I74" s="8" t="n">
        <f aca="false">IF(EXACT(G74,H74),1,0)</f>
        <v>1</v>
      </c>
      <c r="J74" s="8" t="n">
        <v>0</v>
      </c>
      <c r="K74" s="8" t="s">
        <v>116</v>
      </c>
      <c r="L74" s="8" t="n">
        <v>1</v>
      </c>
      <c r="M74" s="8" t="n">
        <v>6</v>
      </c>
      <c r="N74" s="8" t="s">
        <v>1337</v>
      </c>
      <c r="O74" s="8" t="n">
        <v>2</v>
      </c>
      <c r="P74" s="10" t="n">
        <v>36.1</v>
      </c>
      <c r="Q74" s="8" t="n">
        <v>13544</v>
      </c>
      <c r="R74" s="8" t="n">
        <v>1982</v>
      </c>
      <c r="S74" s="8" t="s">
        <v>198</v>
      </c>
      <c r="T74" s="8"/>
      <c r="U74" s="8"/>
      <c r="V74" s="8" t="s">
        <v>155</v>
      </c>
      <c r="W74" s="8"/>
      <c r="X74" s="8" t="s">
        <v>199</v>
      </c>
      <c r="Y74" s="8" t="s">
        <v>1464</v>
      </c>
      <c r="Z74" s="8" t="s">
        <v>1465</v>
      </c>
    </row>
    <row r="75" customFormat="false" ht="15" hidden="false" customHeight="false" outlineLevel="0" collapsed="false">
      <c r="A75" s="8" t="s">
        <v>197</v>
      </c>
      <c r="B75" s="8" t="s">
        <v>17</v>
      </c>
      <c r="C75" s="8" t="s">
        <v>18</v>
      </c>
      <c r="D75" s="8" t="s">
        <v>615</v>
      </c>
      <c r="E75" s="8" t="s">
        <v>35</v>
      </c>
      <c r="F75" s="8" t="s">
        <v>58</v>
      </c>
      <c r="G75" s="8" t="s">
        <v>31</v>
      </c>
      <c r="H75" s="8" t="s">
        <v>31</v>
      </c>
      <c r="I75" s="8" t="n">
        <f aca="false">IF(EXACT(G75,H75),1,0)</f>
        <v>1</v>
      </c>
      <c r="J75" s="8" t="n">
        <v>1</v>
      </c>
      <c r="K75" s="8" t="s">
        <v>116</v>
      </c>
      <c r="L75" s="8" t="n">
        <v>1</v>
      </c>
      <c r="M75" s="8" t="n">
        <v>6</v>
      </c>
      <c r="N75" s="8" t="s">
        <v>1337</v>
      </c>
      <c r="O75" s="8" t="n">
        <v>2</v>
      </c>
      <c r="P75" s="10" t="n">
        <v>35.6</v>
      </c>
      <c r="Q75" s="8" t="n">
        <v>13544</v>
      </c>
      <c r="R75" s="8" t="n">
        <v>1978</v>
      </c>
      <c r="S75" s="8" t="s">
        <v>198</v>
      </c>
      <c r="T75" s="8"/>
      <c r="U75" s="8"/>
      <c r="V75" s="8" t="s">
        <v>155</v>
      </c>
      <c r="W75" s="8"/>
      <c r="X75" s="8" t="s">
        <v>199</v>
      </c>
      <c r="Y75" s="8" t="s">
        <v>1466</v>
      </c>
      <c r="Z75" s="8" t="s">
        <v>1467</v>
      </c>
    </row>
    <row r="76" customFormat="false" ht="15" hidden="false" customHeight="false" outlineLevel="0" collapsed="false">
      <c r="A76" s="8" t="s">
        <v>197</v>
      </c>
      <c r="B76" s="8" t="s">
        <v>17</v>
      </c>
      <c r="C76" s="8" t="s">
        <v>18</v>
      </c>
      <c r="D76" s="8" t="s">
        <v>615</v>
      </c>
      <c r="E76" s="8" t="s">
        <v>35</v>
      </c>
      <c r="F76" s="8" t="s">
        <v>58</v>
      </c>
      <c r="G76" s="8" t="s">
        <v>31</v>
      </c>
      <c r="H76" s="8" t="s">
        <v>31</v>
      </c>
      <c r="I76" s="8" t="n">
        <f aca="false">IF(EXACT(G76,H76),1,0)</f>
        <v>1</v>
      </c>
      <c r="J76" s="8" t="n">
        <v>2</v>
      </c>
      <c r="K76" s="8" t="s">
        <v>116</v>
      </c>
      <c r="L76" s="8" t="n">
        <v>1</v>
      </c>
      <c r="M76" s="8" t="n">
        <v>6</v>
      </c>
      <c r="N76" s="8" t="s">
        <v>1337</v>
      </c>
      <c r="O76" s="8" t="n">
        <v>2</v>
      </c>
      <c r="P76" s="10" t="n">
        <v>37.54</v>
      </c>
      <c r="Q76" s="8" t="n">
        <v>13544</v>
      </c>
      <c r="R76" s="8" t="n">
        <v>1998</v>
      </c>
      <c r="S76" s="8" t="s">
        <v>198</v>
      </c>
      <c r="T76" s="8"/>
      <c r="U76" s="8"/>
      <c r="V76" s="8" t="s">
        <v>155</v>
      </c>
      <c r="W76" s="8"/>
      <c r="X76" s="8" t="s">
        <v>199</v>
      </c>
      <c r="Y76" s="8" t="s">
        <v>1468</v>
      </c>
      <c r="Z76" s="8" t="s">
        <v>1469</v>
      </c>
    </row>
    <row r="77" customFormat="false" ht="15" hidden="false" customHeight="false" outlineLevel="0" collapsed="false">
      <c r="A77" s="8" t="s">
        <v>200</v>
      </c>
      <c r="B77" s="8" t="s">
        <v>17</v>
      </c>
      <c r="C77" s="8" t="s">
        <v>18</v>
      </c>
      <c r="D77" s="8" t="s">
        <v>615</v>
      </c>
      <c r="E77" s="8" t="s">
        <v>35</v>
      </c>
      <c r="F77" s="8" t="s">
        <v>58</v>
      </c>
      <c r="G77" s="8" t="s">
        <v>31</v>
      </c>
      <c r="H77" s="8" t="s">
        <v>31</v>
      </c>
      <c r="I77" s="8" t="n">
        <f aca="false">IF(EXACT(G77,H77),1,0)</f>
        <v>1</v>
      </c>
      <c r="J77" s="8" t="n">
        <v>0</v>
      </c>
      <c r="K77" s="8" t="s">
        <v>116</v>
      </c>
      <c r="L77" s="8" t="n">
        <v>1</v>
      </c>
      <c r="M77" s="8" t="n">
        <v>6</v>
      </c>
      <c r="N77" s="8" t="s">
        <v>1337</v>
      </c>
      <c r="O77" s="8" t="n">
        <v>2</v>
      </c>
      <c r="P77" s="10" t="n">
        <v>32.13</v>
      </c>
      <c r="Q77" s="8" t="n">
        <v>12450</v>
      </c>
      <c r="R77" s="8" t="n">
        <v>1501</v>
      </c>
      <c r="S77" s="8" t="s">
        <v>201</v>
      </c>
      <c r="T77" s="8"/>
      <c r="U77" s="8"/>
      <c r="V77" s="8" t="s">
        <v>155</v>
      </c>
      <c r="W77" s="8"/>
      <c r="X77" s="8" t="s">
        <v>202</v>
      </c>
      <c r="Y77" s="8" t="s">
        <v>1470</v>
      </c>
      <c r="Z77" s="8" t="s">
        <v>1471</v>
      </c>
    </row>
    <row r="78" customFormat="false" ht="15" hidden="false" customHeight="false" outlineLevel="0" collapsed="false">
      <c r="A78" s="8" t="s">
        <v>200</v>
      </c>
      <c r="B78" s="8" t="s">
        <v>17</v>
      </c>
      <c r="C78" s="8" t="s">
        <v>18</v>
      </c>
      <c r="D78" s="8" t="s">
        <v>615</v>
      </c>
      <c r="E78" s="8" t="s">
        <v>35</v>
      </c>
      <c r="F78" s="8" t="s">
        <v>58</v>
      </c>
      <c r="G78" s="8" t="s">
        <v>31</v>
      </c>
      <c r="H78" s="8" t="s">
        <v>31</v>
      </c>
      <c r="I78" s="8" t="n">
        <f aca="false">IF(EXACT(G78,H78),1,0)</f>
        <v>1</v>
      </c>
      <c r="J78" s="8" t="n">
        <v>1</v>
      </c>
      <c r="K78" s="8" t="s">
        <v>116</v>
      </c>
      <c r="L78" s="8" t="n">
        <v>1</v>
      </c>
      <c r="M78" s="8" t="n">
        <v>6</v>
      </c>
      <c r="N78" s="8" t="s">
        <v>1337</v>
      </c>
      <c r="O78" s="8" t="n">
        <v>2</v>
      </c>
      <c r="P78" s="10" t="n">
        <v>30.85</v>
      </c>
      <c r="Q78" s="8" t="n">
        <v>12450</v>
      </c>
      <c r="R78" s="8" t="n">
        <v>1501</v>
      </c>
      <c r="S78" s="8" t="s">
        <v>201</v>
      </c>
      <c r="T78" s="8"/>
      <c r="U78" s="8"/>
      <c r="V78" s="8" t="s">
        <v>155</v>
      </c>
      <c r="W78" s="8"/>
      <c r="X78" s="8" t="s">
        <v>202</v>
      </c>
      <c r="Y78" s="8" t="s">
        <v>1472</v>
      </c>
      <c r="Z78" s="8" t="s">
        <v>1473</v>
      </c>
    </row>
    <row r="79" customFormat="false" ht="15" hidden="false" customHeight="false" outlineLevel="0" collapsed="false">
      <c r="A79" s="8" t="s">
        <v>200</v>
      </c>
      <c r="B79" s="8" t="s">
        <v>17</v>
      </c>
      <c r="C79" s="8" t="s">
        <v>18</v>
      </c>
      <c r="D79" s="8" t="s">
        <v>615</v>
      </c>
      <c r="E79" s="8" t="s">
        <v>35</v>
      </c>
      <c r="F79" s="8" t="s">
        <v>58</v>
      </c>
      <c r="G79" s="8" t="s">
        <v>31</v>
      </c>
      <c r="H79" s="8" t="s">
        <v>31</v>
      </c>
      <c r="I79" s="8" t="n">
        <f aca="false">IF(EXACT(G79,H79),1,0)</f>
        <v>1</v>
      </c>
      <c r="J79" s="8" t="n">
        <v>2</v>
      </c>
      <c r="K79" s="8" t="s">
        <v>116</v>
      </c>
      <c r="L79" s="8" t="n">
        <v>1</v>
      </c>
      <c r="M79" s="8" t="n">
        <v>6</v>
      </c>
      <c r="N79" s="8" t="s">
        <v>1337</v>
      </c>
      <c r="O79" s="8" t="n">
        <v>2</v>
      </c>
      <c r="P79" s="10" t="n">
        <v>31.95</v>
      </c>
      <c r="Q79" s="8" t="n">
        <v>12450</v>
      </c>
      <c r="R79" s="8" t="n">
        <v>1520</v>
      </c>
      <c r="S79" s="8" t="s">
        <v>201</v>
      </c>
      <c r="T79" s="8"/>
      <c r="U79" s="8"/>
      <c r="V79" s="8" t="s">
        <v>155</v>
      </c>
      <c r="W79" s="8"/>
      <c r="X79" s="8" t="s">
        <v>202</v>
      </c>
      <c r="Y79" s="8" t="s">
        <v>1474</v>
      </c>
      <c r="Z79" s="8" t="s">
        <v>1475</v>
      </c>
    </row>
    <row r="80" customFormat="false" ht="15" hidden="false" customHeight="false" outlineLevel="0" collapsed="false">
      <c r="A80" s="8" t="s">
        <v>203</v>
      </c>
      <c r="B80" s="8" t="s">
        <v>17</v>
      </c>
      <c r="C80" s="8" t="s">
        <v>18</v>
      </c>
      <c r="D80" s="8" t="s">
        <v>615</v>
      </c>
      <c r="E80" s="8" t="s">
        <v>35</v>
      </c>
      <c r="F80" s="8" t="s">
        <v>58</v>
      </c>
      <c r="G80" s="8" t="s">
        <v>32</v>
      </c>
      <c r="H80" s="8" t="s">
        <v>30</v>
      </c>
      <c r="I80" s="8" t="n">
        <f aca="false">IF(EXACT(G80,H80),1,0)</f>
        <v>0</v>
      </c>
      <c r="J80" s="8" t="n">
        <v>0</v>
      </c>
      <c r="K80" s="8" t="s">
        <v>92</v>
      </c>
      <c r="L80" s="8" t="n">
        <v>0</v>
      </c>
      <c r="M80" s="8" t="n">
        <v>6</v>
      </c>
      <c r="N80" s="8" t="s">
        <v>1337</v>
      </c>
      <c r="O80" s="8" t="n">
        <v>2</v>
      </c>
      <c r="P80" s="10" t="n">
        <v>33.35</v>
      </c>
      <c r="Q80" s="8" t="n">
        <v>10481</v>
      </c>
      <c r="R80" s="8" t="n">
        <v>1321</v>
      </c>
      <c r="S80" s="8" t="s">
        <v>204</v>
      </c>
      <c r="T80" s="8"/>
      <c r="U80" s="8"/>
      <c r="V80" s="8" t="s">
        <v>155</v>
      </c>
      <c r="W80" s="8"/>
      <c r="X80" s="8" t="s">
        <v>205</v>
      </c>
      <c r="Y80" s="8" t="s">
        <v>1476</v>
      </c>
      <c r="Z80" s="8"/>
    </row>
    <row r="81" customFormat="false" ht="15" hidden="false" customHeight="false" outlineLevel="0" collapsed="false">
      <c r="A81" s="8" t="s">
        <v>203</v>
      </c>
      <c r="B81" s="8" t="s">
        <v>17</v>
      </c>
      <c r="C81" s="8" t="s">
        <v>18</v>
      </c>
      <c r="D81" s="8" t="s">
        <v>615</v>
      </c>
      <c r="E81" s="8" t="s">
        <v>35</v>
      </c>
      <c r="F81" s="8" t="s">
        <v>58</v>
      </c>
      <c r="G81" s="8" t="s">
        <v>32</v>
      </c>
      <c r="H81" s="8" t="s">
        <v>30</v>
      </c>
      <c r="I81" s="8" t="n">
        <f aca="false">IF(EXACT(G81,H81),1,0)</f>
        <v>0</v>
      </c>
      <c r="J81" s="8" t="n">
        <v>1</v>
      </c>
      <c r="K81" s="8" t="s">
        <v>92</v>
      </c>
      <c r="L81" s="8" t="n">
        <v>0</v>
      </c>
      <c r="M81" s="8" t="n">
        <v>6</v>
      </c>
      <c r="N81" s="8" t="s">
        <v>1337</v>
      </c>
      <c r="O81" s="8" t="n">
        <v>2</v>
      </c>
      <c r="P81" s="10" t="n">
        <v>30.01</v>
      </c>
      <c r="Q81" s="8" t="n">
        <v>10474</v>
      </c>
      <c r="R81" s="8" t="n">
        <v>1320</v>
      </c>
      <c r="S81" s="8" t="s">
        <v>204</v>
      </c>
      <c r="T81" s="8"/>
      <c r="U81" s="8"/>
      <c r="V81" s="8" t="s">
        <v>155</v>
      </c>
      <c r="W81" s="8"/>
      <c r="X81" s="8" t="s">
        <v>205</v>
      </c>
      <c r="Y81" s="8" t="s">
        <v>1477</v>
      </c>
      <c r="Z81" s="8"/>
    </row>
    <row r="82" customFormat="false" ht="15" hidden="false" customHeight="false" outlineLevel="0" collapsed="false">
      <c r="A82" s="8" t="s">
        <v>203</v>
      </c>
      <c r="B82" s="8" t="s">
        <v>17</v>
      </c>
      <c r="C82" s="8" t="s">
        <v>18</v>
      </c>
      <c r="D82" s="8" t="s">
        <v>615</v>
      </c>
      <c r="E82" s="8" t="s">
        <v>35</v>
      </c>
      <c r="F82" s="8" t="s">
        <v>58</v>
      </c>
      <c r="G82" s="8" t="s">
        <v>32</v>
      </c>
      <c r="H82" s="8" t="s">
        <v>30</v>
      </c>
      <c r="I82" s="8" t="n">
        <f aca="false">IF(EXACT(G82,H82),1,0)</f>
        <v>0</v>
      </c>
      <c r="J82" s="8" t="n">
        <v>2</v>
      </c>
      <c r="K82" s="8" t="s">
        <v>92</v>
      </c>
      <c r="L82" s="8" t="n">
        <v>0</v>
      </c>
      <c r="M82" s="8" t="n">
        <v>6</v>
      </c>
      <c r="N82" s="8" t="s">
        <v>1337</v>
      </c>
      <c r="O82" s="8" t="n">
        <v>2</v>
      </c>
      <c r="P82" s="10" t="n">
        <v>29.76</v>
      </c>
      <c r="Q82" s="8" t="n">
        <v>10474</v>
      </c>
      <c r="R82" s="8" t="n">
        <v>1290</v>
      </c>
      <c r="S82" s="8" t="s">
        <v>204</v>
      </c>
      <c r="T82" s="8"/>
      <c r="U82" s="8"/>
      <c r="V82" s="8" t="s">
        <v>155</v>
      </c>
      <c r="W82" s="8"/>
      <c r="X82" s="8" t="s">
        <v>205</v>
      </c>
      <c r="Y82" s="8" t="s">
        <v>1478</v>
      </c>
      <c r="Z82" s="8"/>
    </row>
    <row r="83" customFormat="false" ht="15" hidden="false" customHeight="false" outlineLevel="0" collapsed="false">
      <c r="A83" s="8" t="s">
        <v>206</v>
      </c>
      <c r="B83" s="8" t="s">
        <v>17</v>
      </c>
      <c r="C83" s="8" t="s">
        <v>18</v>
      </c>
      <c r="D83" s="8" t="s">
        <v>615</v>
      </c>
      <c r="E83" s="8" t="s">
        <v>35</v>
      </c>
      <c r="F83" s="8" t="s">
        <v>58</v>
      </c>
      <c r="G83" s="8" t="s">
        <v>32</v>
      </c>
      <c r="H83" s="8" t="s">
        <v>32</v>
      </c>
      <c r="I83" s="8" t="n">
        <f aca="false">IF(EXACT(G83,H83),1,0)</f>
        <v>1</v>
      </c>
      <c r="J83" s="8" t="n">
        <v>0</v>
      </c>
      <c r="K83" s="8" t="s">
        <v>92</v>
      </c>
      <c r="L83" s="8" t="n">
        <v>0</v>
      </c>
      <c r="M83" s="8" t="n">
        <v>6</v>
      </c>
      <c r="N83" s="8" t="s">
        <v>1337</v>
      </c>
      <c r="O83" s="8" t="n">
        <v>2</v>
      </c>
      <c r="P83" s="10" t="n">
        <v>28.57</v>
      </c>
      <c r="Q83" s="8" t="n">
        <v>10075</v>
      </c>
      <c r="R83" s="8" t="n">
        <v>1232</v>
      </c>
      <c r="S83" s="8" t="s">
        <v>207</v>
      </c>
      <c r="T83" s="8"/>
      <c r="U83" s="8"/>
      <c r="V83" s="8" t="s">
        <v>155</v>
      </c>
      <c r="W83" s="8"/>
      <c r="X83" s="8" t="s">
        <v>208</v>
      </c>
      <c r="Y83" s="8" t="s">
        <v>1479</v>
      </c>
      <c r="Z83" s="8"/>
    </row>
    <row r="84" customFormat="false" ht="15" hidden="false" customHeight="false" outlineLevel="0" collapsed="false">
      <c r="A84" s="8" t="s">
        <v>206</v>
      </c>
      <c r="B84" s="8" t="s">
        <v>17</v>
      </c>
      <c r="C84" s="8" t="s">
        <v>18</v>
      </c>
      <c r="D84" s="8" t="s">
        <v>615</v>
      </c>
      <c r="E84" s="8" t="s">
        <v>35</v>
      </c>
      <c r="F84" s="8" t="s">
        <v>58</v>
      </c>
      <c r="G84" s="8" t="s">
        <v>32</v>
      </c>
      <c r="H84" s="8" t="s">
        <v>32</v>
      </c>
      <c r="I84" s="8" t="n">
        <f aca="false">IF(EXACT(G84,H84),1,0)</f>
        <v>1</v>
      </c>
      <c r="J84" s="8" t="n">
        <v>1</v>
      </c>
      <c r="K84" s="8" t="s">
        <v>92</v>
      </c>
      <c r="L84" s="8" t="n">
        <v>0</v>
      </c>
      <c r="M84" s="8" t="n">
        <v>6</v>
      </c>
      <c r="N84" s="8" t="s">
        <v>1337</v>
      </c>
      <c r="O84" s="8" t="n">
        <v>2</v>
      </c>
      <c r="P84" s="10" t="n">
        <v>29.53</v>
      </c>
      <c r="Q84" s="8" t="n">
        <v>10075</v>
      </c>
      <c r="R84" s="8" t="n">
        <v>1240</v>
      </c>
      <c r="S84" s="8" t="s">
        <v>207</v>
      </c>
      <c r="T84" s="8"/>
      <c r="U84" s="8"/>
      <c r="V84" s="8" t="s">
        <v>155</v>
      </c>
      <c r="W84" s="8"/>
      <c r="X84" s="8" t="s">
        <v>208</v>
      </c>
      <c r="Y84" s="8" t="s">
        <v>1480</v>
      </c>
      <c r="Z84" s="8"/>
    </row>
    <row r="85" customFormat="false" ht="15" hidden="false" customHeight="false" outlineLevel="0" collapsed="false">
      <c r="A85" s="8" t="s">
        <v>206</v>
      </c>
      <c r="B85" s="8" t="s">
        <v>17</v>
      </c>
      <c r="C85" s="8" t="s">
        <v>18</v>
      </c>
      <c r="D85" s="8" t="s">
        <v>615</v>
      </c>
      <c r="E85" s="8" t="s">
        <v>35</v>
      </c>
      <c r="F85" s="8" t="s">
        <v>58</v>
      </c>
      <c r="G85" s="8" t="s">
        <v>32</v>
      </c>
      <c r="H85" s="8" t="s">
        <v>32</v>
      </c>
      <c r="I85" s="8" t="n">
        <f aca="false">IF(EXACT(G85,H85),1,0)</f>
        <v>1</v>
      </c>
      <c r="J85" s="8" t="n">
        <v>2</v>
      </c>
      <c r="K85" s="8" t="s">
        <v>92</v>
      </c>
      <c r="L85" s="8" t="n">
        <v>0</v>
      </c>
      <c r="M85" s="8" t="n">
        <v>6</v>
      </c>
      <c r="N85" s="8" t="s">
        <v>1337</v>
      </c>
      <c r="O85" s="8" t="n">
        <v>2</v>
      </c>
      <c r="P85" s="10" t="n">
        <v>27.54</v>
      </c>
      <c r="Q85" s="8" t="n">
        <v>10075</v>
      </c>
      <c r="R85" s="8" t="n">
        <v>1094</v>
      </c>
      <c r="S85" s="8" t="s">
        <v>207</v>
      </c>
      <c r="T85" s="8"/>
      <c r="U85" s="8"/>
      <c r="V85" s="8" t="s">
        <v>155</v>
      </c>
      <c r="W85" s="8"/>
      <c r="X85" s="8" t="s">
        <v>208</v>
      </c>
      <c r="Y85" s="8" t="s">
        <v>1479</v>
      </c>
      <c r="Z85" s="8"/>
    </row>
    <row r="86" customFormat="false" ht="15" hidden="false" customHeight="false" outlineLevel="0" collapsed="false">
      <c r="A86" s="8" t="s">
        <v>209</v>
      </c>
      <c r="B86" s="8" t="s">
        <v>17</v>
      </c>
      <c r="C86" s="8" t="s">
        <v>18</v>
      </c>
      <c r="D86" s="8" t="s">
        <v>615</v>
      </c>
      <c r="E86" s="8" t="s">
        <v>35</v>
      </c>
      <c r="F86" s="8" t="s">
        <v>58</v>
      </c>
      <c r="G86" s="8" t="s">
        <v>30</v>
      </c>
      <c r="H86" s="8" t="s">
        <v>31</v>
      </c>
      <c r="I86" s="8" t="n">
        <f aca="false">IF(EXACT(G86,H86),1,0)</f>
        <v>0</v>
      </c>
      <c r="J86" s="8" t="n">
        <v>0</v>
      </c>
      <c r="K86" s="8" t="s">
        <v>140</v>
      </c>
      <c r="L86" s="8" t="n">
        <v>1</v>
      </c>
      <c r="M86" s="8" t="n">
        <v>6</v>
      </c>
      <c r="N86" s="8" t="s">
        <v>1337</v>
      </c>
      <c r="O86" s="8" t="n">
        <v>2</v>
      </c>
      <c r="P86" s="10" t="n">
        <v>32.73</v>
      </c>
      <c r="Q86" s="8" t="n">
        <v>11411</v>
      </c>
      <c r="R86" s="8" t="n">
        <v>1590</v>
      </c>
      <c r="S86" s="8" t="s">
        <v>210</v>
      </c>
      <c r="T86" s="8"/>
      <c r="U86" s="8"/>
      <c r="V86" s="8" t="s">
        <v>155</v>
      </c>
      <c r="W86" s="8"/>
      <c r="X86" s="8" t="s">
        <v>211</v>
      </c>
      <c r="Y86" s="8" t="s">
        <v>1481</v>
      </c>
      <c r="Z86" s="8" t="s">
        <v>1482</v>
      </c>
    </row>
    <row r="87" customFormat="false" ht="15" hidden="false" customHeight="false" outlineLevel="0" collapsed="false">
      <c r="A87" s="8" t="s">
        <v>209</v>
      </c>
      <c r="B87" s="8" t="s">
        <v>17</v>
      </c>
      <c r="C87" s="8" t="s">
        <v>18</v>
      </c>
      <c r="D87" s="8" t="s">
        <v>615</v>
      </c>
      <c r="E87" s="8" t="s">
        <v>35</v>
      </c>
      <c r="F87" s="8" t="s">
        <v>58</v>
      </c>
      <c r="G87" s="8" t="s">
        <v>30</v>
      </c>
      <c r="H87" s="8" t="s">
        <v>30</v>
      </c>
      <c r="I87" s="8" t="n">
        <f aca="false">IF(EXACT(G87,H87),1,0)</f>
        <v>1</v>
      </c>
      <c r="J87" s="8" t="n">
        <v>1</v>
      </c>
      <c r="K87" s="8" t="s">
        <v>92</v>
      </c>
      <c r="L87" s="8" t="n">
        <v>0</v>
      </c>
      <c r="M87" s="8" t="n">
        <v>6</v>
      </c>
      <c r="N87" s="8" t="s">
        <v>1374</v>
      </c>
      <c r="O87" s="8" t="n">
        <v>2</v>
      </c>
      <c r="P87" s="10" t="n">
        <v>37.57</v>
      </c>
      <c r="Q87" s="8" t="n">
        <v>11411</v>
      </c>
      <c r="R87" s="8" t="n">
        <v>1888</v>
      </c>
      <c r="S87" s="8" t="s">
        <v>210</v>
      </c>
      <c r="T87" s="8"/>
      <c r="U87" s="8"/>
      <c r="V87" s="8" t="s">
        <v>155</v>
      </c>
      <c r="W87" s="8"/>
      <c r="X87" s="8" t="s">
        <v>211</v>
      </c>
      <c r="Y87" s="8" t="s">
        <v>1483</v>
      </c>
      <c r="Z87" s="8"/>
    </row>
    <row r="88" customFormat="false" ht="15" hidden="false" customHeight="false" outlineLevel="0" collapsed="false">
      <c r="A88" s="8" t="s">
        <v>209</v>
      </c>
      <c r="B88" s="8" t="s">
        <v>17</v>
      </c>
      <c r="C88" s="8" t="s">
        <v>18</v>
      </c>
      <c r="D88" s="8" t="s">
        <v>615</v>
      </c>
      <c r="E88" s="8" t="s">
        <v>35</v>
      </c>
      <c r="F88" s="8" t="s">
        <v>58</v>
      </c>
      <c r="G88" s="8" t="s">
        <v>30</v>
      </c>
      <c r="H88" s="8" t="s">
        <v>31</v>
      </c>
      <c r="I88" s="8" t="n">
        <f aca="false">IF(EXACT(G88,H88),1,0)</f>
        <v>0</v>
      </c>
      <c r="J88" s="8" t="n">
        <v>2</v>
      </c>
      <c r="K88" s="8" t="s">
        <v>140</v>
      </c>
      <c r="L88" s="8" t="n">
        <v>1</v>
      </c>
      <c r="M88" s="8" t="n">
        <v>6</v>
      </c>
      <c r="N88" s="8" t="s">
        <v>1337</v>
      </c>
      <c r="O88" s="8" t="n">
        <v>2</v>
      </c>
      <c r="P88" s="10" t="n">
        <v>32.59</v>
      </c>
      <c r="Q88" s="8" t="n">
        <v>11411</v>
      </c>
      <c r="R88" s="8" t="n">
        <v>1585</v>
      </c>
      <c r="S88" s="8" t="s">
        <v>210</v>
      </c>
      <c r="T88" s="8"/>
      <c r="U88" s="8"/>
      <c r="V88" s="8" t="s">
        <v>155</v>
      </c>
      <c r="W88" s="8"/>
      <c r="X88" s="8" t="s">
        <v>211</v>
      </c>
      <c r="Y88" s="8" t="s">
        <v>1484</v>
      </c>
      <c r="Z88" s="8" t="s">
        <v>1485</v>
      </c>
    </row>
    <row r="89" customFormat="false" ht="15" hidden="false" customHeight="false" outlineLevel="0" collapsed="false">
      <c r="A89" s="8" t="s">
        <v>212</v>
      </c>
      <c r="B89" s="8" t="s">
        <v>17</v>
      </c>
      <c r="C89" s="8" t="s">
        <v>18</v>
      </c>
      <c r="D89" s="8" t="s">
        <v>615</v>
      </c>
      <c r="E89" s="8" t="s">
        <v>35</v>
      </c>
      <c r="F89" s="8" t="s">
        <v>58</v>
      </c>
      <c r="G89" s="8" t="s">
        <v>30</v>
      </c>
      <c r="H89" s="8" t="s">
        <v>31</v>
      </c>
      <c r="I89" s="8" t="n">
        <f aca="false">IF(EXACT(G89,H89),1,0)</f>
        <v>0</v>
      </c>
      <c r="J89" s="8" t="n">
        <v>0</v>
      </c>
      <c r="K89" s="8" t="s">
        <v>140</v>
      </c>
      <c r="L89" s="8" t="n">
        <v>1</v>
      </c>
      <c r="M89" s="8" t="n">
        <v>6</v>
      </c>
      <c r="N89" s="8" t="s">
        <v>1337</v>
      </c>
      <c r="O89" s="8" t="n">
        <v>2</v>
      </c>
      <c r="P89" s="10" t="n">
        <v>40.01</v>
      </c>
      <c r="Q89" s="8" t="n">
        <v>11939</v>
      </c>
      <c r="R89" s="8" t="n">
        <v>2252</v>
      </c>
      <c r="S89" s="8" t="s">
        <v>213</v>
      </c>
      <c r="T89" s="8"/>
      <c r="U89" s="8"/>
      <c r="V89" s="8" t="s">
        <v>155</v>
      </c>
      <c r="W89" s="8"/>
      <c r="X89" s="8" t="s">
        <v>214</v>
      </c>
      <c r="Y89" s="8" t="s">
        <v>1486</v>
      </c>
      <c r="Z89" s="8" t="s">
        <v>1487</v>
      </c>
    </row>
    <row r="90" customFormat="false" ht="15" hidden="false" customHeight="false" outlineLevel="0" collapsed="false">
      <c r="A90" s="8" t="s">
        <v>212</v>
      </c>
      <c r="B90" s="8" t="s">
        <v>17</v>
      </c>
      <c r="C90" s="8" t="s">
        <v>18</v>
      </c>
      <c r="D90" s="8" t="s">
        <v>615</v>
      </c>
      <c r="E90" s="8" t="s">
        <v>35</v>
      </c>
      <c r="F90" s="8" t="s">
        <v>58</v>
      </c>
      <c r="G90" s="8" t="s">
        <v>30</v>
      </c>
      <c r="H90" s="8" t="s">
        <v>31</v>
      </c>
      <c r="I90" s="8" t="n">
        <f aca="false">IF(EXACT(G90,H90),1,0)</f>
        <v>0</v>
      </c>
      <c r="J90" s="8" t="n">
        <v>1</v>
      </c>
      <c r="K90" s="8" t="s">
        <v>140</v>
      </c>
      <c r="L90" s="8" t="n">
        <v>1</v>
      </c>
      <c r="M90" s="8" t="n">
        <v>6</v>
      </c>
      <c r="N90" s="8" t="s">
        <v>1337</v>
      </c>
      <c r="O90" s="8" t="n">
        <v>2</v>
      </c>
      <c r="P90" s="10" t="n">
        <v>40.42</v>
      </c>
      <c r="Q90" s="8" t="n">
        <v>11939</v>
      </c>
      <c r="R90" s="8" t="n">
        <v>2258</v>
      </c>
      <c r="S90" s="8" t="s">
        <v>213</v>
      </c>
      <c r="T90" s="8"/>
      <c r="U90" s="8"/>
      <c r="V90" s="8" t="s">
        <v>155</v>
      </c>
      <c r="W90" s="8"/>
      <c r="X90" s="8" t="s">
        <v>214</v>
      </c>
      <c r="Y90" s="8" t="s">
        <v>1488</v>
      </c>
      <c r="Z90" s="8" t="s">
        <v>1489</v>
      </c>
    </row>
    <row r="91" customFormat="false" ht="15" hidden="false" customHeight="false" outlineLevel="0" collapsed="false">
      <c r="A91" s="8" t="s">
        <v>212</v>
      </c>
      <c r="B91" s="8" t="s">
        <v>17</v>
      </c>
      <c r="C91" s="8" t="s">
        <v>18</v>
      </c>
      <c r="D91" s="8" t="s">
        <v>615</v>
      </c>
      <c r="E91" s="8" t="s">
        <v>35</v>
      </c>
      <c r="F91" s="8" t="s">
        <v>58</v>
      </c>
      <c r="G91" s="8" t="s">
        <v>30</v>
      </c>
      <c r="H91" s="8" t="s">
        <v>31</v>
      </c>
      <c r="I91" s="8" t="n">
        <f aca="false">IF(EXACT(G91,H91),1,0)</f>
        <v>0</v>
      </c>
      <c r="J91" s="8" t="n">
        <v>2</v>
      </c>
      <c r="K91" s="8" t="s">
        <v>140</v>
      </c>
      <c r="L91" s="8" t="n">
        <v>1</v>
      </c>
      <c r="M91" s="8" t="n">
        <v>6</v>
      </c>
      <c r="N91" s="8" t="s">
        <v>1337</v>
      </c>
      <c r="O91" s="8" t="n">
        <v>2</v>
      </c>
      <c r="P91" s="10" t="n">
        <v>41.99</v>
      </c>
      <c r="Q91" s="8" t="n">
        <v>11939</v>
      </c>
      <c r="R91" s="8" t="n">
        <v>2288</v>
      </c>
      <c r="S91" s="8" t="s">
        <v>213</v>
      </c>
      <c r="T91" s="8"/>
      <c r="U91" s="8"/>
      <c r="V91" s="8" t="s">
        <v>155</v>
      </c>
      <c r="W91" s="8"/>
      <c r="X91" s="8" t="s">
        <v>214</v>
      </c>
      <c r="Y91" s="8" t="s">
        <v>1490</v>
      </c>
      <c r="Z91" s="8" t="s">
        <v>1491</v>
      </c>
    </row>
    <row r="92" customFormat="false" ht="15" hidden="false" customHeight="false" outlineLevel="0" collapsed="false">
      <c r="A92" s="8" t="s">
        <v>215</v>
      </c>
      <c r="B92" s="8" t="s">
        <v>17</v>
      </c>
      <c r="C92" s="8" t="s">
        <v>18</v>
      </c>
      <c r="D92" s="8" t="s">
        <v>615</v>
      </c>
      <c r="E92" s="8" t="s">
        <v>36</v>
      </c>
      <c r="F92" s="8" t="s">
        <v>46</v>
      </c>
      <c r="G92" s="8" t="s">
        <v>30</v>
      </c>
      <c r="H92" s="8" t="s">
        <v>31</v>
      </c>
      <c r="I92" s="8" t="n">
        <f aca="false">IF(EXACT(G92,H92),1,0)</f>
        <v>0</v>
      </c>
      <c r="J92" s="8" t="n">
        <v>0</v>
      </c>
      <c r="K92" s="8" t="s">
        <v>116</v>
      </c>
      <c r="L92" s="8" t="n">
        <v>1</v>
      </c>
      <c r="M92" s="8" t="n">
        <v>5</v>
      </c>
      <c r="N92" s="8" t="s">
        <v>1492</v>
      </c>
      <c r="O92" s="8" t="n">
        <v>2</v>
      </c>
      <c r="P92" s="10" t="n">
        <v>35.14</v>
      </c>
      <c r="Q92" s="8" t="n">
        <v>9250</v>
      </c>
      <c r="R92" s="8" t="n">
        <v>1256</v>
      </c>
      <c r="S92" s="8" t="s">
        <v>216</v>
      </c>
      <c r="T92" s="8" t="s">
        <v>217</v>
      </c>
      <c r="U92" s="8" t="s">
        <v>218</v>
      </c>
      <c r="V92" s="8"/>
      <c r="W92" s="8" t="s">
        <v>219</v>
      </c>
      <c r="X92" s="8" t="s">
        <v>220</v>
      </c>
      <c r="Y92" s="8" t="s">
        <v>1493</v>
      </c>
      <c r="Z92" s="8" t="s">
        <v>1494</v>
      </c>
    </row>
    <row r="93" customFormat="false" ht="15" hidden="false" customHeight="false" outlineLevel="0" collapsed="false">
      <c r="A93" s="8" t="s">
        <v>215</v>
      </c>
      <c r="B93" s="8" t="s">
        <v>17</v>
      </c>
      <c r="C93" s="8" t="s">
        <v>18</v>
      </c>
      <c r="D93" s="8" t="s">
        <v>615</v>
      </c>
      <c r="E93" s="8" t="s">
        <v>36</v>
      </c>
      <c r="F93" s="8" t="s">
        <v>46</v>
      </c>
      <c r="G93" s="8" t="s">
        <v>30</v>
      </c>
      <c r="H93" s="8" t="s">
        <v>31</v>
      </c>
      <c r="I93" s="8" t="n">
        <f aca="false">IF(EXACT(G93,H93),1,0)</f>
        <v>0</v>
      </c>
      <c r="J93" s="8" t="n">
        <v>1</v>
      </c>
      <c r="K93" s="8" t="s">
        <v>116</v>
      </c>
      <c r="L93" s="8" t="n">
        <v>1</v>
      </c>
      <c r="M93" s="8" t="n">
        <v>5</v>
      </c>
      <c r="N93" s="8" t="s">
        <v>1492</v>
      </c>
      <c r="O93" s="8" t="n">
        <v>2</v>
      </c>
      <c r="P93" s="10" t="n">
        <v>23.44</v>
      </c>
      <c r="Q93" s="8" t="n">
        <v>9250</v>
      </c>
      <c r="R93" s="8" t="n">
        <v>955</v>
      </c>
      <c r="S93" s="8" t="s">
        <v>216</v>
      </c>
      <c r="T93" s="8" t="s">
        <v>217</v>
      </c>
      <c r="U93" s="8" t="s">
        <v>218</v>
      </c>
      <c r="V93" s="8"/>
      <c r="W93" s="8" t="s">
        <v>219</v>
      </c>
      <c r="X93" s="8" t="s">
        <v>220</v>
      </c>
      <c r="Y93" s="8" t="s">
        <v>1495</v>
      </c>
      <c r="Z93" s="8" t="s">
        <v>1496</v>
      </c>
    </row>
    <row r="94" customFormat="false" ht="15" hidden="false" customHeight="false" outlineLevel="0" collapsed="false">
      <c r="A94" s="8" t="s">
        <v>215</v>
      </c>
      <c r="B94" s="8" t="s">
        <v>17</v>
      </c>
      <c r="C94" s="8" t="s">
        <v>18</v>
      </c>
      <c r="D94" s="8" t="s">
        <v>615</v>
      </c>
      <c r="E94" s="8" t="s">
        <v>36</v>
      </c>
      <c r="F94" s="8" t="s">
        <v>46</v>
      </c>
      <c r="G94" s="8" t="s">
        <v>30</v>
      </c>
      <c r="H94" s="8" t="s">
        <v>31</v>
      </c>
      <c r="I94" s="8" t="n">
        <f aca="false">IF(EXACT(G94,H94),1,0)</f>
        <v>0</v>
      </c>
      <c r="J94" s="8" t="n">
        <v>2</v>
      </c>
      <c r="K94" s="8" t="s">
        <v>116</v>
      </c>
      <c r="L94" s="8" t="n">
        <v>1</v>
      </c>
      <c r="M94" s="8" t="n">
        <v>5</v>
      </c>
      <c r="N94" s="8" t="s">
        <v>1492</v>
      </c>
      <c r="O94" s="8" t="n">
        <v>2</v>
      </c>
      <c r="P94" s="10" t="n">
        <v>23.63</v>
      </c>
      <c r="Q94" s="8" t="n">
        <v>9250</v>
      </c>
      <c r="R94" s="8" t="n">
        <v>954</v>
      </c>
      <c r="S94" s="8" t="s">
        <v>216</v>
      </c>
      <c r="T94" s="8" t="s">
        <v>217</v>
      </c>
      <c r="U94" s="8" t="s">
        <v>218</v>
      </c>
      <c r="V94" s="8"/>
      <c r="W94" s="8" t="s">
        <v>219</v>
      </c>
      <c r="X94" s="8" t="s">
        <v>220</v>
      </c>
      <c r="Y94" s="8" t="s">
        <v>1497</v>
      </c>
      <c r="Z94" s="8" t="s">
        <v>1498</v>
      </c>
    </row>
    <row r="95" customFormat="false" ht="15" hidden="false" customHeight="false" outlineLevel="0" collapsed="false">
      <c r="A95" s="8" t="s">
        <v>221</v>
      </c>
      <c r="B95" s="8" t="s">
        <v>17</v>
      </c>
      <c r="C95" s="8" t="s">
        <v>18</v>
      </c>
      <c r="D95" s="8" t="s">
        <v>615</v>
      </c>
      <c r="E95" s="8" t="s">
        <v>36</v>
      </c>
      <c r="F95" s="8" t="s">
        <v>46</v>
      </c>
      <c r="G95" s="8" t="s">
        <v>31</v>
      </c>
      <c r="H95" s="8" t="s">
        <v>31</v>
      </c>
      <c r="I95" s="8" t="n">
        <f aca="false">IF(EXACT(G95,H95),1,0)</f>
        <v>1</v>
      </c>
      <c r="J95" s="8" t="n">
        <v>0</v>
      </c>
      <c r="K95" s="8" t="s">
        <v>116</v>
      </c>
      <c r="L95" s="8" t="n">
        <v>2</v>
      </c>
      <c r="M95" s="8" t="n">
        <v>5</v>
      </c>
      <c r="N95" s="8" t="s">
        <v>1492</v>
      </c>
      <c r="O95" s="8" t="n">
        <v>2</v>
      </c>
      <c r="P95" s="10" t="n">
        <v>29.5</v>
      </c>
      <c r="Q95" s="8" t="n">
        <v>9166</v>
      </c>
      <c r="R95" s="8" t="n">
        <v>1133</v>
      </c>
      <c r="S95" s="8" t="s">
        <v>222</v>
      </c>
      <c r="T95" s="8" t="s">
        <v>217</v>
      </c>
      <c r="U95" s="8" t="s">
        <v>223</v>
      </c>
      <c r="V95" s="8"/>
      <c r="W95" s="8" t="s">
        <v>224</v>
      </c>
      <c r="X95" s="8" t="s">
        <v>225</v>
      </c>
      <c r="Y95" s="8" t="s">
        <v>1499</v>
      </c>
      <c r="Z95" s="8" t="s">
        <v>1500</v>
      </c>
    </row>
    <row r="96" customFormat="false" ht="15" hidden="false" customHeight="false" outlineLevel="0" collapsed="false">
      <c r="A96" s="8" t="s">
        <v>221</v>
      </c>
      <c r="B96" s="8" t="s">
        <v>17</v>
      </c>
      <c r="C96" s="8" t="s">
        <v>18</v>
      </c>
      <c r="D96" s="8" t="s">
        <v>615</v>
      </c>
      <c r="E96" s="8" t="s">
        <v>36</v>
      </c>
      <c r="F96" s="8" t="s">
        <v>46</v>
      </c>
      <c r="G96" s="8" t="s">
        <v>31</v>
      </c>
      <c r="H96" s="8" t="s">
        <v>31</v>
      </c>
      <c r="I96" s="8" t="n">
        <f aca="false">IF(EXACT(G96,H96),1,0)</f>
        <v>1</v>
      </c>
      <c r="J96" s="8" t="n">
        <v>1</v>
      </c>
      <c r="K96" s="8" t="s">
        <v>116</v>
      </c>
      <c r="L96" s="8" t="n">
        <v>2</v>
      </c>
      <c r="M96" s="8" t="n">
        <v>5</v>
      </c>
      <c r="N96" s="8" t="s">
        <v>1492</v>
      </c>
      <c r="O96" s="8" t="n">
        <v>2</v>
      </c>
      <c r="P96" s="10" t="n">
        <v>28.55</v>
      </c>
      <c r="Q96" s="8" t="n">
        <v>9166</v>
      </c>
      <c r="R96" s="8" t="n">
        <v>1080</v>
      </c>
      <c r="S96" s="8" t="s">
        <v>222</v>
      </c>
      <c r="T96" s="8" t="s">
        <v>217</v>
      </c>
      <c r="U96" s="8" t="s">
        <v>223</v>
      </c>
      <c r="V96" s="8"/>
      <c r="W96" s="8" t="s">
        <v>224</v>
      </c>
      <c r="X96" s="8" t="s">
        <v>225</v>
      </c>
      <c r="Y96" s="8" t="s">
        <v>1501</v>
      </c>
      <c r="Z96" s="8" t="s">
        <v>1502</v>
      </c>
    </row>
    <row r="97" customFormat="false" ht="15" hidden="false" customHeight="false" outlineLevel="0" collapsed="false">
      <c r="A97" s="8" t="s">
        <v>221</v>
      </c>
      <c r="B97" s="8" t="s">
        <v>17</v>
      </c>
      <c r="C97" s="8" t="s">
        <v>18</v>
      </c>
      <c r="D97" s="8" t="s">
        <v>615</v>
      </c>
      <c r="E97" s="8" t="s">
        <v>36</v>
      </c>
      <c r="F97" s="8" t="s">
        <v>46</v>
      </c>
      <c r="G97" s="8" t="s">
        <v>31</v>
      </c>
      <c r="H97" s="8" t="s">
        <v>31</v>
      </c>
      <c r="I97" s="8" t="n">
        <f aca="false">IF(EXACT(G97,H97),1,0)</f>
        <v>1</v>
      </c>
      <c r="J97" s="8" t="n">
        <v>2</v>
      </c>
      <c r="K97" s="8" t="s">
        <v>116</v>
      </c>
      <c r="L97" s="8" t="n">
        <v>2</v>
      </c>
      <c r="M97" s="8" t="n">
        <v>5</v>
      </c>
      <c r="N97" s="8" t="s">
        <v>1492</v>
      </c>
      <c r="O97" s="8" t="n">
        <v>2</v>
      </c>
      <c r="P97" s="10" t="n">
        <v>33.85</v>
      </c>
      <c r="Q97" s="8" t="n">
        <v>9166</v>
      </c>
      <c r="R97" s="8" t="n">
        <v>1071</v>
      </c>
      <c r="S97" s="8" t="s">
        <v>222</v>
      </c>
      <c r="T97" s="8" t="s">
        <v>217</v>
      </c>
      <c r="U97" s="8" t="s">
        <v>223</v>
      </c>
      <c r="V97" s="8"/>
      <c r="W97" s="8" t="s">
        <v>224</v>
      </c>
      <c r="X97" s="8" t="s">
        <v>225</v>
      </c>
      <c r="Y97" s="8" t="s">
        <v>1503</v>
      </c>
      <c r="Z97" s="8" t="s">
        <v>1504</v>
      </c>
    </row>
    <row r="98" customFormat="false" ht="15" hidden="false" customHeight="false" outlineLevel="0" collapsed="false">
      <c r="A98" s="8" t="s">
        <v>227</v>
      </c>
      <c r="B98" s="8" t="s">
        <v>17</v>
      </c>
      <c r="C98" s="8" t="s">
        <v>18</v>
      </c>
      <c r="D98" s="8" t="s">
        <v>615</v>
      </c>
      <c r="E98" s="8" t="s">
        <v>36</v>
      </c>
      <c r="F98" s="8" t="s">
        <v>46</v>
      </c>
      <c r="G98" s="8" t="s">
        <v>31</v>
      </c>
      <c r="H98" s="8" t="s">
        <v>31</v>
      </c>
      <c r="I98" s="8" t="n">
        <f aca="false">IF(EXACT(G98,H98),1,0)</f>
        <v>1</v>
      </c>
      <c r="J98" s="8" t="n">
        <v>0</v>
      </c>
      <c r="K98" s="8" t="s">
        <v>116</v>
      </c>
      <c r="L98" s="8" t="n">
        <v>2</v>
      </c>
      <c r="M98" s="8" t="n">
        <v>5</v>
      </c>
      <c r="N98" s="8" t="s">
        <v>1492</v>
      </c>
      <c r="O98" s="8" t="n">
        <v>2</v>
      </c>
      <c r="P98" s="10" t="n">
        <v>29.44</v>
      </c>
      <c r="Q98" s="8" t="n">
        <v>9166</v>
      </c>
      <c r="R98" s="8" t="n">
        <v>1095</v>
      </c>
      <c r="S98" s="8" t="s">
        <v>228</v>
      </c>
      <c r="T98" s="8" t="s">
        <v>217</v>
      </c>
      <c r="U98" s="8" t="s">
        <v>223</v>
      </c>
      <c r="V98" s="8"/>
      <c r="W98" s="8" t="s">
        <v>229</v>
      </c>
      <c r="X98" s="8" t="s">
        <v>230</v>
      </c>
      <c r="Y98" s="8" t="s">
        <v>1505</v>
      </c>
      <c r="Z98" s="8" t="s">
        <v>1506</v>
      </c>
    </row>
    <row r="99" customFormat="false" ht="15" hidden="false" customHeight="false" outlineLevel="0" collapsed="false">
      <c r="A99" s="8" t="s">
        <v>227</v>
      </c>
      <c r="B99" s="8" t="s">
        <v>17</v>
      </c>
      <c r="C99" s="8" t="s">
        <v>18</v>
      </c>
      <c r="D99" s="8" t="s">
        <v>615</v>
      </c>
      <c r="E99" s="8" t="s">
        <v>36</v>
      </c>
      <c r="F99" s="8" t="s">
        <v>46</v>
      </c>
      <c r="G99" s="8" t="s">
        <v>31</v>
      </c>
      <c r="H99" s="8" t="s">
        <v>31</v>
      </c>
      <c r="I99" s="8" t="n">
        <f aca="false">IF(EXACT(G99,H99),1,0)</f>
        <v>1</v>
      </c>
      <c r="J99" s="8" t="n">
        <v>1</v>
      </c>
      <c r="K99" s="8" t="s">
        <v>116</v>
      </c>
      <c r="L99" s="8" t="n">
        <v>2</v>
      </c>
      <c r="M99" s="8" t="n">
        <v>5</v>
      </c>
      <c r="N99" s="8" t="s">
        <v>1492</v>
      </c>
      <c r="O99" s="8" t="n">
        <v>2</v>
      </c>
      <c r="P99" s="10" t="n">
        <v>28.98</v>
      </c>
      <c r="Q99" s="8" t="n">
        <v>9166</v>
      </c>
      <c r="R99" s="8" t="n">
        <v>1106</v>
      </c>
      <c r="S99" s="8" t="s">
        <v>228</v>
      </c>
      <c r="T99" s="8" t="s">
        <v>217</v>
      </c>
      <c r="U99" s="8" t="s">
        <v>223</v>
      </c>
      <c r="V99" s="8"/>
      <c r="W99" s="8" t="s">
        <v>229</v>
      </c>
      <c r="X99" s="8" t="s">
        <v>230</v>
      </c>
      <c r="Y99" s="8" t="s">
        <v>1507</v>
      </c>
      <c r="Z99" s="8" t="s">
        <v>1508</v>
      </c>
    </row>
    <row r="100" customFormat="false" ht="15" hidden="false" customHeight="false" outlineLevel="0" collapsed="false">
      <c r="A100" s="8" t="s">
        <v>227</v>
      </c>
      <c r="B100" s="8" t="s">
        <v>17</v>
      </c>
      <c r="C100" s="8" t="s">
        <v>18</v>
      </c>
      <c r="D100" s="8" t="s">
        <v>615</v>
      </c>
      <c r="E100" s="8" t="s">
        <v>36</v>
      </c>
      <c r="F100" s="8" t="s">
        <v>46</v>
      </c>
      <c r="G100" s="8" t="s">
        <v>31</v>
      </c>
      <c r="H100" s="8" t="s">
        <v>31</v>
      </c>
      <c r="I100" s="8" t="n">
        <f aca="false">IF(EXACT(G100,H100),1,0)</f>
        <v>1</v>
      </c>
      <c r="J100" s="8" t="n">
        <v>2</v>
      </c>
      <c r="K100" s="8" t="s">
        <v>116</v>
      </c>
      <c r="L100" s="8" t="n">
        <v>2</v>
      </c>
      <c r="M100" s="8" t="n">
        <v>5</v>
      </c>
      <c r="N100" s="8" t="s">
        <v>1492</v>
      </c>
      <c r="O100" s="8" t="n">
        <v>2</v>
      </c>
      <c r="P100" s="10" t="n">
        <v>27.45</v>
      </c>
      <c r="Q100" s="8" t="n">
        <v>9166</v>
      </c>
      <c r="R100" s="8" t="n">
        <v>1102</v>
      </c>
      <c r="S100" s="8" t="s">
        <v>228</v>
      </c>
      <c r="T100" s="8" t="s">
        <v>217</v>
      </c>
      <c r="U100" s="8" t="s">
        <v>223</v>
      </c>
      <c r="V100" s="8"/>
      <c r="W100" s="8" t="s">
        <v>229</v>
      </c>
      <c r="X100" s="8" t="s">
        <v>230</v>
      </c>
      <c r="Y100" s="8" t="s">
        <v>1509</v>
      </c>
      <c r="Z100" s="8" t="s">
        <v>1510</v>
      </c>
    </row>
    <row r="101" customFormat="false" ht="15" hidden="false" customHeight="false" outlineLevel="0" collapsed="false">
      <c r="A101" s="8" t="s">
        <v>231</v>
      </c>
      <c r="B101" s="8" t="s">
        <v>17</v>
      </c>
      <c r="C101" s="8" t="s">
        <v>18</v>
      </c>
      <c r="D101" s="8" t="s">
        <v>615</v>
      </c>
      <c r="E101" s="8" t="s">
        <v>36</v>
      </c>
      <c r="F101" s="8" t="s">
        <v>46</v>
      </c>
      <c r="G101" s="8" t="s">
        <v>30</v>
      </c>
      <c r="H101" s="8" t="s">
        <v>31</v>
      </c>
      <c r="I101" s="8" t="n">
        <f aca="false">IF(EXACT(G101,H101),1,0)</f>
        <v>0</v>
      </c>
      <c r="J101" s="8" t="n">
        <v>0</v>
      </c>
      <c r="K101" s="8" t="s">
        <v>116</v>
      </c>
      <c r="L101" s="8" t="n">
        <v>1</v>
      </c>
      <c r="M101" s="8" t="n">
        <v>5</v>
      </c>
      <c r="N101" s="8" t="s">
        <v>1492</v>
      </c>
      <c r="O101" s="8" t="n">
        <v>2</v>
      </c>
      <c r="P101" s="10" t="n">
        <v>27.19</v>
      </c>
      <c r="Q101" s="8" t="n">
        <v>9236</v>
      </c>
      <c r="R101" s="8" t="n">
        <v>1110</v>
      </c>
      <c r="S101" s="8" t="s">
        <v>232</v>
      </c>
      <c r="T101" s="8" t="s">
        <v>217</v>
      </c>
      <c r="U101" s="8" t="s">
        <v>218</v>
      </c>
      <c r="V101" s="8"/>
      <c r="W101" s="8" t="s">
        <v>233</v>
      </c>
      <c r="X101" s="8" t="s">
        <v>234</v>
      </c>
      <c r="Y101" s="8" t="s">
        <v>1511</v>
      </c>
      <c r="Z101" s="8" t="s">
        <v>1512</v>
      </c>
    </row>
    <row r="102" customFormat="false" ht="15" hidden="false" customHeight="false" outlineLevel="0" collapsed="false">
      <c r="A102" s="8" t="s">
        <v>231</v>
      </c>
      <c r="B102" s="8" t="s">
        <v>17</v>
      </c>
      <c r="C102" s="8" t="s">
        <v>18</v>
      </c>
      <c r="D102" s="8" t="s">
        <v>615</v>
      </c>
      <c r="E102" s="8" t="s">
        <v>36</v>
      </c>
      <c r="F102" s="8" t="s">
        <v>46</v>
      </c>
      <c r="G102" s="8" t="s">
        <v>30</v>
      </c>
      <c r="H102" s="8" t="s">
        <v>31</v>
      </c>
      <c r="I102" s="8" t="n">
        <f aca="false">IF(EXACT(G102,H102),1,0)</f>
        <v>0</v>
      </c>
      <c r="J102" s="8" t="n">
        <v>1</v>
      </c>
      <c r="K102" s="8" t="s">
        <v>116</v>
      </c>
      <c r="L102" s="8" t="n">
        <v>1</v>
      </c>
      <c r="M102" s="8" t="n">
        <v>5</v>
      </c>
      <c r="N102" s="8" t="s">
        <v>1492</v>
      </c>
      <c r="O102" s="8" t="n">
        <v>2</v>
      </c>
      <c r="P102" s="10" t="n">
        <v>26.24</v>
      </c>
      <c r="Q102" s="8" t="n">
        <v>9237</v>
      </c>
      <c r="R102" s="8" t="n">
        <v>1113</v>
      </c>
      <c r="S102" s="8" t="s">
        <v>232</v>
      </c>
      <c r="T102" s="8" t="s">
        <v>217</v>
      </c>
      <c r="U102" s="8" t="s">
        <v>218</v>
      </c>
      <c r="V102" s="8"/>
      <c r="W102" s="8" t="s">
        <v>233</v>
      </c>
      <c r="X102" s="8" t="s">
        <v>234</v>
      </c>
      <c r="Y102" s="8" t="s">
        <v>1513</v>
      </c>
      <c r="Z102" s="8" t="s">
        <v>1514</v>
      </c>
    </row>
    <row r="103" customFormat="false" ht="15" hidden="false" customHeight="false" outlineLevel="0" collapsed="false">
      <c r="A103" s="8" t="s">
        <v>231</v>
      </c>
      <c r="B103" s="8" t="s">
        <v>17</v>
      </c>
      <c r="C103" s="8" t="s">
        <v>18</v>
      </c>
      <c r="D103" s="8" t="s">
        <v>615</v>
      </c>
      <c r="E103" s="8" t="s">
        <v>36</v>
      </c>
      <c r="F103" s="8" t="s">
        <v>46</v>
      </c>
      <c r="G103" s="8" t="s">
        <v>30</v>
      </c>
      <c r="H103" s="8" t="s">
        <v>30</v>
      </c>
      <c r="I103" s="8" t="n">
        <f aca="false">IF(EXACT(G103,H103),1,0)</f>
        <v>1</v>
      </c>
      <c r="J103" s="8" t="n">
        <v>2</v>
      </c>
      <c r="K103" s="8" t="s">
        <v>92</v>
      </c>
      <c r="L103" s="8" t="n">
        <v>0</v>
      </c>
      <c r="M103" s="8" t="n">
        <v>5</v>
      </c>
      <c r="N103" s="8" t="s">
        <v>1492</v>
      </c>
      <c r="O103" s="8" t="n">
        <v>2</v>
      </c>
      <c r="P103" s="10" t="n">
        <v>23.85</v>
      </c>
      <c r="Q103" s="8" t="n">
        <v>9236</v>
      </c>
      <c r="R103" s="8" t="n">
        <v>899</v>
      </c>
      <c r="S103" s="8" t="s">
        <v>232</v>
      </c>
      <c r="T103" s="8" t="s">
        <v>217</v>
      </c>
      <c r="U103" s="8" t="s">
        <v>218</v>
      </c>
      <c r="V103" s="8"/>
      <c r="W103" s="8" t="s">
        <v>233</v>
      </c>
      <c r="X103" s="8" t="s">
        <v>234</v>
      </c>
      <c r="Y103" s="8" t="s">
        <v>1515</v>
      </c>
      <c r="Z103" s="8"/>
    </row>
    <row r="104" customFormat="false" ht="15" hidden="false" customHeight="false" outlineLevel="0" collapsed="false">
      <c r="A104" s="8" t="s">
        <v>235</v>
      </c>
      <c r="B104" s="8" t="s">
        <v>17</v>
      </c>
      <c r="C104" s="8" t="s">
        <v>18</v>
      </c>
      <c r="D104" s="8" t="s">
        <v>615</v>
      </c>
      <c r="E104" s="8" t="s">
        <v>36</v>
      </c>
      <c r="F104" s="8" t="s">
        <v>46</v>
      </c>
      <c r="G104" s="8" t="s">
        <v>32</v>
      </c>
      <c r="H104" s="8" t="s">
        <v>31</v>
      </c>
      <c r="I104" s="8" t="n">
        <f aca="false">IF(EXACT(G104,H104),1,0)</f>
        <v>0</v>
      </c>
      <c r="J104" s="8" t="n">
        <v>0</v>
      </c>
      <c r="K104" s="8" t="s">
        <v>116</v>
      </c>
      <c r="L104" s="8" t="n">
        <v>2</v>
      </c>
      <c r="M104" s="8" t="n">
        <v>5</v>
      </c>
      <c r="N104" s="8" t="s">
        <v>1492</v>
      </c>
      <c r="O104" s="8" t="n">
        <v>2</v>
      </c>
      <c r="P104" s="10" t="n">
        <v>32.5</v>
      </c>
      <c r="Q104" s="8" t="n">
        <v>9231</v>
      </c>
      <c r="R104" s="8" t="n">
        <v>1129</v>
      </c>
      <c r="S104" s="8" t="s">
        <v>125</v>
      </c>
      <c r="T104" s="8" t="s">
        <v>217</v>
      </c>
      <c r="U104" s="8" t="s">
        <v>218</v>
      </c>
      <c r="V104" s="8"/>
      <c r="W104" s="8" t="s">
        <v>236</v>
      </c>
      <c r="X104" s="8" t="s">
        <v>237</v>
      </c>
      <c r="Y104" s="8" t="s">
        <v>1516</v>
      </c>
      <c r="Z104" s="8" t="s">
        <v>1517</v>
      </c>
    </row>
    <row r="105" customFormat="false" ht="15" hidden="false" customHeight="false" outlineLevel="0" collapsed="false">
      <c r="A105" s="8" t="s">
        <v>235</v>
      </c>
      <c r="B105" s="8" t="s">
        <v>17</v>
      </c>
      <c r="C105" s="8" t="s">
        <v>18</v>
      </c>
      <c r="D105" s="8" t="s">
        <v>615</v>
      </c>
      <c r="E105" s="8" t="s">
        <v>36</v>
      </c>
      <c r="F105" s="8" t="s">
        <v>46</v>
      </c>
      <c r="G105" s="8" t="s">
        <v>32</v>
      </c>
      <c r="H105" s="8" t="s">
        <v>31</v>
      </c>
      <c r="I105" s="8" t="n">
        <f aca="false">IF(EXACT(G105,H105),1,0)</f>
        <v>0</v>
      </c>
      <c r="J105" s="8" t="n">
        <v>1</v>
      </c>
      <c r="K105" s="8" t="s">
        <v>116</v>
      </c>
      <c r="L105" s="8" t="n">
        <v>2</v>
      </c>
      <c r="M105" s="8" t="n">
        <v>5</v>
      </c>
      <c r="N105" s="8" t="s">
        <v>1492</v>
      </c>
      <c r="O105" s="8" t="n">
        <v>2</v>
      </c>
      <c r="P105" s="10" t="n">
        <v>36.62</v>
      </c>
      <c r="Q105" s="8" t="n">
        <v>9241</v>
      </c>
      <c r="R105" s="8" t="n">
        <v>1086</v>
      </c>
      <c r="S105" s="8" t="s">
        <v>125</v>
      </c>
      <c r="T105" s="8" t="s">
        <v>217</v>
      </c>
      <c r="U105" s="8" t="s">
        <v>218</v>
      </c>
      <c r="V105" s="8"/>
      <c r="W105" s="8" t="s">
        <v>236</v>
      </c>
      <c r="X105" s="8" t="s">
        <v>237</v>
      </c>
      <c r="Y105" s="8" t="s">
        <v>1518</v>
      </c>
      <c r="Z105" s="8" t="s">
        <v>1519</v>
      </c>
    </row>
    <row r="106" customFormat="false" ht="15" hidden="false" customHeight="false" outlineLevel="0" collapsed="false">
      <c r="A106" s="8" t="s">
        <v>235</v>
      </c>
      <c r="B106" s="8" t="s">
        <v>17</v>
      </c>
      <c r="C106" s="8" t="s">
        <v>18</v>
      </c>
      <c r="D106" s="8" t="s">
        <v>615</v>
      </c>
      <c r="E106" s="8" t="s">
        <v>36</v>
      </c>
      <c r="F106" s="8" t="s">
        <v>46</v>
      </c>
      <c r="G106" s="8" t="s">
        <v>32</v>
      </c>
      <c r="H106" s="8" t="s">
        <v>31</v>
      </c>
      <c r="I106" s="8" t="n">
        <f aca="false">IF(EXACT(G106,H106),1,0)</f>
        <v>0</v>
      </c>
      <c r="J106" s="8" t="n">
        <v>2</v>
      </c>
      <c r="K106" s="8" t="s">
        <v>116</v>
      </c>
      <c r="L106" s="8" t="n">
        <v>2</v>
      </c>
      <c r="M106" s="8" t="n">
        <v>5</v>
      </c>
      <c r="N106" s="8" t="s">
        <v>1492</v>
      </c>
      <c r="O106" s="8" t="n">
        <v>2</v>
      </c>
      <c r="P106" s="10" t="n">
        <v>25.15</v>
      </c>
      <c r="Q106" s="8" t="n">
        <v>9239</v>
      </c>
      <c r="R106" s="8" t="n">
        <v>1068</v>
      </c>
      <c r="S106" s="8" t="s">
        <v>125</v>
      </c>
      <c r="T106" s="8" t="s">
        <v>217</v>
      </c>
      <c r="U106" s="8" t="s">
        <v>218</v>
      </c>
      <c r="V106" s="8"/>
      <c r="W106" s="8" t="s">
        <v>236</v>
      </c>
      <c r="X106" s="8" t="s">
        <v>237</v>
      </c>
      <c r="Y106" s="8" t="s">
        <v>1520</v>
      </c>
      <c r="Z106" s="8" t="s">
        <v>1521</v>
      </c>
    </row>
    <row r="107" customFormat="false" ht="15" hidden="false" customHeight="false" outlineLevel="0" collapsed="false">
      <c r="A107" s="8" t="s">
        <v>238</v>
      </c>
      <c r="B107" s="8" t="s">
        <v>17</v>
      </c>
      <c r="C107" s="8" t="s">
        <v>18</v>
      </c>
      <c r="D107" s="8" t="s">
        <v>615</v>
      </c>
      <c r="E107" s="8" t="s">
        <v>36</v>
      </c>
      <c r="F107" s="8" t="s">
        <v>46</v>
      </c>
      <c r="G107" s="8" t="s">
        <v>32</v>
      </c>
      <c r="H107" s="8" t="s">
        <v>31</v>
      </c>
      <c r="I107" s="8" t="n">
        <f aca="false">IF(EXACT(G107,H107),1,0)</f>
        <v>0</v>
      </c>
      <c r="J107" s="8" t="n">
        <v>0</v>
      </c>
      <c r="K107" s="8" t="s">
        <v>116</v>
      </c>
      <c r="L107" s="8" t="n">
        <v>1</v>
      </c>
      <c r="M107" s="8" t="n">
        <v>5</v>
      </c>
      <c r="N107" s="8" t="s">
        <v>1492</v>
      </c>
      <c r="O107" s="8" t="n">
        <v>2</v>
      </c>
      <c r="P107" s="10" t="n">
        <v>23.72</v>
      </c>
      <c r="Q107" s="8" t="n">
        <v>9176</v>
      </c>
      <c r="R107" s="8" t="n">
        <v>1050</v>
      </c>
      <c r="S107" s="8" t="s">
        <v>239</v>
      </c>
      <c r="T107" s="8" t="s">
        <v>217</v>
      </c>
      <c r="U107" s="8" t="s">
        <v>223</v>
      </c>
      <c r="V107" s="8"/>
      <c r="W107" s="8" t="s">
        <v>240</v>
      </c>
      <c r="X107" s="8" t="s">
        <v>241</v>
      </c>
      <c r="Y107" s="8" t="s">
        <v>1522</v>
      </c>
      <c r="Z107" s="8" t="s">
        <v>1523</v>
      </c>
    </row>
    <row r="108" customFormat="false" ht="15" hidden="false" customHeight="false" outlineLevel="0" collapsed="false">
      <c r="A108" s="8" t="s">
        <v>238</v>
      </c>
      <c r="B108" s="8" t="s">
        <v>17</v>
      </c>
      <c r="C108" s="8" t="s">
        <v>18</v>
      </c>
      <c r="D108" s="8" t="s">
        <v>615</v>
      </c>
      <c r="E108" s="8" t="s">
        <v>36</v>
      </c>
      <c r="F108" s="8" t="s">
        <v>46</v>
      </c>
      <c r="G108" s="8" t="s">
        <v>32</v>
      </c>
      <c r="H108" s="8" t="s">
        <v>31</v>
      </c>
      <c r="I108" s="8" t="n">
        <f aca="false">IF(EXACT(G108,H108),1,0)</f>
        <v>0</v>
      </c>
      <c r="J108" s="8" t="n">
        <v>1</v>
      </c>
      <c r="K108" s="8" t="s">
        <v>116</v>
      </c>
      <c r="L108" s="8" t="n">
        <v>1</v>
      </c>
      <c r="M108" s="8" t="n">
        <v>5</v>
      </c>
      <c r="N108" s="8" t="s">
        <v>1492</v>
      </c>
      <c r="O108" s="8" t="n">
        <v>2</v>
      </c>
      <c r="P108" s="10" t="n">
        <v>23.32</v>
      </c>
      <c r="Q108" s="8" t="n">
        <v>9144</v>
      </c>
      <c r="R108" s="8" t="n">
        <v>1076</v>
      </c>
      <c r="S108" s="8" t="s">
        <v>239</v>
      </c>
      <c r="T108" s="8" t="s">
        <v>217</v>
      </c>
      <c r="U108" s="8" t="s">
        <v>223</v>
      </c>
      <c r="V108" s="8"/>
      <c r="W108" s="8" t="s">
        <v>240</v>
      </c>
      <c r="X108" s="8" t="s">
        <v>241</v>
      </c>
      <c r="Y108" s="8" t="s">
        <v>1524</v>
      </c>
      <c r="Z108" s="8" t="s">
        <v>1525</v>
      </c>
    </row>
    <row r="109" customFormat="false" ht="15" hidden="false" customHeight="false" outlineLevel="0" collapsed="false">
      <c r="A109" s="8" t="s">
        <v>238</v>
      </c>
      <c r="B109" s="8" t="s">
        <v>17</v>
      </c>
      <c r="C109" s="8" t="s">
        <v>18</v>
      </c>
      <c r="D109" s="8" t="s">
        <v>615</v>
      </c>
      <c r="E109" s="8" t="s">
        <v>36</v>
      </c>
      <c r="F109" s="8" t="s">
        <v>46</v>
      </c>
      <c r="G109" s="8" t="s">
        <v>32</v>
      </c>
      <c r="H109" s="8" t="s">
        <v>31</v>
      </c>
      <c r="I109" s="8" t="n">
        <f aca="false">IF(EXACT(G109,H109),1,0)</f>
        <v>0</v>
      </c>
      <c r="J109" s="8" t="n">
        <v>2</v>
      </c>
      <c r="K109" s="8" t="s">
        <v>116</v>
      </c>
      <c r="L109" s="8" t="n">
        <v>1</v>
      </c>
      <c r="M109" s="8" t="n">
        <v>5</v>
      </c>
      <c r="N109" s="8" t="s">
        <v>1492</v>
      </c>
      <c r="O109" s="8" t="n">
        <v>2</v>
      </c>
      <c r="P109" s="10" t="n">
        <v>23.28</v>
      </c>
      <c r="Q109" s="8" t="n">
        <v>9144</v>
      </c>
      <c r="R109" s="8" t="n">
        <v>1035</v>
      </c>
      <c r="S109" s="8" t="s">
        <v>239</v>
      </c>
      <c r="T109" s="8" t="s">
        <v>217</v>
      </c>
      <c r="U109" s="8" t="s">
        <v>223</v>
      </c>
      <c r="V109" s="8"/>
      <c r="W109" s="8" t="s">
        <v>240</v>
      </c>
      <c r="X109" s="8" t="s">
        <v>241</v>
      </c>
      <c r="Y109" s="8" t="s">
        <v>1526</v>
      </c>
      <c r="Z109" s="8" t="s">
        <v>1527</v>
      </c>
    </row>
    <row r="110" customFormat="false" ht="15" hidden="false" customHeight="false" outlineLevel="0" collapsed="false">
      <c r="A110" s="8" t="s">
        <v>242</v>
      </c>
      <c r="B110" s="8" t="s">
        <v>17</v>
      </c>
      <c r="C110" s="8" t="s">
        <v>18</v>
      </c>
      <c r="D110" s="8" t="s">
        <v>615</v>
      </c>
      <c r="E110" s="8" t="s">
        <v>36</v>
      </c>
      <c r="F110" s="8" t="s">
        <v>48</v>
      </c>
      <c r="G110" s="8" t="s">
        <v>32</v>
      </c>
      <c r="H110" s="8" t="s">
        <v>31</v>
      </c>
      <c r="I110" s="8" t="n">
        <f aca="false">IF(EXACT(G110,H110),1,0)</f>
        <v>0</v>
      </c>
      <c r="J110" s="8" t="n">
        <v>0</v>
      </c>
      <c r="K110" s="8" t="s">
        <v>116</v>
      </c>
      <c r="L110" s="8" t="n">
        <v>1</v>
      </c>
      <c r="M110" s="8" t="n">
        <v>5</v>
      </c>
      <c r="N110" s="8" t="s">
        <v>1492</v>
      </c>
      <c r="O110" s="8" t="n">
        <v>2</v>
      </c>
      <c r="P110" s="10" t="n">
        <v>31.22</v>
      </c>
      <c r="Q110" s="8" t="n">
        <v>9225</v>
      </c>
      <c r="R110" s="8" t="n">
        <v>1089</v>
      </c>
      <c r="S110" s="8" t="s">
        <v>94</v>
      </c>
      <c r="T110" s="8" t="s">
        <v>243</v>
      </c>
      <c r="U110" s="8" t="s">
        <v>244</v>
      </c>
      <c r="V110" s="8"/>
      <c r="W110" s="8" t="s">
        <v>245</v>
      </c>
      <c r="X110" s="8" t="s">
        <v>246</v>
      </c>
      <c r="Y110" s="8" t="s">
        <v>1528</v>
      </c>
      <c r="Z110" s="8" t="s">
        <v>1529</v>
      </c>
    </row>
    <row r="111" customFormat="false" ht="15" hidden="false" customHeight="false" outlineLevel="0" collapsed="false">
      <c r="A111" s="8" t="s">
        <v>242</v>
      </c>
      <c r="B111" s="8" t="s">
        <v>17</v>
      </c>
      <c r="C111" s="8" t="s">
        <v>18</v>
      </c>
      <c r="D111" s="8" t="s">
        <v>615</v>
      </c>
      <c r="E111" s="8" t="s">
        <v>36</v>
      </c>
      <c r="F111" s="8" t="s">
        <v>48</v>
      </c>
      <c r="G111" s="8" t="s">
        <v>32</v>
      </c>
      <c r="H111" s="8" t="s">
        <v>31</v>
      </c>
      <c r="I111" s="8" t="n">
        <f aca="false">IF(EXACT(G111,H111),1,0)</f>
        <v>0</v>
      </c>
      <c r="J111" s="8" t="n">
        <v>1</v>
      </c>
      <c r="K111" s="8" t="s">
        <v>116</v>
      </c>
      <c r="L111" s="8" t="n">
        <v>1</v>
      </c>
      <c r="M111" s="8" t="n">
        <v>5</v>
      </c>
      <c r="N111" s="8" t="s">
        <v>1492</v>
      </c>
      <c r="O111" s="8" t="n">
        <v>2</v>
      </c>
      <c r="P111" s="10" t="n">
        <v>25.89</v>
      </c>
      <c r="Q111" s="8" t="n">
        <v>9200</v>
      </c>
      <c r="R111" s="8" t="n">
        <v>1058</v>
      </c>
      <c r="S111" s="8" t="s">
        <v>94</v>
      </c>
      <c r="T111" s="8" t="s">
        <v>243</v>
      </c>
      <c r="U111" s="8" t="s">
        <v>244</v>
      </c>
      <c r="V111" s="8"/>
      <c r="W111" s="8" t="s">
        <v>245</v>
      </c>
      <c r="X111" s="8" t="s">
        <v>246</v>
      </c>
      <c r="Y111" s="8" t="s">
        <v>1530</v>
      </c>
      <c r="Z111" s="8" t="s">
        <v>1531</v>
      </c>
    </row>
    <row r="112" customFormat="false" ht="15" hidden="false" customHeight="false" outlineLevel="0" collapsed="false">
      <c r="A112" s="8" t="s">
        <v>242</v>
      </c>
      <c r="B112" s="8" t="s">
        <v>17</v>
      </c>
      <c r="C112" s="8" t="s">
        <v>18</v>
      </c>
      <c r="D112" s="8" t="s">
        <v>615</v>
      </c>
      <c r="E112" s="8" t="s">
        <v>36</v>
      </c>
      <c r="F112" s="8" t="s">
        <v>48</v>
      </c>
      <c r="G112" s="8" t="s">
        <v>32</v>
      </c>
      <c r="H112" s="8" t="s">
        <v>31</v>
      </c>
      <c r="I112" s="8" t="n">
        <f aca="false">IF(EXACT(G112,H112),1,0)</f>
        <v>0</v>
      </c>
      <c r="J112" s="8" t="n">
        <v>2</v>
      </c>
      <c r="K112" s="8" t="s">
        <v>116</v>
      </c>
      <c r="L112" s="8" t="n">
        <v>1</v>
      </c>
      <c r="M112" s="8" t="n">
        <v>5</v>
      </c>
      <c r="N112" s="8" t="s">
        <v>1492</v>
      </c>
      <c r="O112" s="8" t="n">
        <v>2</v>
      </c>
      <c r="P112" s="10" t="n">
        <v>19.79</v>
      </c>
      <c r="Q112" s="8" t="n">
        <v>9211</v>
      </c>
      <c r="R112" s="8" t="n">
        <v>918</v>
      </c>
      <c r="S112" s="8" t="s">
        <v>94</v>
      </c>
      <c r="T112" s="8" t="s">
        <v>243</v>
      </c>
      <c r="U112" s="8" t="s">
        <v>244</v>
      </c>
      <c r="V112" s="8"/>
      <c r="W112" s="8" t="s">
        <v>245</v>
      </c>
      <c r="X112" s="8" t="s">
        <v>246</v>
      </c>
      <c r="Y112" s="8" t="s">
        <v>1532</v>
      </c>
      <c r="Z112" s="8" t="s">
        <v>1533</v>
      </c>
    </row>
    <row r="113" customFormat="false" ht="15" hidden="false" customHeight="false" outlineLevel="0" collapsed="false">
      <c r="A113" s="8" t="s">
        <v>247</v>
      </c>
      <c r="B113" s="8" t="s">
        <v>17</v>
      </c>
      <c r="C113" s="8" t="s">
        <v>18</v>
      </c>
      <c r="D113" s="8" t="s">
        <v>615</v>
      </c>
      <c r="E113" s="8" t="s">
        <v>36</v>
      </c>
      <c r="F113" s="8" t="s">
        <v>48</v>
      </c>
      <c r="G113" s="8" t="s">
        <v>30</v>
      </c>
      <c r="H113" s="8" t="s">
        <v>30</v>
      </c>
      <c r="I113" s="8" t="n">
        <f aca="false">IF(EXACT(G113,H113),1,0)</f>
        <v>1</v>
      </c>
      <c r="J113" s="8" t="n">
        <v>0</v>
      </c>
      <c r="K113" s="8" t="s">
        <v>92</v>
      </c>
      <c r="L113" s="8" t="n">
        <v>0</v>
      </c>
      <c r="M113" s="8" t="n">
        <v>5</v>
      </c>
      <c r="N113" s="8" t="s">
        <v>1492</v>
      </c>
      <c r="O113" s="8" t="n">
        <v>2</v>
      </c>
      <c r="P113" s="10" t="n">
        <v>25.68</v>
      </c>
      <c r="Q113" s="8" t="n">
        <v>9388</v>
      </c>
      <c r="R113" s="8" t="n">
        <v>1085</v>
      </c>
      <c r="S113" s="8" t="s">
        <v>216</v>
      </c>
      <c r="T113" s="8" t="s">
        <v>243</v>
      </c>
      <c r="U113" s="8" t="s">
        <v>244</v>
      </c>
      <c r="V113" s="8"/>
      <c r="W113" s="8" t="s">
        <v>248</v>
      </c>
      <c r="X113" s="8" t="s">
        <v>249</v>
      </c>
      <c r="Y113" s="8" t="s">
        <v>1534</v>
      </c>
      <c r="Z113" s="8"/>
    </row>
    <row r="114" customFormat="false" ht="15" hidden="false" customHeight="false" outlineLevel="0" collapsed="false">
      <c r="A114" s="8" t="s">
        <v>247</v>
      </c>
      <c r="B114" s="8" t="s">
        <v>17</v>
      </c>
      <c r="C114" s="8" t="s">
        <v>18</v>
      </c>
      <c r="D114" s="8" t="s">
        <v>615</v>
      </c>
      <c r="E114" s="8" t="s">
        <v>36</v>
      </c>
      <c r="F114" s="8" t="s">
        <v>48</v>
      </c>
      <c r="G114" s="8" t="s">
        <v>30</v>
      </c>
      <c r="H114" s="8" t="s">
        <v>30</v>
      </c>
      <c r="I114" s="8" t="n">
        <f aca="false">IF(EXACT(G114,H114),1,0)</f>
        <v>1</v>
      </c>
      <c r="J114" s="8" t="n">
        <v>1</v>
      </c>
      <c r="K114" s="8" t="s">
        <v>92</v>
      </c>
      <c r="L114" s="8" t="n">
        <v>0</v>
      </c>
      <c r="M114" s="8" t="n">
        <v>5</v>
      </c>
      <c r="N114" s="8" t="s">
        <v>1492</v>
      </c>
      <c r="O114" s="8" t="n">
        <v>2</v>
      </c>
      <c r="P114" s="10" t="n">
        <v>27.04</v>
      </c>
      <c r="Q114" s="8" t="n">
        <v>9388</v>
      </c>
      <c r="R114" s="8" t="n">
        <v>1126</v>
      </c>
      <c r="S114" s="8" t="s">
        <v>216</v>
      </c>
      <c r="T114" s="8" t="s">
        <v>243</v>
      </c>
      <c r="U114" s="8" t="s">
        <v>244</v>
      </c>
      <c r="V114" s="8"/>
      <c r="W114" s="8" t="s">
        <v>248</v>
      </c>
      <c r="X114" s="8" t="s">
        <v>249</v>
      </c>
      <c r="Y114" s="8" t="s">
        <v>1535</v>
      </c>
      <c r="Z114" s="8"/>
    </row>
    <row r="115" customFormat="false" ht="15" hidden="false" customHeight="false" outlineLevel="0" collapsed="false">
      <c r="A115" s="8" t="s">
        <v>247</v>
      </c>
      <c r="B115" s="8" t="s">
        <v>17</v>
      </c>
      <c r="C115" s="8" t="s">
        <v>18</v>
      </c>
      <c r="D115" s="8" t="s">
        <v>615</v>
      </c>
      <c r="E115" s="8" t="s">
        <v>36</v>
      </c>
      <c r="F115" s="8" t="s">
        <v>48</v>
      </c>
      <c r="G115" s="8" t="s">
        <v>30</v>
      </c>
      <c r="H115" s="8" t="s">
        <v>30</v>
      </c>
      <c r="I115" s="8" t="n">
        <f aca="false">IF(EXACT(G115,H115),1,0)</f>
        <v>1</v>
      </c>
      <c r="J115" s="8" t="n">
        <v>2</v>
      </c>
      <c r="K115" s="8" t="s">
        <v>92</v>
      </c>
      <c r="L115" s="8" t="n">
        <v>0</v>
      </c>
      <c r="M115" s="8" t="n">
        <v>5</v>
      </c>
      <c r="N115" s="8" t="s">
        <v>1492</v>
      </c>
      <c r="O115" s="8" t="n">
        <v>2</v>
      </c>
      <c r="P115" s="10" t="n">
        <v>37.12</v>
      </c>
      <c r="Q115" s="8" t="n">
        <v>9388</v>
      </c>
      <c r="R115" s="8" t="n">
        <v>1055</v>
      </c>
      <c r="S115" s="8" t="s">
        <v>216</v>
      </c>
      <c r="T115" s="8" t="s">
        <v>243</v>
      </c>
      <c r="U115" s="8" t="s">
        <v>244</v>
      </c>
      <c r="V115" s="8"/>
      <c r="W115" s="8" t="s">
        <v>248</v>
      </c>
      <c r="X115" s="8" t="s">
        <v>249</v>
      </c>
      <c r="Y115" s="8" t="s">
        <v>1536</v>
      </c>
      <c r="Z115" s="8"/>
    </row>
    <row r="116" customFormat="false" ht="15" hidden="false" customHeight="false" outlineLevel="0" collapsed="false">
      <c r="A116" s="8" t="s">
        <v>250</v>
      </c>
      <c r="B116" s="8" t="s">
        <v>17</v>
      </c>
      <c r="C116" s="8" t="s">
        <v>18</v>
      </c>
      <c r="D116" s="8" t="s">
        <v>615</v>
      </c>
      <c r="E116" s="8" t="s">
        <v>36</v>
      </c>
      <c r="F116" s="8" t="s">
        <v>48</v>
      </c>
      <c r="G116" s="8" t="s">
        <v>32</v>
      </c>
      <c r="H116" s="8" t="s">
        <v>30</v>
      </c>
      <c r="I116" s="8" t="n">
        <f aca="false">IF(EXACT(G116,H116),1,0)</f>
        <v>0</v>
      </c>
      <c r="J116" s="8" t="n">
        <v>0</v>
      </c>
      <c r="K116" s="8" t="s">
        <v>92</v>
      </c>
      <c r="L116" s="8" t="n">
        <v>0</v>
      </c>
      <c r="M116" s="8" t="n">
        <v>5</v>
      </c>
      <c r="N116" s="8" t="s">
        <v>1492</v>
      </c>
      <c r="O116" s="8" t="n">
        <v>2</v>
      </c>
      <c r="P116" s="10" t="n">
        <v>23.54</v>
      </c>
      <c r="Q116" s="8" t="n">
        <v>9524</v>
      </c>
      <c r="R116" s="8" t="n">
        <v>1064</v>
      </c>
      <c r="S116" s="8" t="s">
        <v>251</v>
      </c>
      <c r="T116" s="8" t="s">
        <v>243</v>
      </c>
      <c r="U116" s="8" t="s">
        <v>244</v>
      </c>
      <c r="V116" s="8"/>
      <c r="W116" s="8" t="s">
        <v>252</v>
      </c>
      <c r="X116" s="8" t="s">
        <v>253</v>
      </c>
      <c r="Y116" s="8" t="s">
        <v>1537</v>
      </c>
      <c r="Z116" s="8"/>
    </row>
    <row r="117" customFormat="false" ht="15" hidden="false" customHeight="false" outlineLevel="0" collapsed="false">
      <c r="A117" s="8" t="s">
        <v>250</v>
      </c>
      <c r="B117" s="8" t="s">
        <v>17</v>
      </c>
      <c r="C117" s="8" t="s">
        <v>18</v>
      </c>
      <c r="D117" s="8" t="s">
        <v>615</v>
      </c>
      <c r="E117" s="8" t="s">
        <v>36</v>
      </c>
      <c r="F117" s="8" t="s">
        <v>48</v>
      </c>
      <c r="G117" s="8" t="s">
        <v>32</v>
      </c>
      <c r="H117" s="8" t="s">
        <v>31</v>
      </c>
      <c r="I117" s="8" t="n">
        <f aca="false">IF(EXACT(G117,H117),1,0)</f>
        <v>0</v>
      </c>
      <c r="J117" s="8" t="n">
        <v>1</v>
      </c>
      <c r="K117" s="8" t="s">
        <v>116</v>
      </c>
      <c r="L117" s="8" t="n">
        <v>1</v>
      </c>
      <c r="M117" s="8" t="n">
        <v>5</v>
      </c>
      <c r="N117" s="8" t="s">
        <v>1492</v>
      </c>
      <c r="O117" s="8" t="n">
        <v>2</v>
      </c>
      <c r="P117" s="10" t="n">
        <v>24.56</v>
      </c>
      <c r="Q117" s="8" t="n">
        <v>9524</v>
      </c>
      <c r="R117" s="8" t="n">
        <v>1178</v>
      </c>
      <c r="S117" s="8" t="s">
        <v>251</v>
      </c>
      <c r="T117" s="8" t="s">
        <v>243</v>
      </c>
      <c r="U117" s="8" t="s">
        <v>244</v>
      </c>
      <c r="V117" s="8"/>
      <c r="W117" s="8" t="s">
        <v>252</v>
      </c>
      <c r="X117" s="8" t="s">
        <v>253</v>
      </c>
      <c r="Y117" s="8" t="s">
        <v>1538</v>
      </c>
      <c r="Z117" s="8" t="s">
        <v>1539</v>
      </c>
    </row>
    <row r="118" customFormat="false" ht="15" hidden="false" customHeight="false" outlineLevel="0" collapsed="false">
      <c r="A118" s="8" t="s">
        <v>250</v>
      </c>
      <c r="B118" s="8" t="s">
        <v>17</v>
      </c>
      <c r="C118" s="8" t="s">
        <v>18</v>
      </c>
      <c r="D118" s="8" t="s">
        <v>615</v>
      </c>
      <c r="E118" s="8" t="s">
        <v>36</v>
      </c>
      <c r="F118" s="8" t="s">
        <v>48</v>
      </c>
      <c r="G118" s="8" t="s">
        <v>32</v>
      </c>
      <c r="H118" s="8" t="s">
        <v>30</v>
      </c>
      <c r="I118" s="8" t="n">
        <f aca="false">IF(EXACT(G118,H118),1,0)</f>
        <v>0</v>
      </c>
      <c r="J118" s="8" t="n">
        <v>2</v>
      </c>
      <c r="K118" s="8" t="s">
        <v>92</v>
      </c>
      <c r="L118" s="8" t="n">
        <v>0</v>
      </c>
      <c r="M118" s="8" t="n">
        <v>5</v>
      </c>
      <c r="N118" s="8" t="s">
        <v>1492</v>
      </c>
      <c r="O118" s="8" t="n">
        <v>2</v>
      </c>
      <c r="P118" s="10" t="n">
        <v>25.87</v>
      </c>
      <c r="Q118" s="8" t="n">
        <v>9524</v>
      </c>
      <c r="R118" s="8" t="n">
        <v>1091</v>
      </c>
      <c r="S118" s="8" t="s">
        <v>251</v>
      </c>
      <c r="T118" s="8" t="s">
        <v>243</v>
      </c>
      <c r="U118" s="8" t="s">
        <v>244</v>
      </c>
      <c r="V118" s="8"/>
      <c r="W118" s="8" t="s">
        <v>252</v>
      </c>
      <c r="X118" s="8" t="s">
        <v>253</v>
      </c>
      <c r="Y118" s="8" t="s">
        <v>1540</v>
      </c>
      <c r="Z118" s="8"/>
    </row>
    <row r="119" customFormat="false" ht="15" hidden="false" customHeight="false" outlineLevel="0" collapsed="false">
      <c r="A119" s="8" t="s">
        <v>254</v>
      </c>
      <c r="B119" s="8" t="s">
        <v>17</v>
      </c>
      <c r="C119" s="8" t="s">
        <v>18</v>
      </c>
      <c r="D119" s="8" t="s">
        <v>615</v>
      </c>
      <c r="E119" s="8" t="s">
        <v>36</v>
      </c>
      <c r="F119" s="8" t="s">
        <v>48</v>
      </c>
      <c r="G119" s="8" t="s">
        <v>31</v>
      </c>
      <c r="H119" s="8" t="s">
        <v>30</v>
      </c>
      <c r="I119" s="8" t="n">
        <f aca="false">IF(EXACT(G119,H119),1,0)</f>
        <v>0</v>
      </c>
      <c r="J119" s="8" t="n">
        <v>0</v>
      </c>
      <c r="K119" s="8" t="s">
        <v>92</v>
      </c>
      <c r="L119" s="8" t="n">
        <v>0</v>
      </c>
      <c r="M119" s="8" t="n">
        <v>5</v>
      </c>
      <c r="N119" s="8" t="s">
        <v>1492</v>
      </c>
      <c r="O119" s="8" t="n">
        <v>2</v>
      </c>
      <c r="P119" s="10" t="n">
        <v>22.42</v>
      </c>
      <c r="Q119" s="8" t="n">
        <v>9471</v>
      </c>
      <c r="R119" s="8" t="n">
        <v>966</v>
      </c>
      <c r="S119" s="8" t="s">
        <v>255</v>
      </c>
      <c r="T119" s="8" t="s">
        <v>256</v>
      </c>
      <c r="U119" s="8" t="s">
        <v>257</v>
      </c>
      <c r="V119" s="8"/>
      <c r="W119" s="8" t="s">
        <v>258</v>
      </c>
      <c r="X119" s="8" t="s">
        <v>259</v>
      </c>
      <c r="Y119" s="8" t="s">
        <v>1541</v>
      </c>
      <c r="Z119" s="8"/>
    </row>
    <row r="120" customFormat="false" ht="15" hidden="false" customHeight="false" outlineLevel="0" collapsed="false">
      <c r="A120" s="8" t="s">
        <v>254</v>
      </c>
      <c r="B120" s="8" t="s">
        <v>17</v>
      </c>
      <c r="C120" s="8" t="s">
        <v>18</v>
      </c>
      <c r="D120" s="8" t="s">
        <v>615</v>
      </c>
      <c r="E120" s="8" t="s">
        <v>36</v>
      </c>
      <c r="F120" s="8" t="s">
        <v>48</v>
      </c>
      <c r="G120" s="8" t="s">
        <v>31</v>
      </c>
      <c r="H120" s="8" t="s">
        <v>31</v>
      </c>
      <c r="I120" s="8" t="n">
        <f aca="false">IF(EXACT(G120,H120),1,0)</f>
        <v>1</v>
      </c>
      <c r="J120" s="8" t="n">
        <v>1</v>
      </c>
      <c r="K120" s="8" t="s">
        <v>116</v>
      </c>
      <c r="L120" s="8" t="n">
        <v>1</v>
      </c>
      <c r="M120" s="8" t="n">
        <v>5</v>
      </c>
      <c r="N120" s="8" t="s">
        <v>1492</v>
      </c>
      <c r="O120" s="8" t="n">
        <v>2</v>
      </c>
      <c r="P120" s="10" t="n">
        <v>27.12</v>
      </c>
      <c r="Q120" s="8" t="n">
        <v>9471</v>
      </c>
      <c r="R120" s="8" t="n">
        <v>1216</v>
      </c>
      <c r="S120" s="8" t="s">
        <v>255</v>
      </c>
      <c r="T120" s="8" t="s">
        <v>256</v>
      </c>
      <c r="U120" s="8" t="s">
        <v>257</v>
      </c>
      <c r="V120" s="8"/>
      <c r="W120" s="8" t="s">
        <v>258</v>
      </c>
      <c r="X120" s="8" t="s">
        <v>259</v>
      </c>
      <c r="Y120" s="8" t="s">
        <v>1542</v>
      </c>
      <c r="Z120" s="8" t="s">
        <v>1543</v>
      </c>
    </row>
    <row r="121" customFormat="false" ht="15" hidden="false" customHeight="false" outlineLevel="0" collapsed="false">
      <c r="A121" s="8" t="s">
        <v>254</v>
      </c>
      <c r="B121" s="8" t="s">
        <v>17</v>
      </c>
      <c r="C121" s="8" t="s">
        <v>18</v>
      </c>
      <c r="D121" s="8" t="s">
        <v>615</v>
      </c>
      <c r="E121" s="8" t="s">
        <v>36</v>
      </c>
      <c r="F121" s="8" t="s">
        <v>48</v>
      </c>
      <c r="G121" s="8" t="s">
        <v>31</v>
      </c>
      <c r="H121" s="8" t="s">
        <v>31</v>
      </c>
      <c r="I121" s="8" t="n">
        <f aca="false">IF(EXACT(G121,H121),1,0)</f>
        <v>1</v>
      </c>
      <c r="J121" s="8" t="n">
        <v>2</v>
      </c>
      <c r="K121" s="8" t="s">
        <v>116</v>
      </c>
      <c r="L121" s="8" t="n">
        <v>1</v>
      </c>
      <c r="M121" s="8" t="n">
        <v>5</v>
      </c>
      <c r="N121" s="8" t="s">
        <v>1492</v>
      </c>
      <c r="O121" s="8" t="n">
        <v>2</v>
      </c>
      <c r="P121" s="10" t="n">
        <v>27.95</v>
      </c>
      <c r="Q121" s="8" t="n">
        <v>9471</v>
      </c>
      <c r="R121" s="8" t="n">
        <v>1290</v>
      </c>
      <c r="S121" s="8" t="s">
        <v>255</v>
      </c>
      <c r="T121" s="8" t="s">
        <v>256</v>
      </c>
      <c r="U121" s="8" t="s">
        <v>257</v>
      </c>
      <c r="V121" s="8"/>
      <c r="W121" s="8" t="s">
        <v>258</v>
      </c>
      <c r="X121" s="8" t="s">
        <v>259</v>
      </c>
      <c r="Y121" s="8" t="s">
        <v>1544</v>
      </c>
      <c r="Z121" s="8" t="s">
        <v>1545</v>
      </c>
    </row>
    <row r="122" customFormat="false" ht="15" hidden="false" customHeight="false" outlineLevel="0" collapsed="false">
      <c r="A122" s="8" t="s">
        <v>261</v>
      </c>
      <c r="B122" s="8" t="s">
        <v>17</v>
      </c>
      <c r="C122" s="8" t="s">
        <v>18</v>
      </c>
      <c r="D122" s="8" t="s">
        <v>615</v>
      </c>
      <c r="E122" s="8" t="s">
        <v>36</v>
      </c>
      <c r="F122" s="8" t="s">
        <v>48</v>
      </c>
      <c r="G122" s="8" t="s">
        <v>30</v>
      </c>
      <c r="H122" s="8" t="s">
        <v>31</v>
      </c>
      <c r="I122" s="8" t="n">
        <f aca="false">IF(EXACT(G122,H122),1,0)</f>
        <v>0</v>
      </c>
      <c r="J122" s="8" t="n">
        <v>0</v>
      </c>
      <c r="K122" s="8" t="s">
        <v>116</v>
      </c>
      <c r="L122" s="8" t="n">
        <v>1</v>
      </c>
      <c r="M122" s="8" t="n">
        <v>5</v>
      </c>
      <c r="N122" s="8" t="s">
        <v>1492</v>
      </c>
      <c r="O122" s="8" t="n">
        <v>2</v>
      </c>
      <c r="P122" s="10" t="n">
        <v>30.79</v>
      </c>
      <c r="Q122" s="8" t="n">
        <v>9465</v>
      </c>
      <c r="R122" s="8" t="n">
        <v>1276</v>
      </c>
      <c r="S122" s="8" t="s">
        <v>262</v>
      </c>
      <c r="T122" s="8" t="s">
        <v>256</v>
      </c>
      <c r="U122" s="8" t="s">
        <v>257</v>
      </c>
      <c r="V122" s="8"/>
      <c r="W122" s="8" t="s">
        <v>263</v>
      </c>
      <c r="X122" s="8" t="s">
        <v>264</v>
      </c>
      <c r="Y122" s="8" t="s">
        <v>1546</v>
      </c>
      <c r="Z122" s="8" t="s">
        <v>1547</v>
      </c>
    </row>
    <row r="123" customFormat="false" ht="15" hidden="false" customHeight="false" outlineLevel="0" collapsed="false">
      <c r="A123" s="8" t="s">
        <v>261</v>
      </c>
      <c r="B123" s="8" t="s">
        <v>17</v>
      </c>
      <c r="C123" s="8" t="s">
        <v>18</v>
      </c>
      <c r="D123" s="8" t="s">
        <v>615</v>
      </c>
      <c r="E123" s="8" t="s">
        <v>36</v>
      </c>
      <c r="F123" s="8" t="s">
        <v>48</v>
      </c>
      <c r="G123" s="8" t="s">
        <v>30</v>
      </c>
      <c r="H123" s="8" t="s">
        <v>31</v>
      </c>
      <c r="I123" s="8" t="n">
        <f aca="false">IF(EXACT(G123,H123),1,0)</f>
        <v>0</v>
      </c>
      <c r="J123" s="8" t="n">
        <v>1</v>
      </c>
      <c r="K123" s="8" t="s">
        <v>116</v>
      </c>
      <c r="L123" s="8" t="n">
        <v>1</v>
      </c>
      <c r="M123" s="8" t="n">
        <v>5</v>
      </c>
      <c r="N123" s="8" t="s">
        <v>1492</v>
      </c>
      <c r="O123" s="8" t="n">
        <v>2</v>
      </c>
      <c r="P123" s="10" t="n">
        <v>25.78</v>
      </c>
      <c r="Q123" s="8" t="n">
        <v>9465</v>
      </c>
      <c r="R123" s="8" t="n">
        <v>1183</v>
      </c>
      <c r="S123" s="8" t="s">
        <v>262</v>
      </c>
      <c r="T123" s="8" t="s">
        <v>256</v>
      </c>
      <c r="U123" s="8" t="s">
        <v>257</v>
      </c>
      <c r="V123" s="8"/>
      <c r="W123" s="8" t="s">
        <v>263</v>
      </c>
      <c r="X123" s="8" t="s">
        <v>264</v>
      </c>
      <c r="Y123" s="8" t="s">
        <v>1548</v>
      </c>
      <c r="Z123" s="8" t="s">
        <v>1549</v>
      </c>
    </row>
    <row r="124" customFormat="false" ht="15" hidden="false" customHeight="false" outlineLevel="0" collapsed="false">
      <c r="A124" s="8" t="s">
        <v>261</v>
      </c>
      <c r="B124" s="8" t="s">
        <v>17</v>
      </c>
      <c r="C124" s="8" t="s">
        <v>18</v>
      </c>
      <c r="D124" s="8" t="s">
        <v>615</v>
      </c>
      <c r="E124" s="8" t="s">
        <v>36</v>
      </c>
      <c r="F124" s="8" t="s">
        <v>48</v>
      </c>
      <c r="G124" s="8" t="s">
        <v>30</v>
      </c>
      <c r="H124" s="8" t="s">
        <v>31</v>
      </c>
      <c r="I124" s="8" t="n">
        <f aca="false">IF(EXACT(G124,H124),1,0)</f>
        <v>0</v>
      </c>
      <c r="J124" s="8" t="n">
        <v>2</v>
      </c>
      <c r="K124" s="8" t="s">
        <v>116</v>
      </c>
      <c r="L124" s="8" t="n">
        <v>1</v>
      </c>
      <c r="M124" s="8" t="n">
        <v>5</v>
      </c>
      <c r="N124" s="8" t="s">
        <v>1492</v>
      </c>
      <c r="O124" s="8" t="n">
        <v>2</v>
      </c>
      <c r="P124" s="10" t="n">
        <v>25.04</v>
      </c>
      <c r="Q124" s="8" t="n">
        <v>9465</v>
      </c>
      <c r="R124" s="8" t="n">
        <v>1197</v>
      </c>
      <c r="S124" s="8" t="s">
        <v>262</v>
      </c>
      <c r="T124" s="8" t="s">
        <v>256</v>
      </c>
      <c r="U124" s="8" t="s">
        <v>257</v>
      </c>
      <c r="V124" s="8"/>
      <c r="W124" s="8" t="s">
        <v>263</v>
      </c>
      <c r="X124" s="8" t="s">
        <v>264</v>
      </c>
      <c r="Y124" s="8" t="s">
        <v>1550</v>
      </c>
      <c r="Z124" s="8" t="s">
        <v>1551</v>
      </c>
    </row>
    <row r="125" customFormat="false" ht="15" hidden="false" customHeight="false" outlineLevel="0" collapsed="false">
      <c r="A125" s="8" t="s">
        <v>265</v>
      </c>
      <c r="B125" s="8" t="s">
        <v>17</v>
      </c>
      <c r="C125" s="8" t="s">
        <v>18</v>
      </c>
      <c r="D125" s="8" t="s">
        <v>615</v>
      </c>
      <c r="E125" s="8" t="s">
        <v>36</v>
      </c>
      <c r="F125" s="8" t="s">
        <v>48</v>
      </c>
      <c r="G125" s="8" t="s">
        <v>31</v>
      </c>
      <c r="H125" s="8" t="s">
        <v>31</v>
      </c>
      <c r="I125" s="8" t="n">
        <f aca="false">IF(EXACT(G125,H125),1,0)</f>
        <v>1</v>
      </c>
      <c r="J125" s="8" t="n">
        <v>0</v>
      </c>
      <c r="K125" s="8" t="s">
        <v>116</v>
      </c>
      <c r="L125" s="8" t="n">
        <v>1</v>
      </c>
      <c r="M125" s="8" t="n">
        <v>5</v>
      </c>
      <c r="N125" s="8" t="s">
        <v>1492</v>
      </c>
      <c r="O125" s="8" t="n">
        <v>2</v>
      </c>
      <c r="P125" s="10" t="n">
        <v>28.38</v>
      </c>
      <c r="Q125" s="8" t="n">
        <v>9282</v>
      </c>
      <c r="R125" s="8" t="n">
        <v>1228</v>
      </c>
      <c r="S125" s="8" t="s">
        <v>117</v>
      </c>
      <c r="T125" s="8" t="s">
        <v>256</v>
      </c>
      <c r="U125" s="8" t="s">
        <v>257</v>
      </c>
      <c r="V125" s="8"/>
      <c r="W125" s="8" t="s">
        <v>266</v>
      </c>
      <c r="X125" s="8" t="s">
        <v>267</v>
      </c>
      <c r="Y125" s="8" t="s">
        <v>1552</v>
      </c>
      <c r="Z125" s="8" t="s">
        <v>1553</v>
      </c>
    </row>
    <row r="126" customFormat="false" ht="15" hidden="false" customHeight="false" outlineLevel="0" collapsed="false">
      <c r="A126" s="8" t="s">
        <v>265</v>
      </c>
      <c r="B126" s="8" t="s">
        <v>17</v>
      </c>
      <c r="C126" s="8" t="s">
        <v>18</v>
      </c>
      <c r="D126" s="8" t="s">
        <v>615</v>
      </c>
      <c r="E126" s="8" t="s">
        <v>36</v>
      </c>
      <c r="F126" s="8" t="s">
        <v>48</v>
      </c>
      <c r="G126" s="8" t="s">
        <v>31</v>
      </c>
      <c r="H126" s="8" t="s">
        <v>31</v>
      </c>
      <c r="I126" s="8" t="n">
        <f aca="false">IF(EXACT(G126,H126),1,0)</f>
        <v>1</v>
      </c>
      <c r="J126" s="8" t="n">
        <v>1</v>
      </c>
      <c r="K126" s="8" t="s">
        <v>116</v>
      </c>
      <c r="L126" s="8" t="n">
        <v>1</v>
      </c>
      <c r="M126" s="8" t="n">
        <v>5</v>
      </c>
      <c r="N126" s="8" t="s">
        <v>1492</v>
      </c>
      <c r="O126" s="8" t="n">
        <v>2</v>
      </c>
      <c r="P126" s="10" t="n">
        <v>37.69</v>
      </c>
      <c r="Q126" s="8" t="n">
        <v>9282</v>
      </c>
      <c r="R126" s="8" t="n">
        <v>951</v>
      </c>
      <c r="S126" s="8" t="s">
        <v>117</v>
      </c>
      <c r="T126" s="8" t="s">
        <v>256</v>
      </c>
      <c r="U126" s="8" t="s">
        <v>257</v>
      </c>
      <c r="V126" s="8"/>
      <c r="W126" s="8" t="s">
        <v>266</v>
      </c>
      <c r="X126" s="8" t="s">
        <v>267</v>
      </c>
      <c r="Y126" s="8" t="s">
        <v>1554</v>
      </c>
      <c r="Z126" s="8" t="s">
        <v>1555</v>
      </c>
    </row>
    <row r="127" customFormat="false" ht="15" hidden="false" customHeight="false" outlineLevel="0" collapsed="false">
      <c r="A127" s="8" t="s">
        <v>265</v>
      </c>
      <c r="B127" s="8" t="s">
        <v>17</v>
      </c>
      <c r="C127" s="8" t="s">
        <v>18</v>
      </c>
      <c r="D127" s="8" t="s">
        <v>615</v>
      </c>
      <c r="E127" s="8" t="s">
        <v>36</v>
      </c>
      <c r="F127" s="8" t="s">
        <v>48</v>
      </c>
      <c r="G127" s="8" t="s">
        <v>31</v>
      </c>
      <c r="H127" s="8" t="s">
        <v>30</v>
      </c>
      <c r="I127" s="8" t="n">
        <f aca="false">IF(EXACT(G127,H127),1,0)</f>
        <v>0</v>
      </c>
      <c r="J127" s="8" t="n">
        <v>2</v>
      </c>
      <c r="K127" s="8" t="s">
        <v>92</v>
      </c>
      <c r="L127" s="8" t="n">
        <v>0</v>
      </c>
      <c r="M127" s="8" t="n">
        <v>5</v>
      </c>
      <c r="N127" s="8" t="s">
        <v>1492</v>
      </c>
      <c r="O127" s="8" t="n">
        <v>2</v>
      </c>
      <c r="P127" s="10" t="n">
        <v>42.38</v>
      </c>
      <c r="Q127" s="8" t="n">
        <v>9282</v>
      </c>
      <c r="R127" s="8" t="n">
        <v>1044</v>
      </c>
      <c r="S127" s="8" t="s">
        <v>117</v>
      </c>
      <c r="T127" s="8" t="s">
        <v>256</v>
      </c>
      <c r="U127" s="8" t="s">
        <v>257</v>
      </c>
      <c r="V127" s="8"/>
      <c r="W127" s="8" t="s">
        <v>266</v>
      </c>
      <c r="X127" s="8" t="s">
        <v>267</v>
      </c>
      <c r="Y127" s="8" t="s">
        <v>1556</v>
      </c>
      <c r="Z127" s="8"/>
    </row>
    <row r="128" customFormat="false" ht="15" hidden="false" customHeight="false" outlineLevel="0" collapsed="false">
      <c r="A128" s="8" t="s">
        <v>268</v>
      </c>
      <c r="B128" s="8" t="s">
        <v>17</v>
      </c>
      <c r="C128" s="8" t="s">
        <v>18</v>
      </c>
      <c r="D128" s="8" t="s">
        <v>615</v>
      </c>
      <c r="E128" s="8" t="s">
        <v>36</v>
      </c>
      <c r="F128" s="8" t="s">
        <v>47</v>
      </c>
      <c r="G128" s="8" t="s">
        <v>30</v>
      </c>
      <c r="H128" s="8" t="s">
        <v>31</v>
      </c>
      <c r="I128" s="8" t="n">
        <f aca="false">IF(EXACT(G128,H128),1,0)</f>
        <v>0</v>
      </c>
      <c r="J128" s="8" t="n">
        <v>0</v>
      </c>
      <c r="K128" s="8" t="s">
        <v>116</v>
      </c>
      <c r="L128" s="8" t="n">
        <v>1</v>
      </c>
      <c r="M128" s="8" t="n">
        <v>5</v>
      </c>
      <c r="N128" s="8" t="s">
        <v>1492</v>
      </c>
      <c r="O128" s="8" t="n">
        <v>2</v>
      </c>
      <c r="P128" s="10" t="n">
        <v>26.58</v>
      </c>
      <c r="Q128" s="8" t="n">
        <v>9269</v>
      </c>
      <c r="R128" s="8" t="n">
        <v>1084</v>
      </c>
      <c r="S128" s="8" t="s">
        <v>262</v>
      </c>
      <c r="T128" s="8" t="s">
        <v>269</v>
      </c>
      <c r="U128" s="8" t="s">
        <v>270</v>
      </c>
      <c r="V128" s="8"/>
      <c r="W128" s="8" t="s">
        <v>271</v>
      </c>
      <c r="X128" s="8" t="s">
        <v>272</v>
      </c>
      <c r="Y128" s="8" t="s">
        <v>1557</v>
      </c>
      <c r="Z128" s="8" t="s">
        <v>1558</v>
      </c>
    </row>
    <row r="129" customFormat="false" ht="15" hidden="false" customHeight="false" outlineLevel="0" collapsed="false">
      <c r="A129" s="8" t="s">
        <v>268</v>
      </c>
      <c r="B129" s="8" t="s">
        <v>17</v>
      </c>
      <c r="C129" s="8" t="s">
        <v>18</v>
      </c>
      <c r="D129" s="8" t="s">
        <v>615</v>
      </c>
      <c r="E129" s="8" t="s">
        <v>36</v>
      </c>
      <c r="F129" s="8" t="s">
        <v>47</v>
      </c>
      <c r="G129" s="8" t="s">
        <v>30</v>
      </c>
      <c r="H129" s="8" t="s">
        <v>31</v>
      </c>
      <c r="I129" s="8" t="n">
        <f aca="false">IF(EXACT(G129,H129),1,0)</f>
        <v>0</v>
      </c>
      <c r="J129" s="8" t="n">
        <v>1</v>
      </c>
      <c r="K129" s="8" t="s">
        <v>116</v>
      </c>
      <c r="L129" s="8" t="n">
        <v>1</v>
      </c>
      <c r="M129" s="8" t="n">
        <v>5</v>
      </c>
      <c r="N129" s="8" t="s">
        <v>1492</v>
      </c>
      <c r="O129" s="8" t="n">
        <v>2</v>
      </c>
      <c r="P129" s="10" t="n">
        <v>27.67</v>
      </c>
      <c r="Q129" s="8" t="n">
        <v>9269</v>
      </c>
      <c r="R129" s="8" t="n">
        <v>1214</v>
      </c>
      <c r="S129" s="8" t="s">
        <v>262</v>
      </c>
      <c r="T129" s="8" t="s">
        <v>269</v>
      </c>
      <c r="U129" s="8" t="s">
        <v>270</v>
      </c>
      <c r="V129" s="8"/>
      <c r="W129" s="8" t="s">
        <v>271</v>
      </c>
      <c r="X129" s="8" t="s">
        <v>272</v>
      </c>
      <c r="Y129" s="8" t="s">
        <v>1559</v>
      </c>
      <c r="Z129" s="8" t="s">
        <v>1560</v>
      </c>
    </row>
    <row r="130" customFormat="false" ht="15" hidden="false" customHeight="false" outlineLevel="0" collapsed="false">
      <c r="A130" s="8" t="s">
        <v>268</v>
      </c>
      <c r="B130" s="8" t="s">
        <v>17</v>
      </c>
      <c r="C130" s="8" t="s">
        <v>18</v>
      </c>
      <c r="D130" s="8" t="s">
        <v>615</v>
      </c>
      <c r="E130" s="8" t="s">
        <v>36</v>
      </c>
      <c r="F130" s="8" t="s">
        <v>47</v>
      </c>
      <c r="G130" s="8" t="s">
        <v>30</v>
      </c>
      <c r="H130" s="8" t="s">
        <v>31</v>
      </c>
      <c r="I130" s="8" t="n">
        <f aca="false">IF(EXACT(G130,H130),1,0)</f>
        <v>0</v>
      </c>
      <c r="J130" s="8" t="n">
        <v>2</v>
      </c>
      <c r="K130" s="8" t="s">
        <v>116</v>
      </c>
      <c r="L130" s="8" t="n">
        <v>1</v>
      </c>
      <c r="M130" s="8" t="n">
        <v>5</v>
      </c>
      <c r="N130" s="8" t="s">
        <v>1492</v>
      </c>
      <c r="O130" s="8" t="n">
        <v>2</v>
      </c>
      <c r="P130" s="10" t="n">
        <v>51.64</v>
      </c>
      <c r="Q130" s="8" t="n">
        <v>9269</v>
      </c>
      <c r="R130" s="8" t="n">
        <v>1203</v>
      </c>
      <c r="S130" s="8" t="s">
        <v>262</v>
      </c>
      <c r="T130" s="8" t="s">
        <v>269</v>
      </c>
      <c r="U130" s="8" t="s">
        <v>270</v>
      </c>
      <c r="V130" s="8"/>
      <c r="W130" s="8" t="s">
        <v>271</v>
      </c>
      <c r="X130" s="8" t="s">
        <v>272</v>
      </c>
      <c r="Y130" s="8" t="s">
        <v>1561</v>
      </c>
      <c r="Z130" s="8" t="s">
        <v>1562</v>
      </c>
    </row>
    <row r="131" customFormat="false" ht="15" hidden="false" customHeight="false" outlineLevel="0" collapsed="false">
      <c r="A131" s="8" t="s">
        <v>273</v>
      </c>
      <c r="B131" s="8" t="s">
        <v>17</v>
      </c>
      <c r="C131" s="8" t="s">
        <v>18</v>
      </c>
      <c r="D131" s="8" t="s">
        <v>615</v>
      </c>
      <c r="E131" s="8" t="s">
        <v>36</v>
      </c>
      <c r="F131" s="8" t="s">
        <v>47</v>
      </c>
      <c r="G131" s="8" t="s">
        <v>30</v>
      </c>
      <c r="H131" s="8" t="s">
        <v>31</v>
      </c>
      <c r="I131" s="8" t="n">
        <f aca="false">IF(EXACT(G131,H131),1,0)</f>
        <v>0</v>
      </c>
      <c r="J131" s="8" t="n">
        <v>0</v>
      </c>
      <c r="K131" s="8" t="s">
        <v>116</v>
      </c>
      <c r="L131" s="8" t="n">
        <v>1</v>
      </c>
      <c r="M131" s="8" t="n">
        <v>5</v>
      </c>
      <c r="N131" s="8" t="s">
        <v>1492</v>
      </c>
      <c r="O131" s="8" t="n">
        <v>2</v>
      </c>
      <c r="P131" s="10" t="n">
        <v>38.63</v>
      </c>
      <c r="Q131" s="8" t="n">
        <v>9216</v>
      </c>
      <c r="R131" s="8" t="n">
        <v>1146</v>
      </c>
      <c r="S131" s="8" t="s">
        <v>274</v>
      </c>
      <c r="T131" s="8" t="s">
        <v>269</v>
      </c>
      <c r="U131" s="8" t="s">
        <v>270</v>
      </c>
      <c r="V131" s="8"/>
      <c r="W131" s="8" t="s">
        <v>275</v>
      </c>
      <c r="X131" s="8" t="s">
        <v>276</v>
      </c>
      <c r="Y131" s="8" t="s">
        <v>1563</v>
      </c>
      <c r="Z131" s="8" t="s">
        <v>1564</v>
      </c>
    </row>
    <row r="132" customFormat="false" ht="15" hidden="false" customHeight="false" outlineLevel="0" collapsed="false">
      <c r="A132" s="8" t="s">
        <v>273</v>
      </c>
      <c r="B132" s="8" t="s">
        <v>17</v>
      </c>
      <c r="C132" s="8" t="s">
        <v>18</v>
      </c>
      <c r="D132" s="8" t="s">
        <v>615</v>
      </c>
      <c r="E132" s="8" t="s">
        <v>36</v>
      </c>
      <c r="F132" s="8" t="s">
        <v>47</v>
      </c>
      <c r="G132" s="8" t="s">
        <v>30</v>
      </c>
      <c r="H132" s="8" t="s">
        <v>31</v>
      </c>
      <c r="I132" s="8" t="n">
        <f aca="false">IF(EXACT(G132,H132),1,0)</f>
        <v>0</v>
      </c>
      <c r="J132" s="8" t="n">
        <v>1</v>
      </c>
      <c r="K132" s="8" t="s">
        <v>116</v>
      </c>
      <c r="L132" s="8" t="n">
        <v>1</v>
      </c>
      <c r="M132" s="8" t="n">
        <v>5</v>
      </c>
      <c r="N132" s="8" t="s">
        <v>1492</v>
      </c>
      <c r="O132" s="8" t="n">
        <v>2</v>
      </c>
      <c r="P132" s="10" t="n">
        <v>33.28</v>
      </c>
      <c r="Q132" s="8" t="n">
        <v>9216</v>
      </c>
      <c r="R132" s="8" t="n">
        <v>912</v>
      </c>
      <c r="S132" s="8" t="s">
        <v>274</v>
      </c>
      <c r="T132" s="8" t="s">
        <v>269</v>
      </c>
      <c r="U132" s="8" t="s">
        <v>270</v>
      </c>
      <c r="V132" s="8"/>
      <c r="W132" s="8" t="s">
        <v>275</v>
      </c>
      <c r="X132" s="8" t="s">
        <v>276</v>
      </c>
      <c r="Y132" s="8" t="s">
        <v>1565</v>
      </c>
      <c r="Z132" s="8" t="s">
        <v>1566</v>
      </c>
    </row>
    <row r="133" customFormat="false" ht="15" hidden="false" customHeight="false" outlineLevel="0" collapsed="false">
      <c r="A133" s="8" t="s">
        <v>273</v>
      </c>
      <c r="B133" s="8" t="s">
        <v>17</v>
      </c>
      <c r="C133" s="8" t="s">
        <v>18</v>
      </c>
      <c r="D133" s="8" t="s">
        <v>615</v>
      </c>
      <c r="E133" s="8" t="s">
        <v>36</v>
      </c>
      <c r="F133" s="8" t="s">
        <v>47</v>
      </c>
      <c r="G133" s="8" t="s">
        <v>30</v>
      </c>
      <c r="H133" s="8" t="s">
        <v>31</v>
      </c>
      <c r="I133" s="8" t="n">
        <f aca="false">IF(EXACT(G133,H133),1,0)</f>
        <v>0</v>
      </c>
      <c r="J133" s="8" t="n">
        <v>2</v>
      </c>
      <c r="K133" s="8" t="s">
        <v>116</v>
      </c>
      <c r="L133" s="8" t="n">
        <v>1</v>
      </c>
      <c r="M133" s="8" t="n">
        <v>5</v>
      </c>
      <c r="N133" s="8" t="s">
        <v>1492</v>
      </c>
      <c r="O133" s="8" t="n">
        <v>2</v>
      </c>
      <c r="P133" s="10" t="n">
        <v>22.49</v>
      </c>
      <c r="Q133" s="8" t="n">
        <v>9215</v>
      </c>
      <c r="R133" s="8" t="n">
        <v>905</v>
      </c>
      <c r="S133" s="8" t="s">
        <v>274</v>
      </c>
      <c r="T133" s="8" t="s">
        <v>269</v>
      </c>
      <c r="U133" s="8" t="s">
        <v>270</v>
      </c>
      <c r="V133" s="8"/>
      <c r="W133" s="8" t="s">
        <v>275</v>
      </c>
      <c r="X133" s="8" t="s">
        <v>276</v>
      </c>
      <c r="Y133" s="8" t="s">
        <v>1567</v>
      </c>
      <c r="Z133" s="8" t="s">
        <v>1568</v>
      </c>
    </row>
    <row r="134" customFormat="false" ht="15" hidden="false" customHeight="false" outlineLevel="0" collapsed="false">
      <c r="A134" s="8" t="s">
        <v>277</v>
      </c>
      <c r="B134" s="8" t="s">
        <v>17</v>
      </c>
      <c r="C134" s="8" t="s">
        <v>18</v>
      </c>
      <c r="D134" s="8" t="s">
        <v>615</v>
      </c>
      <c r="E134" s="8" t="s">
        <v>36</v>
      </c>
      <c r="F134" s="8" t="s">
        <v>47</v>
      </c>
      <c r="G134" s="8" t="s">
        <v>31</v>
      </c>
      <c r="H134" s="8" t="s">
        <v>31</v>
      </c>
      <c r="I134" s="8" t="n">
        <f aca="false">IF(EXACT(G134,H134),1,0)</f>
        <v>1</v>
      </c>
      <c r="J134" s="8" t="n">
        <v>0</v>
      </c>
      <c r="K134" s="8" t="s">
        <v>116</v>
      </c>
      <c r="L134" s="8" t="n">
        <v>2</v>
      </c>
      <c r="M134" s="8" t="n">
        <v>5</v>
      </c>
      <c r="N134" s="8" t="s">
        <v>1492</v>
      </c>
      <c r="O134" s="8" t="n">
        <v>2</v>
      </c>
      <c r="P134" s="10" t="n">
        <v>23.72</v>
      </c>
      <c r="Q134" s="8" t="n">
        <v>9312</v>
      </c>
      <c r="R134" s="8" t="n">
        <v>1093</v>
      </c>
      <c r="S134" s="8" t="s">
        <v>278</v>
      </c>
      <c r="T134" s="8" t="s">
        <v>269</v>
      </c>
      <c r="U134" s="8" t="s">
        <v>270</v>
      </c>
      <c r="V134" s="8"/>
      <c r="W134" s="8" t="s">
        <v>279</v>
      </c>
      <c r="X134" s="8" t="s">
        <v>280</v>
      </c>
      <c r="Y134" s="8" t="s">
        <v>1569</v>
      </c>
      <c r="Z134" s="8" t="s">
        <v>1570</v>
      </c>
    </row>
    <row r="135" customFormat="false" ht="15" hidden="false" customHeight="false" outlineLevel="0" collapsed="false">
      <c r="A135" s="8" t="s">
        <v>277</v>
      </c>
      <c r="B135" s="8" t="s">
        <v>17</v>
      </c>
      <c r="C135" s="8" t="s">
        <v>18</v>
      </c>
      <c r="D135" s="8" t="s">
        <v>615</v>
      </c>
      <c r="E135" s="8" t="s">
        <v>36</v>
      </c>
      <c r="F135" s="8" t="s">
        <v>47</v>
      </c>
      <c r="G135" s="8" t="s">
        <v>31</v>
      </c>
      <c r="H135" s="8" t="s">
        <v>31</v>
      </c>
      <c r="I135" s="8" t="n">
        <f aca="false">IF(EXACT(G135,H135),1,0)</f>
        <v>1</v>
      </c>
      <c r="J135" s="8" t="n">
        <v>1</v>
      </c>
      <c r="K135" s="8" t="s">
        <v>116</v>
      </c>
      <c r="L135" s="8" t="n">
        <v>2</v>
      </c>
      <c r="M135" s="8" t="n">
        <v>5</v>
      </c>
      <c r="N135" s="8" t="s">
        <v>1492</v>
      </c>
      <c r="O135" s="8" t="n">
        <v>2</v>
      </c>
      <c r="P135" s="10" t="n">
        <v>23.73</v>
      </c>
      <c r="Q135" s="8" t="n">
        <v>9324</v>
      </c>
      <c r="R135" s="8" t="n">
        <v>1052</v>
      </c>
      <c r="S135" s="8" t="s">
        <v>278</v>
      </c>
      <c r="T135" s="8" t="s">
        <v>269</v>
      </c>
      <c r="U135" s="8" t="s">
        <v>270</v>
      </c>
      <c r="V135" s="8"/>
      <c r="W135" s="8" t="s">
        <v>279</v>
      </c>
      <c r="X135" s="8" t="s">
        <v>280</v>
      </c>
      <c r="Y135" s="8" t="s">
        <v>1571</v>
      </c>
      <c r="Z135" s="8" t="s">
        <v>1572</v>
      </c>
    </row>
    <row r="136" customFormat="false" ht="15" hidden="false" customHeight="false" outlineLevel="0" collapsed="false">
      <c r="A136" s="8" t="s">
        <v>277</v>
      </c>
      <c r="B136" s="8" t="s">
        <v>17</v>
      </c>
      <c r="C136" s="8" t="s">
        <v>18</v>
      </c>
      <c r="D136" s="8" t="s">
        <v>615</v>
      </c>
      <c r="E136" s="8" t="s">
        <v>36</v>
      </c>
      <c r="F136" s="8" t="s">
        <v>47</v>
      </c>
      <c r="G136" s="8" t="s">
        <v>31</v>
      </c>
      <c r="H136" s="8" t="s">
        <v>31</v>
      </c>
      <c r="I136" s="8" t="n">
        <f aca="false">IF(EXACT(G136,H136),1,0)</f>
        <v>1</v>
      </c>
      <c r="J136" s="8" t="n">
        <v>2</v>
      </c>
      <c r="K136" s="8" t="s">
        <v>116</v>
      </c>
      <c r="L136" s="8" t="n">
        <v>2</v>
      </c>
      <c r="M136" s="8" t="n">
        <v>5</v>
      </c>
      <c r="N136" s="8" t="s">
        <v>1492</v>
      </c>
      <c r="O136" s="8" t="n">
        <v>2</v>
      </c>
      <c r="P136" s="10" t="n">
        <v>24</v>
      </c>
      <c r="Q136" s="8" t="n">
        <v>9316</v>
      </c>
      <c r="R136" s="8" t="n">
        <v>1140</v>
      </c>
      <c r="S136" s="8" t="s">
        <v>278</v>
      </c>
      <c r="T136" s="8" t="s">
        <v>269</v>
      </c>
      <c r="U136" s="8" t="s">
        <v>270</v>
      </c>
      <c r="V136" s="8"/>
      <c r="W136" s="8" t="s">
        <v>279</v>
      </c>
      <c r="X136" s="8" t="s">
        <v>280</v>
      </c>
      <c r="Y136" s="8" t="s">
        <v>1573</v>
      </c>
      <c r="Z136" s="8" t="s">
        <v>1574</v>
      </c>
    </row>
    <row r="137" customFormat="false" ht="15" hidden="false" customHeight="false" outlineLevel="0" collapsed="false">
      <c r="A137" s="8" t="s">
        <v>281</v>
      </c>
      <c r="B137" s="8" t="s">
        <v>17</v>
      </c>
      <c r="C137" s="8" t="s">
        <v>18</v>
      </c>
      <c r="D137" s="8" t="s">
        <v>615</v>
      </c>
      <c r="E137" s="8" t="s">
        <v>36</v>
      </c>
      <c r="F137" s="8" t="s">
        <v>47</v>
      </c>
      <c r="G137" s="8" t="s">
        <v>32</v>
      </c>
      <c r="H137" s="8" t="s">
        <v>31</v>
      </c>
      <c r="I137" s="8" t="n">
        <f aca="false">IF(EXACT(G137,H137),1,0)</f>
        <v>0</v>
      </c>
      <c r="J137" s="8" t="n">
        <v>0</v>
      </c>
      <c r="K137" s="8" t="s">
        <v>116</v>
      </c>
      <c r="L137" s="8" t="n">
        <v>1</v>
      </c>
      <c r="M137" s="8" t="n">
        <v>5</v>
      </c>
      <c r="N137" s="8" t="s">
        <v>1492</v>
      </c>
      <c r="O137" s="8" t="n">
        <v>2</v>
      </c>
      <c r="P137" s="10" t="n">
        <v>21.16</v>
      </c>
      <c r="Q137" s="8" t="n">
        <v>9368</v>
      </c>
      <c r="R137" s="8" t="n">
        <v>1019</v>
      </c>
      <c r="S137" s="8" t="s">
        <v>101</v>
      </c>
      <c r="T137" s="8" t="s">
        <v>269</v>
      </c>
      <c r="U137" s="8" t="s">
        <v>270</v>
      </c>
      <c r="V137" s="8"/>
      <c r="W137" s="8" t="s">
        <v>282</v>
      </c>
      <c r="X137" s="8" t="s">
        <v>283</v>
      </c>
      <c r="Y137" s="8" t="s">
        <v>1575</v>
      </c>
      <c r="Z137" s="8" t="s">
        <v>1576</v>
      </c>
    </row>
    <row r="138" customFormat="false" ht="15" hidden="false" customHeight="false" outlineLevel="0" collapsed="false">
      <c r="A138" s="8" t="s">
        <v>281</v>
      </c>
      <c r="B138" s="8" t="s">
        <v>17</v>
      </c>
      <c r="C138" s="8" t="s">
        <v>18</v>
      </c>
      <c r="D138" s="8" t="s">
        <v>615</v>
      </c>
      <c r="E138" s="8" t="s">
        <v>36</v>
      </c>
      <c r="F138" s="8" t="s">
        <v>47</v>
      </c>
      <c r="G138" s="8" t="s">
        <v>32</v>
      </c>
      <c r="H138" s="8" t="s">
        <v>31</v>
      </c>
      <c r="I138" s="8" t="n">
        <f aca="false">IF(EXACT(G138,H138),1,0)</f>
        <v>0</v>
      </c>
      <c r="J138" s="8" t="n">
        <v>1</v>
      </c>
      <c r="K138" s="8" t="s">
        <v>116</v>
      </c>
      <c r="L138" s="8" t="n">
        <v>1</v>
      </c>
      <c r="M138" s="8" t="n">
        <v>5</v>
      </c>
      <c r="N138" s="8" t="s">
        <v>1492</v>
      </c>
      <c r="O138" s="8" t="n">
        <v>2</v>
      </c>
      <c r="P138" s="10" t="n">
        <v>21.23</v>
      </c>
      <c r="Q138" s="8" t="n">
        <v>9378</v>
      </c>
      <c r="R138" s="8" t="n">
        <v>1026</v>
      </c>
      <c r="S138" s="8" t="s">
        <v>101</v>
      </c>
      <c r="T138" s="8" t="s">
        <v>269</v>
      </c>
      <c r="U138" s="8" t="s">
        <v>270</v>
      </c>
      <c r="V138" s="8"/>
      <c r="W138" s="8" t="s">
        <v>282</v>
      </c>
      <c r="X138" s="8" t="s">
        <v>283</v>
      </c>
      <c r="Y138" s="8" t="s">
        <v>1577</v>
      </c>
      <c r="Z138" s="8" t="s">
        <v>1578</v>
      </c>
    </row>
    <row r="139" customFormat="false" ht="15" hidden="false" customHeight="false" outlineLevel="0" collapsed="false">
      <c r="A139" s="8" t="s">
        <v>281</v>
      </c>
      <c r="B139" s="8" t="s">
        <v>17</v>
      </c>
      <c r="C139" s="8" t="s">
        <v>18</v>
      </c>
      <c r="D139" s="8" t="s">
        <v>615</v>
      </c>
      <c r="E139" s="8" t="s">
        <v>36</v>
      </c>
      <c r="F139" s="8" t="s">
        <v>47</v>
      </c>
      <c r="G139" s="8" t="s">
        <v>32</v>
      </c>
      <c r="H139" s="8" t="s">
        <v>31</v>
      </c>
      <c r="I139" s="8" t="n">
        <f aca="false">IF(EXACT(G139,H139),1,0)</f>
        <v>0</v>
      </c>
      <c r="J139" s="8" t="n">
        <v>2</v>
      </c>
      <c r="K139" s="8" t="s">
        <v>116</v>
      </c>
      <c r="L139" s="8" t="n">
        <v>1</v>
      </c>
      <c r="M139" s="8" t="n">
        <v>5</v>
      </c>
      <c r="N139" s="8" t="s">
        <v>1492</v>
      </c>
      <c r="O139" s="8" t="n">
        <v>2</v>
      </c>
      <c r="P139" s="10" t="n">
        <v>20.57</v>
      </c>
      <c r="Q139" s="8" t="n">
        <v>9368</v>
      </c>
      <c r="R139" s="8" t="n">
        <v>1034</v>
      </c>
      <c r="S139" s="8" t="s">
        <v>101</v>
      </c>
      <c r="T139" s="8" t="s">
        <v>269</v>
      </c>
      <c r="U139" s="8" t="s">
        <v>270</v>
      </c>
      <c r="V139" s="8"/>
      <c r="W139" s="8" t="s">
        <v>282</v>
      </c>
      <c r="X139" s="8" t="s">
        <v>283</v>
      </c>
      <c r="Y139" s="8" t="s">
        <v>1579</v>
      </c>
      <c r="Z139" s="8" t="s">
        <v>1580</v>
      </c>
    </row>
    <row r="140" customFormat="false" ht="15" hidden="false" customHeight="false" outlineLevel="0" collapsed="false">
      <c r="A140" s="8" t="s">
        <v>284</v>
      </c>
      <c r="B140" s="8" t="s">
        <v>17</v>
      </c>
      <c r="C140" s="8" t="s">
        <v>18</v>
      </c>
      <c r="D140" s="8" t="s">
        <v>615</v>
      </c>
      <c r="E140" s="8" t="s">
        <v>36</v>
      </c>
      <c r="F140" s="8" t="s">
        <v>47</v>
      </c>
      <c r="G140" s="8" t="s">
        <v>32</v>
      </c>
      <c r="H140" s="8" t="s">
        <v>30</v>
      </c>
      <c r="I140" s="8" t="n">
        <f aca="false">IF(EXACT(G140,H140),1,0)</f>
        <v>0</v>
      </c>
      <c r="J140" s="8" t="n">
        <v>0</v>
      </c>
      <c r="K140" s="8" t="s">
        <v>92</v>
      </c>
      <c r="L140" s="8" t="n">
        <v>0</v>
      </c>
      <c r="M140" s="8" t="n">
        <v>5</v>
      </c>
      <c r="N140" s="8" t="s">
        <v>1492</v>
      </c>
      <c r="O140" s="8" t="n">
        <v>2</v>
      </c>
      <c r="P140" s="10" t="n">
        <v>24.11</v>
      </c>
      <c r="Q140" s="8" t="n">
        <v>9175</v>
      </c>
      <c r="R140" s="8" t="n">
        <v>906</v>
      </c>
      <c r="S140" s="8" t="s">
        <v>132</v>
      </c>
      <c r="T140" s="8" t="s">
        <v>269</v>
      </c>
      <c r="U140" s="8" t="s">
        <v>270</v>
      </c>
      <c r="V140" s="8"/>
      <c r="W140" s="8" t="s">
        <v>285</v>
      </c>
      <c r="X140" s="8" t="s">
        <v>286</v>
      </c>
      <c r="Y140" s="8" t="s">
        <v>1581</v>
      </c>
      <c r="Z140" s="8"/>
    </row>
    <row r="141" customFormat="false" ht="15" hidden="false" customHeight="false" outlineLevel="0" collapsed="false">
      <c r="A141" s="8" t="s">
        <v>284</v>
      </c>
      <c r="B141" s="8" t="s">
        <v>17</v>
      </c>
      <c r="C141" s="8" t="s">
        <v>18</v>
      </c>
      <c r="D141" s="8" t="s">
        <v>615</v>
      </c>
      <c r="E141" s="8" t="s">
        <v>36</v>
      </c>
      <c r="F141" s="8" t="s">
        <v>47</v>
      </c>
      <c r="G141" s="8" t="s">
        <v>32</v>
      </c>
      <c r="H141" s="8" t="s">
        <v>32</v>
      </c>
      <c r="I141" s="8" t="n">
        <f aca="false">IF(EXACT(G141,H141),1,0)</f>
        <v>1</v>
      </c>
      <c r="J141" s="8" t="n">
        <v>1</v>
      </c>
      <c r="K141" s="8" t="s">
        <v>92</v>
      </c>
      <c r="L141" s="8" t="n">
        <v>0</v>
      </c>
      <c r="M141" s="8" t="n">
        <v>5</v>
      </c>
      <c r="N141" s="8" t="s">
        <v>1492</v>
      </c>
      <c r="O141" s="8" t="n">
        <v>2</v>
      </c>
      <c r="P141" s="10" t="n">
        <v>26.71</v>
      </c>
      <c r="Q141" s="8" t="n">
        <v>9170</v>
      </c>
      <c r="R141" s="8" t="n">
        <v>968</v>
      </c>
      <c r="S141" s="8" t="s">
        <v>132</v>
      </c>
      <c r="T141" s="8" t="s">
        <v>269</v>
      </c>
      <c r="U141" s="8" t="s">
        <v>270</v>
      </c>
      <c r="V141" s="8"/>
      <c r="W141" s="8" t="s">
        <v>285</v>
      </c>
      <c r="X141" s="8" t="s">
        <v>286</v>
      </c>
      <c r="Y141" s="8" t="s">
        <v>1582</v>
      </c>
      <c r="Z141" s="8"/>
    </row>
    <row r="142" customFormat="false" ht="15" hidden="false" customHeight="false" outlineLevel="0" collapsed="false">
      <c r="A142" s="8" t="s">
        <v>284</v>
      </c>
      <c r="B142" s="8" t="s">
        <v>17</v>
      </c>
      <c r="C142" s="8" t="s">
        <v>18</v>
      </c>
      <c r="D142" s="8" t="s">
        <v>615</v>
      </c>
      <c r="E142" s="8" t="s">
        <v>36</v>
      </c>
      <c r="F142" s="8" t="s">
        <v>47</v>
      </c>
      <c r="G142" s="8" t="s">
        <v>32</v>
      </c>
      <c r="H142" s="8" t="s">
        <v>32</v>
      </c>
      <c r="I142" s="8" t="n">
        <f aca="false">IF(EXACT(G142,H142),1,0)</f>
        <v>1</v>
      </c>
      <c r="J142" s="8" t="n">
        <v>2</v>
      </c>
      <c r="K142" s="8" t="s">
        <v>92</v>
      </c>
      <c r="L142" s="8" t="n">
        <v>0</v>
      </c>
      <c r="M142" s="8" t="n">
        <v>5</v>
      </c>
      <c r="N142" s="8" t="s">
        <v>1492</v>
      </c>
      <c r="O142" s="8" t="n">
        <v>2</v>
      </c>
      <c r="P142" s="10" t="n">
        <v>23.12</v>
      </c>
      <c r="Q142" s="8" t="n">
        <v>9170</v>
      </c>
      <c r="R142" s="8" t="n">
        <v>917</v>
      </c>
      <c r="S142" s="8" t="s">
        <v>132</v>
      </c>
      <c r="T142" s="8" t="s">
        <v>269</v>
      </c>
      <c r="U142" s="8" t="s">
        <v>270</v>
      </c>
      <c r="V142" s="8"/>
      <c r="W142" s="8" t="s">
        <v>285</v>
      </c>
      <c r="X142" s="8" t="s">
        <v>286</v>
      </c>
      <c r="Y142" s="8" t="s">
        <v>1583</v>
      </c>
      <c r="Z142" s="8"/>
    </row>
    <row r="143" customFormat="false" ht="15" hidden="false" customHeight="false" outlineLevel="0" collapsed="false">
      <c r="A143" s="8" t="s">
        <v>287</v>
      </c>
      <c r="B143" s="8" t="s">
        <v>17</v>
      </c>
      <c r="C143" s="8" t="s">
        <v>18</v>
      </c>
      <c r="D143" s="8" t="s">
        <v>615</v>
      </c>
      <c r="E143" s="8" t="s">
        <v>36</v>
      </c>
      <c r="F143" s="8" t="s">
        <v>47</v>
      </c>
      <c r="G143" s="8" t="s">
        <v>31</v>
      </c>
      <c r="H143" s="8" t="s">
        <v>31</v>
      </c>
      <c r="I143" s="8" t="n">
        <f aca="false">IF(EXACT(G143,H143),1,0)</f>
        <v>1</v>
      </c>
      <c r="J143" s="8" t="n">
        <v>0</v>
      </c>
      <c r="K143" s="8" t="s">
        <v>116</v>
      </c>
      <c r="L143" s="8" t="n">
        <v>2</v>
      </c>
      <c r="M143" s="8" t="n">
        <v>5</v>
      </c>
      <c r="N143" s="8" t="s">
        <v>1584</v>
      </c>
      <c r="O143" s="8" t="n">
        <v>2</v>
      </c>
      <c r="P143" s="10" t="n">
        <v>28.41</v>
      </c>
      <c r="Q143" s="8" t="n">
        <v>9801</v>
      </c>
      <c r="R143" s="8" t="n">
        <v>1404</v>
      </c>
      <c r="S143" s="8" t="s">
        <v>222</v>
      </c>
      <c r="T143" s="8" t="s">
        <v>269</v>
      </c>
      <c r="U143" s="8" t="s">
        <v>270</v>
      </c>
      <c r="V143" s="8"/>
      <c r="W143" s="8" t="s">
        <v>288</v>
      </c>
      <c r="X143" s="8" t="s">
        <v>289</v>
      </c>
      <c r="Y143" s="8" t="s">
        <v>1585</v>
      </c>
      <c r="Z143" s="8" t="s">
        <v>1586</v>
      </c>
    </row>
    <row r="144" customFormat="false" ht="15" hidden="false" customHeight="false" outlineLevel="0" collapsed="false">
      <c r="A144" s="8" t="s">
        <v>287</v>
      </c>
      <c r="B144" s="8" t="s">
        <v>17</v>
      </c>
      <c r="C144" s="8" t="s">
        <v>18</v>
      </c>
      <c r="D144" s="8" t="s">
        <v>615</v>
      </c>
      <c r="E144" s="8" t="s">
        <v>36</v>
      </c>
      <c r="F144" s="8" t="s">
        <v>47</v>
      </c>
      <c r="G144" s="8" t="s">
        <v>31</v>
      </c>
      <c r="H144" s="8" t="s">
        <v>31</v>
      </c>
      <c r="I144" s="8" t="n">
        <f aca="false">IF(EXACT(G144,H144),1,0)</f>
        <v>1</v>
      </c>
      <c r="J144" s="8" t="n">
        <v>1</v>
      </c>
      <c r="K144" s="8" t="s">
        <v>116</v>
      </c>
      <c r="L144" s="8" t="n">
        <v>2</v>
      </c>
      <c r="M144" s="8" t="n">
        <v>5</v>
      </c>
      <c r="N144" s="8" t="s">
        <v>1584</v>
      </c>
      <c r="O144" s="8" t="n">
        <v>2</v>
      </c>
      <c r="P144" s="10" t="n">
        <v>29.71</v>
      </c>
      <c r="Q144" s="8" t="n">
        <v>9801</v>
      </c>
      <c r="R144" s="8" t="n">
        <v>1437</v>
      </c>
      <c r="S144" s="8" t="s">
        <v>222</v>
      </c>
      <c r="T144" s="8" t="s">
        <v>269</v>
      </c>
      <c r="U144" s="8" t="s">
        <v>270</v>
      </c>
      <c r="V144" s="8"/>
      <c r="W144" s="8" t="s">
        <v>288</v>
      </c>
      <c r="X144" s="8" t="s">
        <v>289</v>
      </c>
      <c r="Y144" s="8" t="s">
        <v>1587</v>
      </c>
      <c r="Z144" s="8" t="s">
        <v>1588</v>
      </c>
    </row>
    <row r="145" customFormat="false" ht="15" hidden="false" customHeight="false" outlineLevel="0" collapsed="false">
      <c r="A145" s="8" t="s">
        <v>287</v>
      </c>
      <c r="B145" s="8" t="s">
        <v>17</v>
      </c>
      <c r="C145" s="8" t="s">
        <v>18</v>
      </c>
      <c r="D145" s="8" t="s">
        <v>615</v>
      </c>
      <c r="E145" s="8" t="s">
        <v>36</v>
      </c>
      <c r="F145" s="8" t="s">
        <v>47</v>
      </c>
      <c r="G145" s="8" t="s">
        <v>31</v>
      </c>
      <c r="H145" s="8" t="s">
        <v>31</v>
      </c>
      <c r="I145" s="8" t="n">
        <f aca="false">IF(EXACT(G145,H145),1,0)</f>
        <v>1</v>
      </c>
      <c r="J145" s="8" t="n">
        <v>2</v>
      </c>
      <c r="K145" s="8" t="s">
        <v>116</v>
      </c>
      <c r="L145" s="8" t="n">
        <v>2</v>
      </c>
      <c r="M145" s="8" t="n">
        <v>5</v>
      </c>
      <c r="N145" s="8" t="s">
        <v>1584</v>
      </c>
      <c r="O145" s="8" t="n">
        <v>2</v>
      </c>
      <c r="P145" s="10" t="n">
        <v>28.58</v>
      </c>
      <c r="Q145" s="8" t="n">
        <v>9801</v>
      </c>
      <c r="R145" s="8" t="n">
        <v>1417</v>
      </c>
      <c r="S145" s="8" t="s">
        <v>222</v>
      </c>
      <c r="T145" s="8" t="s">
        <v>269</v>
      </c>
      <c r="U145" s="8" t="s">
        <v>270</v>
      </c>
      <c r="V145" s="8"/>
      <c r="W145" s="8" t="s">
        <v>288</v>
      </c>
      <c r="X145" s="8" t="s">
        <v>289</v>
      </c>
      <c r="Y145" s="8" t="s">
        <v>1589</v>
      </c>
      <c r="Z145" s="8" t="s">
        <v>1590</v>
      </c>
    </row>
    <row r="146" customFormat="false" ht="15" hidden="false" customHeight="false" outlineLevel="0" collapsed="false">
      <c r="A146" s="8" t="s">
        <v>290</v>
      </c>
      <c r="B146" s="8" t="s">
        <v>17</v>
      </c>
      <c r="C146" s="8" t="s">
        <v>18</v>
      </c>
      <c r="D146" s="8" t="s">
        <v>615</v>
      </c>
      <c r="E146" s="8" t="s">
        <v>36</v>
      </c>
      <c r="F146" s="8" t="s">
        <v>51</v>
      </c>
      <c r="G146" s="8" t="s">
        <v>32</v>
      </c>
      <c r="H146" s="8" t="s">
        <v>31</v>
      </c>
      <c r="I146" s="8" t="n">
        <f aca="false">IF(EXACT(G146,H146),1,0)</f>
        <v>0</v>
      </c>
      <c r="J146" s="8" t="n">
        <v>0</v>
      </c>
      <c r="K146" s="8" t="s">
        <v>116</v>
      </c>
      <c r="L146" s="8" t="n">
        <v>1</v>
      </c>
      <c r="M146" s="8" t="n">
        <v>5</v>
      </c>
      <c r="N146" s="8" t="s">
        <v>1492</v>
      </c>
      <c r="O146" s="8" t="n">
        <v>2</v>
      </c>
      <c r="P146" s="10" t="n">
        <v>27.12</v>
      </c>
      <c r="Q146" s="8" t="n">
        <v>9470</v>
      </c>
      <c r="R146" s="8" t="n">
        <v>1126</v>
      </c>
      <c r="S146" s="8" t="s">
        <v>101</v>
      </c>
      <c r="T146" s="8" t="s">
        <v>291</v>
      </c>
      <c r="U146" s="8" t="s">
        <v>292</v>
      </c>
      <c r="V146" s="8"/>
      <c r="W146" s="8" t="s">
        <v>293</v>
      </c>
      <c r="X146" s="8" t="s">
        <v>294</v>
      </c>
      <c r="Y146" s="8" t="s">
        <v>1591</v>
      </c>
      <c r="Z146" s="8" t="s">
        <v>1592</v>
      </c>
    </row>
    <row r="147" customFormat="false" ht="15" hidden="false" customHeight="false" outlineLevel="0" collapsed="false">
      <c r="A147" s="8" t="s">
        <v>290</v>
      </c>
      <c r="B147" s="8" t="s">
        <v>17</v>
      </c>
      <c r="C147" s="8" t="s">
        <v>18</v>
      </c>
      <c r="D147" s="8" t="s">
        <v>615</v>
      </c>
      <c r="E147" s="8" t="s">
        <v>36</v>
      </c>
      <c r="F147" s="8" t="s">
        <v>51</v>
      </c>
      <c r="G147" s="8" t="s">
        <v>32</v>
      </c>
      <c r="H147" s="8" t="s">
        <v>31</v>
      </c>
      <c r="I147" s="8" t="n">
        <f aca="false">IF(EXACT(G147,H147),1,0)</f>
        <v>0</v>
      </c>
      <c r="J147" s="8" t="n">
        <v>1</v>
      </c>
      <c r="K147" s="8" t="s">
        <v>116</v>
      </c>
      <c r="L147" s="8" t="n">
        <v>1</v>
      </c>
      <c r="M147" s="8" t="n">
        <v>5</v>
      </c>
      <c r="N147" s="8" t="s">
        <v>1492</v>
      </c>
      <c r="O147" s="8" t="n">
        <v>2</v>
      </c>
      <c r="P147" s="10" t="n">
        <v>25.14</v>
      </c>
      <c r="Q147" s="8" t="n">
        <v>9470</v>
      </c>
      <c r="R147" s="8" t="n">
        <v>1264</v>
      </c>
      <c r="S147" s="8" t="s">
        <v>101</v>
      </c>
      <c r="T147" s="8" t="s">
        <v>291</v>
      </c>
      <c r="U147" s="8" t="s">
        <v>292</v>
      </c>
      <c r="V147" s="8"/>
      <c r="W147" s="8" t="s">
        <v>293</v>
      </c>
      <c r="X147" s="8" t="s">
        <v>294</v>
      </c>
      <c r="Y147" s="8" t="s">
        <v>1593</v>
      </c>
      <c r="Z147" s="8" t="s">
        <v>1594</v>
      </c>
    </row>
    <row r="148" customFormat="false" ht="15" hidden="false" customHeight="false" outlineLevel="0" collapsed="false">
      <c r="A148" s="8" t="s">
        <v>290</v>
      </c>
      <c r="B148" s="8" t="s">
        <v>17</v>
      </c>
      <c r="C148" s="8" t="s">
        <v>18</v>
      </c>
      <c r="D148" s="8" t="s">
        <v>615</v>
      </c>
      <c r="E148" s="8" t="s">
        <v>36</v>
      </c>
      <c r="F148" s="8" t="s">
        <v>51</v>
      </c>
      <c r="G148" s="8" t="s">
        <v>32</v>
      </c>
      <c r="H148" s="8" t="s">
        <v>30</v>
      </c>
      <c r="I148" s="8" t="n">
        <f aca="false">IF(EXACT(G148,H148),1,0)</f>
        <v>0</v>
      </c>
      <c r="J148" s="8" t="n">
        <v>2</v>
      </c>
      <c r="K148" s="8" t="s">
        <v>92</v>
      </c>
      <c r="L148" s="8" t="n">
        <v>0</v>
      </c>
      <c r="M148" s="8" t="n">
        <v>5</v>
      </c>
      <c r="N148" s="8" t="s">
        <v>1492</v>
      </c>
      <c r="O148" s="8" t="n">
        <v>2</v>
      </c>
      <c r="P148" s="10" t="n">
        <v>23.28</v>
      </c>
      <c r="Q148" s="8" t="n">
        <v>9470</v>
      </c>
      <c r="R148" s="8" t="n">
        <v>1152</v>
      </c>
      <c r="S148" s="8" t="s">
        <v>101</v>
      </c>
      <c r="T148" s="8" t="s">
        <v>291</v>
      </c>
      <c r="U148" s="8" t="s">
        <v>292</v>
      </c>
      <c r="V148" s="8"/>
      <c r="W148" s="8" t="s">
        <v>293</v>
      </c>
      <c r="X148" s="8" t="s">
        <v>294</v>
      </c>
      <c r="Y148" s="8" t="s">
        <v>1595</v>
      </c>
      <c r="Z148" s="8"/>
    </row>
    <row r="149" customFormat="false" ht="15" hidden="false" customHeight="false" outlineLevel="0" collapsed="false">
      <c r="A149" s="8" t="s">
        <v>295</v>
      </c>
      <c r="B149" s="8" t="s">
        <v>17</v>
      </c>
      <c r="C149" s="8" t="s">
        <v>18</v>
      </c>
      <c r="D149" s="8" t="s">
        <v>615</v>
      </c>
      <c r="E149" s="8" t="s">
        <v>36</v>
      </c>
      <c r="F149" s="8" t="s">
        <v>51</v>
      </c>
      <c r="G149" s="8" t="s">
        <v>30</v>
      </c>
      <c r="H149" s="8" t="s">
        <v>31</v>
      </c>
      <c r="I149" s="8" t="n">
        <f aca="false">IF(EXACT(G149,H149),1,0)</f>
        <v>0</v>
      </c>
      <c r="J149" s="8" t="n">
        <v>0</v>
      </c>
      <c r="K149" s="8" t="s">
        <v>116</v>
      </c>
      <c r="L149" s="8" t="n">
        <v>1</v>
      </c>
      <c r="M149" s="8" t="n">
        <v>5</v>
      </c>
      <c r="N149" s="8" t="s">
        <v>1492</v>
      </c>
      <c r="O149" s="8" t="n">
        <v>2</v>
      </c>
      <c r="P149" s="10" t="n">
        <v>28.55</v>
      </c>
      <c r="Q149" s="8" t="n">
        <v>9948</v>
      </c>
      <c r="R149" s="8" t="n">
        <v>1450</v>
      </c>
      <c r="S149" s="8" t="s">
        <v>110</v>
      </c>
      <c r="T149" s="8" t="s">
        <v>291</v>
      </c>
      <c r="U149" s="8" t="s">
        <v>292</v>
      </c>
      <c r="V149" s="8"/>
      <c r="W149" s="8" t="s">
        <v>296</v>
      </c>
      <c r="X149" s="8" t="s">
        <v>297</v>
      </c>
      <c r="Y149" s="8" t="s">
        <v>1596</v>
      </c>
      <c r="Z149" s="8" t="s">
        <v>1597</v>
      </c>
    </row>
    <row r="150" customFormat="false" ht="15" hidden="false" customHeight="false" outlineLevel="0" collapsed="false">
      <c r="A150" s="8" t="s">
        <v>295</v>
      </c>
      <c r="B150" s="8" t="s">
        <v>17</v>
      </c>
      <c r="C150" s="8" t="s">
        <v>18</v>
      </c>
      <c r="D150" s="8" t="s">
        <v>615</v>
      </c>
      <c r="E150" s="8" t="s">
        <v>36</v>
      </c>
      <c r="F150" s="8" t="s">
        <v>51</v>
      </c>
      <c r="G150" s="8" t="s">
        <v>30</v>
      </c>
      <c r="H150" s="8" t="s">
        <v>31</v>
      </c>
      <c r="I150" s="8" t="n">
        <f aca="false">IF(EXACT(G150,H150),1,0)</f>
        <v>0</v>
      </c>
      <c r="J150" s="8" t="n">
        <v>1</v>
      </c>
      <c r="K150" s="8" t="s">
        <v>116</v>
      </c>
      <c r="L150" s="8" t="n">
        <v>1</v>
      </c>
      <c r="M150" s="8" t="n">
        <v>5</v>
      </c>
      <c r="N150" s="8" t="s">
        <v>1492</v>
      </c>
      <c r="O150" s="8" t="n">
        <v>2</v>
      </c>
      <c r="P150" s="10" t="n">
        <v>33.75</v>
      </c>
      <c r="Q150" s="8" t="n">
        <v>9948</v>
      </c>
      <c r="R150" s="8" t="n">
        <v>1764</v>
      </c>
      <c r="S150" s="8" t="s">
        <v>110</v>
      </c>
      <c r="T150" s="8" t="s">
        <v>291</v>
      </c>
      <c r="U150" s="8" t="s">
        <v>292</v>
      </c>
      <c r="V150" s="8"/>
      <c r="W150" s="8" t="s">
        <v>296</v>
      </c>
      <c r="X150" s="8" t="s">
        <v>297</v>
      </c>
      <c r="Y150" s="8" t="s">
        <v>1598</v>
      </c>
      <c r="Z150" s="8" t="s">
        <v>1599</v>
      </c>
    </row>
    <row r="151" customFormat="false" ht="15" hidden="false" customHeight="false" outlineLevel="0" collapsed="false">
      <c r="A151" s="8" t="s">
        <v>295</v>
      </c>
      <c r="B151" s="8" t="s">
        <v>17</v>
      </c>
      <c r="C151" s="8" t="s">
        <v>18</v>
      </c>
      <c r="D151" s="8" t="s">
        <v>615</v>
      </c>
      <c r="E151" s="8" t="s">
        <v>36</v>
      </c>
      <c r="F151" s="8" t="s">
        <v>51</v>
      </c>
      <c r="G151" s="8" t="s">
        <v>30</v>
      </c>
      <c r="H151" s="8" t="s">
        <v>31</v>
      </c>
      <c r="I151" s="8" t="n">
        <f aca="false">IF(EXACT(G151,H151),1,0)</f>
        <v>0</v>
      </c>
      <c r="J151" s="8" t="n">
        <v>2</v>
      </c>
      <c r="K151" s="8" t="s">
        <v>116</v>
      </c>
      <c r="L151" s="8" t="n">
        <v>1</v>
      </c>
      <c r="M151" s="8" t="n">
        <v>5</v>
      </c>
      <c r="N151" s="8" t="s">
        <v>1492</v>
      </c>
      <c r="O151" s="8" t="n">
        <v>2</v>
      </c>
      <c r="P151" s="10" t="n">
        <v>26.9</v>
      </c>
      <c r="Q151" s="8" t="n">
        <v>9948</v>
      </c>
      <c r="R151" s="8" t="n">
        <v>1455</v>
      </c>
      <c r="S151" s="8" t="s">
        <v>110</v>
      </c>
      <c r="T151" s="8" t="s">
        <v>291</v>
      </c>
      <c r="U151" s="8" t="s">
        <v>292</v>
      </c>
      <c r="V151" s="8"/>
      <c r="W151" s="8" t="s">
        <v>296</v>
      </c>
      <c r="X151" s="8" t="s">
        <v>297</v>
      </c>
      <c r="Y151" s="8" t="s">
        <v>1600</v>
      </c>
      <c r="Z151" s="8" t="s">
        <v>1601</v>
      </c>
    </row>
    <row r="152" customFormat="false" ht="15" hidden="false" customHeight="false" outlineLevel="0" collapsed="false">
      <c r="A152" s="8" t="s">
        <v>298</v>
      </c>
      <c r="B152" s="8" t="s">
        <v>17</v>
      </c>
      <c r="C152" s="8" t="s">
        <v>18</v>
      </c>
      <c r="D152" s="8" t="s">
        <v>615</v>
      </c>
      <c r="E152" s="8" t="s">
        <v>36</v>
      </c>
      <c r="F152" s="8" t="s">
        <v>51</v>
      </c>
      <c r="G152" s="8" t="s">
        <v>30</v>
      </c>
      <c r="H152" s="8" t="s">
        <v>31</v>
      </c>
      <c r="I152" s="8" t="n">
        <f aca="false">IF(EXACT(G152,H152),1,0)</f>
        <v>0</v>
      </c>
      <c r="J152" s="8" t="n">
        <v>0</v>
      </c>
      <c r="K152" s="8" t="s">
        <v>116</v>
      </c>
      <c r="L152" s="8" t="n">
        <v>1</v>
      </c>
      <c r="M152" s="8" t="n">
        <v>5</v>
      </c>
      <c r="N152" s="8" t="s">
        <v>1492</v>
      </c>
      <c r="O152" s="8" t="n">
        <v>2</v>
      </c>
      <c r="P152" s="10" t="n">
        <v>32.7</v>
      </c>
      <c r="Q152" s="8" t="n">
        <v>9906</v>
      </c>
      <c r="R152" s="8" t="n">
        <v>1729</v>
      </c>
      <c r="S152" s="8" t="s">
        <v>150</v>
      </c>
      <c r="T152" s="8" t="s">
        <v>291</v>
      </c>
      <c r="U152" s="8" t="s">
        <v>292</v>
      </c>
      <c r="V152" s="8"/>
      <c r="W152" s="8" t="s">
        <v>299</v>
      </c>
      <c r="X152" s="8" t="s">
        <v>300</v>
      </c>
      <c r="Y152" s="8" t="s">
        <v>1602</v>
      </c>
      <c r="Z152" s="8" t="s">
        <v>1603</v>
      </c>
    </row>
    <row r="153" customFormat="false" ht="15" hidden="false" customHeight="false" outlineLevel="0" collapsed="false">
      <c r="A153" s="8" t="s">
        <v>298</v>
      </c>
      <c r="B153" s="8" t="s">
        <v>17</v>
      </c>
      <c r="C153" s="8" t="s">
        <v>18</v>
      </c>
      <c r="D153" s="8" t="s">
        <v>615</v>
      </c>
      <c r="E153" s="8" t="s">
        <v>36</v>
      </c>
      <c r="F153" s="8" t="s">
        <v>51</v>
      </c>
      <c r="G153" s="8" t="s">
        <v>30</v>
      </c>
      <c r="H153" s="8" t="s">
        <v>31</v>
      </c>
      <c r="I153" s="8" t="n">
        <f aca="false">IF(EXACT(G153,H153),1,0)</f>
        <v>0</v>
      </c>
      <c r="J153" s="8" t="n">
        <v>1</v>
      </c>
      <c r="K153" s="8" t="s">
        <v>116</v>
      </c>
      <c r="L153" s="8" t="n">
        <v>1</v>
      </c>
      <c r="M153" s="8" t="n">
        <v>5</v>
      </c>
      <c r="N153" s="8" t="s">
        <v>1492</v>
      </c>
      <c r="O153" s="8" t="n">
        <v>2</v>
      </c>
      <c r="P153" s="10" t="n">
        <v>30.89</v>
      </c>
      <c r="Q153" s="8" t="n">
        <v>9906</v>
      </c>
      <c r="R153" s="8" t="n">
        <v>1557</v>
      </c>
      <c r="S153" s="8" t="s">
        <v>150</v>
      </c>
      <c r="T153" s="8" t="s">
        <v>291</v>
      </c>
      <c r="U153" s="8" t="s">
        <v>292</v>
      </c>
      <c r="V153" s="8"/>
      <c r="W153" s="8" t="s">
        <v>299</v>
      </c>
      <c r="X153" s="8" t="s">
        <v>300</v>
      </c>
      <c r="Y153" s="8" t="s">
        <v>1604</v>
      </c>
      <c r="Z153" s="8" t="s">
        <v>1605</v>
      </c>
    </row>
    <row r="154" customFormat="false" ht="15" hidden="false" customHeight="false" outlineLevel="0" collapsed="false">
      <c r="A154" s="8" t="s">
        <v>298</v>
      </c>
      <c r="B154" s="8" t="s">
        <v>17</v>
      </c>
      <c r="C154" s="8" t="s">
        <v>18</v>
      </c>
      <c r="D154" s="8" t="s">
        <v>615</v>
      </c>
      <c r="E154" s="8" t="s">
        <v>36</v>
      </c>
      <c r="F154" s="8" t="s">
        <v>51</v>
      </c>
      <c r="G154" s="8" t="s">
        <v>30</v>
      </c>
      <c r="H154" s="8" t="s">
        <v>31</v>
      </c>
      <c r="I154" s="8" t="n">
        <f aca="false">IF(EXACT(G154,H154),1,0)</f>
        <v>0</v>
      </c>
      <c r="J154" s="8" t="n">
        <v>2</v>
      </c>
      <c r="K154" s="8" t="s">
        <v>116</v>
      </c>
      <c r="L154" s="8" t="n">
        <v>1</v>
      </c>
      <c r="M154" s="8" t="n">
        <v>5</v>
      </c>
      <c r="N154" s="8" t="s">
        <v>1492</v>
      </c>
      <c r="O154" s="8" t="n">
        <v>2</v>
      </c>
      <c r="P154" s="10" t="n">
        <v>30.17</v>
      </c>
      <c r="Q154" s="8" t="n">
        <v>9906</v>
      </c>
      <c r="R154" s="8" t="n">
        <v>1510</v>
      </c>
      <c r="S154" s="8" t="s">
        <v>150</v>
      </c>
      <c r="T154" s="8" t="s">
        <v>291</v>
      </c>
      <c r="U154" s="8" t="s">
        <v>292</v>
      </c>
      <c r="V154" s="8"/>
      <c r="W154" s="8" t="s">
        <v>299</v>
      </c>
      <c r="X154" s="8" t="s">
        <v>300</v>
      </c>
      <c r="Y154" s="8" t="s">
        <v>1606</v>
      </c>
      <c r="Z154" s="8" t="s">
        <v>1607</v>
      </c>
    </row>
    <row r="155" customFormat="false" ht="15" hidden="false" customHeight="false" outlineLevel="0" collapsed="false">
      <c r="A155" s="8" t="s">
        <v>301</v>
      </c>
      <c r="B155" s="8" t="s">
        <v>17</v>
      </c>
      <c r="C155" s="8" t="s">
        <v>18</v>
      </c>
      <c r="D155" s="8" t="s">
        <v>615</v>
      </c>
      <c r="E155" s="8" t="s">
        <v>36</v>
      </c>
      <c r="F155" s="8" t="s">
        <v>51</v>
      </c>
      <c r="G155" s="8" t="s">
        <v>32</v>
      </c>
      <c r="H155" s="8" t="s">
        <v>30</v>
      </c>
      <c r="I155" s="8" t="n">
        <f aca="false">IF(EXACT(G155,H155),1,0)</f>
        <v>0</v>
      </c>
      <c r="J155" s="8" t="n">
        <v>0</v>
      </c>
      <c r="K155" s="8" t="s">
        <v>92</v>
      </c>
      <c r="L155" s="8" t="n">
        <v>0</v>
      </c>
      <c r="M155" s="8" t="n">
        <v>5</v>
      </c>
      <c r="N155" s="8" t="s">
        <v>1492</v>
      </c>
      <c r="O155" s="8" t="n">
        <v>2</v>
      </c>
      <c r="P155" s="10" t="n">
        <v>27.86</v>
      </c>
      <c r="Q155" s="8" t="n">
        <v>9646</v>
      </c>
      <c r="R155" s="8" t="n">
        <v>1224</v>
      </c>
      <c r="S155" s="8" t="s">
        <v>132</v>
      </c>
      <c r="T155" s="8" t="s">
        <v>291</v>
      </c>
      <c r="U155" s="8" t="s">
        <v>292</v>
      </c>
      <c r="V155" s="8"/>
      <c r="W155" s="8" t="s">
        <v>302</v>
      </c>
      <c r="X155" s="8" t="s">
        <v>303</v>
      </c>
      <c r="Y155" s="8" t="s">
        <v>1608</v>
      </c>
      <c r="Z155" s="8"/>
    </row>
    <row r="156" customFormat="false" ht="15" hidden="false" customHeight="false" outlineLevel="0" collapsed="false">
      <c r="A156" s="8" t="s">
        <v>301</v>
      </c>
      <c r="B156" s="8" t="s">
        <v>17</v>
      </c>
      <c r="C156" s="8" t="s">
        <v>18</v>
      </c>
      <c r="D156" s="8" t="s">
        <v>615</v>
      </c>
      <c r="E156" s="8" t="s">
        <v>36</v>
      </c>
      <c r="F156" s="8" t="s">
        <v>51</v>
      </c>
      <c r="G156" s="8" t="s">
        <v>32</v>
      </c>
      <c r="H156" s="8" t="s">
        <v>31</v>
      </c>
      <c r="I156" s="8" t="n">
        <f aca="false">IF(EXACT(G156,H156),1,0)</f>
        <v>0</v>
      </c>
      <c r="J156" s="8" t="n">
        <v>1</v>
      </c>
      <c r="K156" s="8" t="s">
        <v>116</v>
      </c>
      <c r="L156" s="8" t="n">
        <v>1</v>
      </c>
      <c r="M156" s="8" t="n">
        <v>5</v>
      </c>
      <c r="N156" s="8" t="s">
        <v>1492</v>
      </c>
      <c r="O156" s="8" t="n">
        <v>2</v>
      </c>
      <c r="P156" s="10" t="n">
        <v>24.7</v>
      </c>
      <c r="Q156" s="8" t="n">
        <v>9646</v>
      </c>
      <c r="R156" s="8" t="n">
        <v>1223</v>
      </c>
      <c r="S156" s="8" t="s">
        <v>132</v>
      </c>
      <c r="T156" s="8" t="s">
        <v>291</v>
      </c>
      <c r="U156" s="8" t="s">
        <v>292</v>
      </c>
      <c r="V156" s="8"/>
      <c r="W156" s="8" t="s">
        <v>302</v>
      </c>
      <c r="X156" s="8" t="s">
        <v>303</v>
      </c>
      <c r="Y156" s="8" t="s">
        <v>1609</v>
      </c>
      <c r="Z156" s="8" t="s">
        <v>1610</v>
      </c>
    </row>
    <row r="157" customFormat="false" ht="15" hidden="false" customHeight="false" outlineLevel="0" collapsed="false">
      <c r="A157" s="8" t="s">
        <v>301</v>
      </c>
      <c r="B157" s="8" t="s">
        <v>17</v>
      </c>
      <c r="C157" s="8" t="s">
        <v>18</v>
      </c>
      <c r="D157" s="8" t="s">
        <v>615</v>
      </c>
      <c r="E157" s="8" t="s">
        <v>36</v>
      </c>
      <c r="F157" s="8" t="s">
        <v>51</v>
      </c>
      <c r="G157" s="8" t="s">
        <v>32</v>
      </c>
      <c r="H157" s="8" t="s">
        <v>31</v>
      </c>
      <c r="I157" s="8" t="n">
        <f aca="false">IF(EXACT(G157,H157),1,0)</f>
        <v>0</v>
      </c>
      <c r="J157" s="8" t="n">
        <v>2</v>
      </c>
      <c r="K157" s="8" t="s">
        <v>116</v>
      </c>
      <c r="L157" s="8" t="n">
        <v>1</v>
      </c>
      <c r="M157" s="8" t="n">
        <v>5</v>
      </c>
      <c r="N157" s="8" t="s">
        <v>1492</v>
      </c>
      <c r="O157" s="8" t="n">
        <v>2</v>
      </c>
      <c r="P157" s="10" t="n">
        <v>29.42</v>
      </c>
      <c r="Q157" s="8" t="n">
        <v>9646</v>
      </c>
      <c r="R157" s="8" t="n">
        <v>1403</v>
      </c>
      <c r="S157" s="8" t="s">
        <v>132</v>
      </c>
      <c r="T157" s="8" t="s">
        <v>291</v>
      </c>
      <c r="U157" s="8" t="s">
        <v>292</v>
      </c>
      <c r="V157" s="8"/>
      <c r="W157" s="8" t="s">
        <v>302</v>
      </c>
      <c r="X157" s="8" t="s">
        <v>303</v>
      </c>
      <c r="Y157" s="8" t="s">
        <v>1611</v>
      </c>
      <c r="Z157" s="8" t="s">
        <v>1612</v>
      </c>
    </row>
    <row r="158" customFormat="false" ht="15" hidden="false" customHeight="false" outlineLevel="0" collapsed="false">
      <c r="A158" s="8" t="s">
        <v>304</v>
      </c>
      <c r="B158" s="8" t="s">
        <v>17</v>
      </c>
      <c r="C158" s="8" t="s">
        <v>18</v>
      </c>
      <c r="D158" s="8" t="s">
        <v>615</v>
      </c>
      <c r="E158" s="8" t="s">
        <v>36</v>
      </c>
      <c r="F158" s="8" t="s">
        <v>51</v>
      </c>
      <c r="G158" s="8" t="s">
        <v>31</v>
      </c>
      <c r="H158" s="8" t="s">
        <v>31</v>
      </c>
      <c r="I158" s="8" t="n">
        <f aca="false">IF(EXACT(G158,H158),1,0)</f>
        <v>1</v>
      </c>
      <c r="J158" s="8" t="n">
        <v>0</v>
      </c>
      <c r="K158" s="8" t="s">
        <v>116</v>
      </c>
      <c r="L158" s="8" t="n">
        <v>1</v>
      </c>
      <c r="M158" s="8" t="n">
        <v>5</v>
      </c>
      <c r="N158" s="8" t="s">
        <v>1492</v>
      </c>
      <c r="O158" s="8" t="n">
        <v>2</v>
      </c>
      <c r="P158" s="10" t="n">
        <v>40.52</v>
      </c>
      <c r="Q158" s="8" t="n">
        <v>9758</v>
      </c>
      <c r="R158" s="8" t="n">
        <v>1318</v>
      </c>
      <c r="S158" s="8" t="s">
        <v>117</v>
      </c>
      <c r="T158" s="8" t="s">
        <v>291</v>
      </c>
      <c r="U158" s="8" t="s">
        <v>292</v>
      </c>
      <c r="V158" s="8"/>
      <c r="W158" s="8" t="s">
        <v>305</v>
      </c>
      <c r="X158" s="8" t="s">
        <v>306</v>
      </c>
      <c r="Y158" s="8" t="s">
        <v>1613</v>
      </c>
      <c r="Z158" s="8" t="s">
        <v>1614</v>
      </c>
    </row>
    <row r="159" customFormat="false" ht="15" hidden="false" customHeight="false" outlineLevel="0" collapsed="false">
      <c r="A159" s="8" t="s">
        <v>304</v>
      </c>
      <c r="B159" s="8" t="s">
        <v>17</v>
      </c>
      <c r="C159" s="8" t="s">
        <v>18</v>
      </c>
      <c r="D159" s="8" t="s">
        <v>615</v>
      </c>
      <c r="E159" s="8" t="s">
        <v>36</v>
      </c>
      <c r="F159" s="8" t="s">
        <v>51</v>
      </c>
      <c r="G159" s="8" t="s">
        <v>31</v>
      </c>
      <c r="H159" s="8" t="s">
        <v>31</v>
      </c>
      <c r="I159" s="8" t="n">
        <f aca="false">IF(EXACT(G159,H159),1,0)</f>
        <v>1</v>
      </c>
      <c r="J159" s="8" t="n">
        <v>1</v>
      </c>
      <c r="K159" s="8" t="s">
        <v>116</v>
      </c>
      <c r="L159" s="8" t="n">
        <v>2</v>
      </c>
      <c r="M159" s="8" t="n">
        <v>5</v>
      </c>
      <c r="N159" s="8" t="s">
        <v>1492</v>
      </c>
      <c r="O159" s="8" t="n">
        <v>2</v>
      </c>
      <c r="P159" s="10" t="n">
        <v>39.81</v>
      </c>
      <c r="Q159" s="8" t="n">
        <v>9758</v>
      </c>
      <c r="R159" s="8" t="n">
        <v>1682</v>
      </c>
      <c r="S159" s="8" t="s">
        <v>117</v>
      </c>
      <c r="T159" s="8" t="s">
        <v>291</v>
      </c>
      <c r="U159" s="8" t="s">
        <v>292</v>
      </c>
      <c r="V159" s="8"/>
      <c r="W159" s="8" t="s">
        <v>305</v>
      </c>
      <c r="X159" s="8" t="s">
        <v>306</v>
      </c>
      <c r="Y159" s="8" t="s">
        <v>1615</v>
      </c>
      <c r="Z159" s="8" t="s">
        <v>1616</v>
      </c>
    </row>
    <row r="160" customFormat="false" ht="15" hidden="false" customHeight="false" outlineLevel="0" collapsed="false">
      <c r="A160" s="8" t="s">
        <v>304</v>
      </c>
      <c r="B160" s="8" t="s">
        <v>17</v>
      </c>
      <c r="C160" s="8" t="s">
        <v>18</v>
      </c>
      <c r="D160" s="8" t="s">
        <v>615</v>
      </c>
      <c r="E160" s="8" t="s">
        <v>36</v>
      </c>
      <c r="F160" s="8" t="s">
        <v>51</v>
      </c>
      <c r="G160" s="8" t="s">
        <v>31</v>
      </c>
      <c r="H160" s="8" t="s">
        <v>31</v>
      </c>
      <c r="I160" s="8" t="n">
        <f aca="false">IF(EXACT(G160,H160),1,0)</f>
        <v>1</v>
      </c>
      <c r="J160" s="8" t="n">
        <v>2</v>
      </c>
      <c r="K160" s="8" t="s">
        <v>116</v>
      </c>
      <c r="L160" s="8" t="n">
        <v>1</v>
      </c>
      <c r="M160" s="8" t="n">
        <v>5</v>
      </c>
      <c r="N160" s="8" t="s">
        <v>1492</v>
      </c>
      <c r="O160" s="8" t="n">
        <v>2</v>
      </c>
      <c r="P160" s="10" t="n">
        <v>27.87</v>
      </c>
      <c r="Q160" s="8" t="n">
        <v>9758</v>
      </c>
      <c r="R160" s="8" t="n">
        <v>1308</v>
      </c>
      <c r="S160" s="8" t="s">
        <v>117</v>
      </c>
      <c r="T160" s="8" t="s">
        <v>291</v>
      </c>
      <c r="U160" s="8" t="s">
        <v>292</v>
      </c>
      <c r="V160" s="8"/>
      <c r="W160" s="8" t="s">
        <v>305</v>
      </c>
      <c r="X160" s="8" t="s">
        <v>306</v>
      </c>
      <c r="Y160" s="8" t="s">
        <v>1617</v>
      </c>
      <c r="Z160" s="8" t="s">
        <v>1618</v>
      </c>
    </row>
    <row r="161" customFormat="false" ht="15" hidden="false" customHeight="false" outlineLevel="0" collapsed="false">
      <c r="A161" s="8" t="s">
        <v>307</v>
      </c>
      <c r="B161" s="8" t="s">
        <v>17</v>
      </c>
      <c r="C161" s="8" t="s">
        <v>18</v>
      </c>
      <c r="D161" s="8" t="s">
        <v>615</v>
      </c>
      <c r="E161" s="8" t="s">
        <v>36</v>
      </c>
      <c r="F161" s="8" t="s">
        <v>51</v>
      </c>
      <c r="G161" s="8" t="s">
        <v>31</v>
      </c>
      <c r="H161" s="8" t="s">
        <v>31</v>
      </c>
      <c r="I161" s="8" t="n">
        <f aca="false">IF(EXACT(G161,H161),1,0)</f>
        <v>1</v>
      </c>
      <c r="J161" s="8" t="n">
        <v>0</v>
      </c>
      <c r="K161" s="8" t="s">
        <v>140</v>
      </c>
      <c r="L161" s="8" t="n">
        <v>1</v>
      </c>
      <c r="M161" s="8" t="n">
        <v>5</v>
      </c>
      <c r="N161" s="8" t="s">
        <v>1492</v>
      </c>
      <c r="O161" s="8" t="n">
        <v>2</v>
      </c>
      <c r="P161" s="10" t="n">
        <v>35.86</v>
      </c>
      <c r="Q161" s="8" t="n">
        <v>9380</v>
      </c>
      <c r="R161" s="8" t="n">
        <v>1397</v>
      </c>
      <c r="S161" s="8" t="s">
        <v>308</v>
      </c>
      <c r="T161" s="8"/>
      <c r="U161" s="8"/>
      <c r="V161" s="8" t="s">
        <v>309</v>
      </c>
      <c r="W161" s="8"/>
      <c r="X161" s="8" t="s">
        <v>310</v>
      </c>
      <c r="Y161" s="8" t="s">
        <v>1619</v>
      </c>
      <c r="Z161" s="8" t="s">
        <v>1620</v>
      </c>
    </row>
    <row r="162" customFormat="false" ht="15" hidden="false" customHeight="false" outlineLevel="0" collapsed="false">
      <c r="A162" s="8" t="s">
        <v>307</v>
      </c>
      <c r="B162" s="8" t="s">
        <v>17</v>
      </c>
      <c r="C162" s="8" t="s">
        <v>18</v>
      </c>
      <c r="D162" s="8" t="s">
        <v>615</v>
      </c>
      <c r="E162" s="8" t="s">
        <v>36</v>
      </c>
      <c r="F162" s="8" t="s">
        <v>51</v>
      </c>
      <c r="G162" s="8" t="s">
        <v>31</v>
      </c>
      <c r="H162" s="8" t="s">
        <v>31</v>
      </c>
      <c r="I162" s="8" t="n">
        <f aca="false">IF(EXACT(G162,H162),1,0)</f>
        <v>1</v>
      </c>
      <c r="J162" s="8" t="n">
        <v>1</v>
      </c>
      <c r="K162" s="8" t="s">
        <v>140</v>
      </c>
      <c r="L162" s="8" t="n">
        <v>1</v>
      </c>
      <c r="M162" s="8" t="n">
        <v>5</v>
      </c>
      <c r="N162" s="8" t="s">
        <v>1492</v>
      </c>
      <c r="O162" s="8" t="n">
        <v>2</v>
      </c>
      <c r="P162" s="10" t="n">
        <v>32.67</v>
      </c>
      <c r="Q162" s="8" t="n">
        <v>9380</v>
      </c>
      <c r="R162" s="8" t="n">
        <v>1445</v>
      </c>
      <c r="S162" s="8" t="s">
        <v>308</v>
      </c>
      <c r="T162" s="8"/>
      <c r="U162" s="8"/>
      <c r="V162" s="8" t="s">
        <v>309</v>
      </c>
      <c r="W162" s="8"/>
      <c r="X162" s="8" t="s">
        <v>310</v>
      </c>
      <c r="Y162" s="8" t="s">
        <v>1621</v>
      </c>
      <c r="Z162" s="8" t="s">
        <v>1622</v>
      </c>
    </row>
    <row r="163" customFormat="false" ht="15" hidden="false" customHeight="false" outlineLevel="0" collapsed="false">
      <c r="A163" s="8" t="s">
        <v>307</v>
      </c>
      <c r="B163" s="8" t="s">
        <v>17</v>
      </c>
      <c r="C163" s="8" t="s">
        <v>18</v>
      </c>
      <c r="D163" s="8" t="s">
        <v>615</v>
      </c>
      <c r="E163" s="8" t="s">
        <v>36</v>
      </c>
      <c r="F163" s="8" t="s">
        <v>51</v>
      </c>
      <c r="G163" s="8" t="s">
        <v>31</v>
      </c>
      <c r="H163" s="8" t="s">
        <v>31</v>
      </c>
      <c r="I163" s="8" t="n">
        <f aca="false">IF(EXACT(G163,H163),1,0)</f>
        <v>1</v>
      </c>
      <c r="J163" s="8" t="n">
        <v>2</v>
      </c>
      <c r="K163" s="8" t="s">
        <v>140</v>
      </c>
      <c r="L163" s="8" t="n">
        <v>1</v>
      </c>
      <c r="M163" s="8" t="n">
        <v>5</v>
      </c>
      <c r="N163" s="8" t="s">
        <v>1492</v>
      </c>
      <c r="O163" s="8" t="n">
        <v>2</v>
      </c>
      <c r="P163" s="10" t="n">
        <v>34.06</v>
      </c>
      <c r="Q163" s="8" t="n">
        <v>9380</v>
      </c>
      <c r="R163" s="8" t="n">
        <v>1447</v>
      </c>
      <c r="S163" s="8" t="s">
        <v>308</v>
      </c>
      <c r="T163" s="8"/>
      <c r="U163" s="8"/>
      <c r="V163" s="8" t="s">
        <v>309</v>
      </c>
      <c r="W163" s="8"/>
      <c r="X163" s="8" t="s">
        <v>310</v>
      </c>
      <c r="Y163" s="8" t="s">
        <v>1623</v>
      </c>
      <c r="Z163" s="8" t="s">
        <v>1624</v>
      </c>
    </row>
    <row r="164" customFormat="false" ht="15" hidden="false" customHeight="false" outlineLevel="0" collapsed="false">
      <c r="A164" s="8" t="s">
        <v>312</v>
      </c>
      <c r="B164" s="8" t="s">
        <v>17</v>
      </c>
      <c r="C164" s="8" t="s">
        <v>18</v>
      </c>
      <c r="D164" s="8" t="s">
        <v>615</v>
      </c>
      <c r="E164" s="8" t="s">
        <v>36</v>
      </c>
      <c r="F164" s="8" t="s">
        <v>57</v>
      </c>
      <c r="G164" s="8" t="s">
        <v>31</v>
      </c>
      <c r="H164" s="8" t="s">
        <v>30</v>
      </c>
      <c r="I164" s="8" t="n">
        <f aca="false">IF(EXACT(G164,H164),1,0)</f>
        <v>0</v>
      </c>
      <c r="J164" s="8" t="n">
        <v>0</v>
      </c>
      <c r="K164" s="8" t="s">
        <v>92</v>
      </c>
      <c r="L164" s="8" t="n">
        <v>0</v>
      </c>
      <c r="M164" s="8" t="n">
        <v>5</v>
      </c>
      <c r="N164" s="8" t="s">
        <v>1492</v>
      </c>
      <c r="O164" s="8" t="n">
        <v>2</v>
      </c>
      <c r="P164" s="10" t="n">
        <v>37.07</v>
      </c>
      <c r="Q164" s="8" t="n">
        <v>9854</v>
      </c>
      <c r="R164" s="8" t="n">
        <v>1472</v>
      </c>
      <c r="S164" s="8" t="s">
        <v>313</v>
      </c>
      <c r="T164" s="8"/>
      <c r="U164" s="8"/>
      <c r="V164" s="8" t="s">
        <v>155</v>
      </c>
      <c r="W164" s="8"/>
      <c r="X164" s="8" t="s">
        <v>314</v>
      </c>
      <c r="Y164" s="8" t="s">
        <v>1625</v>
      </c>
      <c r="Z164" s="8"/>
    </row>
    <row r="165" customFormat="false" ht="15" hidden="false" customHeight="false" outlineLevel="0" collapsed="false">
      <c r="A165" s="8" t="s">
        <v>312</v>
      </c>
      <c r="B165" s="8" t="s">
        <v>17</v>
      </c>
      <c r="C165" s="8" t="s">
        <v>18</v>
      </c>
      <c r="D165" s="8" t="s">
        <v>615</v>
      </c>
      <c r="E165" s="8" t="s">
        <v>36</v>
      </c>
      <c r="F165" s="8" t="s">
        <v>57</v>
      </c>
      <c r="G165" s="8" t="s">
        <v>31</v>
      </c>
      <c r="H165" s="8" t="s">
        <v>30</v>
      </c>
      <c r="I165" s="8" t="n">
        <f aca="false">IF(EXACT(G165,H165),1,0)</f>
        <v>0</v>
      </c>
      <c r="J165" s="8" t="n">
        <v>1</v>
      </c>
      <c r="K165" s="8" t="s">
        <v>92</v>
      </c>
      <c r="L165" s="8" t="n">
        <v>0</v>
      </c>
      <c r="M165" s="8" t="n">
        <v>5</v>
      </c>
      <c r="N165" s="8" t="s">
        <v>1492</v>
      </c>
      <c r="O165" s="8" t="n">
        <v>2</v>
      </c>
      <c r="P165" s="10" t="n">
        <v>36.15</v>
      </c>
      <c r="Q165" s="8" t="n">
        <v>9854</v>
      </c>
      <c r="R165" s="8" t="n">
        <v>1394</v>
      </c>
      <c r="S165" s="8" t="s">
        <v>313</v>
      </c>
      <c r="T165" s="8"/>
      <c r="U165" s="8"/>
      <c r="V165" s="8" t="s">
        <v>155</v>
      </c>
      <c r="W165" s="8"/>
      <c r="X165" s="8" t="s">
        <v>314</v>
      </c>
      <c r="Y165" s="8" t="s">
        <v>1626</v>
      </c>
      <c r="Z165" s="8"/>
    </row>
    <row r="166" customFormat="false" ht="15" hidden="false" customHeight="false" outlineLevel="0" collapsed="false">
      <c r="A166" s="8" t="s">
        <v>312</v>
      </c>
      <c r="B166" s="8" t="s">
        <v>17</v>
      </c>
      <c r="C166" s="8" t="s">
        <v>18</v>
      </c>
      <c r="D166" s="8" t="s">
        <v>615</v>
      </c>
      <c r="E166" s="8" t="s">
        <v>36</v>
      </c>
      <c r="F166" s="8" t="s">
        <v>57</v>
      </c>
      <c r="G166" s="8" t="s">
        <v>31</v>
      </c>
      <c r="H166" s="8" t="s">
        <v>30</v>
      </c>
      <c r="I166" s="8" t="n">
        <f aca="false">IF(EXACT(G166,H166),1,0)</f>
        <v>0</v>
      </c>
      <c r="J166" s="8" t="n">
        <v>2</v>
      </c>
      <c r="K166" s="8" t="s">
        <v>92</v>
      </c>
      <c r="L166" s="8" t="n">
        <v>0</v>
      </c>
      <c r="M166" s="8" t="n">
        <v>5</v>
      </c>
      <c r="N166" s="8" t="s">
        <v>1492</v>
      </c>
      <c r="O166" s="8" t="n">
        <v>2</v>
      </c>
      <c r="P166" s="10" t="n">
        <v>36.55</v>
      </c>
      <c r="Q166" s="8" t="n">
        <v>9854</v>
      </c>
      <c r="R166" s="8" t="n">
        <v>1397</v>
      </c>
      <c r="S166" s="8" t="s">
        <v>313</v>
      </c>
      <c r="T166" s="8"/>
      <c r="U166" s="8"/>
      <c r="V166" s="8" t="s">
        <v>155</v>
      </c>
      <c r="W166" s="8"/>
      <c r="X166" s="8" t="s">
        <v>314</v>
      </c>
      <c r="Y166" s="8" t="s">
        <v>1625</v>
      </c>
      <c r="Z166" s="8"/>
    </row>
    <row r="167" customFormat="false" ht="15" hidden="false" customHeight="false" outlineLevel="0" collapsed="false">
      <c r="A167" s="8" t="s">
        <v>315</v>
      </c>
      <c r="B167" s="8" t="s">
        <v>17</v>
      </c>
      <c r="C167" s="8" t="s">
        <v>18</v>
      </c>
      <c r="D167" s="8" t="s">
        <v>615</v>
      </c>
      <c r="E167" s="8" t="s">
        <v>36</v>
      </c>
      <c r="F167" s="8" t="s">
        <v>57</v>
      </c>
      <c r="G167" s="8" t="s">
        <v>31</v>
      </c>
      <c r="H167" s="8" t="s">
        <v>30</v>
      </c>
      <c r="I167" s="8" t="n">
        <f aca="false">IF(EXACT(G167,H167),1,0)</f>
        <v>0</v>
      </c>
      <c r="J167" s="8" t="n">
        <v>0</v>
      </c>
      <c r="K167" s="8" t="s">
        <v>92</v>
      </c>
      <c r="L167" s="8" t="n">
        <v>0</v>
      </c>
      <c r="M167" s="8" t="n">
        <v>5</v>
      </c>
      <c r="N167" s="8" t="s">
        <v>1492</v>
      </c>
      <c r="O167" s="8" t="n">
        <v>2</v>
      </c>
      <c r="P167" s="10" t="n">
        <v>35.99</v>
      </c>
      <c r="Q167" s="8" t="n">
        <v>9846</v>
      </c>
      <c r="R167" s="8" t="n">
        <v>1388</v>
      </c>
      <c r="S167" s="8" t="s">
        <v>316</v>
      </c>
      <c r="T167" s="8"/>
      <c r="U167" s="8"/>
      <c r="V167" s="8" t="s">
        <v>155</v>
      </c>
      <c r="W167" s="8"/>
      <c r="X167" s="8" t="s">
        <v>317</v>
      </c>
      <c r="Y167" s="8" t="s">
        <v>1627</v>
      </c>
      <c r="Z167" s="8"/>
    </row>
    <row r="168" customFormat="false" ht="15" hidden="false" customHeight="false" outlineLevel="0" collapsed="false">
      <c r="A168" s="8" t="s">
        <v>315</v>
      </c>
      <c r="B168" s="8" t="s">
        <v>17</v>
      </c>
      <c r="C168" s="8" t="s">
        <v>18</v>
      </c>
      <c r="D168" s="8" t="s">
        <v>615</v>
      </c>
      <c r="E168" s="8" t="s">
        <v>36</v>
      </c>
      <c r="F168" s="8" t="s">
        <v>57</v>
      </c>
      <c r="G168" s="8" t="s">
        <v>31</v>
      </c>
      <c r="H168" s="8" t="s">
        <v>30</v>
      </c>
      <c r="I168" s="8" t="n">
        <f aca="false">IF(EXACT(G168,H168),1,0)</f>
        <v>0</v>
      </c>
      <c r="J168" s="8" t="n">
        <v>1</v>
      </c>
      <c r="K168" s="8" t="s">
        <v>92</v>
      </c>
      <c r="L168" s="8" t="n">
        <v>0</v>
      </c>
      <c r="M168" s="8" t="n">
        <v>5</v>
      </c>
      <c r="N168" s="8" t="s">
        <v>1492</v>
      </c>
      <c r="O168" s="8" t="n">
        <v>2</v>
      </c>
      <c r="P168" s="10" t="n">
        <v>35.58</v>
      </c>
      <c r="Q168" s="8" t="n">
        <v>9846</v>
      </c>
      <c r="R168" s="8" t="n">
        <v>1383</v>
      </c>
      <c r="S168" s="8" t="s">
        <v>316</v>
      </c>
      <c r="T168" s="8"/>
      <c r="U168" s="8"/>
      <c r="V168" s="8" t="s">
        <v>155</v>
      </c>
      <c r="W168" s="8"/>
      <c r="X168" s="8" t="s">
        <v>317</v>
      </c>
      <c r="Y168" s="8" t="s">
        <v>1628</v>
      </c>
      <c r="Z168" s="8"/>
    </row>
    <row r="169" customFormat="false" ht="15" hidden="false" customHeight="false" outlineLevel="0" collapsed="false">
      <c r="A169" s="8" t="s">
        <v>315</v>
      </c>
      <c r="B169" s="8" t="s">
        <v>17</v>
      </c>
      <c r="C169" s="8" t="s">
        <v>18</v>
      </c>
      <c r="D169" s="8" t="s">
        <v>615</v>
      </c>
      <c r="E169" s="8" t="s">
        <v>36</v>
      </c>
      <c r="F169" s="8" t="s">
        <v>57</v>
      </c>
      <c r="G169" s="8" t="s">
        <v>31</v>
      </c>
      <c r="H169" s="8" t="s">
        <v>30</v>
      </c>
      <c r="I169" s="8" t="n">
        <f aca="false">IF(EXACT(G169,H169),1,0)</f>
        <v>0</v>
      </c>
      <c r="J169" s="8" t="n">
        <v>2</v>
      </c>
      <c r="K169" s="8" t="s">
        <v>92</v>
      </c>
      <c r="L169" s="8" t="n">
        <v>0</v>
      </c>
      <c r="M169" s="8" t="n">
        <v>5</v>
      </c>
      <c r="N169" s="8" t="s">
        <v>1492</v>
      </c>
      <c r="O169" s="8" t="n">
        <v>2</v>
      </c>
      <c r="P169" s="10" t="n">
        <v>35.58</v>
      </c>
      <c r="Q169" s="8" t="n">
        <v>9846</v>
      </c>
      <c r="R169" s="8" t="n">
        <v>1388</v>
      </c>
      <c r="S169" s="8" t="s">
        <v>316</v>
      </c>
      <c r="T169" s="8"/>
      <c r="U169" s="8"/>
      <c r="V169" s="8" t="s">
        <v>155</v>
      </c>
      <c r="W169" s="8"/>
      <c r="X169" s="8" t="s">
        <v>317</v>
      </c>
      <c r="Y169" s="8" t="s">
        <v>1629</v>
      </c>
      <c r="Z169" s="8"/>
    </row>
    <row r="170" customFormat="false" ht="15" hidden="false" customHeight="false" outlineLevel="0" collapsed="false">
      <c r="A170" s="8" t="s">
        <v>318</v>
      </c>
      <c r="B170" s="8" t="s">
        <v>17</v>
      </c>
      <c r="C170" s="8" t="s">
        <v>18</v>
      </c>
      <c r="D170" s="8" t="s">
        <v>615</v>
      </c>
      <c r="E170" s="8" t="s">
        <v>36</v>
      </c>
      <c r="F170" s="8" t="s">
        <v>57</v>
      </c>
      <c r="G170" s="8" t="s">
        <v>32</v>
      </c>
      <c r="H170" s="8" t="s">
        <v>30</v>
      </c>
      <c r="I170" s="8" t="n">
        <f aca="false">IF(EXACT(G170,H170),1,0)</f>
        <v>0</v>
      </c>
      <c r="J170" s="8" t="n">
        <v>0</v>
      </c>
      <c r="K170" s="8" t="s">
        <v>92</v>
      </c>
      <c r="L170" s="8" t="n">
        <v>0</v>
      </c>
      <c r="M170" s="8" t="n">
        <v>5</v>
      </c>
      <c r="N170" s="8" t="s">
        <v>1492</v>
      </c>
      <c r="O170" s="8" t="n">
        <v>2</v>
      </c>
      <c r="P170" s="10" t="n">
        <v>40.86</v>
      </c>
      <c r="Q170" s="8" t="n">
        <v>9408</v>
      </c>
      <c r="R170" s="8" t="n">
        <v>1120</v>
      </c>
      <c r="S170" s="8" t="s">
        <v>319</v>
      </c>
      <c r="T170" s="8"/>
      <c r="U170" s="8"/>
      <c r="V170" s="8" t="s">
        <v>155</v>
      </c>
      <c r="W170" s="8"/>
      <c r="X170" s="8" t="s">
        <v>320</v>
      </c>
      <c r="Y170" s="8" t="s">
        <v>1630</v>
      </c>
      <c r="Z170" s="8"/>
    </row>
    <row r="171" customFormat="false" ht="15" hidden="false" customHeight="false" outlineLevel="0" collapsed="false">
      <c r="A171" s="8" t="s">
        <v>318</v>
      </c>
      <c r="B171" s="8" t="s">
        <v>17</v>
      </c>
      <c r="C171" s="8" t="s">
        <v>18</v>
      </c>
      <c r="D171" s="8" t="s">
        <v>615</v>
      </c>
      <c r="E171" s="8" t="s">
        <v>36</v>
      </c>
      <c r="F171" s="8" t="s">
        <v>57</v>
      </c>
      <c r="G171" s="8" t="s">
        <v>32</v>
      </c>
      <c r="H171" s="8" t="s">
        <v>30</v>
      </c>
      <c r="I171" s="8" t="n">
        <f aca="false">IF(EXACT(G171,H171),1,0)</f>
        <v>0</v>
      </c>
      <c r="J171" s="8" t="n">
        <v>1</v>
      </c>
      <c r="K171" s="8" t="s">
        <v>92</v>
      </c>
      <c r="L171" s="8" t="n">
        <v>0</v>
      </c>
      <c r="M171" s="8" t="n">
        <v>5</v>
      </c>
      <c r="N171" s="8" t="s">
        <v>1492</v>
      </c>
      <c r="O171" s="8" t="n">
        <v>2</v>
      </c>
      <c r="P171" s="10" t="n">
        <v>32.26</v>
      </c>
      <c r="Q171" s="8" t="n">
        <v>9407</v>
      </c>
      <c r="R171" s="8" t="n">
        <v>1065</v>
      </c>
      <c r="S171" s="8" t="s">
        <v>319</v>
      </c>
      <c r="T171" s="8"/>
      <c r="U171" s="8"/>
      <c r="V171" s="8" t="s">
        <v>155</v>
      </c>
      <c r="W171" s="8"/>
      <c r="X171" s="8" t="s">
        <v>320</v>
      </c>
      <c r="Y171" s="8" t="s">
        <v>1631</v>
      </c>
      <c r="Z171" s="8"/>
    </row>
    <row r="172" customFormat="false" ht="15" hidden="false" customHeight="false" outlineLevel="0" collapsed="false">
      <c r="A172" s="8" t="s">
        <v>318</v>
      </c>
      <c r="B172" s="8" t="s">
        <v>17</v>
      </c>
      <c r="C172" s="8" t="s">
        <v>18</v>
      </c>
      <c r="D172" s="8" t="s">
        <v>615</v>
      </c>
      <c r="E172" s="8" t="s">
        <v>36</v>
      </c>
      <c r="F172" s="8" t="s">
        <v>57</v>
      </c>
      <c r="G172" s="8" t="s">
        <v>32</v>
      </c>
      <c r="H172" s="8" t="s">
        <v>30</v>
      </c>
      <c r="I172" s="8" t="n">
        <f aca="false">IF(EXACT(G172,H172),1,0)</f>
        <v>0</v>
      </c>
      <c r="J172" s="8" t="n">
        <v>2</v>
      </c>
      <c r="K172" s="8" t="s">
        <v>92</v>
      </c>
      <c r="L172" s="8" t="n">
        <v>0</v>
      </c>
      <c r="M172" s="8" t="n">
        <v>5</v>
      </c>
      <c r="N172" s="8" t="s">
        <v>1492</v>
      </c>
      <c r="O172" s="8" t="n">
        <v>2</v>
      </c>
      <c r="P172" s="10" t="n">
        <v>32.88</v>
      </c>
      <c r="Q172" s="8" t="n">
        <v>9408</v>
      </c>
      <c r="R172" s="8" t="n">
        <v>1102</v>
      </c>
      <c r="S172" s="8" t="s">
        <v>319</v>
      </c>
      <c r="T172" s="8"/>
      <c r="U172" s="8"/>
      <c r="V172" s="8" t="s">
        <v>155</v>
      </c>
      <c r="W172" s="8"/>
      <c r="X172" s="8" t="s">
        <v>320</v>
      </c>
      <c r="Y172" s="8" t="s">
        <v>1632</v>
      </c>
      <c r="Z172" s="8"/>
    </row>
    <row r="173" customFormat="false" ht="15" hidden="false" customHeight="false" outlineLevel="0" collapsed="false">
      <c r="A173" s="8" t="s">
        <v>321</v>
      </c>
      <c r="B173" s="8" t="s">
        <v>17</v>
      </c>
      <c r="C173" s="8" t="s">
        <v>18</v>
      </c>
      <c r="D173" s="8" t="s">
        <v>615</v>
      </c>
      <c r="E173" s="8" t="s">
        <v>36</v>
      </c>
      <c r="F173" s="8" t="s">
        <v>57</v>
      </c>
      <c r="G173" s="8" t="s">
        <v>32</v>
      </c>
      <c r="H173" s="8" t="s">
        <v>30</v>
      </c>
      <c r="I173" s="8" t="n">
        <f aca="false">IF(EXACT(G173,H173),1,0)</f>
        <v>0</v>
      </c>
      <c r="J173" s="8" t="n">
        <v>0</v>
      </c>
      <c r="K173" s="8" t="s">
        <v>92</v>
      </c>
      <c r="L173" s="8" t="n">
        <v>0</v>
      </c>
      <c r="M173" s="8" t="n">
        <v>5</v>
      </c>
      <c r="N173" s="8" t="s">
        <v>1492</v>
      </c>
      <c r="O173" s="8" t="n">
        <v>2</v>
      </c>
      <c r="P173" s="10" t="n">
        <v>36.71</v>
      </c>
      <c r="Q173" s="8" t="n">
        <v>9721</v>
      </c>
      <c r="R173" s="8" t="n">
        <v>1335</v>
      </c>
      <c r="S173" s="8" t="s">
        <v>322</v>
      </c>
      <c r="T173" s="8"/>
      <c r="U173" s="8"/>
      <c r="V173" s="8" t="s">
        <v>155</v>
      </c>
      <c r="W173" s="8"/>
      <c r="X173" s="8" t="s">
        <v>323</v>
      </c>
      <c r="Y173" s="8" t="s">
        <v>1633</v>
      </c>
      <c r="Z173" s="8"/>
    </row>
    <row r="174" customFormat="false" ht="15" hidden="false" customHeight="false" outlineLevel="0" collapsed="false">
      <c r="A174" s="8" t="s">
        <v>321</v>
      </c>
      <c r="B174" s="8" t="s">
        <v>17</v>
      </c>
      <c r="C174" s="8" t="s">
        <v>18</v>
      </c>
      <c r="D174" s="8" t="s">
        <v>615</v>
      </c>
      <c r="E174" s="8" t="s">
        <v>36</v>
      </c>
      <c r="F174" s="8" t="s">
        <v>57</v>
      </c>
      <c r="G174" s="8" t="s">
        <v>32</v>
      </c>
      <c r="H174" s="8" t="s">
        <v>30</v>
      </c>
      <c r="I174" s="8" t="n">
        <f aca="false">IF(EXACT(G174,H174),1,0)</f>
        <v>0</v>
      </c>
      <c r="J174" s="8" t="n">
        <v>1</v>
      </c>
      <c r="K174" s="8" t="s">
        <v>92</v>
      </c>
      <c r="L174" s="8" t="n">
        <v>0</v>
      </c>
      <c r="M174" s="8" t="n">
        <v>5</v>
      </c>
      <c r="N174" s="8" t="s">
        <v>1492</v>
      </c>
      <c r="O174" s="8" t="n">
        <v>2</v>
      </c>
      <c r="P174" s="10" t="n">
        <v>35.48</v>
      </c>
      <c r="Q174" s="8" t="n">
        <v>9721</v>
      </c>
      <c r="R174" s="8" t="n">
        <v>1362</v>
      </c>
      <c r="S174" s="8" t="s">
        <v>322</v>
      </c>
      <c r="T174" s="8"/>
      <c r="U174" s="8"/>
      <c r="V174" s="8" t="s">
        <v>155</v>
      </c>
      <c r="W174" s="8"/>
      <c r="X174" s="8" t="s">
        <v>323</v>
      </c>
      <c r="Y174" s="8" t="s">
        <v>1634</v>
      </c>
      <c r="Z174" s="8"/>
    </row>
    <row r="175" customFormat="false" ht="15" hidden="false" customHeight="false" outlineLevel="0" collapsed="false">
      <c r="A175" s="8" t="s">
        <v>321</v>
      </c>
      <c r="B175" s="8" t="s">
        <v>17</v>
      </c>
      <c r="C175" s="8" t="s">
        <v>18</v>
      </c>
      <c r="D175" s="8" t="s">
        <v>615</v>
      </c>
      <c r="E175" s="8" t="s">
        <v>36</v>
      </c>
      <c r="F175" s="8" t="s">
        <v>57</v>
      </c>
      <c r="G175" s="8" t="s">
        <v>32</v>
      </c>
      <c r="H175" s="8" t="s">
        <v>30</v>
      </c>
      <c r="I175" s="8" t="n">
        <f aca="false">IF(EXACT(G175,H175),1,0)</f>
        <v>0</v>
      </c>
      <c r="J175" s="8" t="n">
        <v>2</v>
      </c>
      <c r="K175" s="8" t="s">
        <v>92</v>
      </c>
      <c r="L175" s="8" t="n">
        <v>0</v>
      </c>
      <c r="M175" s="8" t="n">
        <v>5</v>
      </c>
      <c r="N175" s="8" t="s">
        <v>1492</v>
      </c>
      <c r="O175" s="8" t="n">
        <v>2</v>
      </c>
      <c r="P175" s="10" t="n">
        <v>34.41</v>
      </c>
      <c r="Q175" s="8" t="n">
        <v>9721</v>
      </c>
      <c r="R175" s="8" t="n">
        <v>1349</v>
      </c>
      <c r="S175" s="8" t="s">
        <v>322</v>
      </c>
      <c r="T175" s="8"/>
      <c r="U175" s="8"/>
      <c r="V175" s="8" t="s">
        <v>155</v>
      </c>
      <c r="W175" s="8"/>
      <c r="X175" s="8" t="s">
        <v>323</v>
      </c>
      <c r="Y175" s="8" t="s">
        <v>1635</v>
      </c>
      <c r="Z175" s="8"/>
    </row>
    <row r="176" customFormat="false" ht="15" hidden="false" customHeight="false" outlineLevel="0" collapsed="false">
      <c r="A176" s="8" t="s">
        <v>324</v>
      </c>
      <c r="B176" s="8" t="s">
        <v>17</v>
      </c>
      <c r="C176" s="8" t="s">
        <v>18</v>
      </c>
      <c r="D176" s="8" t="s">
        <v>615</v>
      </c>
      <c r="E176" s="8" t="s">
        <v>36</v>
      </c>
      <c r="F176" s="8" t="s">
        <v>57</v>
      </c>
      <c r="G176" s="8" t="s">
        <v>30</v>
      </c>
      <c r="H176" s="8" t="s">
        <v>30</v>
      </c>
      <c r="I176" s="8" t="n">
        <f aca="false">IF(EXACT(G176,H176),1,0)</f>
        <v>1</v>
      </c>
      <c r="J176" s="8" t="n">
        <v>0</v>
      </c>
      <c r="K176" s="8" t="s">
        <v>92</v>
      </c>
      <c r="L176" s="8" t="n">
        <v>0</v>
      </c>
      <c r="M176" s="8" t="n">
        <v>5</v>
      </c>
      <c r="N176" s="8" t="s">
        <v>1492</v>
      </c>
      <c r="O176" s="8" t="n">
        <v>2</v>
      </c>
      <c r="P176" s="10" t="n">
        <v>29.77</v>
      </c>
      <c r="Q176" s="8" t="n">
        <v>10096</v>
      </c>
      <c r="R176" s="8" t="n">
        <v>1574</v>
      </c>
      <c r="S176" s="8" t="s">
        <v>325</v>
      </c>
      <c r="T176" s="8"/>
      <c r="U176" s="8"/>
      <c r="V176" s="8" t="s">
        <v>155</v>
      </c>
      <c r="W176" s="8"/>
      <c r="X176" s="8" t="s">
        <v>326</v>
      </c>
      <c r="Y176" s="8" t="s">
        <v>1636</v>
      </c>
      <c r="Z176" s="8"/>
    </row>
    <row r="177" customFormat="false" ht="15" hidden="false" customHeight="false" outlineLevel="0" collapsed="false">
      <c r="A177" s="8" t="s">
        <v>324</v>
      </c>
      <c r="B177" s="8" t="s">
        <v>17</v>
      </c>
      <c r="C177" s="8" t="s">
        <v>18</v>
      </c>
      <c r="D177" s="8" t="s">
        <v>615</v>
      </c>
      <c r="E177" s="8" t="s">
        <v>36</v>
      </c>
      <c r="F177" s="8" t="s">
        <v>57</v>
      </c>
      <c r="G177" s="8" t="s">
        <v>30</v>
      </c>
      <c r="H177" s="8" t="s">
        <v>30</v>
      </c>
      <c r="I177" s="8" t="n">
        <f aca="false">IF(EXACT(G177,H177),1,0)</f>
        <v>1</v>
      </c>
      <c r="J177" s="8" t="n">
        <v>1</v>
      </c>
      <c r="K177" s="8" t="s">
        <v>92</v>
      </c>
      <c r="L177" s="8" t="n">
        <v>0</v>
      </c>
      <c r="M177" s="8" t="n">
        <v>5</v>
      </c>
      <c r="N177" s="8" t="s">
        <v>1492</v>
      </c>
      <c r="O177" s="8" t="n">
        <v>2</v>
      </c>
      <c r="P177" s="10" t="n">
        <v>28.87</v>
      </c>
      <c r="Q177" s="8" t="n">
        <v>10096</v>
      </c>
      <c r="R177" s="8" t="n">
        <v>1577</v>
      </c>
      <c r="S177" s="8" t="s">
        <v>325</v>
      </c>
      <c r="T177" s="8"/>
      <c r="U177" s="8"/>
      <c r="V177" s="8" t="s">
        <v>155</v>
      </c>
      <c r="W177" s="8"/>
      <c r="X177" s="8" t="s">
        <v>326</v>
      </c>
      <c r="Y177" s="8" t="s">
        <v>1637</v>
      </c>
      <c r="Z177" s="8"/>
    </row>
    <row r="178" customFormat="false" ht="15" hidden="false" customHeight="false" outlineLevel="0" collapsed="false">
      <c r="A178" s="8" t="s">
        <v>324</v>
      </c>
      <c r="B178" s="8" t="s">
        <v>17</v>
      </c>
      <c r="C178" s="8" t="s">
        <v>18</v>
      </c>
      <c r="D178" s="8" t="s">
        <v>615</v>
      </c>
      <c r="E178" s="8" t="s">
        <v>36</v>
      </c>
      <c r="F178" s="8" t="s">
        <v>57</v>
      </c>
      <c r="G178" s="8" t="s">
        <v>30</v>
      </c>
      <c r="H178" s="8" t="s">
        <v>30</v>
      </c>
      <c r="I178" s="8" t="n">
        <f aca="false">IF(EXACT(G178,H178),1,0)</f>
        <v>1</v>
      </c>
      <c r="J178" s="8" t="n">
        <v>2</v>
      </c>
      <c r="K178" s="8" t="s">
        <v>92</v>
      </c>
      <c r="L178" s="8" t="n">
        <v>0</v>
      </c>
      <c r="M178" s="8" t="n">
        <v>5</v>
      </c>
      <c r="N178" s="8" t="s">
        <v>1492</v>
      </c>
      <c r="O178" s="8" t="n">
        <v>2</v>
      </c>
      <c r="P178" s="10" t="n">
        <v>31.25</v>
      </c>
      <c r="Q178" s="8" t="n">
        <v>10096</v>
      </c>
      <c r="R178" s="8" t="n">
        <v>1641</v>
      </c>
      <c r="S178" s="8" t="s">
        <v>325</v>
      </c>
      <c r="T178" s="8"/>
      <c r="U178" s="8"/>
      <c r="V178" s="8" t="s">
        <v>155</v>
      </c>
      <c r="W178" s="8"/>
      <c r="X178" s="8" t="s">
        <v>326</v>
      </c>
      <c r="Y178" s="8" t="s">
        <v>1638</v>
      </c>
      <c r="Z178" s="8"/>
    </row>
    <row r="179" customFormat="false" ht="15" hidden="false" customHeight="false" outlineLevel="0" collapsed="false">
      <c r="A179" s="8" t="s">
        <v>327</v>
      </c>
      <c r="B179" s="8" t="s">
        <v>17</v>
      </c>
      <c r="C179" s="8" t="s">
        <v>18</v>
      </c>
      <c r="D179" s="8" t="s">
        <v>615</v>
      </c>
      <c r="E179" s="8" t="s">
        <v>36</v>
      </c>
      <c r="F179" s="8" t="s">
        <v>57</v>
      </c>
      <c r="G179" s="8" t="s">
        <v>30</v>
      </c>
      <c r="H179" s="8" t="s">
        <v>30</v>
      </c>
      <c r="I179" s="8" t="n">
        <f aca="false">IF(EXACT(G179,H179),1,0)</f>
        <v>1</v>
      </c>
      <c r="J179" s="8" t="n">
        <v>0</v>
      </c>
      <c r="K179" s="8" t="s">
        <v>92</v>
      </c>
      <c r="L179" s="8" t="n">
        <v>0</v>
      </c>
      <c r="M179" s="8" t="n">
        <v>5</v>
      </c>
      <c r="N179" s="8" t="s">
        <v>1492</v>
      </c>
      <c r="O179" s="8" t="n">
        <v>2</v>
      </c>
      <c r="P179" s="10" t="n">
        <v>36.79</v>
      </c>
      <c r="Q179" s="8" t="n">
        <v>10073</v>
      </c>
      <c r="R179" s="8" t="n">
        <v>1590</v>
      </c>
      <c r="S179" s="8" t="s">
        <v>328</v>
      </c>
      <c r="T179" s="8"/>
      <c r="U179" s="8"/>
      <c r="V179" s="8" t="s">
        <v>155</v>
      </c>
      <c r="W179" s="8"/>
      <c r="X179" s="8" t="s">
        <v>329</v>
      </c>
      <c r="Y179" s="8" t="s">
        <v>1639</v>
      </c>
      <c r="Z179" s="8"/>
    </row>
    <row r="180" customFormat="false" ht="15" hidden="false" customHeight="false" outlineLevel="0" collapsed="false">
      <c r="A180" s="8" t="s">
        <v>327</v>
      </c>
      <c r="B180" s="8" t="s">
        <v>17</v>
      </c>
      <c r="C180" s="8" t="s">
        <v>18</v>
      </c>
      <c r="D180" s="8" t="s">
        <v>615</v>
      </c>
      <c r="E180" s="8" t="s">
        <v>36</v>
      </c>
      <c r="F180" s="8" t="s">
        <v>57</v>
      </c>
      <c r="G180" s="8" t="s">
        <v>30</v>
      </c>
      <c r="H180" s="8" t="s">
        <v>30</v>
      </c>
      <c r="I180" s="8" t="n">
        <f aca="false">IF(EXACT(G180,H180),1,0)</f>
        <v>1</v>
      </c>
      <c r="J180" s="8" t="n">
        <v>1</v>
      </c>
      <c r="K180" s="8" t="s">
        <v>92</v>
      </c>
      <c r="L180" s="8" t="n">
        <v>0</v>
      </c>
      <c r="M180" s="8" t="n">
        <v>5</v>
      </c>
      <c r="N180" s="8" t="s">
        <v>1492</v>
      </c>
      <c r="O180" s="8" t="n">
        <v>2</v>
      </c>
      <c r="P180" s="10" t="n">
        <v>37.55</v>
      </c>
      <c r="Q180" s="8" t="n">
        <v>10073</v>
      </c>
      <c r="R180" s="8" t="n">
        <v>1571</v>
      </c>
      <c r="S180" s="8" t="s">
        <v>328</v>
      </c>
      <c r="T180" s="8"/>
      <c r="U180" s="8"/>
      <c r="V180" s="8" t="s">
        <v>155</v>
      </c>
      <c r="W180" s="8"/>
      <c r="X180" s="8" t="s">
        <v>329</v>
      </c>
      <c r="Y180" s="8" t="s">
        <v>1639</v>
      </c>
      <c r="Z180" s="8"/>
    </row>
    <row r="181" customFormat="false" ht="15" hidden="false" customHeight="false" outlineLevel="0" collapsed="false">
      <c r="A181" s="8" t="s">
        <v>327</v>
      </c>
      <c r="B181" s="8" t="s">
        <v>17</v>
      </c>
      <c r="C181" s="8" t="s">
        <v>18</v>
      </c>
      <c r="D181" s="8" t="s">
        <v>615</v>
      </c>
      <c r="E181" s="8" t="s">
        <v>36</v>
      </c>
      <c r="F181" s="8" t="s">
        <v>57</v>
      </c>
      <c r="G181" s="8" t="s">
        <v>30</v>
      </c>
      <c r="H181" s="8" t="s">
        <v>30</v>
      </c>
      <c r="I181" s="8" t="n">
        <f aca="false">IF(EXACT(G181,H181),1,0)</f>
        <v>1</v>
      </c>
      <c r="J181" s="8" t="n">
        <v>2</v>
      </c>
      <c r="K181" s="8" t="s">
        <v>92</v>
      </c>
      <c r="L181" s="8" t="n">
        <v>0</v>
      </c>
      <c r="M181" s="8" t="n">
        <v>5</v>
      </c>
      <c r="N181" s="8" t="s">
        <v>1492</v>
      </c>
      <c r="O181" s="8" t="n">
        <v>2</v>
      </c>
      <c r="P181" s="10" t="n">
        <v>37.17</v>
      </c>
      <c r="Q181" s="8" t="n">
        <v>10073</v>
      </c>
      <c r="R181" s="8" t="n">
        <v>1586</v>
      </c>
      <c r="S181" s="8" t="s">
        <v>328</v>
      </c>
      <c r="T181" s="8"/>
      <c r="U181" s="8"/>
      <c r="V181" s="8" t="s">
        <v>155</v>
      </c>
      <c r="W181" s="8"/>
      <c r="X181" s="8" t="s">
        <v>329</v>
      </c>
      <c r="Y181" s="8" t="s">
        <v>1640</v>
      </c>
      <c r="Z181" s="8"/>
    </row>
    <row r="182" customFormat="false" ht="15" hidden="false" customHeight="false" outlineLevel="0" collapsed="false">
      <c r="A182" s="8" t="s">
        <v>330</v>
      </c>
      <c r="B182" s="8" t="s">
        <v>17</v>
      </c>
      <c r="C182" s="8" t="s">
        <v>18</v>
      </c>
      <c r="D182" s="8" t="s">
        <v>615</v>
      </c>
      <c r="E182" s="8" t="s">
        <v>37</v>
      </c>
      <c r="F182" s="8" t="s">
        <v>45</v>
      </c>
      <c r="G182" s="8" t="s">
        <v>31</v>
      </c>
      <c r="H182" s="8" t="s">
        <v>31</v>
      </c>
      <c r="I182" s="8" t="n">
        <f aca="false">IF(EXACT(G182,H182),1,0)</f>
        <v>1</v>
      </c>
      <c r="J182" s="8" t="n">
        <v>0</v>
      </c>
      <c r="K182" s="8" t="s">
        <v>737</v>
      </c>
      <c r="L182" s="8" t="n">
        <v>2</v>
      </c>
      <c r="M182" s="8" t="n">
        <v>3</v>
      </c>
      <c r="N182" s="8" t="s">
        <v>1641</v>
      </c>
      <c r="O182" s="8" t="n">
        <v>2</v>
      </c>
      <c r="P182" s="10" t="n">
        <v>17.82</v>
      </c>
      <c r="Q182" s="8" t="n">
        <v>6959</v>
      </c>
      <c r="R182" s="8" t="n">
        <v>777</v>
      </c>
      <c r="S182" s="8" t="s">
        <v>255</v>
      </c>
      <c r="T182" s="8" t="s">
        <v>331</v>
      </c>
      <c r="U182" s="8" t="s">
        <v>332</v>
      </c>
      <c r="V182" s="8"/>
      <c r="W182" s="8" t="s">
        <v>333</v>
      </c>
      <c r="X182" s="8" t="s">
        <v>334</v>
      </c>
      <c r="Y182" s="8" t="s">
        <v>1642</v>
      </c>
      <c r="Z182" s="8" t="s">
        <v>1643</v>
      </c>
    </row>
    <row r="183" customFormat="false" ht="15" hidden="false" customHeight="false" outlineLevel="0" collapsed="false">
      <c r="A183" s="8" t="s">
        <v>330</v>
      </c>
      <c r="B183" s="8" t="s">
        <v>17</v>
      </c>
      <c r="C183" s="8" t="s">
        <v>18</v>
      </c>
      <c r="D183" s="8" t="s">
        <v>615</v>
      </c>
      <c r="E183" s="8" t="s">
        <v>37</v>
      </c>
      <c r="F183" s="8" t="s">
        <v>45</v>
      </c>
      <c r="G183" s="8" t="s">
        <v>31</v>
      </c>
      <c r="H183" s="8" t="s">
        <v>31</v>
      </c>
      <c r="I183" s="8" t="n">
        <f aca="false">IF(EXACT(G183,H183),1,0)</f>
        <v>1</v>
      </c>
      <c r="J183" s="8" t="n">
        <v>1</v>
      </c>
      <c r="K183" s="8" t="s">
        <v>737</v>
      </c>
      <c r="L183" s="8" t="n">
        <v>1</v>
      </c>
      <c r="M183" s="8" t="n">
        <v>3</v>
      </c>
      <c r="N183" s="8" t="s">
        <v>1641</v>
      </c>
      <c r="O183" s="8" t="n">
        <v>2</v>
      </c>
      <c r="P183" s="10" t="n">
        <v>14.74</v>
      </c>
      <c r="Q183" s="8" t="n">
        <v>6959</v>
      </c>
      <c r="R183" s="8" t="n">
        <v>634</v>
      </c>
      <c r="S183" s="8" t="s">
        <v>255</v>
      </c>
      <c r="T183" s="8" t="s">
        <v>331</v>
      </c>
      <c r="U183" s="8" t="s">
        <v>332</v>
      </c>
      <c r="V183" s="8"/>
      <c r="W183" s="8" t="s">
        <v>333</v>
      </c>
      <c r="X183" s="8" t="s">
        <v>334</v>
      </c>
      <c r="Y183" s="8" t="s">
        <v>1644</v>
      </c>
      <c r="Z183" s="8" t="s">
        <v>1645</v>
      </c>
    </row>
    <row r="184" customFormat="false" ht="15" hidden="false" customHeight="false" outlineLevel="0" collapsed="false">
      <c r="A184" s="8" t="s">
        <v>330</v>
      </c>
      <c r="B184" s="8" t="s">
        <v>17</v>
      </c>
      <c r="C184" s="8" t="s">
        <v>18</v>
      </c>
      <c r="D184" s="8" t="s">
        <v>615</v>
      </c>
      <c r="E184" s="8" t="s">
        <v>37</v>
      </c>
      <c r="F184" s="8" t="s">
        <v>45</v>
      </c>
      <c r="G184" s="8" t="s">
        <v>31</v>
      </c>
      <c r="H184" s="8" t="s">
        <v>31</v>
      </c>
      <c r="I184" s="8" t="n">
        <f aca="false">IF(EXACT(G184,H184),1,0)</f>
        <v>1</v>
      </c>
      <c r="J184" s="8" t="n">
        <v>2</v>
      </c>
      <c r="K184" s="8" t="s">
        <v>737</v>
      </c>
      <c r="L184" s="8" t="n">
        <v>1</v>
      </c>
      <c r="M184" s="8" t="n">
        <v>3</v>
      </c>
      <c r="N184" s="8" t="s">
        <v>1641</v>
      </c>
      <c r="O184" s="8" t="n">
        <v>2</v>
      </c>
      <c r="P184" s="10" t="n">
        <v>14.75</v>
      </c>
      <c r="Q184" s="8" t="n">
        <v>6959</v>
      </c>
      <c r="R184" s="8" t="n">
        <v>606</v>
      </c>
      <c r="S184" s="8" t="s">
        <v>255</v>
      </c>
      <c r="T184" s="8" t="s">
        <v>331</v>
      </c>
      <c r="U184" s="8" t="s">
        <v>332</v>
      </c>
      <c r="V184" s="8"/>
      <c r="W184" s="8" t="s">
        <v>333</v>
      </c>
      <c r="X184" s="8" t="s">
        <v>334</v>
      </c>
      <c r="Y184" s="8" t="s">
        <v>1646</v>
      </c>
      <c r="Z184" s="8" t="s">
        <v>1647</v>
      </c>
    </row>
    <row r="185" customFormat="false" ht="15" hidden="false" customHeight="false" outlineLevel="0" collapsed="false">
      <c r="A185" s="8" t="s">
        <v>336</v>
      </c>
      <c r="B185" s="8" t="s">
        <v>17</v>
      </c>
      <c r="C185" s="8" t="s">
        <v>18</v>
      </c>
      <c r="D185" s="8" t="s">
        <v>615</v>
      </c>
      <c r="E185" s="8" t="s">
        <v>37</v>
      </c>
      <c r="F185" s="8" t="s">
        <v>45</v>
      </c>
      <c r="G185" s="8" t="s">
        <v>32</v>
      </c>
      <c r="H185" s="8" t="s">
        <v>32</v>
      </c>
      <c r="I185" s="8" t="n">
        <f aca="false">IF(EXACT(G185,H185),1,0)</f>
        <v>1</v>
      </c>
      <c r="J185" s="8" t="n">
        <v>0</v>
      </c>
      <c r="K185" s="8" t="s">
        <v>92</v>
      </c>
      <c r="L185" s="8" t="n">
        <v>0</v>
      </c>
      <c r="M185" s="8" t="n">
        <v>3</v>
      </c>
      <c r="N185" s="8" t="s">
        <v>1641</v>
      </c>
      <c r="O185" s="8" t="n">
        <v>2</v>
      </c>
      <c r="P185" s="10" t="n">
        <v>15.97</v>
      </c>
      <c r="Q185" s="8" t="n">
        <v>7278</v>
      </c>
      <c r="R185" s="8" t="n">
        <v>810</v>
      </c>
      <c r="S185" s="8" t="s">
        <v>94</v>
      </c>
      <c r="T185" s="8" t="s">
        <v>337</v>
      </c>
      <c r="U185" s="8" t="s">
        <v>338</v>
      </c>
      <c r="V185" s="8"/>
      <c r="W185" s="8" t="s">
        <v>339</v>
      </c>
      <c r="X185" s="8" t="s">
        <v>340</v>
      </c>
      <c r="Y185" s="8" t="s">
        <v>1648</v>
      </c>
      <c r="Z185" s="8"/>
    </row>
    <row r="186" customFormat="false" ht="15" hidden="false" customHeight="false" outlineLevel="0" collapsed="false">
      <c r="A186" s="8" t="s">
        <v>336</v>
      </c>
      <c r="B186" s="8" t="s">
        <v>17</v>
      </c>
      <c r="C186" s="8" t="s">
        <v>18</v>
      </c>
      <c r="D186" s="8" t="s">
        <v>615</v>
      </c>
      <c r="E186" s="8" t="s">
        <v>37</v>
      </c>
      <c r="F186" s="8" t="s">
        <v>45</v>
      </c>
      <c r="G186" s="8" t="s">
        <v>32</v>
      </c>
      <c r="H186" s="8" t="s">
        <v>32</v>
      </c>
      <c r="I186" s="8" t="n">
        <f aca="false">IF(EXACT(G186,H186),1,0)</f>
        <v>1</v>
      </c>
      <c r="J186" s="8" t="n">
        <v>1</v>
      </c>
      <c r="K186" s="8" t="s">
        <v>92</v>
      </c>
      <c r="L186" s="8" t="n">
        <v>0</v>
      </c>
      <c r="M186" s="8" t="n">
        <v>3</v>
      </c>
      <c r="N186" s="8" t="s">
        <v>1641</v>
      </c>
      <c r="O186" s="8" t="n">
        <v>2</v>
      </c>
      <c r="P186" s="10" t="n">
        <v>15.67</v>
      </c>
      <c r="Q186" s="8" t="n">
        <v>7278</v>
      </c>
      <c r="R186" s="8" t="n">
        <v>802</v>
      </c>
      <c r="S186" s="8" t="s">
        <v>94</v>
      </c>
      <c r="T186" s="8" t="s">
        <v>337</v>
      </c>
      <c r="U186" s="8" t="s">
        <v>338</v>
      </c>
      <c r="V186" s="8"/>
      <c r="W186" s="8" t="s">
        <v>339</v>
      </c>
      <c r="X186" s="8" t="s">
        <v>340</v>
      </c>
      <c r="Y186" s="8" t="s">
        <v>1649</v>
      </c>
      <c r="Z186" s="8"/>
    </row>
    <row r="187" customFormat="false" ht="15" hidden="false" customHeight="false" outlineLevel="0" collapsed="false">
      <c r="A187" s="8" t="s">
        <v>336</v>
      </c>
      <c r="B187" s="8" t="s">
        <v>17</v>
      </c>
      <c r="C187" s="8" t="s">
        <v>18</v>
      </c>
      <c r="D187" s="8" t="s">
        <v>615</v>
      </c>
      <c r="E187" s="8" t="s">
        <v>37</v>
      </c>
      <c r="F187" s="8" t="s">
        <v>45</v>
      </c>
      <c r="G187" s="8" t="s">
        <v>32</v>
      </c>
      <c r="H187" s="8" t="s">
        <v>32</v>
      </c>
      <c r="I187" s="8" t="n">
        <f aca="false">IF(EXACT(G187,H187),1,0)</f>
        <v>1</v>
      </c>
      <c r="J187" s="8" t="n">
        <v>2</v>
      </c>
      <c r="K187" s="8" t="s">
        <v>92</v>
      </c>
      <c r="L187" s="8" t="n">
        <v>0</v>
      </c>
      <c r="M187" s="8" t="n">
        <v>3</v>
      </c>
      <c r="N187" s="8" t="s">
        <v>1641</v>
      </c>
      <c r="O187" s="8" t="n">
        <v>2</v>
      </c>
      <c r="P187" s="10" t="n">
        <v>15.08</v>
      </c>
      <c r="Q187" s="8" t="n">
        <v>7278</v>
      </c>
      <c r="R187" s="8" t="n">
        <v>804</v>
      </c>
      <c r="S187" s="8" t="s">
        <v>94</v>
      </c>
      <c r="T187" s="8" t="s">
        <v>337</v>
      </c>
      <c r="U187" s="8" t="s">
        <v>338</v>
      </c>
      <c r="V187" s="8"/>
      <c r="W187" s="8" t="s">
        <v>339</v>
      </c>
      <c r="X187" s="8" t="s">
        <v>340</v>
      </c>
      <c r="Y187" s="8" t="s">
        <v>1650</v>
      </c>
      <c r="Z187" s="8"/>
    </row>
    <row r="188" customFormat="false" ht="15" hidden="false" customHeight="false" outlineLevel="0" collapsed="false">
      <c r="A188" s="8" t="s">
        <v>341</v>
      </c>
      <c r="B188" s="8" t="s">
        <v>17</v>
      </c>
      <c r="C188" s="8" t="s">
        <v>18</v>
      </c>
      <c r="D188" s="8" t="s">
        <v>615</v>
      </c>
      <c r="E188" s="8" t="s">
        <v>37</v>
      </c>
      <c r="F188" s="8" t="s">
        <v>45</v>
      </c>
      <c r="G188" s="8" t="s">
        <v>32</v>
      </c>
      <c r="H188" s="8" t="s">
        <v>32</v>
      </c>
      <c r="I188" s="8" t="n">
        <f aca="false">IF(EXACT(G188,H188),1,0)</f>
        <v>1</v>
      </c>
      <c r="J188" s="8" t="n">
        <v>0</v>
      </c>
      <c r="K188" s="8" t="s">
        <v>92</v>
      </c>
      <c r="L188" s="8" t="n">
        <v>0</v>
      </c>
      <c r="M188" s="8" t="n">
        <v>3</v>
      </c>
      <c r="N188" s="8" t="s">
        <v>1641</v>
      </c>
      <c r="O188" s="8" t="n">
        <v>2</v>
      </c>
      <c r="P188" s="10" t="n">
        <v>18.02</v>
      </c>
      <c r="Q188" s="8" t="n">
        <v>7109</v>
      </c>
      <c r="R188" s="8" t="n">
        <v>819</v>
      </c>
      <c r="S188" s="8" t="s">
        <v>125</v>
      </c>
      <c r="T188" s="8" t="s">
        <v>342</v>
      </c>
      <c r="U188" s="8" t="s">
        <v>343</v>
      </c>
      <c r="V188" s="8"/>
      <c r="W188" s="8" t="s">
        <v>344</v>
      </c>
      <c r="X188" s="8" t="s">
        <v>345</v>
      </c>
      <c r="Y188" s="8" t="s">
        <v>1651</v>
      </c>
      <c r="Z188" s="8"/>
    </row>
    <row r="189" customFormat="false" ht="15" hidden="false" customHeight="false" outlineLevel="0" collapsed="false">
      <c r="A189" s="8" t="s">
        <v>341</v>
      </c>
      <c r="B189" s="8" t="s">
        <v>17</v>
      </c>
      <c r="C189" s="8" t="s">
        <v>18</v>
      </c>
      <c r="D189" s="8" t="s">
        <v>615</v>
      </c>
      <c r="E189" s="8" t="s">
        <v>37</v>
      </c>
      <c r="F189" s="8" t="s">
        <v>45</v>
      </c>
      <c r="G189" s="8" t="s">
        <v>32</v>
      </c>
      <c r="H189" s="8" t="s">
        <v>32</v>
      </c>
      <c r="I189" s="8" t="n">
        <f aca="false">IF(EXACT(G189,H189),1,0)</f>
        <v>1</v>
      </c>
      <c r="J189" s="8" t="n">
        <v>1</v>
      </c>
      <c r="K189" s="8" t="s">
        <v>92</v>
      </c>
      <c r="L189" s="8" t="n">
        <v>0</v>
      </c>
      <c r="M189" s="8" t="n">
        <v>3</v>
      </c>
      <c r="N189" s="8" t="s">
        <v>1641</v>
      </c>
      <c r="O189" s="8" t="n">
        <v>2</v>
      </c>
      <c r="P189" s="10" t="n">
        <v>17.3</v>
      </c>
      <c r="Q189" s="8" t="n">
        <v>7100</v>
      </c>
      <c r="R189" s="8" t="n">
        <v>813</v>
      </c>
      <c r="S189" s="8" t="s">
        <v>125</v>
      </c>
      <c r="T189" s="8" t="s">
        <v>342</v>
      </c>
      <c r="U189" s="8" t="s">
        <v>343</v>
      </c>
      <c r="V189" s="8"/>
      <c r="W189" s="8" t="s">
        <v>344</v>
      </c>
      <c r="X189" s="8" t="s">
        <v>345</v>
      </c>
      <c r="Y189" s="8" t="s">
        <v>1652</v>
      </c>
      <c r="Z189" s="8"/>
    </row>
    <row r="190" customFormat="false" ht="15" hidden="false" customHeight="false" outlineLevel="0" collapsed="false">
      <c r="A190" s="8" t="s">
        <v>341</v>
      </c>
      <c r="B190" s="8" t="s">
        <v>17</v>
      </c>
      <c r="C190" s="8" t="s">
        <v>18</v>
      </c>
      <c r="D190" s="8" t="s">
        <v>615</v>
      </c>
      <c r="E190" s="8" t="s">
        <v>37</v>
      </c>
      <c r="F190" s="8" t="s">
        <v>45</v>
      </c>
      <c r="G190" s="8" t="s">
        <v>32</v>
      </c>
      <c r="H190" s="8" t="s">
        <v>32</v>
      </c>
      <c r="I190" s="8" t="n">
        <f aca="false">IF(EXACT(G190,H190),1,0)</f>
        <v>1</v>
      </c>
      <c r="J190" s="8" t="n">
        <v>2</v>
      </c>
      <c r="K190" s="8" t="s">
        <v>92</v>
      </c>
      <c r="L190" s="8" t="n">
        <v>0</v>
      </c>
      <c r="M190" s="8" t="n">
        <v>3</v>
      </c>
      <c r="N190" s="8" t="s">
        <v>1641</v>
      </c>
      <c r="O190" s="8" t="n">
        <v>2</v>
      </c>
      <c r="P190" s="10" t="n">
        <v>17.82</v>
      </c>
      <c r="Q190" s="8" t="n">
        <v>7108</v>
      </c>
      <c r="R190" s="8" t="n">
        <v>829</v>
      </c>
      <c r="S190" s="8" t="s">
        <v>125</v>
      </c>
      <c r="T190" s="8" t="s">
        <v>342</v>
      </c>
      <c r="U190" s="8" t="s">
        <v>343</v>
      </c>
      <c r="V190" s="8"/>
      <c r="W190" s="8" t="s">
        <v>344</v>
      </c>
      <c r="X190" s="8" t="s">
        <v>345</v>
      </c>
      <c r="Y190" s="8" t="s">
        <v>1653</v>
      </c>
      <c r="Z190" s="8"/>
    </row>
    <row r="191" customFormat="false" ht="15" hidden="false" customHeight="false" outlineLevel="0" collapsed="false">
      <c r="A191" s="8" t="s">
        <v>346</v>
      </c>
      <c r="B191" s="8" t="s">
        <v>17</v>
      </c>
      <c r="C191" s="8" t="s">
        <v>18</v>
      </c>
      <c r="D191" s="8" t="s">
        <v>615</v>
      </c>
      <c r="E191" s="8" t="s">
        <v>37</v>
      </c>
      <c r="F191" s="8" t="s">
        <v>45</v>
      </c>
      <c r="G191" s="8" t="s">
        <v>31</v>
      </c>
      <c r="H191" s="8" t="s">
        <v>31</v>
      </c>
      <c r="I191" s="8" t="n">
        <f aca="false">IF(EXACT(G191,H191),1,0)</f>
        <v>1</v>
      </c>
      <c r="J191" s="8" t="n">
        <v>0</v>
      </c>
      <c r="K191" s="8" t="s">
        <v>737</v>
      </c>
      <c r="L191" s="8" t="n">
        <v>1</v>
      </c>
      <c r="M191" s="8" t="n">
        <v>3</v>
      </c>
      <c r="N191" s="8" t="s">
        <v>1641</v>
      </c>
      <c r="O191" s="8" t="n">
        <v>2</v>
      </c>
      <c r="P191" s="10" t="n">
        <v>17.41</v>
      </c>
      <c r="Q191" s="8" t="n">
        <v>7004</v>
      </c>
      <c r="R191" s="8" t="n">
        <v>665</v>
      </c>
      <c r="S191" s="8" t="s">
        <v>347</v>
      </c>
      <c r="T191" s="8" t="s">
        <v>331</v>
      </c>
      <c r="U191" s="8" t="s">
        <v>332</v>
      </c>
      <c r="V191" s="8"/>
      <c r="W191" s="8" t="s">
        <v>348</v>
      </c>
      <c r="X191" s="8" t="s">
        <v>349</v>
      </c>
      <c r="Y191" s="8" t="s">
        <v>1654</v>
      </c>
      <c r="Z191" s="8" t="s">
        <v>1655</v>
      </c>
    </row>
    <row r="192" customFormat="false" ht="15" hidden="false" customHeight="false" outlineLevel="0" collapsed="false">
      <c r="A192" s="8" t="s">
        <v>346</v>
      </c>
      <c r="B192" s="8" t="s">
        <v>17</v>
      </c>
      <c r="C192" s="8" t="s">
        <v>18</v>
      </c>
      <c r="D192" s="8" t="s">
        <v>615</v>
      </c>
      <c r="E192" s="8" t="s">
        <v>37</v>
      </c>
      <c r="F192" s="8" t="s">
        <v>45</v>
      </c>
      <c r="G192" s="8" t="s">
        <v>31</v>
      </c>
      <c r="H192" s="8" t="s">
        <v>31</v>
      </c>
      <c r="I192" s="8" t="n">
        <f aca="false">IF(EXACT(G192,H192),1,0)</f>
        <v>1</v>
      </c>
      <c r="J192" s="8" t="n">
        <v>1</v>
      </c>
      <c r="K192" s="8" t="s">
        <v>737</v>
      </c>
      <c r="L192" s="8" t="n">
        <v>1</v>
      </c>
      <c r="M192" s="8" t="n">
        <v>3</v>
      </c>
      <c r="N192" s="8" t="s">
        <v>1641</v>
      </c>
      <c r="O192" s="8" t="n">
        <v>2</v>
      </c>
      <c r="P192" s="10" t="n">
        <v>15.97</v>
      </c>
      <c r="Q192" s="8" t="n">
        <v>7004</v>
      </c>
      <c r="R192" s="8" t="n">
        <v>655</v>
      </c>
      <c r="S192" s="8" t="s">
        <v>347</v>
      </c>
      <c r="T192" s="8" t="s">
        <v>331</v>
      </c>
      <c r="U192" s="8" t="s">
        <v>332</v>
      </c>
      <c r="V192" s="8"/>
      <c r="W192" s="8" t="s">
        <v>348</v>
      </c>
      <c r="X192" s="8" t="s">
        <v>349</v>
      </c>
      <c r="Y192" s="8" t="s">
        <v>1654</v>
      </c>
      <c r="Z192" s="8" t="s">
        <v>1656</v>
      </c>
    </row>
    <row r="193" customFormat="false" ht="15" hidden="false" customHeight="false" outlineLevel="0" collapsed="false">
      <c r="A193" s="8" t="s">
        <v>346</v>
      </c>
      <c r="B193" s="8" t="s">
        <v>17</v>
      </c>
      <c r="C193" s="8" t="s">
        <v>18</v>
      </c>
      <c r="D193" s="8" t="s">
        <v>615</v>
      </c>
      <c r="E193" s="8" t="s">
        <v>37</v>
      </c>
      <c r="F193" s="8" t="s">
        <v>45</v>
      </c>
      <c r="G193" s="8" t="s">
        <v>31</v>
      </c>
      <c r="H193" s="8" t="s">
        <v>31</v>
      </c>
      <c r="I193" s="8" t="n">
        <f aca="false">IF(EXACT(G193,H193),1,0)</f>
        <v>1</v>
      </c>
      <c r="J193" s="8" t="n">
        <v>2</v>
      </c>
      <c r="K193" s="8" t="s">
        <v>737</v>
      </c>
      <c r="L193" s="8" t="n">
        <v>1</v>
      </c>
      <c r="M193" s="8" t="n">
        <v>3</v>
      </c>
      <c r="N193" s="8" t="s">
        <v>1641</v>
      </c>
      <c r="O193" s="8" t="n">
        <v>2</v>
      </c>
      <c r="P193" s="10" t="n">
        <v>15.13</v>
      </c>
      <c r="Q193" s="8" t="n">
        <v>7004</v>
      </c>
      <c r="R193" s="8" t="n">
        <v>658</v>
      </c>
      <c r="S193" s="8" t="s">
        <v>347</v>
      </c>
      <c r="T193" s="8" t="s">
        <v>331</v>
      </c>
      <c r="U193" s="8" t="s">
        <v>332</v>
      </c>
      <c r="V193" s="8"/>
      <c r="W193" s="8" t="s">
        <v>348</v>
      </c>
      <c r="X193" s="8" t="s">
        <v>349</v>
      </c>
      <c r="Y193" s="8" t="s">
        <v>1654</v>
      </c>
      <c r="Z193" s="8" t="s">
        <v>1657</v>
      </c>
    </row>
    <row r="194" customFormat="false" ht="15" hidden="false" customHeight="false" outlineLevel="0" collapsed="false">
      <c r="A194" s="8" t="s">
        <v>351</v>
      </c>
      <c r="B194" s="8" t="s">
        <v>17</v>
      </c>
      <c r="C194" s="8" t="s">
        <v>18</v>
      </c>
      <c r="D194" s="8" t="s">
        <v>615</v>
      </c>
      <c r="E194" s="8" t="s">
        <v>37</v>
      </c>
      <c r="F194" s="8" t="s">
        <v>45</v>
      </c>
      <c r="G194" s="8" t="s">
        <v>30</v>
      </c>
      <c r="H194" s="8" t="s">
        <v>31</v>
      </c>
      <c r="I194" s="8" t="n">
        <f aca="false">IF(EXACT(G194,H194),1,0)</f>
        <v>0</v>
      </c>
      <c r="J194" s="8" t="n">
        <v>0</v>
      </c>
      <c r="K194" s="8" t="s">
        <v>737</v>
      </c>
      <c r="L194" s="8" t="n">
        <v>2</v>
      </c>
      <c r="M194" s="8" t="n">
        <v>3</v>
      </c>
      <c r="N194" s="8" t="s">
        <v>1641</v>
      </c>
      <c r="O194" s="8" t="n">
        <v>2</v>
      </c>
      <c r="P194" s="10" t="n">
        <v>18.64</v>
      </c>
      <c r="Q194" s="8" t="n">
        <v>7309</v>
      </c>
      <c r="R194" s="8" t="n">
        <v>943</v>
      </c>
      <c r="S194" s="8" t="s">
        <v>110</v>
      </c>
      <c r="T194" s="8" t="s">
        <v>337</v>
      </c>
      <c r="U194" s="8" t="s">
        <v>338</v>
      </c>
      <c r="V194" s="8"/>
      <c r="W194" s="8" t="s">
        <v>352</v>
      </c>
      <c r="X194" s="8" t="s">
        <v>353</v>
      </c>
      <c r="Y194" s="8" t="s">
        <v>1658</v>
      </c>
      <c r="Z194" s="8" t="s">
        <v>1659</v>
      </c>
    </row>
    <row r="195" customFormat="false" ht="15" hidden="false" customHeight="false" outlineLevel="0" collapsed="false">
      <c r="A195" s="8" t="s">
        <v>351</v>
      </c>
      <c r="B195" s="8" t="s">
        <v>17</v>
      </c>
      <c r="C195" s="8" t="s">
        <v>18</v>
      </c>
      <c r="D195" s="8" t="s">
        <v>615</v>
      </c>
      <c r="E195" s="8" t="s">
        <v>37</v>
      </c>
      <c r="F195" s="8" t="s">
        <v>45</v>
      </c>
      <c r="G195" s="8" t="s">
        <v>30</v>
      </c>
      <c r="H195" s="8" t="s">
        <v>31</v>
      </c>
      <c r="I195" s="8" t="n">
        <f aca="false">IF(EXACT(G195,H195),1,0)</f>
        <v>0</v>
      </c>
      <c r="J195" s="8" t="n">
        <v>1</v>
      </c>
      <c r="K195" s="8" t="s">
        <v>737</v>
      </c>
      <c r="L195" s="8" t="n">
        <v>2</v>
      </c>
      <c r="M195" s="8" t="n">
        <v>3</v>
      </c>
      <c r="N195" s="8" t="s">
        <v>1641</v>
      </c>
      <c r="O195" s="8" t="n">
        <v>2</v>
      </c>
      <c r="P195" s="10" t="n">
        <v>19.05</v>
      </c>
      <c r="Q195" s="8" t="n">
        <v>7315</v>
      </c>
      <c r="R195" s="8" t="n">
        <v>952</v>
      </c>
      <c r="S195" s="8" t="s">
        <v>110</v>
      </c>
      <c r="T195" s="8" t="s">
        <v>337</v>
      </c>
      <c r="U195" s="8" t="s">
        <v>338</v>
      </c>
      <c r="V195" s="8"/>
      <c r="W195" s="8" t="s">
        <v>352</v>
      </c>
      <c r="X195" s="8" t="s">
        <v>353</v>
      </c>
      <c r="Y195" s="8" t="s">
        <v>1660</v>
      </c>
      <c r="Z195" s="8" t="s">
        <v>1661</v>
      </c>
    </row>
    <row r="196" customFormat="false" ht="15" hidden="false" customHeight="false" outlineLevel="0" collapsed="false">
      <c r="A196" s="8" t="s">
        <v>351</v>
      </c>
      <c r="B196" s="8" t="s">
        <v>17</v>
      </c>
      <c r="C196" s="8" t="s">
        <v>18</v>
      </c>
      <c r="D196" s="8" t="s">
        <v>615</v>
      </c>
      <c r="E196" s="8" t="s">
        <v>37</v>
      </c>
      <c r="F196" s="8" t="s">
        <v>45</v>
      </c>
      <c r="G196" s="8" t="s">
        <v>30</v>
      </c>
      <c r="H196" s="8" t="s">
        <v>31</v>
      </c>
      <c r="I196" s="8" t="n">
        <f aca="false">IF(EXACT(G196,H196),1,0)</f>
        <v>0</v>
      </c>
      <c r="J196" s="8" t="n">
        <v>2</v>
      </c>
      <c r="K196" s="8" t="s">
        <v>737</v>
      </c>
      <c r="L196" s="8" t="n">
        <v>2</v>
      </c>
      <c r="M196" s="8" t="n">
        <v>3</v>
      </c>
      <c r="N196" s="8" t="s">
        <v>1641</v>
      </c>
      <c r="O196" s="8" t="n">
        <v>2</v>
      </c>
      <c r="P196" s="10" t="n">
        <v>19.76</v>
      </c>
      <c r="Q196" s="8" t="n">
        <v>7315</v>
      </c>
      <c r="R196" s="8" t="n">
        <v>1000</v>
      </c>
      <c r="S196" s="8" t="s">
        <v>110</v>
      </c>
      <c r="T196" s="8" t="s">
        <v>337</v>
      </c>
      <c r="U196" s="8" t="s">
        <v>338</v>
      </c>
      <c r="V196" s="8"/>
      <c r="W196" s="8" t="s">
        <v>352</v>
      </c>
      <c r="X196" s="8" t="s">
        <v>353</v>
      </c>
      <c r="Y196" s="8" t="s">
        <v>1662</v>
      </c>
      <c r="Z196" s="8" t="s">
        <v>1663</v>
      </c>
    </row>
    <row r="197" customFormat="false" ht="15" hidden="false" customHeight="false" outlineLevel="0" collapsed="false">
      <c r="A197" s="8" t="s">
        <v>354</v>
      </c>
      <c r="B197" s="8" t="s">
        <v>17</v>
      </c>
      <c r="C197" s="8" t="s">
        <v>18</v>
      </c>
      <c r="D197" s="8" t="s">
        <v>615</v>
      </c>
      <c r="E197" s="8" t="s">
        <v>37</v>
      </c>
      <c r="F197" s="8" t="s">
        <v>45</v>
      </c>
      <c r="G197" s="8" t="s">
        <v>30</v>
      </c>
      <c r="H197" s="8" t="s">
        <v>32</v>
      </c>
      <c r="I197" s="8" t="n">
        <f aca="false">IF(EXACT(G197,H197),1,0)</f>
        <v>0</v>
      </c>
      <c r="J197" s="8" t="n">
        <v>0</v>
      </c>
      <c r="K197" s="8" t="s">
        <v>92</v>
      </c>
      <c r="L197" s="8" t="n">
        <v>0</v>
      </c>
      <c r="M197" s="8" t="n">
        <v>3</v>
      </c>
      <c r="N197" s="8" t="s">
        <v>1641</v>
      </c>
      <c r="O197" s="8" t="n">
        <v>2</v>
      </c>
      <c r="P197" s="10" t="n">
        <v>20.58</v>
      </c>
      <c r="Q197" s="8" t="n">
        <v>7279</v>
      </c>
      <c r="R197" s="8" t="n">
        <v>959</v>
      </c>
      <c r="S197" s="8" t="s">
        <v>216</v>
      </c>
      <c r="T197" s="8" t="s">
        <v>355</v>
      </c>
      <c r="U197" s="8" t="s">
        <v>356</v>
      </c>
      <c r="V197" s="8"/>
      <c r="W197" s="8" t="s">
        <v>357</v>
      </c>
      <c r="X197" s="8" t="s">
        <v>358</v>
      </c>
      <c r="Y197" s="8" t="s">
        <v>1664</v>
      </c>
      <c r="Z197" s="8"/>
    </row>
    <row r="198" customFormat="false" ht="15" hidden="false" customHeight="false" outlineLevel="0" collapsed="false">
      <c r="A198" s="8" t="s">
        <v>354</v>
      </c>
      <c r="B198" s="8" t="s">
        <v>17</v>
      </c>
      <c r="C198" s="8" t="s">
        <v>18</v>
      </c>
      <c r="D198" s="8" t="s">
        <v>615</v>
      </c>
      <c r="E198" s="8" t="s">
        <v>37</v>
      </c>
      <c r="F198" s="8" t="s">
        <v>45</v>
      </c>
      <c r="G198" s="8" t="s">
        <v>30</v>
      </c>
      <c r="H198" s="8" t="s">
        <v>31</v>
      </c>
      <c r="I198" s="8" t="n">
        <f aca="false">IF(EXACT(G198,H198),1,0)</f>
        <v>0</v>
      </c>
      <c r="J198" s="8" t="n">
        <v>1</v>
      </c>
      <c r="K198" s="8" t="s">
        <v>737</v>
      </c>
      <c r="L198" s="8" t="n">
        <v>1</v>
      </c>
      <c r="M198" s="8" t="n">
        <v>3</v>
      </c>
      <c r="N198" s="8" t="s">
        <v>1641</v>
      </c>
      <c r="O198" s="8" t="n">
        <v>2</v>
      </c>
      <c r="P198" s="10" t="n">
        <v>16.89</v>
      </c>
      <c r="Q198" s="8" t="n">
        <v>7270</v>
      </c>
      <c r="R198" s="8" t="n">
        <v>808</v>
      </c>
      <c r="S198" s="8" t="s">
        <v>216</v>
      </c>
      <c r="T198" s="8" t="s">
        <v>355</v>
      </c>
      <c r="U198" s="8" t="s">
        <v>356</v>
      </c>
      <c r="V198" s="8"/>
      <c r="W198" s="8" t="s">
        <v>357</v>
      </c>
      <c r="X198" s="8" t="s">
        <v>358</v>
      </c>
      <c r="Y198" s="8" t="s">
        <v>1665</v>
      </c>
      <c r="Z198" s="8" t="s">
        <v>1666</v>
      </c>
    </row>
    <row r="199" customFormat="false" ht="15" hidden="false" customHeight="false" outlineLevel="0" collapsed="false">
      <c r="A199" s="8" t="s">
        <v>354</v>
      </c>
      <c r="B199" s="8" t="s">
        <v>17</v>
      </c>
      <c r="C199" s="8" t="s">
        <v>18</v>
      </c>
      <c r="D199" s="8" t="s">
        <v>615</v>
      </c>
      <c r="E199" s="8" t="s">
        <v>37</v>
      </c>
      <c r="F199" s="8" t="s">
        <v>45</v>
      </c>
      <c r="G199" s="8" t="s">
        <v>30</v>
      </c>
      <c r="H199" s="8" t="s">
        <v>31</v>
      </c>
      <c r="I199" s="8" t="n">
        <f aca="false">IF(EXACT(G199,H199),1,0)</f>
        <v>0</v>
      </c>
      <c r="J199" s="8" t="n">
        <v>2</v>
      </c>
      <c r="K199" s="8" t="s">
        <v>737</v>
      </c>
      <c r="L199" s="8" t="n">
        <v>1</v>
      </c>
      <c r="M199" s="8" t="n">
        <v>3</v>
      </c>
      <c r="N199" s="8" t="s">
        <v>1641</v>
      </c>
      <c r="O199" s="8" t="n">
        <v>2</v>
      </c>
      <c r="P199" s="10" t="n">
        <v>16.52</v>
      </c>
      <c r="Q199" s="8" t="n">
        <v>7270</v>
      </c>
      <c r="R199" s="8" t="n">
        <v>797</v>
      </c>
      <c r="S199" s="8" t="s">
        <v>216</v>
      </c>
      <c r="T199" s="8" t="s">
        <v>355</v>
      </c>
      <c r="U199" s="8" t="s">
        <v>356</v>
      </c>
      <c r="V199" s="8"/>
      <c r="W199" s="8" t="s">
        <v>357</v>
      </c>
      <c r="X199" s="8" t="s">
        <v>358</v>
      </c>
      <c r="Y199" s="8" t="s">
        <v>1667</v>
      </c>
      <c r="Z199" s="8" t="s">
        <v>1668</v>
      </c>
    </row>
    <row r="200" customFormat="false" ht="15" hidden="false" customHeight="false" outlineLevel="0" collapsed="false">
      <c r="A200" s="8" t="s">
        <v>290</v>
      </c>
      <c r="B200" s="8" t="s">
        <v>17</v>
      </c>
      <c r="C200" s="8" t="s">
        <v>18</v>
      </c>
      <c r="D200" s="8" t="s">
        <v>615</v>
      </c>
      <c r="E200" s="8" t="s">
        <v>37</v>
      </c>
      <c r="F200" s="8" t="s">
        <v>51</v>
      </c>
      <c r="G200" s="8" t="s">
        <v>32</v>
      </c>
      <c r="H200" s="8" t="s">
        <v>31</v>
      </c>
      <c r="I200" s="8" t="n">
        <f aca="false">IF(EXACT(G200,H200),1,0)</f>
        <v>0</v>
      </c>
      <c r="J200" s="8" t="n">
        <v>0</v>
      </c>
      <c r="K200" s="8" t="s">
        <v>737</v>
      </c>
      <c r="L200" s="8" t="n">
        <v>2</v>
      </c>
      <c r="M200" s="8" t="n">
        <v>3</v>
      </c>
      <c r="N200" s="8" t="s">
        <v>1641</v>
      </c>
      <c r="O200" s="8" t="n">
        <v>2</v>
      </c>
      <c r="P200" s="10" t="n">
        <v>18.36</v>
      </c>
      <c r="Q200" s="8" t="n">
        <v>7135</v>
      </c>
      <c r="R200" s="8" t="n">
        <v>850</v>
      </c>
      <c r="S200" s="8" t="s">
        <v>101</v>
      </c>
      <c r="T200" s="8" t="s">
        <v>291</v>
      </c>
      <c r="U200" s="8" t="s">
        <v>292</v>
      </c>
      <c r="V200" s="8"/>
      <c r="W200" s="8" t="s">
        <v>293</v>
      </c>
      <c r="X200" s="8" t="s">
        <v>359</v>
      </c>
      <c r="Y200" s="8" t="s">
        <v>1669</v>
      </c>
      <c r="Z200" s="8" t="s">
        <v>1670</v>
      </c>
    </row>
    <row r="201" customFormat="false" ht="15" hidden="false" customHeight="false" outlineLevel="0" collapsed="false">
      <c r="A201" s="8" t="s">
        <v>290</v>
      </c>
      <c r="B201" s="8" t="s">
        <v>17</v>
      </c>
      <c r="C201" s="8" t="s">
        <v>18</v>
      </c>
      <c r="D201" s="8" t="s">
        <v>615</v>
      </c>
      <c r="E201" s="8" t="s">
        <v>37</v>
      </c>
      <c r="F201" s="8" t="s">
        <v>51</v>
      </c>
      <c r="G201" s="8" t="s">
        <v>32</v>
      </c>
      <c r="H201" s="8" t="s">
        <v>31</v>
      </c>
      <c r="I201" s="8" t="n">
        <f aca="false">IF(EXACT(G201,H201),1,0)</f>
        <v>0</v>
      </c>
      <c r="J201" s="8" t="n">
        <v>1</v>
      </c>
      <c r="K201" s="8" t="s">
        <v>737</v>
      </c>
      <c r="L201" s="8" t="n">
        <v>2</v>
      </c>
      <c r="M201" s="8" t="n">
        <v>3</v>
      </c>
      <c r="N201" s="8" t="s">
        <v>1641</v>
      </c>
      <c r="O201" s="8" t="n">
        <v>2</v>
      </c>
      <c r="P201" s="10" t="n">
        <v>18.01</v>
      </c>
      <c r="Q201" s="8" t="n">
        <v>7135</v>
      </c>
      <c r="R201" s="8" t="n">
        <v>838</v>
      </c>
      <c r="S201" s="8" t="s">
        <v>101</v>
      </c>
      <c r="T201" s="8" t="s">
        <v>291</v>
      </c>
      <c r="U201" s="8" t="s">
        <v>292</v>
      </c>
      <c r="V201" s="8"/>
      <c r="W201" s="8" t="s">
        <v>293</v>
      </c>
      <c r="X201" s="8" t="s">
        <v>359</v>
      </c>
      <c r="Y201" s="8" t="s">
        <v>1671</v>
      </c>
      <c r="Z201" s="8" t="s">
        <v>1672</v>
      </c>
    </row>
    <row r="202" customFormat="false" ht="15" hidden="false" customHeight="false" outlineLevel="0" collapsed="false">
      <c r="A202" s="8" t="s">
        <v>290</v>
      </c>
      <c r="B202" s="8" t="s">
        <v>17</v>
      </c>
      <c r="C202" s="8" t="s">
        <v>18</v>
      </c>
      <c r="D202" s="8" t="s">
        <v>615</v>
      </c>
      <c r="E202" s="8" t="s">
        <v>37</v>
      </c>
      <c r="F202" s="8" t="s">
        <v>51</v>
      </c>
      <c r="G202" s="8" t="s">
        <v>32</v>
      </c>
      <c r="H202" s="8" t="s">
        <v>31</v>
      </c>
      <c r="I202" s="8" t="n">
        <f aca="false">IF(EXACT(G202,H202),1,0)</f>
        <v>0</v>
      </c>
      <c r="J202" s="8" t="n">
        <v>2</v>
      </c>
      <c r="K202" s="8" t="s">
        <v>737</v>
      </c>
      <c r="L202" s="8" t="n">
        <v>1</v>
      </c>
      <c r="M202" s="8" t="n">
        <v>3</v>
      </c>
      <c r="N202" s="8" t="s">
        <v>1641</v>
      </c>
      <c r="O202" s="8" t="n">
        <v>2</v>
      </c>
      <c r="P202" s="10" t="n">
        <v>15.55</v>
      </c>
      <c r="Q202" s="8" t="n">
        <v>7131</v>
      </c>
      <c r="R202" s="8" t="n">
        <v>698</v>
      </c>
      <c r="S202" s="8" t="s">
        <v>101</v>
      </c>
      <c r="T202" s="8" t="s">
        <v>291</v>
      </c>
      <c r="U202" s="8" t="s">
        <v>292</v>
      </c>
      <c r="V202" s="8"/>
      <c r="W202" s="8" t="s">
        <v>293</v>
      </c>
      <c r="X202" s="8" t="s">
        <v>359</v>
      </c>
      <c r="Y202" s="8" t="s">
        <v>1673</v>
      </c>
      <c r="Z202" s="8" t="s">
        <v>1674</v>
      </c>
    </row>
    <row r="203" customFormat="false" ht="15" hidden="false" customHeight="false" outlineLevel="0" collapsed="false">
      <c r="A203" s="8" t="s">
        <v>295</v>
      </c>
      <c r="B203" s="8" t="s">
        <v>17</v>
      </c>
      <c r="C203" s="8" t="s">
        <v>18</v>
      </c>
      <c r="D203" s="8" t="s">
        <v>615</v>
      </c>
      <c r="E203" s="8" t="s">
        <v>37</v>
      </c>
      <c r="F203" s="8" t="s">
        <v>51</v>
      </c>
      <c r="G203" s="8" t="s">
        <v>30</v>
      </c>
      <c r="H203" s="8" t="s">
        <v>31</v>
      </c>
      <c r="I203" s="8" t="n">
        <f aca="false">IF(EXACT(G203,H203),1,0)</f>
        <v>0</v>
      </c>
      <c r="J203" s="8" t="n">
        <v>0</v>
      </c>
      <c r="K203" s="8" t="s">
        <v>737</v>
      </c>
      <c r="L203" s="8" t="n">
        <v>2</v>
      </c>
      <c r="M203" s="8" t="n">
        <v>3</v>
      </c>
      <c r="N203" s="8" t="s">
        <v>1641</v>
      </c>
      <c r="O203" s="8" t="n">
        <v>2</v>
      </c>
      <c r="P203" s="10" t="n">
        <v>20.18</v>
      </c>
      <c r="Q203" s="8" t="n">
        <v>7479</v>
      </c>
      <c r="R203" s="8" t="n">
        <v>1049</v>
      </c>
      <c r="S203" s="8" t="s">
        <v>110</v>
      </c>
      <c r="T203" s="8" t="s">
        <v>291</v>
      </c>
      <c r="U203" s="8" t="s">
        <v>292</v>
      </c>
      <c r="V203" s="8"/>
      <c r="W203" s="8" t="s">
        <v>296</v>
      </c>
      <c r="X203" s="8" t="s">
        <v>360</v>
      </c>
      <c r="Y203" s="8" t="s">
        <v>1675</v>
      </c>
      <c r="Z203" s="8" t="s">
        <v>1676</v>
      </c>
    </row>
    <row r="204" customFormat="false" ht="15" hidden="false" customHeight="false" outlineLevel="0" collapsed="false">
      <c r="A204" s="8" t="s">
        <v>295</v>
      </c>
      <c r="B204" s="8" t="s">
        <v>17</v>
      </c>
      <c r="C204" s="8" t="s">
        <v>18</v>
      </c>
      <c r="D204" s="8" t="s">
        <v>615</v>
      </c>
      <c r="E204" s="8" t="s">
        <v>37</v>
      </c>
      <c r="F204" s="8" t="s">
        <v>51</v>
      </c>
      <c r="G204" s="8" t="s">
        <v>30</v>
      </c>
      <c r="H204" s="8" t="s">
        <v>31</v>
      </c>
      <c r="I204" s="8" t="n">
        <f aca="false">IF(EXACT(G204,H204),1,0)</f>
        <v>0</v>
      </c>
      <c r="J204" s="8" t="n">
        <v>1</v>
      </c>
      <c r="K204" s="8" t="s">
        <v>737</v>
      </c>
      <c r="L204" s="8" t="n">
        <v>2</v>
      </c>
      <c r="M204" s="8" t="n">
        <v>3</v>
      </c>
      <c r="N204" s="8" t="s">
        <v>1641</v>
      </c>
      <c r="O204" s="8" t="n">
        <v>2</v>
      </c>
      <c r="P204" s="10" t="n">
        <v>19.96</v>
      </c>
      <c r="Q204" s="8" t="n">
        <v>7479</v>
      </c>
      <c r="R204" s="8" t="n">
        <v>1063</v>
      </c>
      <c r="S204" s="8" t="s">
        <v>110</v>
      </c>
      <c r="T204" s="8" t="s">
        <v>291</v>
      </c>
      <c r="U204" s="8" t="s">
        <v>292</v>
      </c>
      <c r="V204" s="8"/>
      <c r="W204" s="8" t="s">
        <v>296</v>
      </c>
      <c r="X204" s="8" t="s">
        <v>360</v>
      </c>
      <c r="Y204" s="8" t="s">
        <v>1677</v>
      </c>
      <c r="Z204" s="8" t="s">
        <v>1678</v>
      </c>
    </row>
    <row r="205" customFormat="false" ht="15" hidden="false" customHeight="false" outlineLevel="0" collapsed="false">
      <c r="A205" s="8" t="s">
        <v>295</v>
      </c>
      <c r="B205" s="8" t="s">
        <v>17</v>
      </c>
      <c r="C205" s="8" t="s">
        <v>18</v>
      </c>
      <c r="D205" s="8" t="s">
        <v>615</v>
      </c>
      <c r="E205" s="8" t="s">
        <v>37</v>
      </c>
      <c r="F205" s="8" t="s">
        <v>51</v>
      </c>
      <c r="G205" s="8" t="s">
        <v>30</v>
      </c>
      <c r="H205" s="8" t="s">
        <v>31</v>
      </c>
      <c r="I205" s="8" t="n">
        <f aca="false">IF(EXACT(G205,H205),1,0)</f>
        <v>0</v>
      </c>
      <c r="J205" s="8" t="n">
        <v>2</v>
      </c>
      <c r="K205" s="8" t="s">
        <v>737</v>
      </c>
      <c r="L205" s="8" t="n">
        <v>2</v>
      </c>
      <c r="M205" s="8" t="n">
        <v>3</v>
      </c>
      <c r="N205" s="8" t="s">
        <v>1641</v>
      </c>
      <c r="O205" s="8" t="n">
        <v>2</v>
      </c>
      <c r="P205" s="10" t="n">
        <v>20.16</v>
      </c>
      <c r="Q205" s="8" t="n">
        <v>7479</v>
      </c>
      <c r="R205" s="8" t="n">
        <v>1057</v>
      </c>
      <c r="S205" s="8" t="s">
        <v>110</v>
      </c>
      <c r="T205" s="8" t="s">
        <v>291</v>
      </c>
      <c r="U205" s="8" t="s">
        <v>292</v>
      </c>
      <c r="V205" s="8"/>
      <c r="W205" s="8" t="s">
        <v>296</v>
      </c>
      <c r="X205" s="8" t="s">
        <v>360</v>
      </c>
      <c r="Y205" s="8" t="s">
        <v>1679</v>
      </c>
      <c r="Z205" s="8" t="s">
        <v>1680</v>
      </c>
    </row>
    <row r="206" customFormat="false" ht="15" hidden="false" customHeight="false" outlineLevel="0" collapsed="false">
      <c r="A206" s="8" t="s">
        <v>298</v>
      </c>
      <c r="B206" s="8" t="s">
        <v>17</v>
      </c>
      <c r="C206" s="8" t="s">
        <v>18</v>
      </c>
      <c r="D206" s="8" t="s">
        <v>615</v>
      </c>
      <c r="E206" s="8" t="s">
        <v>37</v>
      </c>
      <c r="F206" s="8" t="s">
        <v>51</v>
      </c>
      <c r="G206" s="8" t="s">
        <v>30</v>
      </c>
      <c r="H206" s="8" t="s">
        <v>31</v>
      </c>
      <c r="I206" s="8" t="n">
        <f aca="false">IF(EXACT(G206,H206),1,0)</f>
        <v>0</v>
      </c>
      <c r="J206" s="8" t="n">
        <v>0</v>
      </c>
      <c r="K206" s="8" t="s">
        <v>737</v>
      </c>
      <c r="L206" s="8" t="n">
        <v>2</v>
      </c>
      <c r="M206" s="8" t="n">
        <v>3</v>
      </c>
      <c r="N206" s="8" t="s">
        <v>1641</v>
      </c>
      <c r="O206" s="8" t="n">
        <v>2</v>
      </c>
      <c r="P206" s="10" t="n">
        <v>20.56</v>
      </c>
      <c r="Q206" s="8" t="n">
        <v>7455</v>
      </c>
      <c r="R206" s="8" t="n">
        <v>1054</v>
      </c>
      <c r="S206" s="8" t="s">
        <v>150</v>
      </c>
      <c r="T206" s="8" t="s">
        <v>291</v>
      </c>
      <c r="U206" s="8" t="s">
        <v>292</v>
      </c>
      <c r="V206" s="8"/>
      <c r="W206" s="8" t="s">
        <v>299</v>
      </c>
      <c r="X206" s="8" t="s">
        <v>361</v>
      </c>
      <c r="Y206" s="8" t="s">
        <v>1681</v>
      </c>
      <c r="Z206" s="8" t="s">
        <v>1682</v>
      </c>
    </row>
    <row r="207" customFormat="false" ht="15" hidden="false" customHeight="false" outlineLevel="0" collapsed="false">
      <c r="A207" s="8" t="s">
        <v>298</v>
      </c>
      <c r="B207" s="8" t="s">
        <v>17</v>
      </c>
      <c r="C207" s="8" t="s">
        <v>18</v>
      </c>
      <c r="D207" s="8" t="s">
        <v>615</v>
      </c>
      <c r="E207" s="8" t="s">
        <v>37</v>
      </c>
      <c r="F207" s="8" t="s">
        <v>51</v>
      </c>
      <c r="G207" s="8" t="s">
        <v>30</v>
      </c>
      <c r="H207" s="8" t="s">
        <v>31</v>
      </c>
      <c r="I207" s="8" t="n">
        <f aca="false">IF(EXACT(G207,H207),1,0)</f>
        <v>0</v>
      </c>
      <c r="J207" s="8" t="n">
        <v>1</v>
      </c>
      <c r="K207" s="8" t="s">
        <v>737</v>
      </c>
      <c r="L207" s="8" t="n">
        <v>1</v>
      </c>
      <c r="M207" s="8" t="n">
        <v>3</v>
      </c>
      <c r="N207" s="8" t="s">
        <v>1641</v>
      </c>
      <c r="O207" s="8" t="n">
        <v>2</v>
      </c>
      <c r="P207" s="10" t="n">
        <v>17.4</v>
      </c>
      <c r="Q207" s="8" t="n">
        <v>7455</v>
      </c>
      <c r="R207" s="8" t="n">
        <v>926</v>
      </c>
      <c r="S207" s="8" t="s">
        <v>150</v>
      </c>
      <c r="T207" s="8" t="s">
        <v>291</v>
      </c>
      <c r="U207" s="8" t="s">
        <v>292</v>
      </c>
      <c r="V207" s="8"/>
      <c r="W207" s="8" t="s">
        <v>299</v>
      </c>
      <c r="X207" s="8" t="s">
        <v>361</v>
      </c>
      <c r="Y207" s="8" t="s">
        <v>1683</v>
      </c>
      <c r="Z207" s="8" t="s">
        <v>1684</v>
      </c>
    </row>
    <row r="208" customFormat="false" ht="15" hidden="false" customHeight="false" outlineLevel="0" collapsed="false">
      <c r="A208" s="8" t="s">
        <v>298</v>
      </c>
      <c r="B208" s="8" t="s">
        <v>17</v>
      </c>
      <c r="C208" s="8" t="s">
        <v>18</v>
      </c>
      <c r="D208" s="8" t="s">
        <v>615</v>
      </c>
      <c r="E208" s="8" t="s">
        <v>37</v>
      </c>
      <c r="F208" s="8" t="s">
        <v>51</v>
      </c>
      <c r="G208" s="8" t="s">
        <v>30</v>
      </c>
      <c r="H208" s="8" t="s">
        <v>31</v>
      </c>
      <c r="I208" s="8" t="n">
        <f aca="false">IF(EXACT(G208,H208),1,0)</f>
        <v>0</v>
      </c>
      <c r="J208" s="8" t="n">
        <v>2</v>
      </c>
      <c r="K208" s="8" t="s">
        <v>737</v>
      </c>
      <c r="L208" s="8" t="n">
        <v>1</v>
      </c>
      <c r="M208" s="8" t="n">
        <v>3</v>
      </c>
      <c r="N208" s="8" t="s">
        <v>1641</v>
      </c>
      <c r="O208" s="8" t="n">
        <v>2</v>
      </c>
      <c r="P208" s="10" t="n">
        <v>18.63</v>
      </c>
      <c r="Q208" s="8" t="n">
        <v>7455</v>
      </c>
      <c r="R208" s="8" t="n">
        <v>951</v>
      </c>
      <c r="S208" s="8" t="s">
        <v>150</v>
      </c>
      <c r="T208" s="8" t="s">
        <v>291</v>
      </c>
      <c r="U208" s="8" t="s">
        <v>292</v>
      </c>
      <c r="V208" s="8"/>
      <c r="W208" s="8" t="s">
        <v>299</v>
      </c>
      <c r="X208" s="8" t="s">
        <v>361</v>
      </c>
      <c r="Y208" s="8" t="s">
        <v>1685</v>
      </c>
      <c r="Z208" s="8" t="s">
        <v>1686</v>
      </c>
    </row>
    <row r="209" customFormat="false" ht="15" hidden="false" customHeight="false" outlineLevel="0" collapsed="false">
      <c r="A209" s="8" t="s">
        <v>301</v>
      </c>
      <c r="B209" s="8" t="s">
        <v>17</v>
      </c>
      <c r="C209" s="8" t="s">
        <v>18</v>
      </c>
      <c r="D209" s="8" t="s">
        <v>615</v>
      </c>
      <c r="E209" s="8" t="s">
        <v>37</v>
      </c>
      <c r="F209" s="8" t="s">
        <v>51</v>
      </c>
      <c r="G209" s="8" t="s">
        <v>32</v>
      </c>
      <c r="H209" s="8" t="s">
        <v>32</v>
      </c>
      <c r="I209" s="8" t="n">
        <f aca="false">IF(EXACT(G209,H209),1,0)</f>
        <v>1</v>
      </c>
      <c r="J209" s="8" t="n">
        <v>0</v>
      </c>
      <c r="K209" s="8" t="s">
        <v>92</v>
      </c>
      <c r="L209" s="8" t="n">
        <v>0</v>
      </c>
      <c r="M209" s="8" t="n">
        <v>3</v>
      </c>
      <c r="N209" s="8" t="s">
        <v>1641</v>
      </c>
      <c r="O209" s="8" t="n">
        <v>2</v>
      </c>
      <c r="P209" s="10" t="n">
        <v>19.66</v>
      </c>
      <c r="Q209" s="8" t="n">
        <v>7264</v>
      </c>
      <c r="R209" s="8" t="n">
        <v>912</v>
      </c>
      <c r="S209" s="8" t="s">
        <v>132</v>
      </c>
      <c r="T209" s="8" t="s">
        <v>291</v>
      </c>
      <c r="U209" s="8" t="s">
        <v>292</v>
      </c>
      <c r="V209" s="8"/>
      <c r="W209" s="8" t="s">
        <v>302</v>
      </c>
      <c r="X209" s="8" t="s">
        <v>362</v>
      </c>
      <c r="Y209" s="8" t="s">
        <v>889</v>
      </c>
      <c r="Z209" s="8"/>
    </row>
    <row r="210" customFormat="false" ht="15" hidden="false" customHeight="false" outlineLevel="0" collapsed="false">
      <c r="A210" s="8" t="s">
        <v>301</v>
      </c>
      <c r="B210" s="8" t="s">
        <v>17</v>
      </c>
      <c r="C210" s="8" t="s">
        <v>18</v>
      </c>
      <c r="D210" s="8" t="s">
        <v>615</v>
      </c>
      <c r="E210" s="8" t="s">
        <v>37</v>
      </c>
      <c r="F210" s="8" t="s">
        <v>51</v>
      </c>
      <c r="G210" s="8" t="s">
        <v>32</v>
      </c>
      <c r="H210" s="8" t="s">
        <v>32</v>
      </c>
      <c r="I210" s="8" t="n">
        <f aca="false">IF(EXACT(G210,H210),1,0)</f>
        <v>1</v>
      </c>
      <c r="J210" s="8" t="n">
        <v>1</v>
      </c>
      <c r="K210" s="8" t="s">
        <v>92</v>
      </c>
      <c r="L210" s="8" t="n">
        <v>0</v>
      </c>
      <c r="M210" s="8" t="n">
        <v>3</v>
      </c>
      <c r="N210" s="8" t="s">
        <v>1641</v>
      </c>
      <c r="O210" s="8" t="n">
        <v>2</v>
      </c>
      <c r="P210" s="10" t="n">
        <v>15.36</v>
      </c>
      <c r="Q210" s="8" t="n">
        <v>7263</v>
      </c>
      <c r="R210" s="8" t="n">
        <v>733</v>
      </c>
      <c r="S210" s="8" t="s">
        <v>132</v>
      </c>
      <c r="T210" s="8" t="s">
        <v>291</v>
      </c>
      <c r="U210" s="8" t="s">
        <v>292</v>
      </c>
      <c r="V210" s="8"/>
      <c r="W210" s="8" t="s">
        <v>302</v>
      </c>
      <c r="X210" s="8" t="s">
        <v>362</v>
      </c>
      <c r="Y210" s="8" t="s">
        <v>1687</v>
      </c>
      <c r="Z210" s="8"/>
    </row>
    <row r="211" customFormat="false" ht="15" hidden="false" customHeight="false" outlineLevel="0" collapsed="false">
      <c r="A211" s="8" t="s">
        <v>301</v>
      </c>
      <c r="B211" s="8" t="s">
        <v>17</v>
      </c>
      <c r="C211" s="8" t="s">
        <v>18</v>
      </c>
      <c r="D211" s="8" t="s">
        <v>615</v>
      </c>
      <c r="E211" s="8" t="s">
        <v>37</v>
      </c>
      <c r="F211" s="8" t="s">
        <v>51</v>
      </c>
      <c r="G211" s="8" t="s">
        <v>32</v>
      </c>
      <c r="H211" s="8" t="s">
        <v>32</v>
      </c>
      <c r="I211" s="8" t="n">
        <f aca="false">IF(EXACT(G211,H211),1,0)</f>
        <v>1</v>
      </c>
      <c r="J211" s="8" t="n">
        <v>2</v>
      </c>
      <c r="K211" s="8" t="s">
        <v>92</v>
      </c>
      <c r="L211" s="8" t="n">
        <v>0</v>
      </c>
      <c r="M211" s="8" t="n">
        <v>3</v>
      </c>
      <c r="N211" s="8" t="s">
        <v>1641</v>
      </c>
      <c r="O211" s="8" t="n">
        <v>2</v>
      </c>
      <c r="P211" s="10" t="n">
        <v>17.51</v>
      </c>
      <c r="Q211" s="8" t="n">
        <v>7262</v>
      </c>
      <c r="R211" s="8" t="n">
        <v>800</v>
      </c>
      <c r="S211" s="8" t="s">
        <v>132</v>
      </c>
      <c r="T211" s="8" t="s">
        <v>291</v>
      </c>
      <c r="U211" s="8" t="s">
        <v>292</v>
      </c>
      <c r="V211" s="8"/>
      <c r="W211" s="8" t="s">
        <v>302</v>
      </c>
      <c r="X211" s="8" t="s">
        <v>362</v>
      </c>
      <c r="Y211" s="8" t="s">
        <v>1688</v>
      </c>
      <c r="Z211" s="8"/>
    </row>
    <row r="212" customFormat="false" ht="15" hidden="false" customHeight="false" outlineLevel="0" collapsed="false">
      <c r="A212" s="8" t="s">
        <v>304</v>
      </c>
      <c r="B212" s="8" t="s">
        <v>17</v>
      </c>
      <c r="C212" s="8" t="s">
        <v>18</v>
      </c>
      <c r="D212" s="8" t="s">
        <v>615</v>
      </c>
      <c r="E212" s="8" t="s">
        <v>37</v>
      </c>
      <c r="F212" s="8" t="s">
        <v>51</v>
      </c>
      <c r="G212" s="8" t="s">
        <v>31</v>
      </c>
      <c r="H212" s="8" t="s">
        <v>31</v>
      </c>
      <c r="I212" s="8" t="n">
        <f aca="false">IF(EXACT(G212,H212),1,0)</f>
        <v>1</v>
      </c>
      <c r="J212" s="8" t="n">
        <v>0</v>
      </c>
      <c r="K212" s="8" t="s">
        <v>737</v>
      </c>
      <c r="L212" s="8" t="n">
        <v>2</v>
      </c>
      <c r="M212" s="8" t="n">
        <v>3</v>
      </c>
      <c r="N212" s="8" t="s">
        <v>1641</v>
      </c>
      <c r="O212" s="8" t="n">
        <v>2</v>
      </c>
      <c r="P212" s="10" t="n">
        <v>20.16</v>
      </c>
      <c r="Q212" s="8" t="n">
        <v>7350</v>
      </c>
      <c r="R212" s="8" t="n">
        <v>1016</v>
      </c>
      <c r="S212" s="8" t="s">
        <v>117</v>
      </c>
      <c r="T212" s="8" t="s">
        <v>291</v>
      </c>
      <c r="U212" s="8" t="s">
        <v>292</v>
      </c>
      <c r="V212" s="8"/>
      <c r="W212" s="8" t="s">
        <v>305</v>
      </c>
      <c r="X212" s="8" t="s">
        <v>363</v>
      </c>
      <c r="Y212" s="8" t="s">
        <v>1689</v>
      </c>
      <c r="Z212" s="8" t="s">
        <v>1690</v>
      </c>
    </row>
    <row r="213" customFormat="false" ht="15" hidden="false" customHeight="false" outlineLevel="0" collapsed="false">
      <c r="A213" s="8" t="s">
        <v>304</v>
      </c>
      <c r="B213" s="8" t="s">
        <v>17</v>
      </c>
      <c r="C213" s="8" t="s">
        <v>18</v>
      </c>
      <c r="D213" s="8" t="s">
        <v>615</v>
      </c>
      <c r="E213" s="8" t="s">
        <v>37</v>
      </c>
      <c r="F213" s="8" t="s">
        <v>51</v>
      </c>
      <c r="G213" s="8" t="s">
        <v>31</v>
      </c>
      <c r="H213" s="8" t="s">
        <v>31</v>
      </c>
      <c r="I213" s="8" t="n">
        <f aca="false">IF(EXACT(G213,H213),1,0)</f>
        <v>1</v>
      </c>
      <c r="J213" s="8" t="n">
        <v>1</v>
      </c>
      <c r="K213" s="8" t="s">
        <v>737</v>
      </c>
      <c r="L213" s="8" t="n">
        <v>2</v>
      </c>
      <c r="M213" s="8" t="n">
        <v>3</v>
      </c>
      <c r="N213" s="8" t="s">
        <v>1641</v>
      </c>
      <c r="O213" s="8" t="n">
        <v>2</v>
      </c>
      <c r="P213" s="10" t="n">
        <v>24.27</v>
      </c>
      <c r="Q213" s="8" t="n">
        <v>7344</v>
      </c>
      <c r="R213" s="8" t="n">
        <v>1258</v>
      </c>
      <c r="S213" s="8" t="s">
        <v>117</v>
      </c>
      <c r="T213" s="8" t="s">
        <v>291</v>
      </c>
      <c r="U213" s="8" t="s">
        <v>292</v>
      </c>
      <c r="V213" s="8"/>
      <c r="W213" s="8" t="s">
        <v>305</v>
      </c>
      <c r="X213" s="8" t="s">
        <v>363</v>
      </c>
      <c r="Y213" s="8" t="s">
        <v>1691</v>
      </c>
      <c r="Z213" s="8" t="s">
        <v>1692</v>
      </c>
    </row>
    <row r="214" customFormat="false" ht="15" hidden="false" customHeight="false" outlineLevel="0" collapsed="false">
      <c r="A214" s="8" t="s">
        <v>304</v>
      </c>
      <c r="B214" s="8" t="s">
        <v>17</v>
      </c>
      <c r="C214" s="8" t="s">
        <v>18</v>
      </c>
      <c r="D214" s="8" t="s">
        <v>615</v>
      </c>
      <c r="E214" s="8" t="s">
        <v>37</v>
      </c>
      <c r="F214" s="8" t="s">
        <v>51</v>
      </c>
      <c r="G214" s="8" t="s">
        <v>31</v>
      </c>
      <c r="H214" s="8" t="s">
        <v>31</v>
      </c>
      <c r="I214" s="8" t="n">
        <f aca="false">IF(EXACT(G214,H214),1,0)</f>
        <v>1</v>
      </c>
      <c r="J214" s="8" t="n">
        <v>2</v>
      </c>
      <c r="K214" s="8" t="s">
        <v>737</v>
      </c>
      <c r="L214" s="8" t="n">
        <v>2</v>
      </c>
      <c r="M214" s="8" t="n">
        <v>3</v>
      </c>
      <c r="N214" s="8" t="s">
        <v>1641</v>
      </c>
      <c r="O214" s="8" t="n">
        <v>2</v>
      </c>
      <c r="P214" s="10" t="n">
        <v>20.27</v>
      </c>
      <c r="Q214" s="8" t="n">
        <v>7350</v>
      </c>
      <c r="R214" s="8" t="n">
        <v>1014</v>
      </c>
      <c r="S214" s="8" t="s">
        <v>117</v>
      </c>
      <c r="T214" s="8" t="s">
        <v>291</v>
      </c>
      <c r="U214" s="8" t="s">
        <v>292</v>
      </c>
      <c r="V214" s="8"/>
      <c r="W214" s="8" t="s">
        <v>305</v>
      </c>
      <c r="X214" s="8" t="s">
        <v>363</v>
      </c>
      <c r="Y214" s="8" t="s">
        <v>1693</v>
      </c>
      <c r="Z214" s="8" t="s">
        <v>1694</v>
      </c>
    </row>
    <row r="215" customFormat="false" ht="15" hidden="false" customHeight="false" outlineLevel="0" collapsed="false">
      <c r="A215" s="8" t="s">
        <v>307</v>
      </c>
      <c r="B215" s="8" t="s">
        <v>17</v>
      </c>
      <c r="C215" s="8" t="s">
        <v>18</v>
      </c>
      <c r="D215" s="8" t="s">
        <v>615</v>
      </c>
      <c r="E215" s="8" t="s">
        <v>37</v>
      </c>
      <c r="F215" s="8" t="s">
        <v>51</v>
      </c>
      <c r="G215" s="8" t="s">
        <v>31</v>
      </c>
      <c r="H215" s="8" t="s">
        <v>31</v>
      </c>
      <c r="I215" s="8" t="n">
        <f aca="false">IF(EXACT(G215,H215),1,0)</f>
        <v>1</v>
      </c>
      <c r="J215" s="8" t="n">
        <v>0</v>
      </c>
      <c r="K215" s="8" t="s">
        <v>116</v>
      </c>
      <c r="L215" s="8" t="n">
        <v>1</v>
      </c>
      <c r="M215" s="8" t="n">
        <v>3</v>
      </c>
      <c r="N215" s="8" t="s">
        <v>1641</v>
      </c>
      <c r="O215" s="8" t="n">
        <v>2</v>
      </c>
      <c r="P215" s="10" t="n">
        <v>22.4</v>
      </c>
      <c r="Q215" s="8" t="n">
        <v>7094</v>
      </c>
      <c r="R215" s="8" t="n">
        <v>978</v>
      </c>
      <c r="S215" s="8" t="s">
        <v>308</v>
      </c>
      <c r="T215" s="8"/>
      <c r="U215" s="8"/>
      <c r="V215" s="8" t="s">
        <v>309</v>
      </c>
      <c r="W215" s="8"/>
      <c r="X215" s="8" t="s">
        <v>364</v>
      </c>
      <c r="Y215" s="8" t="s">
        <v>1695</v>
      </c>
      <c r="Z215" s="8" t="s">
        <v>1696</v>
      </c>
    </row>
    <row r="216" customFormat="false" ht="15" hidden="false" customHeight="false" outlineLevel="0" collapsed="false">
      <c r="A216" s="8" t="s">
        <v>307</v>
      </c>
      <c r="B216" s="8" t="s">
        <v>17</v>
      </c>
      <c r="C216" s="8" t="s">
        <v>18</v>
      </c>
      <c r="D216" s="8" t="s">
        <v>615</v>
      </c>
      <c r="E216" s="8" t="s">
        <v>37</v>
      </c>
      <c r="F216" s="8" t="s">
        <v>51</v>
      </c>
      <c r="G216" s="8" t="s">
        <v>31</v>
      </c>
      <c r="H216" s="8" t="s">
        <v>31</v>
      </c>
      <c r="I216" s="8" t="n">
        <f aca="false">IF(EXACT(G216,H216),1,0)</f>
        <v>1</v>
      </c>
      <c r="J216" s="8" t="n">
        <v>1</v>
      </c>
      <c r="K216" s="8" t="s">
        <v>116</v>
      </c>
      <c r="L216" s="8" t="n">
        <v>1</v>
      </c>
      <c r="M216" s="8" t="n">
        <v>3</v>
      </c>
      <c r="N216" s="8" t="s">
        <v>1641</v>
      </c>
      <c r="O216" s="8" t="n">
        <v>2</v>
      </c>
      <c r="P216" s="10" t="n">
        <v>25.5</v>
      </c>
      <c r="Q216" s="8" t="n">
        <v>7094</v>
      </c>
      <c r="R216" s="8" t="n">
        <v>1184</v>
      </c>
      <c r="S216" s="8" t="s">
        <v>308</v>
      </c>
      <c r="T216" s="8"/>
      <c r="U216" s="8"/>
      <c r="V216" s="8" t="s">
        <v>309</v>
      </c>
      <c r="W216" s="8"/>
      <c r="X216" s="8" t="s">
        <v>364</v>
      </c>
      <c r="Y216" s="8" t="s">
        <v>1697</v>
      </c>
      <c r="Z216" s="8" t="s">
        <v>1698</v>
      </c>
    </row>
    <row r="217" customFormat="false" ht="15" hidden="false" customHeight="false" outlineLevel="0" collapsed="false">
      <c r="A217" s="8" t="s">
        <v>307</v>
      </c>
      <c r="B217" s="8" t="s">
        <v>17</v>
      </c>
      <c r="C217" s="8" t="s">
        <v>18</v>
      </c>
      <c r="D217" s="8" t="s">
        <v>615</v>
      </c>
      <c r="E217" s="8" t="s">
        <v>37</v>
      </c>
      <c r="F217" s="8" t="s">
        <v>51</v>
      </c>
      <c r="G217" s="8" t="s">
        <v>31</v>
      </c>
      <c r="H217" s="8" t="s">
        <v>31</v>
      </c>
      <c r="I217" s="8" t="n">
        <f aca="false">IF(EXACT(G217,H217),1,0)</f>
        <v>1</v>
      </c>
      <c r="J217" s="8" t="n">
        <v>2</v>
      </c>
      <c r="K217" s="8" t="s">
        <v>116</v>
      </c>
      <c r="L217" s="8" t="n">
        <v>1</v>
      </c>
      <c r="M217" s="8" t="n">
        <v>3</v>
      </c>
      <c r="N217" s="8" t="s">
        <v>1641</v>
      </c>
      <c r="O217" s="8" t="n">
        <v>2</v>
      </c>
      <c r="P217" s="10" t="n">
        <v>21.81</v>
      </c>
      <c r="Q217" s="8" t="n">
        <v>7094</v>
      </c>
      <c r="R217" s="8" t="n">
        <v>935</v>
      </c>
      <c r="S217" s="8" t="s">
        <v>308</v>
      </c>
      <c r="T217" s="8"/>
      <c r="U217" s="8"/>
      <c r="V217" s="8" t="s">
        <v>309</v>
      </c>
      <c r="W217" s="8"/>
      <c r="X217" s="8" t="s">
        <v>364</v>
      </c>
      <c r="Y217" s="8" t="s">
        <v>1699</v>
      </c>
      <c r="Z217" s="8" t="s">
        <v>1700</v>
      </c>
    </row>
    <row r="218" customFormat="false" ht="15" hidden="false" customHeight="false" outlineLevel="0" collapsed="false">
      <c r="A218" s="8" t="s">
        <v>365</v>
      </c>
      <c r="B218" s="8" t="s">
        <v>17</v>
      </c>
      <c r="C218" s="8" t="s">
        <v>18</v>
      </c>
      <c r="D218" s="8" t="s">
        <v>615</v>
      </c>
      <c r="E218" s="8" t="s">
        <v>37</v>
      </c>
      <c r="F218" s="8" t="s">
        <v>55</v>
      </c>
      <c r="G218" s="8" t="s">
        <v>30</v>
      </c>
      <c r="H218" s="8" t="s">
        <v>31</v>
      </c>
      <c r="I218" s="8" t="n">
        <f aca="false">IF(EXACT(G218,H218),1,0)</f>
        <v>0</v>
      </c>
      <c r="J218" s="8" t="n">
        <v>0</v>
      </c>
      <c r="K218" s="8" t="s">
        <v>737</v>
      </c>
      <c r="L218" s="8" t="n">
        <v>1</v>
      </c>
      <c r="M218" s="8" t="n">
        <v>3</v>
      </c>
      <c r="N218" s="8" t="s">
        <v>1641</v>
      </c>
      <c r="O218" s="8" t="n">
        <v>2</v>
      </c>
      <c r="P218" s="10" t="n">
        <v>14.85</v>
      </c>
      <c r="Q218" s="8" t="n">
        <v>6809</v>
      </c>
      <c r="R218" s="8" t="n">
        <v>512</v>
      </c>
      <c r="S218" s="8" t="s">
        <v>366</v>
      </c>
      <c r="T218" s="8" t="s">
        <v>367</v>
      </c>
      <c r="U218" s="8" t="s">
        <v>368</v>
      </c>
      <c r="V218" s="8"/>
      <c r="W218" s="8" t="s">
        <v>369</v>
      </c>
      <c r="X218" s="8" t="s">
        <v>370</v>
      </c>
      <c r="Y218" s="8" t="s">
        <v>1701</v>
      </c>
      <c r="Z218" s="8" t="s">
        <v>1702</v>
      </c>
    </row>
    <row r="219" customFormat="false" ht="15" hidden="false" customHeight="false" outlineLevel="0" collapsed="false">
      <c r="A219" s="8" t="s">
        <v>365</v>
      </c>
      <c r="B219" s="8" t="s">
        <v>17</v>
      </c>
      <c r="C219" s="8" t="s">
        <v>18</v>
      </c>
      <c r="D219" s="8" t="s">
        <v>615</v>
      </c>
      <c r="E219" s="8" t="s">
        <v>37</v>
      </c>
      <c r="F219" s="8" t="s">
        <v>55</v>
      </c>
      <c r="G219" s="8" t="s">
        <v>30</v>
      </c>
      <c r="H219" s="8" t="s">
        <v>31</v>
      </c>
      <c r="I219" s="8" t="n">
        <f aca="false">IF(EXACT(G219,H219),1,0)</f>
        <v>0</v>
      </c>
      <c r="J219" s="8" t="n">
        <v>1</v>
      </c>
      <c r="K219" s="8" t="s">
        <v>737</v>
      </c>
      <c r="L219" s="8" t="n">
        <v>1</v>
      </c>
      <c r="M219" s="8" t="n">
        <v>3</v>
      </c>
      <c r="N219" s="8" t="s">
        <v>1641</v>
      </c>
      <c r="O219" s="8" t="n">
        <v>2</v>
      </c>
      <c r="P219" s="10" t="n">
        <v>17.4</v>
      </c>
      <c r="Q219" s="8" t="n">
        <v>6809</v>
      </c>
      <c r="R219" s="8" t="n">
        <v>624</v>
      </c>
      <c r="S219" s="8" t="s">
        <v>366</v>
      </c>
      <c r="T219" s="8" t="s">
        <v>367</v>
      </c>
      <c r="U219" s="8" t="s">
        <v>368</v>
      </c>
      <c r="V219" s="8"/>
      <c r="W219" s="8" t="s">
        <v>369</v>
      </c>
      <c r="X219" s="8" t="s">
        <v>370</v>
      </c>
      <c r="Y219" s="8" t="s">
        <v>1703</v>
      </c>
      <c r="Z219" s="8" t="s">
        <v>1704</v>
      </c>
    </row>
    <row r="220" customFormat="false" ht="15" hidden="false" customHeight="false" outlineLevel="0" collapsed="false">
      <c r="A220" s="8" t="s">
        <v>365</v>
      </c>
      <c r="B220" s="8" t="s">
        <v>17</v>
      </c>
      <c r="C220" s="8" t="s">
        <v>18</v>
      </c>
      <c r="D220" s="8" t="s">
        <v>615</v>
      </c>
      <c r="E220" s="8" t="s">
        <v>37</v>
      </c>
      <c r="F220" s="8" t="s">
        <v>55</v>
      </c>
      <c r="G220" s="8" t="s">
        <v>30</v>
      </c>
      <c r="H220" s="8" t="s">
        <v>31</v>
      </c>
      <c r="I220" s="8" t="n">
        <f aca="false">IF(EXACT(G220,H220),1,0)</f>
        <v>0</v>
      </c>
      <c r="J220" s="8" t="n">
        <v>2</v>
      </c>
      <c r="K220" s="8" t="s">
        <v>737</v>
      </c>
      <c r="L220" s="8" t="n">
        <v>1</v>
      </c>
      <c r="M220" s="8" t="n">
        <v>3</v>
      </c>
      <c r="N220" s="8" t="s">
        <v>1641</v>
      </c>
      <c r="O220" s="8" t="n">
        <v>2</v>
      </c>
      <c r="P220" s="10" t="n">
        <v>14.85</v>
      </c>
      <c r="Q220" s="8" t="n">
        <v>6809</v>
      </c>
      <c r="R220" s="8" t="n">
        <v>491</v>
      </c>
      <c r="S220" s="8" t="s">
        <v>366</v>
      </c>
      <c r="T220" s="8" t="s">
        <v>367</v>
      </c>
      <c r="U220" s="8" t="s">
        <v>368</v>
      </c>
      <c r="V220" s="8"/>
      <c r="W220" s="8" t="s">
        <v>369</v>
      </c>
      <c r="X220" s="8" t="s">
        <v>370</v>
      </c>
      <c r="Y220" s="8" t="s">
        <v>1705</v>
      </c>
      <c r="Z220" s="8" t="s">
        <v>1706</v>
      </c>
    </row>
    <row r="221" customFormat="false" ht="15" hidden="false" customHeight="false" outlineLevel="0" collapsed="false">
      <c r="A221" s="8" t="s">
        <v>371</v>
      </c>
      <c r="B221" s="8" t="s">
        <v>17</v>
      </c>
      <c r="C221" s="8" t="s">
        <v>18</v>
      </c>
      <c r="D221" s="8" t="s">
        <v>615</v>
      </c>
      <c r="E221" s="8" t="s">
        <v>37</v>
      </c>
      <c r="F221" s="8" t="s">
        <v>55</v>
      </c>
      <c r="G221" s="8" t="s">
        <v>30</v>
      </c>
      <c r="H221" s="8" t="s">
        <v>31</v>
      </c>
      <c r="I221" s="8" t="n">
        <f aca="false">IF(EXACT(G221,H221),1,0)</f>
        <v>0</v>
      </c>
      <c r="J221" s="8" t="n">
        <v>0</v>
      </c>
      <c r="K221" s="8" t="s">
        <v>737</v>
      </c>
      <c r="L221" s="8" t="n">
        <v>1</v>
      </c>
      <c r="M221" s="8" t="n">
        <v>3</v>
      </c>
      <c r="N221" s="8" t="s">
        <v>1641</v>
      </c>
      <c r="O221" s="8" t="n">
        <v>2</v>
      </c>
      <c r="P221" s="10" t="n">
        <v>16.93</v>
      </c>
      <c r="Q221" s="8" t="n">
        <v>7278</v>
      </c>
      <c r="R221" s="8" t="n">
        <v>761</v>
      </c>
      <c r="S221" s="8" t="s">
        <v>180</v>
      </c>
      <c r="T221" s="8" t="s">
        <v>372</v>
      </c>
      <c r="U221" s="8" t="s">
        <v>373</v>
      </c>
      <c r="V221" s="8"/>
      <c r="W221" s="8" t="s">
        <v>374</v>
      </c>
      <c r="X221" s="8" t="s">
        <v>375</v>
      </c>
      <c r="Y221" s="8" t="s">
        <v>1707</v>
      </c>
      <c r="Z221" s="8" t="s">
        <v>1708</v>
      </c>
    </row>
    <row r="222" customFormat="false" ht="15" hidden="false" customHeight="false" outlineLevel="0" collapsed="false">
      <c r="A222" s="8" t="s">
        <v>371</v>
      </c>
      <c r="B222" s="8" t="s">
        <v>17</v>
      </c>
      <c r="C222" s="8" t="s">
        <v>18</v>
      </c>
      <c r="D222" s="8" t="s">
        <v>615</v>
      </c>
      <c r="E222" s="8" t="s">
        <v>37</v>
      </c>
      <c r="F222" s="8" t="s">
        <v>55</v>
      </c>
      <c r="G222" s="8" t="s">
        <v>30</v>
      </c>
      <c r="H222" s="8" t="s">
        <v>31</v>
      </c>
      <c r="I222" s="8" t="n">
        <f aca="false">IF(EXACT(G222,H222),1,0)</f>
        <v>0</v>
      </c>
      <c r="J222" s="8" t="n">
        <v>1</v>
      </c>
      <c r="K222" s="8" t="s">
        <v>737</v>
      </c>
      <c r="L222" s="8" t="n">
        <v>1</v>
      </c>
      <c r="M222" s="8" t="n">
        <v>3</v>
      </c>
      <c r="N222" s="8" t="s">
        <v>1641</v>
      </c>
      <c r="O222" s="8" t="n">
        <v>2</v>
      </c>
      <c r="P222" s="10" t="n">
        <v>17.47</v>
      </c>
      <c r="Q222" s="8" t="n">
        <v>7275</v>
      </c>
      <c r="R222" s="8" t="n">
        <v>785</v>
      </c>
      <c r="S222" s="8" t="s">
        <v>180</v>
      </c>
      <c r="T222" s="8" t="s">
        <v>372</v>
      </c>
      <c r="U222" s="8" t="s">
        <v>373</v>
      </c>
      <c r="V222" s="8"/>
      <c r="W222" s="8" t="s">
        <v>374</v>
      </c>
      <c r="X222" s="8" t="s">
        <v>375</v>
      </c>
      <c r="Y222" s="8" t="s">
        <v>1709</v>
      </c>
      <c r="Z222" s="8" t="s">
        <v>1710</v>
      </c>
    </row>
    <row r="223" customFormat="false" ht="15" hidden="false" customHeight="false" outlineLevel="0" collapsed="false">
      <c r="A223" s="8" t="s">
        <v>371</v>
      </c>
      <c r="B223" s="8" t="s">
        <v>17</v>
      </c>
      <c r="C223" s="8" t="s">
        <v>18</v>
      </c>
      <c r="D223" s="8" t="s">
        <v>615</v>
      </c>
      <c r="E223" s="8" t="s">
        <v>37</v>
      </c>
      <c r="F223" s="8" t="s">
        <v>55</v>
      </c>
      <c r="G223" s="8" t="s">
        <v>30</v>
      </c>
      <c r="H223" s="8" t="s">
        <v>31</v>
      </c>
      <c r="I223" s="8" t="n">
        <f aca="false">IF(EXACT(G223,H223),1,0)</f>
        <v>0</v>
      </c>
      <c r="J223" s="8" t="n">
        <v>2</v>
      </c>
      <c r="K223" s="8" t="s">
        <v>737</v>
      </c>
      <c r="L223" s="8" t="n">
        <v>1</v>
      </c>
      <c r="M223" s="8" t="n">
        <v>3</v>
      </c>
      <c r="N223" s="8" t="s">
        <v>1641</v>
      </c>
      <c r="O223" s="8" t="n">
        <v>2</v>
      </c>
      <c r="P223" s="10" t="n">
        <v>17.52</v>
      </c>
      <c r="Q223" s="8" t="n">
        <v>7280</v>
      </c>
      <c r="R223" s="8" t="n">
        <v>773</v>
      </c>
      <c r="S223" s="8" t="s">
        <v>180</v>
      </c>
      <c r="T223" s="8" t="s">
        <v>372</v>
      </c>
      <c r="U223" s="8" t="s">
        <v>373</v>
      </c>
      <c r="V223" s="8"/>
      <c r="W223" s="8" t="s">
        <v>374</v>
      </c>
      <c r="X223" s="8" t="s">
        <v>375</v>
      </c>
      <c r="Y223" s="8" t="s">
        <v>1711</v>
      </c>
      <c r="Z223" s="8" t="s">
        <v>1712</v>
      </c>
    </row>
    <row r="224" customFormat="false" ht="15" hidden="false" customHeight="false" outlineLevel="0" collapsed="false">
      <c r="A224" s="8" t="s">
        <v>376</v>
      </c>
      <c r="B224" s="8" t="s">
        <v>17</v>
      </c>
      <c r="C224" s="8" t="s">
        <v>18</v>
      </c>
      <c r="D224" s="8" t="s">
        <v>615</v>
      </c>
      <c r="E224" s="8" t="s">
        <v>37</v>
      </c>
      <c r="F224" s="8" t="s">
        <v>55</v>
      </c>
      <c r="G224" s="8" t="s">
        <v>32</v>
      </c>
      <c r="H224" s="8" t="s">
        <v>31</v>
      </c>
      <c r="I224" s="8" t="n">
        <f aca="false">IF(EXACT(G224,H224),1,0)</f>
        <v>0</v>
      </c>
      <c r="J224" s="8" t="n">
        <v>0</v>
      </c>
      <c r="K224" s="8" t="s">
        <v>737</v>
      </c>
      <c r="L224" s="8" t="n">
        <v>1</v>
      </c>
      <c r="M224" s="8" t="n">
        <v>3</v>
      </c>
      <c r="N224" s="8" t="s">
        <v>1641</v>
      </c>
      <c r="O224" s="8" t="n">
        <v>2</v>
      </c>
      <c r="P224" s="10" t="n">
        <v>14.65</v>
      </c>
      <c r="Q224" s="8" t="n">
        <v>6790</v>
      </c>
      <c r="R224" s="8" t="n">
        <v>513</v>
      </c>
      <c r="S224" s="8" t="s">
        <v>132</v>
      </c>
      <c r="T224" s="8" t="s">
        <v>367</v>
      </c>
      <c r="U224" s="8" t="s">
        <v>368</v>
      </c>
      <c r="V224" s="8"/>
      <c r="W224" s="8" t="s">
        <v>377</v>
      </c>
      <c r="X224" s="8" t="s">
        <v>378</v>
      </c>
      <c r="Y224" s="8" t="s">
        <v>1713</v>
      </c>
      <c r="Z224" s="8" t="s">
        <v>1714</v>
      </c>
    </row>
    <row r="225" customFormat="false" ht="15" hidden="false" customHeight="false" outlineLevel="0" collapsed="false">
      <c r="A225" s="8" t="s">
        <v>376</v>
      </c>
      <c r="B225" s="8" t="s">
        <v>17</v>
      </c>
      <c r="C225" s="8" t="s">
        <v>18</v>
      </c>
      <c r="D225" s="8" t="s">
        <v>615</v>
      </c>
      <c r="E225" s="8" t="s">
        <v>37</v>
      </c>
      <c r="F225" s="8" t="s">
        <v>55</v>
      </c>
      <c r="G225" s="8" t="s">
        <v>32</v>
      </c>
      <c r="H225" s="8" t="s">
        <v>31</v>
      </c>
      <c r="I225" s="8" t="n">
        <f aca="false">IF(EXACT(G225,H225),1,0)</f>
        <v>0</v>
      </c>
      <c r="J225" s="8" t="n">
        <v>1</v>
      </c>
      <c r="K225" s="8" t="s">
        <v>737</v>
      </c>
      <c r="L225" s="8" t="n">
        <v>1</v>
      </c>
      <c r="M225" s="8" t="n">
        <v>3</v>
      </c>
      <c r="N225" s="8" t="s">
        <v>1641</v>
      </c>
      <c r="O225" s="8" t="n">
        <v>2</v>
      </c>
      <c r="P225" s="10" t="n">
        <v>13.92</v>
      </c>
      <c r="Q225" s="8" t="n">
        <v>6789</v>
      </c>
      <c r="R225" s="8" t="n">
        <v>519</v>
      </c>
      <c r="S225" s="8" t="s">
        <v>132</v>
      </c>
      <c r="T225" s="8" t="s">
        <v>367</v>
      </c>
      <c r="U225" s="8" t="s">
        <v>368</v>
      </c>
      <c r="V225" s="8"/>
      <c r="W225" s="8" t="s">
        <v>377</v>
      </c>
      <c r="X225" s="8" t="s">
        <v>378</v>
      </c>
      <c r="Y225" s="8" t="s">
        <v>1715</v>
      </c>
      <c r="Z225" s="8" t="s">
        <v>1716</v>
      </c>
    </row>
    <row r="226" customFormat="false" ht="15" hidden="false" customHeight="false" outlineLevel="0" collapsed="false">
      <c r="A226" s="8" t="s">
        <v>376</v>
      </c>
      <c r="B226" s="8" t="s">
        <v>17</v>
      </c>
      <c r="C226" s="8" t="s">
        <v>18</v>
      </c>
      <c r="D226" s="8" t="s">
        <v>615</v>
      </c>
      <c r="E226" s="8" t="s">
        <v>37</v>
      </c>
      <c r="F226" s="8" t="s">
        <v>55</v>
      </c>
      <c r="G226" s="8" t="s">
        <v>32</v>
      </c>
      <c r="H226" s="8" t="s">
        <v>31</v>
      </c>
      <c r="I226" s="8" t="n">
        <f aca="false">IF(EXACT(G226,H226),1,0)</f>
        <v>0</v>
      </c>
      <c r="J226" s="8" t="n">
        <v>2</v>
      </c>
      <c r="K226" s="8" t="s">
        <v>737</v>
      </c>
      <c r="L226" s="8" t="n">
        <v>1</v>
      </c>
      <c r="M226" s="8" t="n">
        <v>3</v>
      </c>
      <c r="N226" s="8" t="s">
        <v>1641</v>
      </c>
      <c r="O226" s="8" t="n">
        <v>2</v>
      </c>
      <c r="P226" s="10" t="n">
        <v>15.37</v>
      </c>
      <c r="Q226" s="8" t="n">
        <v>6789</v>
      </c>
      <c r="R226" s="8" t="n">
        <v>570</v>
      </c>
      <c r="S226" s="8" t="s">
        <v>132</v>
      </c>
      <c r="T226" s="8" t="s">
        <v>367</v>
      </c>
      <c r="U226" s="8" t="s">
        <v>368</v>
      </c>
      <c r="V226" s="8"/>
      <c r="W226" s="8" t="s">
        <v>377</v>
      </c>
      <c r="X226" s="8" t="s">
        <v>378</v>
      </c>
      <c r="Y226" s="8" t="s">
        <v>1717</v>
      </c>
      <c r="Z226" s="8" t="s">
        <v>1718</v>
      </c>
    </row>
    <row r="227" customFormat="false" ht="15" hidden="false" customHeight="false" outlineLevel="0" collapsed="false">
      <c r="A227" s="8" t="s">
        <v>379</v>
      </c>
      <c r="B227" s="8" t="s">
        <v>17</v>
      </c>
      <c r="C227" s="8" t="s">
        <v>18</v>
      </c>
      <c r="D227" s="8" t="s">
        <v>615</v>
      </c>
      <c r="E227" s="8" t="s">
        <v>37</v>
      </c>
      <c r="F227" s="8" t="s">
        <v>55</v>
      </c>
      <c r="G227" s="8" t="s">
        <v>31</v>
      </c>
      <c r="H227" s="8" t="s">
        <v>31</v>
      </c>
      <c r="I227" s="8" t="n">
        <f aca="false">IF(EXACT(G227,H227),1,0)</f>
        <v>1</v>
      </c>
      <c r="J227" s="8" t="n">
        <v>0</v>
      </c>
      <c r="K227" s="8" t="s">
        <v>737</v>
      </c>
      <c r="L227" s="8" t="n">
        <v>1</v>
      </c>
      <c r="M227" s="8" t="n">
        <v>3</v>
      </c>
      <c r="N227" s="8" t="s">
        <v>1641</v>
      </c>
      <c r="O227" s="8" t="n">
        <v>2</v>
      </c>
      <c r="P227" s="10" t="n">
        <v>15.05</v>
      </c>
      <c r="Q227" s="8" t="n">
        <v>6819</v>
      </c>
      <c r="R227" s="8" t="n">
        <v>552</v>
      </c>
      <c r="S227" s="8" t="s">
        <v>255</v>
      </c>
      <c r="T227" s="8" t="s">
        <v>367</v>
      </c>
      <c r="U227" s="8" t="s">
        <v>368</v>
      </c>
      <c r="V227" s="8"/>
      <c r="W227" s="8" t="s">
        <v>380</v>
      </c>
      <c r="X227" s="8" t="s">
        <v>381</v>
      </c>
      <c r="Y227" s="8" t="s">
        <v>1719</v>
      </c>
      <c r="Z227" s="8" t="s">
        <v>1720</v>
      </c>
    </row>
    <row r="228" customFormat="false" ht="15" hidden="false" customHeight="false" outlineLevel="0" collapsed="false">
      <c r="A228" s="8" t="s">
        <v>379</v>
      </c>
      <c r="B228" s="8" t="s">
        <v>17</v>
      </c>
      <c r="C228" s="8" t="s">
        <v>18</v>
      </c>
      <c r="D228" s="8" t="s">
        <v>615</v>
      </c>
      <c r="E228" s="8" t="s">
        <v>37</v>
      </c>
      <c r="F228" s="8" t="s">
        <v>55</v>
      </c>
      <c r="G228" s="8" t="s">
        <v>31</v>
      </c>
      <c r="H228" s="8" t="s">
        <v>31</v>
      </c>
      <c r="I228" s="8" t="n">
        <f aca="false">IF(EXACT(G228,H228),1,0)</f>
        <v>1</v>
      </c>
      <c r="J228" s="8" t="n">
        <v>1</v>
      </c>
      <c r="K228" s="8" t="s">
        <v>737</v>
      </c>
      <c r="L228" s="8" t="n">
        <v>1</v>
      </c>
      <c r="M228" s="8" t="n">
        <v>3</v>
      </c>
      <c r="N228" s="8" t="s">
        <v>1641</v>
      </c>
      <c r="O228" s="8" t="n">
        <v>2</v>
      </c>
      <c r="P228" s="10" t="n">
        <v>20.28</v>
      </c>
      <c r="Q228" s="8" t="n">
        <v>6820</v>
      </c>
      <c r="R228" s="8" t="n">
        <v>826</v>
      </c>
      <c r="S228" s="8" t="s">
        <v>255</v>
      </c>
      <c r="T228" s="8" t="s">
        <v>367</v>
      </c>
      <c r="U228" s="8" t="s">
        <v>368</v>
      </c>
      <c r="V228" s="8"/>
      <c r="W228" s="8" t="s">
        <v>380</v>
      </c>
      <c r="X228" s="8" t="s">
        <v>381</v>
      </c>
      <c r="Y228" s="8" t="s">
        <v>1721</v>
      </c>
      <c r="Z228" s="8" t="s">
        <v>1722</v>
      </c>
    </row>
    <row r="229" customFormat="false" ht="15" hidden="false" customHeight="false" outlineLevel="0" collapsed="false">
      <c r="A229" s="8" t="s">
        <v>379</v>
      </c>
      <c r="B229" s="8" t="s">
        <v>17</v>
      </c>
      <c r="C229" s="8" t="s">
        <v>18</v>
      </c>
      <c r="D229" s="8" t="s">
        <v>615</v>
      </c>
      <c r="E229" s="8" t="s">
        <v>37</v>
      </c>
      <c r="F229" s="8" t="s">
        <v>55</v>
      </c>
      <c r="G229" s="8" t="s">
        <v>31</v>
      </c>
      <c r="H229" s="8" t="s">
        <v>31</v>
      </c>
      <c r="I229" s="8" t="n">
        <f aca="false">IF(EXACT(G229,H229),1,0)</f>
        <v>1</v>
      </c>
      <c r="J229" s="8" t="n">
        <v>2</v>
      </c>
      <c r="K229" s="8" t="s">
        <v>737</v>
      </c>
      <c r="L229" s="8" t="n">
        <v>1</v>
      </c>
      <c r="M229" s="8" t="n">
        <v>3</v>
      </c>
      <c r="N229" s="8" t="s">
        <v>1641</v>
      </c>
      <c r="O229" s="8" t="n">
        <v>2</v>
      </c>
      <c r="P229" s="10" t="n">
        <v>14.74</v>
      </c>
      <c r="Q229" s="8" t="n">
        <v>6820</v>
      </c>
      <c r="R229" s="8" t="n">
        <v>550</v>
      </c>
      <c r="S229" s="8" t="s">
        <v>255</v>
      </c>
      <c r="T229" s="8" t="s">
        <v>367</v>
      </c>
      <c r="U229" s="8" t="s">
        <v>368</v>
      </c>
      <c r="V229" s="8"/>
      <c r="W229" s="8" t="s">
        <v>380</v>
      </c>
      <c r="X229" s="8" t="s">
        <v>381</v>
      </c>
      <c r="Y229" s="8" t="s">
        <v>1723</v>
      </c>
      <c r="Z229" s="8" t="s">
        <v>1724</v>
      </c>
    </row>
    <row r="230" customFormat="false" ht="15" hidden="false" customHeight="false" outlineLevel="0" collapsed="false">
      <c r="A230" s="8" t="s">
        <v>383</v>
      </c>
      <c r="B230" s="8" t="s">
        <v>17</v>
      </c>
      <c r="C230" s="8" t="s">
        <v>18</v>
      </c>
      <c r="D230" s="8" t="s">
        <v>615</v>
      </c>
      <c r="E230" s="8" t="s">
        <v>37</v>
      </c>
      <c r="F230" s="8" t="s">
        <v>55</v>
      </c>
      <c r="G230" s="8" t="s">
        <v>32</v>
      </c>
      <c r="H230" s="8" t="s">
        <v>31</v>
      </c>
      <c r="I230" s="8" t="n">
        <f aca="false">IF(EXACT(G230,H230),1,0)</f>
        <v>0</v>
      </c>
      <c r="J230" s="8" t="n">
        <v>0</v>
      </c>
      <c r="K230" s="8" t="s">
        <v>737</v>
      </c>
      <c r="L230" s="8" t="n">
        <v>2</v>
      </c>
      <c r="M230" s="8" t="n">
        <v>3</v>
      </c>
      <c r="N230" s="8" t="s">
        <v>1641</v>
      </c>
      <c r="O230" s="8" t="n">
        <v>2</v>
      </c>
      <c r="P230" s="10" t="n">
        <v>19.67</v>
      </c>
      <c r="Q230" s="8" t="n">
        <v>6754</v>
      </c>
      <c r="R230" s="8" t="n">
        <v>723</v>
      </c>
      <c r="S230" s="8" t="s">
        <v>384</v>
      </c>
      <c r="T230" s="8" t="s">
        <v>372</v>
      </c>
      <c r="U230" s="8" t="s">
        <v>373</v>
      </c>
      <c r="V230" s="8"/>
      <c r="W230" s="8" t="s">
        <v>385</v>
      </c>
      <c r="X230" s="8" t="s">
        <v>386</v>
      </c>
      <c r="Y230" s="8" t="s">
        <v>1725</v>
      </c>
      <c r="Z230" s="8" t="s">
        <v>1726</v>
      </c>
    </row>
    <row r="231" customFormat="false" ht="15" hidden="false" customHeight="false" outlineLevel="0" collapsed="false">
      <c r="A231" s="8" t="s">
        <v>383</v>
      </c>
      <c r="B231" s="8" t="s">
        <v>17</v>
      </c>
      <c r="C231" s="8" t="s">
        <v>18</v>
      </c>
      <c r="D231" s="8" t="s">
        <v>615</v>
      </c>
      <c r="E231" s="8" t="s">
        <v>37</v>
      </c>
      <c r="F231" s="8" t="s">
        <v>55</v>
      </c>
      <c r="G231" s="8" t="s">
        <v>32</v>
      </c>
      <c r="H231" s="8" t="s">
        <v>31</v>
      </c>
      <c r="I231" s="8" t="n">
        <f aca="false">IF(EXACT(G231,H231),1,0)</f>
        <v>0</v>
      </c>
      <c r="J231" s="8" t="n">
        <v>1</v>
      </c>
      <c r="K231" s="8" t="s">
        <v>737</v>
      </c>
      <c r="L231" s="8" t="n">
        <v>2</v>
      </c>
      <c r="M231" s="8" t="n">
        <v>3</v>
      </c>
      <c r="N231" s="8" t="s">
        <v>1641</v>
      </c>
      <c r="O231" s="8" t="n">
        <v>2</v>
      </c>
      <c r="P231" s="10" t="n">
        <v>17.82</v>
      </c>
      <c r="Q231" s="8" t="n">
        <v>6754</v>
      </c>
      <c r="R231" s="8" t="n">
        <v>703</v>
      </c>
      <c r="S231" s="8" t="s">
        <v>384</v>
      </c>
      <c r="T231" s="8" t="s">
        <v>372</v>
      </c>
      <c r="U231" s="8" t="s">
        <v>373</v>
      </c>
      <c r="V231" s="8"/>
      <c r="W231" s="8" t="s">
        <v>385</v>
      </c>
      <c r="X231" s="8" t="s">
        <v>386</v>
      </c>
      <c r="Y231" s="8" t="s">
        <v>1727</v>
      </c>
      <c r="Z231" s="8" t="s">
        <v>1728</v>
      </c>
    </row>
    <row r="232" customFormat="false" ht="15" hidden="false" customHeight="false" outlineLevel="0" collapsed="false">
      <c r="A232" s="8" t="s">
        <v>383</v>
      </c>
      <c r="B232" s="8" t="s">
        <v>17</v>
      </c>
      <c r="C232" s="8" t="s">
        <v>18</v>
      </c>
      <c r="D232" s="8" t="s">
        <v>615</v>
      </c>
      <c r="E232" s="8" t="s">
        <v>37</v>
      </c>
      <c r="F232" s="8" t="s">
        <v>55</v>
      </c>
      <c r="G232" s="8" t="s">
        <v>32</v>
      </c>
      <c r="H232" s="8" t="s">
        <v>31</v>
      </c>
      <c r="I232" s="8" t="n">
        <f aca="false">IF(EXACT(G232,H232),1,0)</f>
        <v>0</v>
      </c>
      <c r="J232" s="8" t="n">
        <v>2</v>
      </c>
      <c r="K232" s="8" t="s">
        <v>737</v>
      </c>
      <c r="L232" s="8" t="n">
        <v>2</v>
      </c>
      <c r="M232" s="8" t="n">
        <v>3</v>
      </c>
      <c r="N232" s="8" t="s">
        <v>1641</v>
      </c>
      <c r="O232" s="8" t="n">
        <v>2</v>
      </c>
      <c r="P232" s="10" t="n">
        <v>17.93</v>
      </c>
      <c r="Q232" s="8" t="n">
        <v>6754</v>
      </c>
      <c r="R232" s="8" t="n">
        <v>713</v>
      </c>
      <c r="S232" s="8" t="s">
        <v>384</v>
      </c>
      <c r="T232" s="8" t="s">
        <v>372</v>
      </c>
      <c r="U232" s="8" t="s">
        <v>373</v>
      </c>
      <c r="V232" s="8"/>
      <c r="W232" s="8" t="s">
        <v>385</v>
      </c>
      <c r="X232" s="8" t="s">
        <v>386</v>
      </c>
      <c r="Y232" s="8" t="s">
        <v>1729</v>
      </c>
      <c r="Z232" s="8" t="s">
        <v>1730</v>
      </c>
    </row>
    <row r="233" customFormat="false" ht="15" hidden="false" customHeight="false" outlineLevel="0" collapsed="false">
      <c r="A233" s="8" t="s">
        <v>387</v>
      </c>
      <c r="B233" s="8" t="s">
        <v>17</v>
      </c>
      <c r="C233" s="8" t="s">
        <v>18</v>
      </c>
      <c r="D233" s="8" t="s">
        <v>615</v>
      </c>
      <c r="E233" s="8" t="s">
        <v>37</v>
      </c>
      <c r="F233" s="8" t="s">
        <v>55</v>
      </c>
      <c r="G233" s="8" t="s">
        <v>31</v>
      </c>
      <c r="H233" s="8" t="s">
        <v>31</v>
      </c>
      <c r="I233" s="8" t="n">
        <f aca="false">IF(EXACT(G233,H233),1,0)</f>
        <v>1</v>
      </c>
      <c r="J233" s="8" t="n">
        <v>0</v>
      </c>
      <c r="K233" s="8" t="s">
        <v>737</v>
      </c>
      <c r="L233" s="8" t="n">
        <v>1</v>
      </c>
      <c r="M233" s="8" t="n">
        <v>3</v>
      </c>
      <c r="N233" s="8" t="s">
        <v>1641</v>
      </c>
      <c r="O233" s="8" t="n">
        <v>2</v>
      </c>
      <c r="P233" s="10" t="n">
        <v>19.86</v>
      </c>
      <c r="Q233" s="8" t="n">
        <v>6934</v>
      </c>
      <c r="R233" s="8" t="n">
        <v>765</v>
      </c>
      <c r="S233" s="8" t="s">
        <v>388</v>
      </c>
      <c r="T233" s="8" t="s">
        <v>367</v>
      </c>
      <c r="U233" s="8" t="s">
        <v>368</v>
      </c>
      <c r="V233" s="8"/>
      <c r="W233" s="8" t="s">
        <v>389</v>
      </c>
      <c r="X233" s="8" t="s">
        <v>390</v>
      </c>
      <c r="Y233" s="8" t="s">
        <v>1731</v>
      </c>
      <c r="Z233" s="8" t="s">
        <v>1732</v>
      </c>
    </row>
    <row r="234" customFormat="false" ht="15" hidden="false" customHeight="false" outlineLevel="0" collapsed="false">
      <c r="A234" s="8" t="s">
        <v>387</v>
      </c>
      <c r="B234" s="8" t="s">
        <v>17</v>
      </c>
      <c r="C234" s="8" t="s">
        <v>18</v>
      </c>
      <c r="D234" s="8" t="s">
        <v>615</v>
      </c>
      <c r="E234" s="8" t="s">
        <v>37</v>
      </c>
      <c r="F234" s="8" t="s">
        <v>55</v>
      </c>
      <c r="G234" s="8" t="s">
        <v>31</v>
      </c>
      <c r="H234" s="8" t="s">
        <v>31</v>
      </c>
      <c r="I234" s="8" t="n">
        <f aca="false">IF(EXACT(G234,H234),1,0)</f>
        <v>1</v>
      </c>
      <c r="J234" s="8" t="n">
        <v>1</v>
      </c>
      <c r="K234" s="8" t="s">
        <v>737</v>
      </c>
      <c r="L234" s="8" t="n">
        <v>1</v>
      </c>
      <c r="M234" s="8" t="n">
        <v>3</v>
      </c>
      <c r="N234" s="8" t="s">
        <v>1641</v>
      </c>
      <c r="O234" s="8" t="n">
        <v>2</v>
      </c>
      <c r="P234" s="10" t="n">
        <v>19.15</v>
      </c>
      <c r="Q234" s="8" t="n">
        <v>6934</v>
      </c>
      <c r="R234" s="8" t="n">
        <v>800</v>
      </c>
      <c r="S234" s="8" t="s">
        <v>388</v>
      </c>
      <c r="T234" s="8" t="s">
        <v>367</v>
      </c>
      <c r="U234" s="8" t="s">
        <v>368</v>
      </c>
      <c r="V234" s="8"/>
      <c r="W234" s="8" t="s">
        <v>389</v>
      </c>
      <c r="X234" s="8" t="s">
        <v>390</v>
      </c>
      <c r="Y234" s="8" t="s">
        <v>1733</v>
      </c>
      <c r="Z234" s="8" t="s">
        <v>1734</v>
      </c>
    </row>
    <row r="235" customFormat="false" ht="15" hidden="false" customHeight="false" outlineLevel="0" collapsed="false">
      <c r="A235" s="8" t="s">
        <v>387</v>
      </c>
      <c r="B235" s="8" t="s">
        <v>17</v>
      </c>
      <c r="C235" s="8" t="s">
        <v>18</v>
      </c>
      <c r="D235" s="8" t="s">
        <v>615</v>
      </c>
      <c r="E235" s="8" t="s">
        <v>37</v>
      </c>
      <c r="F235" s="8" t="s">
        <v>55</v>
      </c>
      <c r="G235" s="8" t="s">
        <v>31</v>
      </c>
      <c r="H235" s="8" t="s">
        <v>31</v>
      </c>
      <c r="I235" s="8" t="n">
        <f aca="false">IF(EXACT(G235,H235),1,0)</f>
        <v>1</v>
      </c>
      <c r="J235" s="8" t="n">
        <v>2</v>
      </c>
      <c r="K235" s="8" t="s">
        <v>737</v>
      </c>
      <c r="L235" s="8" t="n">
        <v>1</v>
      </c>
      <c r="M235" s="8" t="n">
        <v>3</v>
      </c>
      <c r="N235" s="8" t="s">
        <v>1641</v>
      </c>
      <c r="O235" s="8" t="n">
        <v>2</v>
      </c>
      <c r="P235" s="10" t="n">
        <v>14.95</v>
      </c>
      <c r="Q235" s="8" t="n">
        <v>6935</v>
      </c>
      <c r="R235" s="8" t="n">
        <v>606</v>
      </c>
      <c r="S235" s="8" t="s">
        <v>388</v>
      </c>
      <c r="T235" s="8" t="s">
        <v>367</v>
      </c>
      <c r="U235" s="8" t="s">
        <v>368</v>
      </c>
      <c r="V235" s="8"/>
      <c r="W235" s="8" t="s">
        <v>389</v>
      </c>
      <c r="X235" s="8" t="s">
        <v>390</v>
      </c>
      <c r="Y235" s="8" t="s">
        <v>1733</v>
      </c>
      <c r="Z235" s="8" t="s">
        <v>1735</v>
      </c>
    </row>
    <row r="236" customFormat="false" ht="15" hidden="false" customHeight="false" outlineLevel="0" collapsed="false">
      <c r="A236" s="8" t="s">
        <v>391</v>
      </c>
      <c r="B236" s="8" t="s">
        <v>17</v>
      </c>
      <c r="C236" s="8" t="s">
        <v>18</v>
      </c>
      <c r="D236" s="8" t="s">
        <v>615</v>
      </c>
      <c r="E236" s="8" t="s">
        <v>37</v>
      </c>
      <c r="F236" s="8" t="s">
        <v>59</v>
      </c>
      <c r="G236" s="8" t="s">
        <v>31</v>
      </c>
      <c r="H236" s="8" t="s">
        <v>31</v>
      </c>
      <c r="I236" s="8" t="n">
        <f aca="false">IF(EXACT(G236,H236),1,0)</f>
        <v>1</v>
      </c>
      <c r="J236" s="8" t="n">
        <v>0</v>
      </c>
      <c r="K236" s="8" t="s">
        <v>737</v>
      </c>
      <c r="L236" s="8" t="n">
        <v>1</v>
      </c>
      <c r="M236" s="8" t="n">
        <v>3</v>
      </c>
      <c r="N236" s="8" t="s">
        <v>1641</v>
      </c>
      <c r="O236" s="8" t="n">
        <v>2</v>
      </c>
      <c r="P236" s="10" t="n">
        <v>19.45</v>
      </c>
      <c r="Q236" s="8" t="n">
        <v>7999</v>
      </c>
      <c r="R236" s="8" t="n">
        <v>974</v>
      </c>
      <c r="S236" s="8" t="s">
        <v>392</v>
      </c>
      <c r="T236" s="8"/>
      <c r="U236" s="8"/>
      <c r="V236" s="8" t="s">
        <v>155</v>
      </c>
      <c r="W236" s="8"/>
      <c r="X236" s="8" t="s">
        <v>393</v>
      </c>
      <c r="Y236" s="8" t="s">
        <v>1736</v>
      </c>
      <c r="Z236" s="8" t="s">
        <v>1737</v>
      </c>
    </row>
    <row r="237" customFormat="false" ht="15" hidden="false" customHeight="false" outlineLevel="0" collapsed="false">
      <c r="A237" s="8" t="s">
        <v>391</v>
      </c>
      <c r="B237" s="8" t="s">
        <v>17</v>
      </c>
      <c r="C237" s="8" t="s">
        <v>18</v>
      </c>
      <c r="D237" s="8" t="s">
        <v>615</v>
      </c>
      <c r="E237" s="8" t="s">
        <v>37</v>
      </c>
      <c r="F237" s="8" t="s">
        <v>59</v>
      </c>
      <c r="G237" s="8" t="s">
        <v>31</v>
      </c>
      <c r="H237" s="8" t="s">
        <v>31</v>
      </c>
      <c r="I237" s="8" t="n">
        <f aca="false">IF(EXACT(G237,H237),1,0)</f>
        <v>1</v>
      </c>
      <c r="J237" s="8" t="n">
        <v>1</v>
      </c>
      <c r="K237" s="8" t="s">
        <v>737</v>
      </c>
      <c r="L237" s="8" t="n">
        <v>1</v>
      </c>
      <c r="M237" s="8" t="n">
        <v>3</v>
      </c>
      <c r="N237" s="8" t="s">
        <v>1641</v>
      </c>
      <c r="O237" s="8" t="n">
        <v>2</v>
      </c>
      <c r="P237" s="10" t="n">
        <v>20.16</v>
      </c>
      <c r="Q237" s="8" t="n">
        <v>7999</v>
      </c>
      <c r="R237" s="8" t="n">
        <v>1080</v>
      </c>
      <c r="S237" s="8" t="s">
        <v>392</v>
      </c>
      <c r="T237" s="8"/>
      <c r="U237" s="8"/>
      <c r="V237" s="8" t="s">
        <v>155</v>
      </c>
      <c r="W237" s="8"/>
      <c r="X237" s="8" t="s">
        <v>393</v>
      </c>
      <c r="Y237" s="8" t="s">
        <v>1738</v>
      </c>
      <c r="Z237" s="8" t="s">
        <v>1739</v>
      </c>
    </row>
    <row r="238" customFormat="false" ht="15" hidden="false" customHeight="false" outlineLevel="0" collapsed="false">
      <c r="A238" s="8" t="s">
        <v>391</v>
      </c>
      <c r="B238" s="8" t="s">
        <v>17</v>
      </c>
      <c r="C238" s="8" t="s">
        <v>18</v>
      </c>
      <c r="D238" s="8" t="s">
        <v>615</v>
      </c>
      <c r="E238" s="8" t="s">
        <v>37</v>
      </c>
      <c r="F238" s="8" t="s">
        <v>59</v>
      </c>
      <c r="G238" s="8" t="s">
        <v>31</v>
      </c>
      <c r="H238" s="8" t="s">
        <v>31</v>
      </c>
      <c r="I238" s="8" t="n">
        <f aca="false">IF(EXACT(G238,H238),1,0)</f>
        <v>1</v>
      </c>
      <c r="J238" s="8" t="n">
        <v>2</v>
      </c>
      <c r="K238" s="8" t="s">
        <v>737</v>
      </c>
      <c r="L238" s="8" t="n">
        <v>1</v>
      </c>
      <c r="M238" s="8" t="n">
        <v>3</v>
      </c>
      <c r="N238" s="8" t="s">
        <v>1641</v>
      </c>
      <c r="O238" s="8" t="n">
        <v>2</v>
      </c>
      <c r="P238" s="10" t="n">
        <v>19.77</v>
      </c>
      <c r="Q238" s="8" t="n">
        <v>7999</v>
      </c>
      <c r="R238" s="8" t="n">
        <v>1018</v>
      </c>
      <c r="S238" s="8" t="s">
        <v>392</v>
      </c>
      <c r="T238" s="8"/>
      <c r="U238" s="8"/>
      <c r="V238" s="8" t="s">
        <v>155</v>
      </c>
      <c r="W238" s="8"/>
      <c r="X238" s="8" t="s">
        <v>393</v>
      </c>
      <c r="Y238" s="8" t="s">
        <v>1740</v>
      </c>
      <c r="Z238" s="8" t="s">
        <v>1741</v>
      </c>
    </row>
    <row r="239" customFormat="false" ht="15" hidden="false" customHeight="false" outlineLevel="0" collapsed="false">
      <c r="A239" s="8" t="s">
        <v>395</v>
      </c>
      <c r="B239" s="8" t="s">
        <v>17</v>
      </c>
      <c r="C239" s="8" t="s">
        <v>18</v>
      </c>
      <c r="D239" s="8" t="s">
        <v>615</v>
      </c>
      <c r="E239" s="8" t="s">
        <v>37</v>
      </c>
      <c r="F239" s="8" t="s">
        <v>59</v>
      </c>
      <c r="G239" s="8" t="s">
        <v>31</v>
      </c>
      <c r="H239" s="8" t="s">
        <v>31</v>
      </c>
      <c r="I239" s="8" t="n">
        <f aca="false">IF(EXACT(G239,H239),1,0)</f>
        <v>1</v>
      </c>
      <c r="J239" s="8" t="n">
        <v>0</v>
      </c>
      <c r="K239" s="8" t="s">
        <v>737</v>
      </c>
      <c r="L239" s="8" t="n">
        <v>1</v>
      </c>
      <c r="M239" s="8" t="n">
        <v>3</v>
      </c>
      <c r="N239" s="8" t="s">
        <v>1641</v>
      </c>
      <c r="O239" s="8" t="n">
        <v>2</v>
      </c>
      <c r="P239" s="10" t="n">
        <v>23.35</v>
      </c>
      <c r="Q239" s="8" t="n">
        <v>7299</v>
      </c>
      <c r="R239" s="8" t="n">
        <v>1122</v>
      </c>
      <c r="S239" s="8" t="s">
        <v>396</v>
      </c>
      <c r="T239" s="8"/>
      <c r="U239" s="8"/>
      <c r="V239" s="8" t="s">
        <v>155</v>
      </c>
      <c r="W239" s="8"/>
      <c r="X239" s="8" t="s">
        <v>397</v>
      </c>
      <c r="Y239" s="8" t="s">
        <v>1742</v>
      </c>
      <c r="Z239" s="8" t="s">
        <v>1743</v>
      </c>
    </row>
    <row r="240" customFormat="false" ht="15" hidden="false" customHeight="false" outlineLevel="0" collapsed="false">
      <c r="A240" s="8" t="s">
        <v>395</v>
      </c>
      <c r="B240" s="8" t="s">
        <v>17</v>
      </c>
      <c r="C240" s="8" t="s">
        <v>18</v>
      </c>
      <c r="D240" s="8" t="s">
        <v>615</v>
      </c>
      <c r="E240" s="8" t="s">
        <v>37</v>
      </c>
      <c r="F240" s="8" t="s">
        <v>59</v>
      </c>
      <c r="G240" s="8" t="s">
        <v>31</v>
      </c>
      <c r="H240" s="8" t="s">
        <v>31</v>
      </c>
      <c r="I240" s="8" t="n">
        <f aca="false">IF(EXACT(G240,H240),1,0)</f>
        <v>1</v>
      </c>
      <c r="J240" s="8" t="n">
        <v>1</v>
      </c>
      <c r="K240" s="8" t="s">
        <v>737</v>
      </c>
      <c r="L240" s="8" t="n">
        <v>1</v>
      </c>
      <c r="M240" s="8" t="n">
        <v>3</v>
      </c>
      <c r="N240" s="8" t="s">
        <v>1641</v>
      </c>
      <c r="O240" s="8" t="n">
        <v>2</v>
      </c>
      <c r="P240" s="10" t="n">
        <v>22.69</v>
      </c>
      <c r="Q240" s="8" t="n">
        <v>7299</v>
      </c>
      <c r="R240" s="8" t="n">
        <v>1144</v>
      </c>
      <c r="S240" s="8" t="s">
        <v>396</v>
      </c>
      <c r="T240" s="8"/>
      <c r="U240" s="8"/>
      <c r="V240" s="8" t="s">
        <v>155</v>
      </c>
      <c r="W240" s="8"/>
      <c r="X240" s="8" t="s">
        <v>397</v>
      </c>
      <c r="Y240" s="8" t="s">
        <v>1744</v>
      </c>
      <c r="Z240" s="8" t="s">
        <v>1745</v>
      </c>
    </row>
    <row r="241" customFormat="false" ht="15" hidden="false" customHeight="false" outlineLevel="0" collapsed="false">
      <c r="A241" s="8" t="s">
        <v>395</v>
      </c>
      <c r="B241" s="8" t="s">
        <v>17</v>
      </c>
      <c r="C241" s="8" t="s">
        <v>18</v>
      </c>
      <c r="D241" s="8" t="s">
        <v>615</v>
      </c>
      <c r="E241" s="8" t="s">
        <v>37</v>
      </c>
      <c r="F241" s="8" t="s">
        <v>59</v>
      </c>
      <c r="G241" s="8" t="s">
        <v>31</v>
      </c>
      <c r="H241" s="8" t="s">
        <v>31</v>
      </c>
      <c r="I241" s="8" t="n">
        <f aca="false">IF(EXACT(G241,H241),1,0)</f>
        <v>1</v>
      </c>
      <c r="J241" s="8" t="n">
        <v>2</v>
      </c>
      <c r="K241" s="8" t="s">
        <v>737</v>
      </c>
      <c r="L241" s="8" t="n">
        <v>1</v>
      </c>
      <c r="M241" s="8" t="n">
        <v>3</v>
      </c>
      <c r="N241" s="8" t="s">
        <v>1641</v>
      </c>
      <c r="O241" s="8" t="n">
        <v>2</v>
      </c>
      <c r="P241" s="10" t="n">
        <v>24.58</v>
      </c>
      <c r="Q241" s="8" t="n">
        <v>7299</v>
      </c>
      <c r="R241" s="8" t="n">
        <v>1219</v>
      </c>
      <c r="S241" s="8" t="s">
        <v>396</v>
      </c>
      <c r="T241" s="8"/>
      <c r="U241" s="8"/>
      <c r="V241" s="8" t="s">
        <v>155</v>
      </c>
      <c r="W241" s="8"/>
      <c r="X241" s="8" t="s">
        <v>397</v>
      </c>
      <c r="Y241" s="8" t="s">
        <v>1746</v>
      </c>
      <c r="Z241" s="8" t="s">
        <v>1747</v>
      </c>
    </row>
    <row r="242" customFormat="false" ht="15" hidden="false" customHeight="false" outlineLevel="0" collapsed="false">
      <c r="A242" s="8" t="s">
        <v>399</v>
      </c>
      <c r="B242" s="8" t="s">
        <v>17</v>
      </c>
      <c r="C242" s="8" t="s">
        <v>18</v>
      </c>
      <c r="D242" s="8" t="s">
        <v>615</v>
      </c>
      <c r="E242" s="8" t="s">
        <v>37</v>
      </c>
      <c r="F242" s="8" t="s">
        <v>59</v>
      </c>
      <c r="G242" s="8" t="s">
        <v>32</v>
      </c>
      <c r="H242" s="8" t="s">
        <v>30</v>
      </c>
      <c r="I242" s="8" t="n">
        <f aca="false">IF(EXACT(G242,H242),1,0)</f>
        <v>0</v>
      </c>
      <c r="J242" s="8" t="n">
        <v>0</v>
      </c>
      <c r="K242" s="8" t="s">
        <v>92</v>
      </c>
      <c r="L242" s="8" t="n">
        <v>0</v>
      </c>
      <c r="M242" s="8" t="n">
        <v>3</v>
      </c>
      <c r="N242" s="8" t="s">
        <v>1641</v>
      </c>
      <c r="O242" s="8" t="n">
        <v>2</v>
      </c>
      <c r="P242" s="10" t="n">
        <v>19.03</v>
      </c>
      <c r="Q242" s="8" t="n">
        <v>7616</v>
      </c>
      <c r="R242" s="8" t="n">
        <v>957</v>
      </c>
      <c r="S242" s="8" t="s">
        <v>400</v>
      </c>
      <c r="T242" s="8"/>
      <c r="U242" s="8"/>
      <c r="V242" s="8" t="s">
        <v>155</v>
      </c>
      <c r="W242" s="8"/>
      <c r="X242" s="8" t="s">
        <v>401</v>
      </c>
      <c r="Y242" s="8" t="s">
        <v>1748</v>
      </c>
      <c r="Z242" s="8"/>
    </row>
    <row r="243" customFormat="false" ht="15" hidden="false" customHeight="false" outlineLevel="0" collapsed="false">
      <c r="A243" s="8" t="s">
        <v>399</v>
      </c>
      <c r="B243" s="8" t="s">
        <v>17</v>
      </c>
      <c r="C243" s="8" t="s">
        <v>18</v>
      </c>
      <c r="D243" s="8" t="s">
        <v>615</v>
      </c>
      <c r="E243" s="8" t="s">
        <v>37</v>
      </c>
      <c r="F243" s="8" t="s">
        <v>59</v>
      </c>
      <c r="G243" s="8" t="s">
        <v>32</v>
      </c>
      <c r="H243" s="8" t="s">
        <v>30</v>
      </c>
      <c r="I243" s="8" t="n">
        <f aca="false">IF(EXACT(G243,H243),1,0)</f>
        <v>0</v>
      </c>
      <c r="J243" s="8" t="n">
        <v>1</v>
      </c>
      <c r="K243" s="8" t="s">
        <v>92</v>
      </c>
      <c r="L243" s="8" t="n">
        <v>0</v>
      </c>
      <c r="M243" s="8" t="n">
        <v>3</v>
      </c>
      <c r="N243" s="8" t="s">
        <v>1641</v>
      </c>
      <c r="O243" s="8" t="n">
        <v>2</v>
      </c>
      <c r="P243" s="10" t="n">
        <v>18.5</v>
      </c>
      <c r="Q243" s="8" t="n">
        <v>7616</v>
      </c>
      <c r="R243" s="8" t="n">
        <v>952</v>
      </c>
      <c r="S243" s="8" t="s">
        <v>400</v>
      </c>
      <c r="T243" s="8"/>
      <c r="U243" s="8"/>
      <c r="V243" s="8" t="s">
        <v>155</v>
      </c>
      <c r="W243" s="8"/>
      <c r="X243" s="8" t="s">
        <v>401</v>
      </c>
      <c r="Y243" s="8" t="s">
        <v>1749</v>
      </c>
      <c r="Z243" s="8"/>
    </row>
    <row r="244" customFormat="false" ht="15" hidden="false" customHeight="false" outlineLevel="0" collapsed="false">
      <c r="A244" s="8" t="s">
        <v>399</v>
      </c>
      <c r="B244" s="8" t="s">
        <v>17</v>
      </c>
      <c r="C244" s="8" t="s">
        <v>18</v>
      </c>
      <c r="D244" s="8" t="s">
        <v>615</v>
      </c>
      <c r="E244" s="8" t="s">
        <v>37</v>
      </c>
      <c r="F244" s="8" t="s">
        <v>59</v>
      </c>
      <c r="G244" s="8" t="s">
        <v>32</v>
      </c>
      <c r="H244" s="8" t="s">
        <v>30</v>
      </c>
      <c r="I244" s="8" t="n">
        <f aca="false">IF(EXACT(G244,H244),1,0)</f>
        <v>0</v>
      </c>
      <c r="J244" s="8" t="n">
        <v>2</v>
      </c>
      <c r="K244" s="8" t="s">
        <v>92</v>
      </c>
      <c r="L244" s="8" t="n">
        <v>0</v>
      </c>
      <c r="M244" s="8" t="n">
        <v>3</v>
      </c>
      <c r="N244" s="8" t="s">
        <v>1641</v>
      </c>
      <c r="O244" s="8" t="n">
        <v>2</v>
      </c>
      <c r="P244" s="10" t="n">
        <v>18.48</v>
      </c>
      <c r="Q244" s="8" t="n">
        <v>7616</v>
      </c>
      <c r="R244" s="8" t="n">
        <v>952</v>
      </c>
      <c r="S244" s="8" t="s">
        <v>400</v>
      </c>
      <c r="T244" s="8"/>
      <c r="U244" s="8"/>
      <c r="V244" s="8" t="s">
        <v>155</v>
      </c>
      <c r="W244" s="8"/>
      <c r="X244" s="8" t="s">
        <v>401</v>
      </c>
      <c r="Y244" s="8" t="s">
        <v>1750</v>
      </c>
      <c r="Z244" s="8"/>
    </row>
    <row r="245" customFormat="false" ht="15" hidden="false" customHeight="false" outlineLevel="0" collapsed="false">
      <c r="A245" s="8" t="s">
        <v>402</v>
      </c>
      <c r="B245" s="8" t="s">
        <v>17</v>
      </c>
      <c r="C245" s="8" t="s">
        <v>18</v>
      </c>
      <c r="D245" s="8" t="s">
        <v>615</v>
      </c>
      <c r="E245" s="8" t="s">
        <v>37</v>
      </c>
      <c r="F245" s="8" t="s">
        <v>59</v>
      </c>
      <c r="G245" s="8" t="s">
        <v>32</v>
      </c>
      <c r="H245" s="8" t="s">
        <v>30</v>
      </c>
      <c r="I245" s="8" t="n">
        <f aca="false">IF(EXACT(G245,H245),1,0)</f>
        <v>0</v>
      </c>
      <c r="J245" s="8" t="n">
        <v>0</v>
      </c>
      <c r="K245" s="8" t="s">
        <v>92</v>
      </c>
      <c r="L245" s="8" t="n">
        <v>0</v>
      </c>
      <c r="M245" s="8" t="n">
        <v>3</v>
      </c>
      <c r="N245" s="8" t="s">
        <v>1641</v>
      </c>
      <c r="O245" s="8" t="n">
        <v>2</v>
      </c>
      <c r="P245" s="10" t="n">
        <v>12.28</v>
      </c>
      <c r="Q245" s="8" t="n">
        <v>7169</v>
      </c>
      <c r="R245" s="8" t="n">
        <v>553</v>
      </c>
      <c r="S245" s="8" t="s">
        <v>403</v>
      </c>
      <c r="T245" s="8"/>
      <c r="U245" s="8"/>
      <c r="V245" s="8" t="s">
        <v>155</v>
      </c>
      <c r="W245" s="8"/>
      <c r="X245" s="8" t="s">
        <v>404</v>
      </c>
      <c r="Y245" s="8" t="s">
        <v>1751</v>
      </c>
      <c r="Z245" s="8"/>
    </row>
    <row r="246" customFormat="false" ht="15" hidden="false" customHeight="false" outlineLevel="0" collapsed="false">
      <c r="A246" s="8" t="s">
        <v>402</v>
      </c>
      <c r="B246" s="8" t="s">
        <v>17</v>
      </c>
      <c r="C246" s="8" t="s">
        <v>18</v>
      </c>
      <c r="D246" s="8" t="s">
        <v>615</v>
      </c>
      <c r="E246" s="8" t="s">
        <v>37</v>
      </c>
      <c r="F246" s="8" t="s">
        <v>59</v>
      </c>
      <c r="G246" s="8" t="s">
        <v>32</v>
      </c>
      <c r="H246" s="8" t="s">
        <v>30</v>
      </c>
      <c r="I246" s="8" t="n">
        <f aca="false">IF(EXACT(G246,H246),1,0)</f>
        <v>0</v>
      </c>
      <c r="J246" s="8" t="n">
        <v>1</v>
      </c>
      <c r="K246" s="8" t="s">
        <v>92</v>
      </c>
      <c r="L246" s="8" t="n">
        <v>0</v>
      </c>
      <c r="M246" s="8" t="n">
        <v>3</v>
      </c>
      <c r="N246" s="8" t="s">
        <v>1641</v>
      </c>
      <c r="O246" s="8" t="n">
        <v>2</v>
      </c>
      <c r="P246" s="10" t="n">
        <v>11.77</v>
      </c>
      <c r="Q246" s="8" t="n">
        <v>7169</v>
      </c>
      <c r="R246" s="8" t="n">
        <v>553</v>
      </c>
      <c r="S246" s="8" t="s">
        <v>403</v>
      </c>
      <c r="T246" s="8"/>
      <c r="U246" s="8"/>
      <c r="V246" s="8" t="s">
        <v>155</v>
      </c>
      <c r="W246" s="8"/>
      <c r="X246" s="8" t="s">
        <v>404</v>
      </c>
      <c r="Y246" s="8" t="s">
        <v>1751</v>
      </c>
      <c r="Z246" s="8"/>
    </row>
    <row r="247" customFormat="false" ht="15" hidden="false" customHeight="false" outlineLevel="0" collapsed="false">
      <c r="A247" s="8" t="s">
        <v>402</v>
      </c>
      <c r="B247" s="8" t="s">
        <v>17</v>
      </c>
      <c r="C247" s="8" t="s">
        <v>18</v>
      </c>
      <c r="D247" s="8" t="s">
        <v>615</v>
      </c>
      <c r="E247" s="8" t="s">
        <v>37</v>
      </c>
      <c r="F247" s="8" t="s">
        <v>59</v>
      </c>
      <c r="G247" s="8" t="s">
        <v>32</v>
      </c>
      <c r="H247" s="8" t="s">
        <v>30</v>
      </c>
      <c r="I247" s="8" t="n">
        <f aca="false">IF(EXACT(G247,H247),1,0)</f>
        <v>0</v>
      </c>
      <c r="J247" s="8" t="n">
        <v>2</v>
      </c>
      <c r="K247" s="8" t="s">
        <v>92</v>
      </c>
      <c r="L247" s="8" t="n">
        <v>0</v>
      </c>
      <c r="M247" s="8" t="n">
        <v>3</v>
      </c>
      <c r="N247" s="8" t="s">
        <v>1641</v>
      </c>
      <c r="O247" s="8" t="n">
        <v>2</v>
      </c>
      <c r="P247" s="10" t="n">
        <v>12.18</v>
      </c>
      <c r="Q247" s="8" t="n">
        <v>7169</v>
      </c>
      <c r="R247" s="8" t="n">
        <v>556</v>
      </c>
      <c r="S247" s="8" t="s">
        <v>403</v>
      </c>
      <c r="T247" s="8"/>
      <c r="U247" s="8"/>
      <c r="V247" s="8" t="s">
        <v>155</v>
      </c>
      <c r="W247" s="8"/>
      <c r="X247" s="8" t="s">
        <v>404</v>
      </c>
      <c r="Y247" s="8" t="s">
        <v>1752</v>
      </c>
      <c r="Z247" s="8"/>
    </row>
    <row r="248" customFormat="false" ht="15" hidden="false" customHeight="false" outlineLevel="0" collapsed="false">
      <c r="A248" s="8" t="s">
        <v>405</v>
      </c>
      <c r="B248" s="8" t="s">
        <v>17</v>
      </c>
      <c r="C248" s="8" t="s">
        <v>18</v>
      </c>
      <c r="D248" s="8" t="s">
        <v>615</v>
      </c>
      <c r="E248" s="8" t="s">
        <v>37</v>
      </c>
      <c r="F248" s="8" t="s">
        <v>59</v>
      </c>
      <c r="G248" s="8" t="s">
        <v>30</v>
      </c>
      <c r="H248" s="8" t="s">
        <v>30</v>
      </c>
      <c r="I248" s="8" t="n">
        <f aca="false">IF(EXACT(G248,H248),1,0)</f>
        <v>1</v>
      </c>
      <c r="J248" s="8" t="n">
        <v>0</v>
      </c>
      <c r="K248" s="8" t="s">
        <v>92</v>
      </c>
      <c r="L248" s="8" t="n">
        <v>0</v>
      </c>
      <c r="M248" s="8" t="n">
        <v>3</v>
      </c>
      <c r="N248" s="8" t="s">
        <v>1641</v>
      </c>
      <c r="O248" s="8" t="n">
        <v>2</v>
      </c>
      <c r="P248" s="10" t="n">
        <v>14.5</v>
      </c>
      <c r="Q248" s="8" t="n">
        <v>7470</v>
      </c>
      <c r="R248" s="8" t="n">
        <v>754</v>
      </c>
      <c r="S248" s="8" t="s">
        <v>406</v>
      </c>
      <c r="T248" s="8"/>
      <c r="U248" s="8"/>
      <c r="V248" s="8" t="s">
        <v>155</v>
      </c>
      <c r="W248" s="8"/>
      <c r="X248" s="8" t="s">
        <v>407</v>
      </c>
      <c r="Y248" s="8" t="s">
        <v>1753</v>
      </c>
      <c r="Z248" s="8"/>
    </row>
    <row r="249" customFormat="false" ht="15" hidden="false" customHeight="false" outlineLevel="0" collapsed="false">
      <c r="A249" s="8" t="s">
        <v>405</v>
      </c>
      <c r="B249" s="8" t="s">
        <v>17</v>
      </c>
      <c r="C249" s="8" t="s">
        <v>18</v>
      </c>
      <c r="D249" s="8" t="s">
        <v>615</v>
      </c>
      <c r="E249" s="8" t="s">
        <v>37</v>
      </c>
      <c r="F249" s="8" t="s">
        <v>59</v>
      </c>
      <c r="G249" s="8" t="s">
        <v>30</v>
      </c>
      <c r="H249" s="8" t="s">
        <v>30</v>
      </c>
      <c r="I249" s="8" t="n">
        <f aca="false">IF(EXACT(G249,H249),1,0)</f>
        <v>1</v>
      </c>
      <c r="J249" s="8" t="n">
        <v>1</v>
      </c>
      <c r="K249" s="8" t="s">
        <v>92</v>
      </c>
      <c r="L249" s="8" t="n">
        <v>0</v>
      </c>
      <c r="M249" s="8" t="n">
        <v>3</v>
      </c>
      <c r="N249" s="8" t="s">
        <v>1641</v>
      </c>
      <c r="O249" s="8" t="n">
        <v>2</v>
      </c>
      <c r="P249" s="10" t="n">
        <v>15.22</v>
      </c>
      <c r="Q249" s="8" t="n">
        <v>7470</v>
      </c>
      <c r="R249" s="8" t="n">
        <v>739</v>
      </c>
      <c r="S249" s="8" t="s">
        <v>406</v>
      </c>
      <c r="T249" s="8"/>
      <c r="U249" s="8"/>
      <c r="V249" s="8" t="s">
        <v>155</v>
      </c>
      <c r="W249" s="8"/>
      <c r="X249" s="8" t="s">
        <v>407</v>
      </c>
      <c r="Y249" s="8" t="s">
        <v>1754</v>
      </c>
      <c r="Z249" s="8"/>
    </row>
    <row r="250" customFormat="false" ht="15" hidden="false" customHeight="false" outlineLevel="0" collapsed="false">
      <c r="A250" s="8" t="s">
        <v>405</v>
      </c>
      <c r="B250" s="8" t="s">
        <v>17</v>
      </c>
      <c r="C250" s="8" t="s">
        <v>18</v>
      </c>
      <c r="D250" s="8" t="s">
        <v>615</v>
      </c>
      <c r="E250" s="8" t="s">
        <v>37</v>
      </c>
      <c r="F250" s="8" t="s">
        <v>59</v>
      </c>
      <c r="G250" s="8" t="s">
        <v>30</v>
      </c>
      <c r="H250" s="8" t="s">
        <v>30</v>
      </c>
      <c r="I250" s="8" t="n">
        <f aca="false">IF(EXACT(G250,H250),1,0)</f>
        <v>1</v>
      </c>
      <c r="J250" s="8" t="n">
        <v>2</v>
      </c>
      <c r="K250" s="8" t="s">
        <v>92</v>
      </c>
      <c r="L250" s="8" t="n">
        <v>0</v>
      </c>
      <c r="M250" s="8" t="n">
        <v>3</v>
      </c>
      <c r="N250" s="8" t="s">
        <v>1641</v>
      </c>
      <c r="O250" s="8" t="n">
        <v>2</v>
      </c>
      <c r="P250" s="10" t="n">
        <v>14.02</v>
      </c>
      <c r="Q250" s="8" t="n">
        <v>7470</v>
      </c>
      <c r="R250" s="8" t="n">
        <v>754</v>
      </c>
      <c r="S250" s="8" t="s">
        <v>406</v>
      </c>
      <c r="T250" s="8"/>
      <c r="U250" s="8"/>
      <c r="V250" s="8" t="s">
        <v>155</v>
      </c>
      <c r="W250" s="8"/>
      <c r="X250" s="8" t="s">
        <v>407</v>
      </c>
      <c r="Y250" s="8" t="s">
        <v>1753</v>
      </c>
      <c r="Z250" s="8"/>
    </row>
    <row r="251" customFormat="false" ht="15" hidden="false" customHeight="false" outlineLevel="0" collapsed="false">
      <c r="A251" s="8" t="s">
        <v>408</v>
      </c>
      <c r="B251" s="8" t="s">
        <v>17</v>
      </c>
      <c r="C251" s="8" t="s">
        <v>18</v>
      </c>
      <c r="D251" s="8" t="s">
        <v>615</v>
      </c>
      <c r="E251" s="8" t="s">
        <v>37</v>
      </c>
      <c r="F251" s="8" t="s">
        <v>59</v>
      </c>
      <c r="G251" s="8" t="s">
        <v>30</v>
      </c>
      <c r="H251" s="8" t="s">
        <v>31</v>
      </c>
      <c r="I251" s="8" t="n">
        <f aca="false">IF(EXACT(G251,H251),1,0)</f>
        <v>0</v>
      </c>
      <c r="J251" s="8" t="n">
        <v>0</v>
      </c>
      <c r="K251" s="8" t="s">
        <v>737</v>
      </c>
      <c r="L251" s="8" t="n">
        <v>2</v>
      </c>
      <c r="M251" s="8" t="n">
        <v>3</v>
      </c>
      <c r="N251" s="8" t="s">
        <v>1641</v>
      </c>
      <c r="O251" s="8" t="n">
        <v>2</v>
      </c>
      <c r="P251" s="10" t="n">
        <v>33.89</v>
      </c>
      <c r="Q251" s="8" t="n">
        <v>7777</v>
      </c>
      <c r="R251" s="8" t="n">
        <v>1588</v>
      </c>
      <c r="S251" s="8" t="s">
        <v>409</v>
      </c>
      <c r="T251" s="8"/>
      <c r="U251" s="8"/>
      <c r="V251" s="8" t="s">
        <v>155</v>
      </c>
      <c r="W251" s="8"/>
      <c r="X251" s="8" t="s">
        <v>410</v>
      </c>
      <c r="Y251" s="8" t="s">
        <v>1755</v>
      </c>
      <c r="Z251" s="8" t="s">
        <v>1756</v>
      </c>
    </row>
    <row r="252" customFormat="false" ht="15" hidden="false" customHeight="false" outlineLevel="0" collapsed="false">
      <c r="A252" s="8" t="s">
        <v>408</v>
      </c>
      <c r="B252" s="8" t="s">
        <v>17</v>
      </c>
      <c r="C252" s="8" t="s">
        <v>18</v>
      </c>
      <c r="D252" s="8" t="s">
        <v>615</v>
      </c>
      <c r="E252" s="8" t="s">
        <v>37</v>
      </c>
      <c r="F252" s="8" t="s">
        <v>59</v>
      </c>
      <c r="G252" s="8" t="s">
        <v>30</v>
      </c>
      <c r="H252" s="8" t="s">
        <v>31</v>
      </c>
      <c r="I252" s="8" t="n">
        <f aca="false">IF(EXACT(G252,H252),1,0)</f>
        <v>0</v>
      </c>
      <c r="J252" s="8" t="n">
        <v>1</v>
      </c>
      <c r="K252" s="8" t="s">
        <v>737</v>
      </c>
      <c r="L252" s="8" t="n">
        <v>2</v>
      </c>
      <c r="M252" s="8" t="n">
        <v>3</v>
      </c>
      <c r="N252" s="8" t="s">
        <v>1641</v>
      </c>
      <c r="O252" s="8" t="n">
        <v>2</v>
      </c>
      <c r="P252" s="10" t="n">
        <v>27.22</v>
      </c>
      <c r="Q252" s="8" t="n">
        <v>7777</v>
      </c>
      <c r="R252" s="8" t="n">
        <v>1308</v>
      </c>
      <c r="S252" s="8" t="s">
        <v>409</v>
      </c>
      <c r="T252" s="8"/>
      <c r="U252" s="8"/>
      <c r="V252" s="8" t="s">
        <v>155</v>
      </c>
      <c r="W252" s="8"/>
      <c r="X252" s="8" t="s">
        <v>410</v>
      </c>
      <c r="Y252" s="8" t="s">
        <v>1757</v>
      </c>
      <c r="Z252" s="8" t="s">
        <v>1758</v>
      </c>
    </row>
    <row r="253" customFormat="false" ht="15" hidden="false" customHeight="false" outlineLevel="0" collapsed="false">
      <c r="A253" s="8" t="s">
        <v>408</v>
      </c>
      <c r="B253" s="8" t="s">
        <v>17</v>
      </c>
      <c r="C253" s="8" t="s">
        <v>18</v>
      </c>
      <c r="D253" s="8" t="s">
        <v>615</v>
      </c>
      <c r="E253" s="8" t="s">
        <v>37</v>
      </c>
      <c r="F253" s="8" t="s">
        <v>59</v>
      </c>
      <c r="G253" s="8" t="s">
        <v>30</v>
      </c>
      <c r="H253" s="8" t="s">
        <v>31</v>
      </c>
      <c r="I253" s="8" t="n">
        <f aca="false">IF(EXACT(G253,H253),1,0)</f>
        <v>0</v>
      </c>
      <c r="J253" s="8" t="n">
        <v>2</v>
      </c>
      <c r="K253" s="8" t="s">
        <v>737</v>
      </c>
      <c r="L253" s="8" t="n">
        <v>2</v>
      </c>
      <c r="M253" s="8" t="n">
        <v>3</v>
      </c>
      <c r="N253" s="8" t="s">
        <v>1641</v>
      </c>
      <c r="O253" s="8" t="n">
        <v>2</v>
      </c>
      <c r="P253" s="10" t="n">
        <v>27.25</v>
      </c>
      <c r="Q253" s="8" t="n">
        <v>7776</v>
      </c>
      <c r="R253" s="8" t="n">
        <v>1337</v>
      </c>
      <c r="S253" s="8" t="s">
        <v>409</v>
      </c>
      <c r="T253" s="8"/>
      <c r="U253" s="8"/>
      <c r="V253" s="8" t="s">
        <v>155</v>
      </c>
      <c r="W253" s="8"/>
      <c r="X253" s="8" t="s">
        <v>410</v>
      </c>
      <c r="Y253" s="8" t="s">
        <v>1759</v>
      </c>
      <c r="Z253" s="8" t="s">
        <v>1760</v>
      </c>
    </row>
    <row r="254" customFormat="false" ht="15" hidden="false" customHeight="false" outlineLevel="0" collapsed="false">
      <c r="A254" s="8" t="s">
        <v>411</v>
      </c>
      <c r="B254" s="8" t="s">
        <v>17</v>
      </c>
      <c r="C254" s="8" t="s">
        <v>18</v>
      </c>
      <c r="D254" s="8" t="s">
        <v>615</v>
      </c>
      <c r="E254" s="8" t="s">
        <v>37</v>
      </c>
      <c r="F254" s="8" t="s">
        <v>60</v>
      </c>
      <c r="G254" s="8" t="s">
        <v>31</v>
      </c>
      <c r="H254" s="8" t="s">
        <v>31</v>
      </c>
      <c r="I254" s="8" t="n">
        <f aca="false">IF(EXACT(G254,H254),1,0)</f>
        <v>1</v>
      </c>
      <c r="J254" s="8" t="n">
        <v>0</v>
      </c>
      <c r="K254" s="8" t="s">
        <v>116</v>
      </c>
      <c r="L254" s="8" t="n">
        <v>1</v>
      </c>
      <c r="M254" s="8" t="n">
        <v>3</v>
      </c>
      <c r="N254" s="8" t="s">
        <v>1641</v>
      </c>
      <c r="O254" s="8" t="n">
        <v>2</v>
      </c>
      <c r="P254" s="10" t="n">
        <v>22.78</v>
      </c>
      <c r="Q254" s="8" t="n">
        <v>8366</v>
      </c>
      <c r="R254" s="8" t="n">
        <v>1325</v>
      </c>
      <c r="S254" s="8" t="s">
        <v>412</v>
      </c>
      <c r="T254" s="8"/>
      <c r="U254" s="8"/>
      <c r="V254" s="8" t="s">
        <v>155</v>
      </c>
      <c r="W254" s="8"/>
      <c r="X254" s="8" t="s">
        <v>413</v>
      </c>
      <c r="Y254" s="8" t="s">
        <v>1761</v>
      </c>
      <c r="Z254" s="8" t="s">
        <v>1762</v>
      </c>
    </row>
    <row r="255" customFormat="false" ht="15" hidden="false" customHeight="false" outlineLevel="0" collapsed="false">
      <c r="A255" s="8" t="s">
        <v>411</v>
      </c>
      <c r="B255" s="8" t="s">
        <v>17</v>
      </c>
      <c r="C255" s="8" t="s">
        <v>18</v>
      </c>
      <c r="D255" s="8" t="s">
        <v>615</v>
      </c>
      <c r="E255" s="8" t="s">
        <v>37</v>
      </c>
      <c r="F255" s="8" t="s">
        <v>60</v>
      </c>
      <c r="G255" s="8" t="s">
        <v>31</v>
      </c>
      <c r="H255" s="8" t="s">
        <v>31</v>
      </c>
      <c r="I255" s="8" t="n">
        <f aca="false">IF(EXACT(G255,H255),1,0)</f>
        <v>1</v>
      </c>
      <c r="J255" s="8" t="n">
        <v>1</v>
      </c>
      <c r="K255" s="8" t="s">
        <v>116</v>
      </c>
      <c r="L255" s="8" t="n">
        <v>1</v>
      </c>
      <c r="M255" s="8" t="n">
        <v>3</v>
      </c>
      <c r="N255" s="8" t="s">
        <v>1641</v>
      </c>
      <c r="O255" s="8" t="n">
        <v>2</v>
      </c>
      <c r="P255" s="10" t="n">
        <v>22.22</v>
      </c>
      <c r="Q255" s="8" t="n">
        <v>8366</v>
      </c>
      <c r="R255" s="8" t="n">
        <v>1351</v>
      </c>
      <c r="S255" s="8" t="s">
        <v>412</v>
      </c>
      <c r="T255" s="8"/>
      <c r="U255" s="8"/>
      <c r="V255" s="8" t="s">
        <v>155</v>
      </c>
      <c r="W255" s="8"/>
      <c r="X255" s="8" t="s">
        <v>413</v>
      </c>
      <c r="Y255" s="8" t="s">
        <v>1763</v>
      </c>
      <c r="Z255" s="8" t="s">
        <v>1764</v>
      </c>
    </row>
    <row r="256" customFormat="false" ht="15" hidden="false" customHeight="false" outlineLevel="0" collapsed="false">
      <c r="A256" s="8" t="s">
        <v>411</v>
      </c>
      <c r="B256" s="8" t="s">
        <v>17</v>
      </c>
      <c r="C256" s="8" t="s">
        <v>18</v>
      </c>
      <c r="D256" s="8" t="s">
        <v>615</v>
      </c>
      <c r="E256" s="8" t="s">
        <v>37</v>
      </c>
      <c r="F256" s="8" t="s">
        <v>60</v>
      </c>
      <c r="G256" s="8" t="s">
        <v>31</v>
      </c>
      <c r="H256" s="8" t="s">
        <v>31</v>
      </c>
      <c r="I256" s="8" t="n">
        <f aca="false">IF(EXACT(G256,H256),1,0)</f>
        <v>1</v>
      </c>
      <c r="J256" s="8" t="n">
        <v>2</v>
      </c>
      <c r="K256" s="8" t="s">
        <v>116</v>
      </c>
      <c r="L256" s="8" t="n">
        <v>1</v>
      </c>
      <c r="M256" s="8" t="n">
        <v>3</v>
      </c>
      <c r="N256" s="8" t="s">
        <v>1641</v>
      </c>
      <c r="O256" s="8" t="n">
        <v>2</v>
      </c>
      <c r="P256" s="10" t="n">
        <v>23.09</v>
      </c>
      <c r="Q256" s="8" t="n">
        <v>8372</v>
      </c>
      <c r="R256" s="8" t="n">
        <v>1406</v>
      </c>
      <c r="S256" s="8" t="s">
        <v>412</v>
      </c>
      <c r="T256" s="8"/>
      <c r="U256" s="8"/>
      <c r="V256" s="8" t="s">
        <v>155</v>
      </c>
      <c r="W256" s="8"/>
      <c r="X256" s="8" t="s">
        <v>413</v>
      </c>
      <c r="Y256" s="8" t="s">
        <v>1765</v>
      </c>
      <c r="Z256" s="8" t="s">
        <v>1766</v>
      </c>
    </row>
    <row r="257" customFormat="false" ht="15" hidden="false" customHeight="false" outlineLevel="0" collapsed="false">
      <c r="A257" s="8" t="s">
        <v>414</v>
      </c>
      <c r="B257" s="8" t="s">
        <v>17</v>
      </c>
      <c r="C257" s="8" t="s">
        <v>18</v>
      </c>
      <c r="D257" s="8" t="s">
        <v>615</v>
      </c>
      <c r="E257" s="8" t="s">
        <v>37</v>
      </c>
      <c r="F257" s="8" t="s">
        <v>60</v>
      </c>
      <c r="G257" s="8" t="s">
        <v>31</v>
      </c>
      <c r="H257" s="8" t="s">
        <v>31</v>
      </c>
      <c r="I257" s="8" t="n">
        <f aca="false">IF(EXACT(G257,H257),1,0)</f>
        <v>1</v>
      </c>
      <c r="J257" s="8" t="n">
        <v>0</v>
      </c>
      <c r="K257" s="8" t="s">
        <v>116</v>
      </c>
      <c r="L257" s="8" t="n">
        <v>1</v>
      </c>
      <c r="M257" s="8" t="n">
        <v>3</v>
      </c>
      <c r="N257" s="8" t="s">
        <v>1641</v>
      </c>
      <c r="O257" s="8" t="n">
        <v>2</v>
      </c>
      <c r="P257" s="10" t="n">
        <v>19.95</v>
      </c>
      <c r="Q257" s="8" t="n">
        <v>7989</v>
      </c>
      <c r="R257" s="8" t="n">
        <v>1129</v>
      </c>
      <c r="S257" s="8" t="s">
        <v>415</v>
      </c>
      <c r="T257" s="8"/>
      <c r="U257" s="8"/>
      <c r="V257" s="8" t="s">
        <v>155</v>
      </c>
      <c r="W257" s="8"/>
      <c r="X257" s="8" t="s">
        <v>416</v>
      </c>
      <c r="Y257" s="8" t="s">
        <v>1767</v>
      </c>
      <c r="Z257" s="8" t="s">
        <v>1768</v>
      </c>
    </row>
    <row r="258" customFormat="false" ht="15" hidden="false" customHeight="false" outlineLevel="0" collapsed="false">
      <c r="A258" s="8" t="s">
        <v>414</v>
      </c>
      <c r="B258" s="8" t="s">
        <v>17</v>
      </c>
      <c r="C258" s="8" t="s">
        <v>18</v>
      </c>
      <c r="D258" s="8" t="s">
        <v>615</v>
      </c>
      <c r="E258" s="8" t="s">
        <v>37</v>
      </c>
      <c r="F258" s="8" t="s">
        <v>60</v>
      </c>
      <c r="G258" s="8" t="s">
        <v>31</v>
      </c>
      <c r="H258" s="8" t="s">
        <v>31</v>
      </c>
      <c r="I258" s="8" t="n">
        <f aca="false">IF(EXACT(G258,H258),1,0)</f>
        <v>1</v>
      </c>
      <c r="J258" s="8" t="n">
        <v>1</v>
      </c>
      <c r="K258" s="8" t="s">
        <v>116</v>
      </c>
      <c r="L258" s="8" t="n">
        <v>1</v>
      </c>
      <c r="M258" s="8" t="n">
        <v>3</v>
      </c>
      <c r="N258" s="8" t="s">
        <v>1641</v>
      </c>
      <c r="O258" s="8" t="n">
        <v>2</v>
      </c>
      <c r="P258" s="10" t="n">
        <v>21.33</v>
      </c>
      <c r="Q258" s="8" t="n">
        <v>7989</v>
      </c>
      <c r="R258" s="8" t="n">
        <v>1157</v>
      </c>
      <c r="S258" s="8" t="s">
        <v>415</v>
      </c>
      <c r="T258" s="8"/>
      <c r="U258" s="8"/>
      <c r="V258" s="8" t="s">
        <v>155</v>
      </c>
      <c r="W258" s="8"/>
      <c r="X258" s="8" t="s">
        <v>416</v>
      </c>
      <c r="Y258" s="8" t="s">
        <v>1769</v>
      </c>
      <c r="Z258" s="8" t="s">
        <v>1770</v>
      </c>
    </row>
    <row r="259" customFormat="false" ht="15" hidden="false" customHeight="false" outlineLevel="0" collapsed="false">
      <c r="A259" s="8" t="s">
        <v>414</v>
      </c>
      <c r="B259" s="8" t="s">
        <v>17</v>
      </c>
      <c r="C259" s="8" t="s">
        <v>18</v>
      </c>
      <c r="D259" s="8" t="s">
        <v>615</v>
      </c>
      <c r="E259" s="8" t="s">
        <v>37</v>
      </c>
      <c r="F259" s="8" t="s">
        <v>60</v>
      </c>
      <c r="G259" s="8" t="s">
        <v>31</v>
      </c>
      <c r="H259" s="8" t="s">
        <v>31</v>
      </c>
      <c r="I259" s="8" t="n">
        <f aca="false">IF(EXACT(G259,H259),1,0)</f>
        <v>1</v>
      </c>
      <c r="J259" s="8" t="n">
        <v>2</v>
      </c>
      <c r="K259" s="8" t="s">
        <v>116</v>
      </c>
      <c r="L259" s="8" t="n">
        <v>1</v>
      </c>
      <c r="M259" s="8" t="n">
        <v>3</v>
      </c>
      <c r="N259" s="8" t="s">
        <v>1641</v>
      </c>
      <c r="O259" s="8" t="n">
        <v>2</v>
      </c>
      <c r="P259" s="10" t="n">
        <v>19.83</v>
      </c>
      <c r="Q259" s="8" t="n">
        <v>7989</v>
      </c>
      <c r="R259" s="8" t="n">
        <v>1126</v>
      </c>
      <c r="S259" s="8" t="s">
        <v>415</v>
      </c>
      <c r="T259" s="8"/>
      <c r="U259" s="8"/>
      <c r="V259" s="8" t="s">
        <v>155</v>
      </c>
      <c r="W259" s="8"/>
      <c r="X259" s="8" t="s">
        <v>416</v>
      </c>
      <c r="Y259" s="8" t="s">
        <v>1771</v>
      </c>
      <c r="Z259" s="8" t="s">
        <v>1772</v>
      </c>
    </row>
    <row r="260" customFormat="false" ht="15" hidden="false" customHeight="false" outlineLevel="0" collapsed="false">
      <c r="A260" s="8" t="s">
        <v>417</v>
      </c>
      <c r="B260" s="8" t="s">
        <v>17</v>
      </c>
      <c r="C260" s="8" t="s">
        <v>18</v>
      </c>
      <c r="D260" s="8" t="s">
        <v>615</v>
      </c>
      <c r="E260" s="8" t="s">
        <v>37</v>
      </c>
      <c r="F260" s="8" t="s">
        <v>60</v>
      </c>
      <c r="G260" s="8" t="s">
        <v>32</v>
      </c>
      <c r="H260" s="8" t="s">
        <v>30</v>
      </c>
      <c r="I260" s="8" t="n">
        <f aca="false">IF(EXACT(G260,H260),1,0)</f>
        <v>0</v>
      </c>
      <c r="J260" s="8" t="n">
        <v>0</v>
      </c>
      <c r="K260" s="8" t="s">
        <v>92</v>
      </c>
      <c r="L260" s="8" t="n">
        <v>0</v>
      </c>
      <c r="M260" s="8" t="n">
        <v>3</v>
      </c>
      <c r="N260" s="8" t="s">
        <v>1641</v>
      </c>
      <c r="O260" s="8" t="n">
        <v>2</v>
      </c>
      <c r="P260" s="10" t="n">
        <v>14.33</v>
      </c>
      <c r="Q260" s="8" t="n">
        <v>7518</v>
      </c>
      <c r="R260" s="8" t="n">
        <v>758</v>
      </c>
      <c r="S260" s="8" t="s">
        <v>418</v>
      </c>
      <c r="T260" s="8"/>
      <c r="U260" s="8"/>
      <c r="V260" s="8" t="s">
        <v>155</v>
      </c>
      <c r="W260" s="8"/>
      <c r="X260" s="8" t="s">
        <v>419</v>
      </c>
      <c r="Y260" s="8" t="s">
        <v>1773</v>
      </c>
      <c r="Z260" s="8"/>
    </row>
    <row r="261" customFormat="false" ht="15" hidden="false" customHeight="false" outlineLevel="0" collapsed="false">
      <c r="A261" s="8" t="s">
        <v>417</v>
      </c>
      <c r="B261" s="8" t="s">
        <v>17</v>
      </c>
      <c r="C261" s="8" t="s">
        <v>18</v>
      </c>
      <c r="D261" s="8" t="s">
        <v>615</v>
      </c>
      <c r="E261" s="8" t="s">
        <v>37</v>
      </c>
      <c r="F261" s="8" t="s">
        <v>60</v>
      </c>
      <c r="G261" s="8" t="s">
        <v>32</v>
      </c>
      <c r="H261" s="8" t="s">
        <v>30</v>
      </c>
      <c r="I261" s="8" t="n">
        <f aca="false">IF(EXACT(G261,H261),1,0)</f>
        <v>0</v>
      </c>
      <c r="J261" s="8" t="n">
        <v>1</v>
      </c>
      <c r="K261" s="8" t="s">
        <v>92</v>
      </c>
      <c r="L261" s="8" t="n">
        <v>0</v>
      </c>
      <c r="M261" s="8" t="n">
        <v>3</v>
      </c>
      <c r="N261" s="8" t="s">
        <v>1641</v>
      </c>
      <c r="O261" s="8" t="n">
        <v>2</v>
      </c>
      <c r="P261" s="10" t="n">
        <v>13.72</v>
      </c>
      <c r="Q261" s="8" t="n">
        <v>7518</v>
      </c>
      <c r="R261" s="8" t="n">
        <v>758</v>
      </c>
      <c r="S261" s="8" t="s">
        <v>418</v>
      </c>
      <c r="T261" s="8"/>
      <c r="U261" s="8"/>
      <c r="V261" s="8" t="s">
        <v>155</v>
      </c>
      <c r="W261" s="8"/>
      <c r="X261" s="8" t="s">
        <v>419</v>
      </c>
      <c r="Y261" s="8" t="s">
        <v>1773</v>
      </c>
      <c r="Z261" s="8"/>
    </row>
    <row r="262" customFormat="false" ht="15" hidden="false" customHeight="false" outlineLevel="0" collapsed="false">
      <c r="A262" s="8" t="s">
        <v>417</v>
      </c>
      <c r="B262" s="8" t="s">
        <v>17</v>
      </c>
      <c r="C262" s="8" t="s">
        <v>18</v>
      </c>
      <c r="D262" s="8" t="s">
        <v>615</v>
      </c>
      <c r="E262" s="8" t="s">
        <v>37</v>
      </c>
      <c r="F262" s="8" t="s">
        <v>60</v>
      </c>
      <c r="G262" s="8" t="s">
        <v>32</v>
      </c>
      <c r="H262" s="8" t="s">
        <v>30</v>
      </c>
      <c r="I262" s="8" t="n">
        <f aca="false">IF(EXACT(G262,H262),1,0)</f>
        <v>0</v>
      </c>
      <c r="J262" s="8" t="n">
        <v>2</v>
      </c>
      <c r="K262" s="8" t="s">
        <v>92</v>
      </c>
      <c r="L262" s="8" t="n">
        <v>0</v>
      </c>
      <c r="M262" s="8" t="n">
        <v>3</v>
      </c>
      <c r="N262" s="8" t="s">
        <v>1641</v>
      </c>
      <c r="O262" s="8" t="n">
        <v>2</v>
      </c>
      <c r="P262" s="10" t="n">
        <v>14.65</v>
      </c>
      <c r="Q262" s="8" t="n">
        <v>7518</v>
      </c>
      <c r="R262" s="8" t="n">
        <v>758</v>
      </c>
      <c r="S262" s="8" t="s">
        <v>418</v>
      </c>
      <c r="T262" s="8"/>
      <c r="U262" s="8"/>
      <c r="V262" s="8" t="s">
        <v>155</v>
      </c>
      <c r="W262" s="8"/>
      <c r="X262" s="8" t="s">
        <v>419</v>
      </c>
      <c r="Y262" s="8" t="s">
        <v>1773</v>
      </c>
      <c r="Z262" s="8"/>
    </row>
    <row r="263" customFormat="false" ht="15" hidden="false" customHeight="false" outlineLevel="0" collapsed="false">
      <c r="A263" s="8" t="s">
        <v>421</v>
      </c>
      <c r="B263" s="8" t="s">
        <v>17</v>
      </c>
      <c r="C263" s="8" t="s">
        <v>18</v>
      </c>
      <c r="D263" s="8" t="s">
        <v>615</v>
      </c>
      <c r="E263" s="8" t="s">
        <v>37</v>
      </c>
      <c r="F263" s="8" t="s">
        <v>60</v>
      </c>
      <c r="G263" s="8" t="s">
        <v>32</v>
      </c>
      <c r="H263" s="8" t="s">
        <v>30</v>
      </c>
      <c r="I263" s="8" t="n">
        <f aca="false">IF(EXACT(G263,H263),1,0)</f>
        <v>0</v>
      </c>
      <c r="J263" s="8" t="n">
        <v>0</v>
      </c>
      <c r="K263" s="8" t="s">
        <v>92</v>
      </c>
      <c r="L263" s="8" t="n">
        <v>0</v>
      </c>
      <c r="M263" s="8" t="n">
        <v>3</v>
      </c>
      <c r="N263" s="8" t="s">
        <v>1641</v>
      </c>
      <c r="O263" s="8" t="n">
        <v>2</v>
      </c>
      <c r="P263" s="10" t="n">
        <v>15.39</v>
      </c>
      <c r="Q263" s="8" t="n">
        <v>7464</v>
      </c>
      <c r="R263" s="8" t="n">
        <v>729</v>
      </c>
      <c r="S263" s="8" t="s">
        <v>422</v>
      </c>
      <c r="T263" s="8"/>
      <c r="U263" s="8"/>
      <c r="V263" s="8" t="s">
        <v>155</v>
      </c>
      <c r="W263" s="8"/>
      <c r="X263" s="8" t="s">
        <v>423</v>
      </c>
      <c r="Y263" s="8" t="s">
        <v>1774</v>
      </c>
      <c r="Z263" s="8"/>
    </row>
    <row r="264" customFormat="false" ht="15" hidden="false" customHeight="false" outlineLevel="0" collapsed="false">
      <c r="A264" s="8" t="s">
        <v>421</v>
      </c>
      <c r="B264" s="8" t="s">
        <v>17</v>
      </c>
      <c r="C264" s="8" t="s">
        <v>18</v>
      </c>
      <c r="D264" s="8" t="s">
        <v>615</v>
      </c>
      <c r="E264" s="8" t="s">
        <v>37</v>
      </c>
      <c r="F264" s="8" t="s">
        <v>60</v>
      </c>
      <c r="G264" s="8" t="s">
        <v>32</v>
      </c>
      <c r="H264" s="8" t="s">
        <v>30</v>
      </c>
      <c r="I264" s="8" t="n">
        <f aca="false">IF(EXACT(G264,H264),1,0)</f>
        <v>0</v>
      </c>
      <c r="J264" s="8" t="n">
        <v>1</v>
      </c>
      <c r="K264" s="8" t="s">
        <v>92</v>
      </c>
      <c r="L264" s="8" t="n">
        <v>0</v>
      </c>
      <c r="M264" s="8" t="n">
        <v>3</v>
      </c>
      <c r="N264" s="8" t="s">
        <v>1641</v>
      </c>
      <c r="O264" s="8" t="n">
        <v>2</v>
      </c>
      <c r="P264" s="10" t="n">
        <v>13.33</v>
      </c>
      <c r="Q264" s="8" t="n">
        <v>7464</v>
      </c>
      <c r="R264" s="8" t="n">
        <v>729</v>
      </c>
      <c r="S264" s="8" t="s">
        <v>422</v>
      </c>
      <c r="T264" s="8"/>
      <c r="U264" s="8"/>
      <c r="V264" s="8" t="s">
        <v>155</v>
      </c>
      <c r="W264" s="8"/>
      <c r="X264" s="8" t="s">
        <v>423</v>
      </c>
      <c r="Y264" s="8" t="s">
        <v>1774</v>
      </c>
      <c r="Z264" s="8"/>
    </row>
    <row r="265" customFormat="false" ht="15" hidden="false" customHeight="false" outlineLevel="0" collapsed="false">
      <c r="A265" s="8" t="s">
        <v>421</v>
      </c>
      <c r="B265" s="8" t="s">
        <v>17</v>
      </c>
      <c r="C265" s="8" t="s">
        <v>18</v>
      </c>
      <c r="D265" s="8" t="s">
        <v>615</v>
      </c>
      <c r="E265" s="8" t="s">
        <v>37</v>
      </c>
      <c r="F265" s="8" t="s">
        <v>60</v>
      </c>
      <c r="G265" s="8" t="s">
        <v>32</v>
      </c>
      <c r="H265" s="8" t="s">
        <v>30</v>
      </c>
      <c r="I265" s="8" t="n">
        <f aca="false">IF(EXACT(G265,H265),1,0)</f>
        <v>0</v>
      </c>
      <c r="J265" s="8" t="n">
        <v>2</v>
      </c>
      <c r="K265" s="8" t="s">
        <v>92</v>
      </c>
      <c r="L265" s="8" t="n">
        <v>0</v>
      </c>
      <c r="M265" s="8" t="n">
        <v>3</v>
      </c>
      <c r="N265" s="8" t="s">
        <v>1641</v>
      </c>
      <c r="O265" s="8" t="n">
        <v>2</v>
      </c>
      <c r="P265" s="10" t="n">
        <v>13.44</v>
      </c>
      <c r="Q265" s="8" t="n">
        <v>7464</v>
      </c>
      <c r="R265" s="8" t="n">
        <v>729</v>
      </c>
      <c r="S265" s="8" t="s">
        <v>422</v>
      </c>
      <c r="T265" s="8"/>
      <c r="U265" s="8"/>
      <c r="V265" s="8" t="s">
        <v>155</v>
      </c>
      <c r="W265" s="8"/>
      <c r="X265" s="8" t="s">
        <v>423</v>
      </c>
      <c r="Y265" s="8" t="s">
        <v>1774</v>
      </c>
      <c r="Z265" s="8"/>
    </row>
    <row r="266" customFormat="false" ht="15" hidden="false" customHeight="false" outlineLevel="0" collapsed="false">
      <c r="A266" s="8" t="s">
        <v>424</v>
      </c>
      <c r="B266" s="8" t="s">
        <v>17</v>
      </c>
      <c r="C266" s="8" t="s">
        <v>18</v>
      </c>
      <c r="D266" s="8" t="s">
        <v>615</v>
      </c>
      <c r="E266" s="8" t="s">
        <v>37</v>
      </c>
      <c r="F266" s="8" t="s">
        <v>60</v>
      </c>
      <c r="G266" s="8" t="s">
        <v>30</v>
      </c>
      <c r="H266" s="8" t="s">
        <v>31</v>
      </c>
      <c r="I266" s="8" t="n">
        <f aca="false">IF(EXACT(G266,H266),1,0)</f>
        <v>0</v>
      </c>
      <c r="J266" s="8" t="n">
        <v>0</v>
      </c>
      <c r="K266" s="8" t="s">
        <v>116</v>
      </c>
      <c r="L266" s="8" t="n">
        <v>2</v>
      </c>
      <c r="M266" s="8" t="n">
        <v>3</v>
      </c>
      <c r="N266" s="8" t="s">
        <v>1641</v>
      </c>
      <c r="O266" s="8" t="n">
        <v>2</v>
      </c>
      <c r="P266" s="10" t="n">
        <v>25.02</v>
      </c>
      <c r="Q266" s="8" t="n">
        <v>8370</v>
      </c>
      <c r="R266" s="8" t="n">
        <v>1428</v>
      </c>
      <c r="S266" s="8" t="s">
        <v>425</v>
      </c>
      <c r="T266" s="8"/>
      <c r="U266" s="8"/>
      <c r="V266" s="8" t="s">
        <v>155</v>
      </c>
      <c r="W266" s="8"/>
      <c r="X266" s="8" t="s">
        <v>426</v>
      </c>
      <c r="Y266" s="8" t="s">
        <v>1775</v>
      </c>
      <c r="Z266" s="8" t="s">
        <v>1776</v>
      </c>
    </row>
    <row r="267" customFormat="false" ht="15" hidden="false" customHeight="false" outlineLevel="0" collapsed="false">
      <c r="A267" s="8" t="s">
        <v>424</v>
      </c>
      <c r="B267" s="8" t="s">
        <v>17</v>
      </c>
      <c r="C267" s="8" t="s">
        <v>18</v>
      </c>
      <c r="D267" s="8" t="s">
        <v>615</v>
      </c>
      <c r="E267" s="8" t="s">
        <v>37</v>
      </c>
      <c r="F267" s="8" t="s">
        <v>60</v>
      </c>
      <c r="G267" s="8" t="s">
        <v>30</v>
      </c>
      <c r="H267" s="8" t="s">
        <v>31</v>
      </c>
      <c r="I267" s="8" t="n">
        <f aca="false">IF(EXACT(G267,H267),1,0)</f>
        <v>0</v>
      </c>
      <c r="J267" s="8" t="n">
        <v>1</v>
      </c>
      <c r="K267" s="8" t="s">
        <v>116</v>
      </c>
      <c r="L267" s="8" t="n">
        <v>2</v>
      </c>
      <c r="M267" s="8" t="n">
        <v>3</v>
      </c>
      <c r="N267" s="8" t="s">
        <v>1641</v>
      </c>
      <c r="O267" s="8" t="n">
        <v>2</v>
      </c>
      <c r="P267" s="10" t="n">
        <v>25.26</v>
      </c>
      <c r="Q267" s="8" t="n">
        <v>8371</v>
      </c>
      <c r="R267" s="8" t="n">
        <v>1455</v>
      </c>
      <c r="S267" s="8" t="s">
        <v>425</v>
      </c>
      <c r="T267" s="8"/>
      <c r="U267" s="8"/>
      <c r="V267" s="8" t="s">
        <v>155</v>
      </c>
      <c r="W267" s="8"/>
      <c r="X267" s="8" t="s">
        <v>426</v>
      </c>
      <c r="Y267" s="8" t="s">
        <v>1777</v>
      </c>
      <c r="Z267" s="8" t="s">
        <v>1778</v>
      </c>
    </row>
    <row r="268" customFormat="false" ht="15" hidden="false" customHeight="false" outlineLevel="0" collapsed="false">
      <c r="A268" s="8" t="s">
        <v>424</v>
      </c>
      <c r="B268" s="8" t="s">
        <v>17</v>
      </c>
      <c r="C268" s="8" t="s">
        <v>18</v>
      </c>
      <c r="D268" s="8" t="s">
        <v>615</v>
      </c>
      <c r="E268" s="8" t="s">
        <v>37</v>
      </c>
      <c r="F268" s="8" t="s">
        <v>60</v>
      </c>
      <c r="G268" s="8" t="s">
        <v>30</v>
      </c>
      <c r="H268" s="8" t="s">
        <v>31</v>
      </c>
      <c r="I268" s="8" t="n">
        <f aca="false">IF(EXACT(G268,H268),1,0)</f>
        <v>0</v>
      </c>
      <c r="J268" s="8" t="n">
        <v>2</v>
      </c>
      <c r="K268" s="8" t="s">
        <v>116</v>
      </c>
      <c r="L268" s="8" t="n">
        <v>2</v>
      </c>
      <c r="M268" s="8" t="n">
        <v>3</v>
      </c>
      <c r="N268" s="8" t="s">
        <v>1641</v>
      </c>
      <c r="O268" s="8" t="n">
        <v>2</v>
      </c>
      <c r="P268" s="10" t="n">
        <v>29.49</v>
      </c>
      <c r="Q268" s="8" t="n">
        <v>8370</v>
      </c>
      <c r="R268" s="8" t="n">
        <v>1689</v>
      </c>
      <c r="S268" s="8" t="s">
        <v>425</v>
      </c>
      <c r="T268" s="8"/>
      <c r="U268" s="8"/>
      <c r="V268" s="8" t="s">
        <v>155</v>
      </c>
      <c r="W268" s="8"/>
      <c r="X268" s="8" t="s">
        <v>426</v>
      </c>
      <c r="Y268" s="8" t="s">
        <v>1779</v>
      </c>
      <c r="Z268" s="8" t="s">
        <v>1780</v>
      </c>
    </row>
    <row r="269" customFormat="false" ht="15" hidden="false" customHeight="false" outlineLevel="0" collapsed="false">
      <c r="A269" s="8" t="s">
        <v>427</v>
      </c>
      <c r="B269" s="8" t="s">
        <v>17</v>
      </c>
      <c r="C269" s="8" t="s">
        <v>18</v>
      </c>
      <c r="D269" s="8" t="s">
        <v>615</v>
      </c>
      <c r="E269" s="8" t="s">
        <v>37</v>
      </c>
      <c r="F269" s="8" t="s">
        <v>60</v>
      </c>
      <c r="G269" s="8" t="s">
        <v>30</v>
      </c>
      <c r="H269" s="8" t="s">
        <v>30</v>
      </c>
      <c r="I269" s="8" t="n">
        <f aca="false">IF(EXACT(G269,H269),1,0)</f>
        <v>1</v>
      </c>
      <c r="J269" s="8" t="n">
        <v>0</v>
      </c>
      <c r="K269" s="8" t="s">
        <v>92</v>
      </c>
      <c r="L269" s="8" t="n">
        <v>0</v>
      </c>
      <c r="M269" s="8" t="n">
        <v>3</v>
      </c>
      <c r="N269" s="8" t="s">
        <v>1641</v>
      </c>
      <c r="O269" s="8" t="n">
        <v>2</v>
      </c>
      <c r="P269" s="10" t="n">
        <v>23.04</v>
      </c>
      <c r="Q269" s="8" t="n">
        <v>7984</v>
      </c>
      <c r="R269" s="8" t="n">
        <v>1236</v>
      </c>
      <c r="S269" s="8" t="s">
        <v>428</v>
      </c>
      <c r="T269" s="8"/>
      <c r="U269" s="8"/>
      <c r="V269" s="8" t="s">
        <v>155</v>
      </c>
      <c r="W269" s="8"/>
      <c r="X269" s="8" t="s">
        <v>429</v>
      </c>
      <c r="Y269" s="8" t="s">
        <v>1781</v>
      </c>
      <c r="Z269" s="8"/>
    </row>
    <row r="270" customFormat="false" ht="15" hidden="false" customHeight="false" outlineLevel="0" collapsed="false">
      <c r="A270" s="8" t="s">
        <v>427</v>
      </c>
      <c r="B270" s="8" t="s">
        <v>17</v>
      </c>
      <c r="C270" s="8" t="s">
        <v>18</v>
      </c>
      <c r="D270" s="8" t="s">
        <v>615</v>
      </c>
      <c r="E270" s="8" t="s">
        <v>37</v>
      </c>
      <c r="F270" s="8" t="s">
        <v>60</v>
      </c>
      <c r="G270" s="8" t="s">
        <v>30</v>
      </c>
      <c r="H270" s="8" t="s">
        <v>30</v>
      </c>
      <c r="I270" s="8" t="n">
        <f aca="false">IF(EXACT(G270,H270),1,0)</f>
        <v>1</v>
      </c>
      <c r="J270" s="8" t="n">
        <v>1</v>
      </c>
      <c r="K270" s="8" t="s">
        <v>92</v>
      </c>
      <c r="L270" s="8" t="n">
        <v>0</v>
      </c>
      <c r="M270" s="8" t="n">
        <v>3</v>
      </c>
      <c r="N270" s="8" t="s">
        <v>1641</v>
      </c>
      <c r="O270" s="8" t="n">
        <v>2</v>
      </c>
      <c r="P270" s="10" t="n">
        <v>22.32</v>
      </c>
      <c r="Q270" s="8" t="n">
        <v>8015</v>
      </c>
      <c r="R270" s="8" t="n">
        <v>1233</v>
      </c>
      <c r="S270" s="8" t="s">
        <v>428</v>
      </c>
      <c r="T270" s="8"/>
      <c r="U270" s="8"/>
      <c r="V270" s="8" t="s">
        <v>155</v>
      </c>
      <c r="W270" s="8"/>
      <c r="X270" s="8" t="s">
        <v>429</v>
      </c>
      <c r="Y270" s="8" t="s">
        <v>1782</v>
      </c>
      <c r="Z270" s="8"/>
    </row>
    <row r="271" customFormat="false" ht="15" hidden="false" customHeight="false" outlineLevel="0" collapsed="false">
      <c r="A271" s="8" t="s">
        <v>427</v>
      </c>
      <c r="B271" s="8" t="s">
        <v>17</v>
      </c>
      <c r="C271" s="8" t="s">
        <v>18</v>
      </c>
      <c r="D271" s="8" t="s">
        <v>615</v>
      </c>
      <c r="E271" s="8" t="s">
        <v>37</v>
      </c>
      <c r="F271" s="8" t="s">
        <v>60</v>
      </c>
      <c r="G271" s="8" t="s">
        <v>30</v>
      </c>
      <c r="H271" s="8" t="s">
        <v>30</v>
      </c>
      <c r="I271" s="8" t="n">
        <f aca="false">IF(EXACT(G271,H271),1,0)</f>
        <v>1</v>
      </c>
      <c r="J271" s="8" t="n">
        <v>2</v>
      </c>
      <c r="K271" s="8" t="s">
        <v>92</v>
      </c>
      <c r="L271" s="8" t="n">
        <v>0</v>
      </c>
      <c r="M271" s="8" t="n">
        <v>3</v>
      </c>
      <c r="N271" s="8" t="s">
        <v>1641</v>
      </c>
      <c r="O271" s="8" t="n">
        <v>2</v>
      </c>
      <c r="P271" s="10" t="n">
        <v>21.81</v>
      </c>
      <c r="Q271" s="8" t="n">
        <v>8019</v>
      </c>
      <c r="R271" s="8" t="n">
        <v>1255</v>
      </c>
      <c r="S271" s="8" t="s">
        <v>428</v>
      </c>
      <c r="T271" s="8"/>
      <c r="U271" s="8"/>
      <c r="V271" s="8" t="s">
        <v>155</v>
      </c>
      <c r="W271" s="8"/>
      <c r="X271" s="8" t="s">
        <v>429</v>
      </c>
      <c r="Y271" s="8" t="s">
        <v>1783</v>
      </c>
      <c r="Z271" s="8"/>
    </row>
    <row r="272" customFormat="false" ht="15" hidden="false" customHeight="false" outlineLevel="0" collapsed="false">
      <c r="A272" s="8" t="s">
        <v>430</v>
      </c>
      <c r="B272" s="8" t="s">
        <v>17</v>
      </c>
      <c r="C272" s="8" t="s">
        <v>18</v>
      </c>
      <c r="D272" s="8" t="s">
        <v>615</v>
      </c>
      <c r="E272" s="8" t="s">
        <v>38</v>
      </c>
      <c r="F272" s="8" t="s">
        <v>44</v>
      </c>
      <c r="G272" s="8" t="s">
        <v>31</v>
      </c>
      <c r="H272" s="8" t="s">
        <v>31</v>
      </c>
      <c r="I272" s="8" t="n">
        <f aca="false">IF(EXACT(G272,H272),1,0)</f>
        <v>1</v>
      </c>
      <c r="J272" s="8" t="n">
        <v>0</v>
      </c>
      <c r="K272" s="8" t="s">
        <v>140</v>
      </c>
      <c r="L272" s="8" t="n">
        <v>3</v>
      </c>
      <c r="M272" s="8" t="n">
        <v>3</v>
      </c>
      <c r="N272" s="8" t="s">
        <v>1784</v>
      </c>
      <c r="O272" s="8" t="n">
        <v>2</v>
      </c>
      <c r="P272" s="10" t="n">
        <v>28.54</v>
      </c>
      <c r="Q272" s="8" t="n">
        <v>8809</v>
      </c>
      <c r="R272" s="8" t="n">
        <v>1038</v>
      </c>
      <c r="S272" s="8" t="s">
        <v>117</v>
      </c>
      <c r="T272" s="8" t="s">
        <v>431</v>
      </c>
      <c r="U272" s="8" t="s">
        <v>432</v>
      </c>
      <c r="V272" s="8"/>
      <c r="W272" s="8" t="s">
        <v>433</v>
      </c>
      <c r="X272" s="8" t="s">
        <v>434</v>
      </c>
      <c r="Y272" s="8" t="s">
        <v>1785</v>
      </c>
      <c r="Z272" s="8" t="s">
        <v>1786</v>
      </c>
    </row>
    <row r="273" customFormat="false" ht="15" hidden="false" customHeight="false" outlineLevel="0" collapsed="false">
      <c r="A273" s="8" t="s">
        <v>430</v>
      </c>
      <c r="B273" s="8" t="s">
        <v>17</v>
      </c>
      <c r="C273" s="8" t="s">
        <v>18</v>
      </c>
      <c r="D273" s="8" t="s">
        <v>615</v>
      </c>
      <c r="E273" s="8" t="s">
        <v>38</v>
      </c>
      <c r="F273" s="8" t="s">
        <v>44</v>
      </c>
      <c r="G273" s="8" t="s">
        <v>31</v>
      </c>
      <c r="H273" s="8" t="s">
        <v>31</v>
      </c>
      <c r="I273" s="8" t="n">
        <f aca="false">IF(EXACT(G273,H273),1,0)</f>
        <v>1</v>
      </c>
      <c r="J273" s="8" t="n">
        <v>1</v>
      </c>
      <c r="K273" s="8" t="s">
        <v>140</v>
      </c>
      <c r="L273" s="8" t="n">
        <v>4</v>
      </c>
      <c r="M273" s="8" t="n">
        <v>3</v>
      </c>
      <c r="N273" s="8" t="s">
        <v>1784</v>
      </c>
      <c r="O273" s="8" t="n">
        <v>2</v>
      </c>
      <c r="P273" s="10" t="n">
        <v>31.87</v>
      </c>
      <c r="Q273" s="8" t="n">
        <v>8810</v>
      </c>
      <c r="R273" s="8" t="n">
        <v>1196</v>
      </c>
      <c r="S273" s="8" t="s">
        <v>117</v>
      </c>
      <c r="T273" s="8" t="s">
        <v>431</v>
      </c>
      <c r="U273" s="8" t="s">
        <v>432</v>
      </c>
      <c r="V273" s="8"/>
      <c r="W273" s="8" t="s">
        <v>433</v>
      </c>
      <c r="X273" s="8" t="s">
        <v>434</v>
      </c>
      <c r="Y273" s="8" t="s">
        <v>1787</v>
      </c>
      <c r="Z273" s="8" t="s">
        <v>1788</v>
      </c>
    </row>
    <row r="274" customFormat="false" ht="15" hidden="false" customHeight="false" outlineLevel="0" collapsed="false">
      <c r="A274" s="8" t="s">
        <v>430</v>
      </c>
      <c r="B274" s="8" t="s">
        <v>17</v>
      </c>
      <c r="C274" s="8" t="s">
        <v>18</v>
      </c>
      <c r="D274" s="8" t="s">
        <v>615</v>
      </c>
      <c r="E274" s="8" t="s">
        <v>38</v>
      </c>
      <c r="F274" s="8" t="s">
        <v>44</v>
      </c>
      <c r="G274" s="8" t="s">
        <v>31</v>
      </c>
      <c r="H274" s="8" t="s">
        <v>31</v>
      </c>
      <c r="I274" s="8" t="n">
        <f aca="false">IF(EXACT(G274,H274),1,0)</f>
        <v>1</v>
      </c>
      <c r="J274" s="8" t="n">
        <v>2</v>
      </c>
      <c r="K274" s="8" t="s">
        <v>140</v>
      </c>
      <c r="L274" s="8" t="n">
        <v>3</v>
      </c>
      <c r="M274" s="8" t="n">
        <v>3</v>
      </c>
      <c r="N274" s="8" t="s">
        <v>1784</v>
      </c>
      <c r="O274" s="8" t="n">
        <v>2</v>
      </c>
      <c r="P274" s="10" t="n">
        <v>27.87</v>
      </c>
      <c r="Q274" s="8" t="n">
        <v>8810</v>
      </c>
      <c r="R274" s="8" t="n">
        <v>1035</v>
      </c>
      <c r="S274" s="8" t="s">
        <v>117</v>
      </c>
      <c r="T274" s="8" t="s">
        <v>431</v>
      </c>
      <c r="U274" s="8" t="s">
        <v>432</v>
      </c>
      <c r="V274" s="8"/>
      <c r="W274" s="8" t="s">
        <v>433</v>
      </c>
      <c r="X274" s="8" t="s">
        <v>434</v>
      </c>
      <c r="Y274" s="8" t="s">
        <v>1789</v>
      </c>
      <c r="Z274" s="8" t="s">
        <v>1790</v>
      </c>
    </row>
    <row r="275" customFormat="false" ht="15" hidden="false" customHeight="false" outlineLevel="0" collapsed="false">
      <c r="A275" s="8" t="s">
        <v>436</v>
      </c>
      <c r="B275" s="8" t="s">
        <v>17</v>
      </c>
      <c r="C275" s="8" t="s">
        <v>18</v>
      </c>
      <c r="D275" s="8" t="s">
        <v>615</v>
      </c>
      <c r="E275" s="8" t="s">
        <v>38</v>
      </c>
      <c r="F275" s="8" t="s">
        <v>44</v>
      </c>
      <c r="G275" s="8" t="s">
        <v>32</v>
      </c>
      <c r="H275" s="8" t="s">
        <v>30</v>
      </c>
      <c r="I275" s="8" t="n">
        <f aca="false">IF(EXACT(G275,H275),1,0)</f>
        <v>0</v>
      </c>
      <c r="J275" s="8" t="n">
        <v>0</v>
      </c>
      <c r="K275" s="8" t="s">
        <v>92</v>
      </c>
      <c r="L275" s="8" t="n">
        <v>0</v>
      </c>
      <c r="M275" s="8" t="n">
        <v>3</v>
      </c>
      <c r="N275" s="8" t="s">
        <v>1784</v>
      </c>
      <c r="O275" s="8" t="n">
        <v>2</v>
      </c>
      <c r="P275" s="10" t="n">
        <v>52.01</v>
      </c>
      <c r="Q275" s="8" t="n">
        <v>8384</v>
      </c>
      <c r="R275" s="8" t="n">
        <v>718</v>
      </c>
      <c r="S275" s="8" t="s">
        <v>132</v>
      </c>
      <c r="T275" s="8" t="s">
        <v>437</v>
      </c>
      <c r="U275" s="8" t="s">
        <v>438</v>
      </c>
      <c r="V275" s="8"/>
      <c r="W275" s="8" t="s">
        <v>439</v>
      </c>
      <c r="X275" s="8" t="s">
        <v>440</v>
      </c>
      <c r="Y275" s="8" t="s">
        <v>1791</v>
      </c>
      <c r="Z275" s="8"/>
    </row>
    <row r="276" customFormat="false" ht="15" hidden="false" customHeight="false" outlineLevel="0" collapsed="false">
      <c r="A276" s="8" t="s">
        <v>436</v>
      </c>
      <c r="B276" s="8" t="s">
        <v>17</v>
      </c>
      <c r="C276" s="8" t="s">
        <v>18</v>
      </c>
      <c r="D276" s="8" t="s">
        <v>615</v>
      </c>
      <c r="E276" s="8" t="s">
        <v>38</v>
      </c>
      <c r="F276" s="8" t="s">
        <v>44</v>
      </c>
      <c r="G276" s="8" t="s">
        <v>32</v>
      </c>
      <c r="H276" s="8" t="s">
        <v>31</v>
      </c>
      <c r="I276" s="8" t="n">
        <f aca="false">IF(EXACT(G276,H276),1,0)</f>
        <v>0</v>
      </c>
      <c r="J276" s="8" t="n">
        <v>1</v>
      </c>
      <c r="K276" s="8" t="s">
        <v>116</v>
      </c>
      <c r="L276" s="8" t="n">
        <v>1</v>
      </c>
      <c r="M276" s="8" t="n">
        <v>3</v>
      </c>
      <c r="N276" s="8" t="s">
        <v>1784</v>
      </c>
      <c r="O276" s="8" t="n">
        <v>2</v>
      </c>
      <c r="P276" s="10" t="n">
        <v>56.53</v>
      </c>
      <c r="Q276" s="8" t="n">
        <v>8385</v>
      </c>
      <c r="R276" s="8" t="n">
        <v>992</v>
      </c>
      <c r="S276" s="8" t="s">
        <v>132</v>
      </c>
      <c r="T276" s="8" t="s">
        <v>437</v>
      </c>
      <c r="U276" s="8" t="s">
        <v>438</v>
      </c>
      <c r="V276" s="8"/>
      <c r="W276" s="8" t="s">
        <v>439</v>
      </c>
      <c r="X276" s="8" t="s">
        <v>440</v>
      </c>
      <c r="Y276" s="8" t="s">
        <v>1792</v>
      </c>
      <c r="Z276" s="8" t="s">
        <v>1793</v>
      </c>
    </row>
    <row r="277" customFormat="false" ht="15" hidden="false" customHeight="false" outlineLevel="0" collapsed="false">
      <c r="A277" s="8" t="s">
        <v>436</v>
      </c>
      <c r="B277" s="8" t="s">
        <v>17</v>
      </c>
      <c r="C277" s="8" t="s">
        <v>18</v>
      </c>
      <c r="D277" s="8" t="s">
        <v>615</v>
      </c>
      <c r="E277" s="8" t="s">
        <v>38</v>
      </c>
      <c r="F277" s="8" t="s">
        <v>44</v>
      </c>
      <c r="G277" s="8" t="s">
        <v>32</v>
      </c>
      <c r="H277" s="8" t="s">
        <v>31</v>
      </c>
      <c r="I277" s="8" t="n">
        <f aca="false">IF(EXACT(G277,H277),1,0)</f>
        <v>0</v>
      </c>
      <c r="J277" s="8" t="n">
        <v>2</v>
      </c>
      <c r="K277" s="8" t="s">
        <v>116</v>
      </c>
      <c r="L277" s="8" t="n">
        <v>1</v>
      </c>
      <c r="M277" s="8" t="n">
        <v>3</v>
      </c>
      <c r="N277" s="8" t="s">
        <v>1784</v>
      </c>
      <c r="O277" s="8" t="n">
        <v>2</v>
      </c>
      <c r="P277" s="10" t="n">
        <v>58.3</v>
      </c>
      <c r="Q277" s="8" t="n">
        <v>8386</v>
      </c>
      <c r="R277" s="8" t="n">
        <v>988</v>
      </c>
      <c r="S277" s="8" t="s">
        <v>132</v>
      </c>
      <c r="T277" s="8" t="s">
        <v>437</v>
      </c>
      <c r="U277" s="8" t="s">
        <v>438</v>
      </c>
      <c r="V277" s="8"/>
      <c r="W277" s="8" t="s">
        <v>439</v>
      </c>
      <c r="X277" s="8" t="s">
        <v>440</v>
      </c>
      <c r="Y277" s="8" t="s">
        <v>1794</v>
      </c>
      <c r="Z277" s="8" t="s">
        <v>1795</v>
      </c>
    </row>
    <row r="278" customFormat="false" ht="15" hidden="false" customHeight="false" outlineLevel="0" collapsed="false">
      <c r="A278" s="8" t="s">
        <v>441</v>
      </c>
      <c r="B278" s="8" t="s">
        <v>17</v>
      </c>
      <c r="C278" s="8" t="s">
        <v>18</v>
      </c>
      <c r="D278" s="8" t="s">
        <v>615</v>
      </c>
      <c r="E278" s="8" t="s">
        <v>38</v>
      </c>
      <c r="F278" s="8" t="s">
        <v>44</v>
      </c>
      <c r="G278" s="8" t="s">
        <v>31</v>
      </c>
      <c r="H278" s="8" t="s">
        <v>31</v>
      </c>
      <c r="I278" s="8" t="n">
        <f aca="false">IF(EXACT(G278,H278),1,0)</f>
        <v>1</v>
      </c>
      <c r="J278" s="8" t="n">
        <v>0</v>
      </c>
      <c r="K278" s="8" t="s">
        <v>140</v>
      </c>
      <c r="L278" s="8" t="n">
        <v>3</v>
      </c>
      <c r="M278" s="8" t="n">
        <v>3</v>
      </c>
      <c r="N278" s="8" t="s">
        <v>1784</v>
      </c>
      <c r="O278" s="8" t="n">
        <v>2</v>
      </c>
      <c r="P278" s="10" t="n">
        <v>29.9</v>
      </c>
      <c r="Q278" s="8" t="n">
        <v>8875</v>
      </c>
      <c r="R278" s="8" t="n">
        <v>1105</v>
      </c>
      <c r="S278" s="8" t="s">
        <v>347</v>
      </c>
      <c r="T278" s="8" t="s">
        <v>431</v>
      </c>
      <c r="U278" s="8" t="s">
        <v>432</v>
      </c>
      <c r="V278" s="8"/>
      <c r="W278" s="8" t="s">
        <v>442</v>
      </c>
      <c r="X278" s="8" t="s">
        <v>443</v>
      </c>
      <c r="Y278" s="8" t="s">
        <v>1796</v>
      </c>
      <c r="Z278" s="8" t="s">
        <v>1797</v>
      </c>
    </row>
    <row r="279" customFormat="false" ht="15" hidden="false" customHeight="false" outlineLevel="0" collapsed="false">
      <c r="A279" s="8" t="s">
        <v>441</v>
      </c>
      <c r="B279" s="8" t="s">
        <v>17</v>
      </c>
      <c r="C279" s="8" t="s">
        <v>18</v>
      </c>
      <c r="D279" s="8" t="s">
        <v>615</v>
      </c>
      <c r="E279" s="8" t="s">
        <v>38</v>
      </c>
      <c r="F279" s="8" t="s">
        <v>44</v>
      </c>
      <c r="G279" s="8" t="s">
        <v>31</v>
      </c>
      <c r="H279" s="8" t="s">
        <v>31</v>
      </c>
      <c r="I279" s="8" t="n">
        <f aca="false">IF(EXACT(G279,H279),1,0)</f>
        <v>1</v>
      </c>
      <c r="J279" s="8" t="n">
        <v>1</v>
      </c>
      <c r="K279" s="8" t="s">
        <v>140</v>
      </c>
      <c r="L279" s="8" t="n">
        <v>3</v>
      </c>
      <c r="M279" s="8" t="n">
        <v>3</v>
      </c>
      <c r="N279" s="8" t="s">
        <v>1784</v>
      </c>
      <c r="O279" s="8" t="n">
        <v>2</v>
      </c>
      <c r="P279" s="10" t="n">
        <v>31.42</v>
      </c>
      <c r="Q279" s="8" t="n">
        <v>8877</v>
      </c>
      <c r="R279" s="8" t="n">
        <v>1128</v>
      </c>
      <c r="S279" s="8" t="s">
        <v>347</v>
      </c>
      <c r="T279" s="8" t="s">
        <v>431</v>
      </c>
      <c r="U279" s="8" t="s">
        <v>432</v>
      </c>
      <c r="V279" s="8"/>
      <c r="W279" s="8" t="s">
        <v>442</v>
      </c>
      <c r="X279" s="8" t="s">
        <v>443</v>
      </c>
      <c r="Y279" s="8" t="s">
        <v>1798</v>
      </c>
      <c r="Z279" s="8" t="s">
        <v>1799</v>
      </c>
    </row>
    <row r="280" customFormat="false" ht="15" hidden="false" customHeight="false" outlineLevel="0" collapsed="false">
      <c r="A280" s="8" t="s">
        <v>441</v>
      </c>
      <c r="B280" s="8" t="s">
        <v>17</v>
      </c>
      <c r="C280" s="8" t="s">
        <v>18</v>
      </c>
      <c r="D280" s="8" t="s">
        <v>615</v>
      </c>
      <c r="E280" s="8" t="s">
        <v>38</v>
      </c>
      <c r="F280" s="8" t="s">
        <v>44</v>
      </c>
      <c r="G280" s="8" t="s">
        <v>31</v>
      </c>
      <c r="H280" s="8" t="s">
        <v>31</v>
      </c>
      <c r="I280" s="8" t="n">
        <f aca="false">IF(EXACT(G280,H280),1,0)</f>
        <v>1</v>
      </c>
      <c r="J280" s="8" t="n">
        <v>2</v>
      </c>
      <c r="K280" s="8" t="s">
        <v>140</v>
      </c>
      <c r="L280" s="8" t="n">
        <v>4</v>
      </c>
      <c r="M280" s="8" t="n">
        <v>3</v>
      </c>
      <c r="N280" s="8" t="s">
        <v>1784</v>
      </c>
      <c r="O280" s="8" t="n">
        <v>2</v>
      </c>
      <c r="P280" s="10" t="n">
        <v>40.46</v>
      </c>
      <c r="Q280" s="8" t="n">
        <v>8876</v>
      </c>
      <c r="R280" s="8" t="n">
        <v>1302</v>
      </c>
      <c r="S280" s="8" t="s">
        <v>347</v>
      </c>
      <c r="T280" s="8" t="s">
        <v>431</v>
      </c>
      <c r="U280" s="8" t="s">
        <v>432</v>
      </c>
      <c r="V280" s="8"/>
      <c r="W280" s="8" t="s">
        <v>442</v>
      </c>
      <c r="X280" s="8" t="s">
        <v>443</v>
      </c>
      <c r="Y280" s="8" t="s">
        <v>1800</v>
      </c>
      <c r="Z280" s="8" t="s">
        <v>1801</v>
      </c>
    </row>
    <row r="281" customFormat="false" ht="15" hidden="false" customHeight="false" outlineLevel="0" collapsed="false">
      <c r="A281" s="8" t="s">
        <v>444</v>
      </c>
      <c r="B281" s="8" t="s">
        <v>17</v>
      </c>
      <c r="C281" s="8" t="s">
        <v>18</v>
      </c>
      <c r="D281" s="8" t="s">
        <v>615</v>
      </c>
      <c r="E281" s="8" t="s">
        <v>38</v>
      </c>
      <c r="F281" s="8" t="s">
        <v>44</v>
      </c>
      <c r="G281" s="8" t="s">
        <v>30</v>
      </c>
      <c r="H281" s="8" t="s">
        <v>30</v>
      </c>
      <c r="I281" s="8" t="n">
        <f aca="false">IF(EXACT(G281,H281),1,0)</f>
        <v>1</v>
      </c>
      <c r="J281" s="8" t="n">
        <v>0</v>
      </c>
      <c r="K281" s="8" t="s">
        <v>92</v>
      </c>
      <c r="L281" s="8" t="n">
        <v>0</v>
      </c>
      <c r="M281" s="8" t="n">
        <v>3</v>
      </c>
      <c r="N281" s="8" t="s">
        <v>1784</v>
      </c>
      <c r="O281" s="8" t="n">
        <v>2</v>
      </c>
      <c r="P281" s="10" t="n">
        <v>27.14</v>
      </c>
      <c r="Q281" s="8" t="n">
        <v>8202</v>
      </c>
      <c r="R281" s="8" t="n">
        <v>762</v>
      </c>
      <c r="S281" s="8" t="s">
        <v>366</v>
      </c>
      <c r="T281" s="8" t="s">
        <v>445</v>
      </c>
      <c r="U281" s="8" t="s">
        <v>446</v>
      </c>
      <c r="V281" s="8"/>
      <c r="W281" s="8" t="s">
        <v>447</v>
      </c>
      <c r="X281" s="8" t="s">
        <v>448</v>
      </c>
      <c r="Y281" s="8" t="s">
        <v>1802</v>
      </c>
      <c r="Z281" s="8"/>
    </row>
    <row r="282" customFormat="false" ht="15" hidden="false" customHeight="false" outlineLevel="0" collapsed="false">
      <c r="A282" s="8" t="s">
        <v>444</v>
      </c>
      <c r="B282" s="8" t="s">
        <v>17</v>
      </c>
      <c r="C282" s="8" t="s">
        <v>18</v>
      </c>
      <c r="D282" s="8" t="s">
        <v>615</v>
      </c>
      <c r="E282" s="8" t="s">
        <v>38</v>
      </c>
      <c r="F282" s="8" t="s">
        <v>44</v>
      </c>
      <c r="G282" s="8" t="s">
        <v>30</v>
      </c>
      <c r="H282" s="8" t="s">
        <v>30</v>
      </c>
      <c r="I282" s="8" t="n">
        <f aca="false">IF(EXACT(G282,H282),1,0)</f>
        <v>1</v>
      </c>
      <c r="J282" s="8" t="n">
        <v>1</v>
      </c>
      <c r="K282" s="8" t="s">
        <v>92</v>
      </c>
      <c r="L282" s="8" t="n">
        <v>0</v>
      </c>
      <c r="M282" s="8" t="n">
        <v>3</v>
      </c>
      <c r="N282" s="8" t="s">
        <v>1784</v>
      </c>
      <c r="O282" s="8" t="n">
        <v>2</v>
      </c>
      <c r="P282" s="10" t="n">
        <v>24.47</v>
      </c>
      <c r="Q282" s="8" t="n">
        <v>8203</v>
      </c>
      <c r="R282" s="8" t="n">
        <v>763</v>
      </c>
      <c r="S282" s="8" t="s">
        <v>366</v>
      </c>
      <c r="T282" s="8" t="s">
        <v>445</v>
      </c>
      <c r="U282" s="8" t="s">
        <v>446</v>
      </c>
      <c r="V282" s="8"/>
      <c r="W282" s="8" t="s">
        <v>447</v>
      </c>
      <c r="X282" s="8" t="s">
        <v>448</v>
      </c>
      <c r="Y282" s="8" t="s">
        <v>1803</v>
      </c>
      <c r="Z282" s="8"/>
    </row>
    <row r="283" customFormat="false" ht="15" hidden="false" customHeight="false" outlineLevel="0" collapsed="false">
      <c r="A283" s="8" t="s">
        <v>444</v>
      </c>
      <c r="B283" s="8" t="s">
        <v>17</v>
      </c>
      <c r="C283" s="8" t="s">
        <v>18</v>
      </c>
      <c r="D283" s="8" t="s">
        <v>615</v>
      </c>
      <c r="E283" s="8" t="s">
        <v>38</v>
      </c>
      <c r="F283" s="8" t="s">
        <v>44</v>
      </c>
      <c r="G283" s="8" t="s">
        <v>30</v>
      </c>
      <c r="H283" s="8" t="s">
        <v>30</v>
      </c>
      <c r="I283" s="8" t="n">
        <f aca="false">IF(EXACT(G283,H283),1,0)</f>
        <v>1</v>
      </c>
      <c r="J283" s="8" t="n">
        <v>2</v>
      </c>
      <c r="K283" s="8" t="s">
        <v>92</v>
      </c>
      <c r="L283" s="8" t="n">
        <v>0</v>
      </c>
      <c r="M283" s="8" t="n">
        <v>3</v>
      </c>
      <c r="N283" s="8" t="s">
        <v>1784</v>
      </c>
      <c r="O283" s="8" t="n">
        <v>2</v>
      </c>
      <c r="P283" s="10" t="n">
        <v>24.46</v>
      </c>
      <c r="Q283" s="8" t="n">
        <v>8202</v>
      </c>
      <c r="R283" s="8" t="n">
        <v>793</v>
      </c>
      <c r="S283" s="8" t="s">
        <v>366</v>
      </c>
      <c r="T283" s="8" t="s">
        <v>445</v>
      </c>
      <c r="U283" s="8" t="s">
        <v>446</v>
      </c>
      <c r="V283" s="8"/>
      <c r="W283" s="8" t="s">
        <v>447</v>
      </c>
      <c r="X283" s="8" t="s">
        <v>448</v>
      </c>
      <c r="Y283" s="8" t="s">
        <v>1804</v>
      </c>
      <c r="Z283" s="8"/>
    </row>
    <row r="284" customFormat="false" ht="15" hidden="false" customHeight="false" outlineLevel="0" collapsed="false">
      <c r="A284" s="8" t="s">
        <v>449</v>
      </c>
      <c r="B284" s="8" t="s">
        <v>17</v>
      </c>
      <c r="C284" s="8" t="s">
        <v>18</v>
      </c>
      <c r="D284" s="8" t="s">
        <v>615</v>
      </c>
      <c r="E284" s="8" t="s">
        <v>38</v>
      </c>
      <c r="F284" s="8" t="s">
        <v>44</v>
      </c>
      <c r="G284" s="8" t="s">
        <v>30</v>
      </c>
      <c r="H284" s="8" t="s">
        <v>31</v>
      </c>
      <c r="I284" s="8" t="n">
        <f aca="false">IF(EXACT(G284,H284),1,0)</f>
        <v>0</v>
      </c>
      <c r="J284" s="8" t="n">
        <v>0</v>
      </c>
      <c r="K284" s="8" t="s">
        <v>116</v>
      </c>
      <c r="L284" s="8" t="n">
        <v>2</v>
      </c>
      <c r="M284" s="8" t="n">
        <v>3</v>
      </c>
      <c r="N284" s="8" t="s">
        <v>1784</v>
      </c>
      <c r="O284" s="8" t="n">
        <v>2</v>
      </c>
      <c r="P284" s="10" t="n">
        <v>31.74</v>
      </c>
      <c r="Q284" s="8" t="n">
        <v>8156</v>
      </c>
      <c r="R284" s="8" t="n">
        <v>1277</v>
      </c>
      <c r="S284" s="8" t="s">
        <v>150</v>
      </c>
      <c r="T284" s="8" t="s">
        <v>450</v>
      </c>
      <c r="U284" s="8" t="s">
        <v>451</v>
      </c>
      <c r="V284" s="8"/>
      <c r="W284" s="8" t="s">
        <v>452</v>
      </c>
      <c r="X284" s="8" t="s">
        <v>453</v>
      </c>
      <c r="Y284" s="8" t="s">
        <v>1805</v>
      </c>
      <c r="Z284" s="8" t="s">
        <v>1806</v>
      </c>
    </row>
    <row r="285" customFormat="false" ht="15" hidden="false" customHeight="false" outlineLevel="0" collapsed="false">
      <c r="A285" s="8" t="s">
        <v>449</v>
      </c>
      <c r="B285" s="8" t="s">
        <v>17</v>
      </c>
      <c r="C285" s="8" t="s">
        <v>18</v>
      </c>
      <c r="D285" s="8" t="s">
        <v>615</v>
      </c>
      <c r="E285" s="8" t="s">
        <v>38</v>
      </c>
      <c r="F285" s="8" t="s">
        <v>44</v>
      </c>
      <c r="G285" s="8" t="s">
        <v>30</v>
      </c>
      <c r="H285" s="8" t="s">
        <v>31</v>
      </c>
      <c r="I285" s="8" t="n">
        <f aca="false">IF(EXACT(G285,H285),1,0)</f>
        <v>0</v>
      </c>
      <c r="J285" s="8" t="n">
        <v>1</v>
      </c>
      <c r="K285" s="8" t="s">
        <v>116</v>
      </c>
      <c r="L285" s="8" t="n">
        <v>2</v>
      </c>
      <c r="M285" s="8" t="n">
        <v>3</v>
      </c>
      <c r="N285" s="8" t="s">
        <v>1784</v>
      </c>
      <c r="O285" s="8" t="n">
        <v>2</v>
      </c>
      <c r="P285" s="10" t="n">
        <v>30.09</v>
      </c>
      <c r="Q285" s="8" t="n">
        <v>8156</v>
      </c>
      <c r="R285" s="8" t="n">
        <v>1201</v>
      </c>
      <c r="S285" s="8" t="s">
        <v>150</v>
      </c>
      <c r="T285" s="8" t="s">
        <v>450</v>
      </c>
      <c r="U285" s="8" t="s">
        <v>451</v>
      </c>
      <c r="V285" s="8"/>
      <c r="W285" s="8" t="s">
        <v>452</v>
      </c>
      <c r="X285" s="8" t="s">
        <v>453</v>
      </c>
      <c r="Y285" s="8" t="s">
        <v>1807</v>
      </c>
      <c r="Z285" s="8" t="s">
        <v>1808</v>
      </c>
    </row>
    <row r="286" customFormat="false" ht="15" hidden="false" customHeight="false" outlineLevel="0" collapsed="false">
      <c r="A286" s="8" t="s">
        <v>449</v>
      </c>
      <c r="B286" s="8" t="s">
        <v>17</v>
      </c>
      <c r="C286" s="8" t="s">
        <v>18</v>
      </c>
      <c r="D286" s="8" t="s">
        <v>615</v>
      </c>
      <c r="E286" s="8" t="s">
        <v>38</v>
      </c>
      <c r="F286" s="8" t="s">
        <v>44</v>
      </c>
      <c r="G286" s="8" t="s">
        <v>30</v>
      </c>
      <c r="H286" s="8" t="s">
        <v>31</v>
      </c>
      <c r="I286" s="8" t="n">
        <f aca="false">IF(EXACT(G286,H286),1,0)</f>
        <v>0</v>
      </c>
      <c r="J286" s="8" t="n">
        <v>2</v>
      </c>
      <c r="K286" s="8" t="s">
        <v>140</v>
      </c>
      <c r="L286" s="8" t="n">
        <v>2</v>
      </c>
      <c r="M286" s="8" t="n">
        <v>3</v>
      </c>
      <c r="N286" s="8" t="s">
        <v>1784</v>
      </c>
      <c r="O286" s="8" t="n">
        <v>2</v>
      </c>
      <c r="P286" s="10" t="n">
        <v>27.63</v>
      </c>
      <c r="Q286" s="8" t="n">
        <v>8154</v>
      </c>
      <c r="R286" s="8" t="n">
        <v>1070</v>
      </c>
      <c r="S286" s="8" t="s">
        <v>150</v>
      </c>
      <c r="T286" s="8" t="s">
        <v>450</v>
      </c>
      <c r="U286" s="8" t="s">
        <v>451</v>
      </c>
      <c r="V286" s="8"/>
      <c r="W286" s="8" t="s">
        <v>452</v>
      </c>
      <c r="X286" s="8" t="s">
        <v>453</v>
      </c>
      <c r="Y286" s="8" t="s">
        <v>1809</v>
      </c>
      <c r="Z286" s="8" t="s">
        <v>1810</v>
      </c>
    </row>
    <row r="287" customFormat="false" ht="15" hidden="false" customHeight="false" outlineLevel="0" collapsed="false">
      <c r="A287" s="8" t="s">
        <v>454</v>
      </c>
      <c r="B287" s="8" t="s">
        <v>17</v>
      </c>
      <c r="C287" s="8" t="s">
        <v>18</v>
      </c>
      <c r="D287" s="8" t="s">
        <v>615</v>
      </c>
      <c r="E287" s="8" t="s">
        <v>38</v>
      </c>
      <c r="F287" s="8" t="s">
        <v>44</v>
      </c>
      <c r="G287" s="8" t="s">
        <v>32</v>
      </c>
      <c r="H287" s="8" t="s">
        <v>32</v>
      </c>
      <c r="I287" s="8" t="n">
        <f aca="false">IF(EXACT(G287,H287),1,0)</f>
        <v>1</v>
      </c>
      <c r="J287" s="8" t="n">
        <v>0</v>
      </c>
      <c r="K287" s="8" t="s">
        <v>92</v>
      </c>
      <c r="L287" s="8" t="n">
        <v>0</v>
      </c>
      <c r="M287" s="8" t="n">
        <v>3</v>
      </c>
      <c r="N287" s="8" t="s">
        <v>1784</v>
      </c>
      <c r="O287" s="8" t="n">
        <v>2</v>
      </c>
      <c r="P287" s="10" t="n">
        <v>25.8</v>
      </c>
      <c r="Q287" s="8" t="n">
        <v>7918</v>
      </c>
      <c r="R287" s="8" t="n">
        <v>802</v>
      </c>
      <c r="S287" s="8" t="s">
        <v>132</v>
      </c>
      <c r="T287" s="8" t="s">
        <v>455</v>
      </c>
      <c r="U287" s="8" t="s">
        <v>456</v>
      </c>
      <c r="V287" s="8"/>
      <c r="W287" s="8" t="s">
        <v>457</v>
      </c>
      <c r="X287" s="8" t="s">
        <v>458</v>
      </c>
      <c r="Y287" s="8" t="s">
        <v>1811</v>
      </c>
      <c r="Z287" s="8"/>
    </row>
    <row r="288" customFormat="false" ht="15" hidden="false" customHeight="false" outlineLevel="0" collapsed="false">
      <c r="A288" s="8" t="s">
        <v>454</v>
      </c>
      <c r="B288" s="8" t="s">
        <v>17</v>
      </c>
      <c r="C288" s="8" t="s">
        <v>18</v>
      </c>
      <c r="D288" s="8" t="s">
        <v>615</v>
      </c>
      <c r="E288" s="8" t="s">
        <v>38</v>
      </c>
      <c r="F288" s="8" t="s">
        <v>44</v>
      </c>
      <c r="G288" s="8" t="s">
        <v>32</v>
      </c>
      <c r="H288" s="8" t="s">
        <v>32</v>
      </c>
      <c r="I288" s="8" t="n">
        <f aca="false">IF(EXACT(G288,H288),1,0)</f>
        <v>1</v>
      </c>
      <c r="J288" s="8" t="n">
        <v>1</v>
      </c>
      <c r="K288" s="8" t="s">
        <v>92</v>
      </c>
      <c r="L288" s="8" t="n">
        <v>0</v>
      </c>
      <c r="M288" s="8" t="n">
        <v>2</v>
      </c>
      <c r="N288" s="8" t="s">
        <v>1812</v>
      </c>
      <c r="O288" s="8" t="n">
        <v>2</v>
      </c>
      <c r="P288" s="10" t="n">
        <v>19.58</v>
      </c>
      <c r="Q288" s="8" t="n">
        <v>7707</v>
      </c>
      <c r="R288" s="8" t="n">
        <v>671</v>
      </c>
      <c r="S288" s="8" t="s">
        <v>132</v>
      </c>
      <c r="T288" s="8" t="s">
        <v>455</v>
      </c>
      <c r="U288" s="8" t="s">
        <v>456</v>
      </c>
      <c r="V288" s="8"/>
      <c r="W288" s="8" t="s">
        <v>457</v>
      </c>
      <c r="X288" s="8" t="s">
        <v>458</v>
      </c>
      <c r="Y288" s="8" t="s">
        <v>1813</v>
      </c>
      <c r="Z288" s="8"/>
    </row>
    <row r="289" customFormat="false" ht="15" hidden="false" customHeight="false" outlineLevel="0" collapsed="false">
      <c r="A289" s="8" t="s">
        <v>454</v>
      </c>
      <c r="B289" s="8" t="s">
        <v>17</v>
      </c>
      <c r="C289" s="8" t="s">
        <v>18</v>
      </c>
      <c r="D289" s="8" t="s">
        <v>615</v>
      </c>
      <c r="E289" s="8" t="s">
        <v>38</v>
      </c>
      <c r="F289" s="8" t="s">
        <v>44</v>
      </c>
      <c r="G289" s="8" t="s">
        <v>32</v>
      </c>
      <c r="H289" s="8" t="s">
        <v>32</v>
      </c>
      <c r="I289" s="8" t="n">
        <f aca="false">IF(EXACT(G289,H289),1,0)</f>
        <v>1</v>
      </c>
      <c r="J289" s="8" t="n">
        <v>2</v>
      </c>
      <c r="K289" s="8" t="s">
        <v>92</v>
      </c>
      <c r="L289" s="8" t="n">
        <v>0</v>
      </c>
      <c r="M289" s="8" t="n">
        <v>3</v>
      </c>
      <c r="N289" s="8" t="s">
        <v>1784</v>
      </c>
      <c r="O289" s="8" t="n">
        <v>2</v>
      </c>
      <c r="P289" s="10" t="n">
        <v>23.28</v>
      </c>
      <c r="Q289" s="8" t="n">
        <v>7938</v>
      </c>
      <c r="R289" s="8" t="n">
        <v>832</v>
      </c>
      <c r="S289" s="8" t="s">
        <v>132</v>
      </c>
      <c r="T289" s="8" t="s">
        <v>455</v>
      </c>
      <c r="U289" s="8" t="s">
        <v>456</v>
      </c>
      <c r="V289" s="8"/>
      <c r="W289" s="8" t="s">
        <v>457</v>
      </c>
      <c r="X289" s="8" t="s">
        <v>458</v>
      </c>
      <c r="Y289" s="8" t="s">
        <v>1814</v>
      </c>
      <c r="Z289" s="8"/>
    </row>
    <row r="290" customFormat="false" ht="15" hidden="false" customHeight="false" outlineLevel="0" collapsed="false">
      <c r="A290" s="8" t="s">
        <v>330</v>
      </c>
      <c r="B290" s="8" t="s">
        <v>17</v>
      </c>
      <c r="C290" s="8" t="s">
        <v>18</v>
      </c>
      <c r="D290" s="8" t="s">
        <v>615</v>
      </c>
      <c r="E290" s="8" t="s">
        <v>38</v>
      </c>
      <c r="F290" s="8" t="s">
        <v>45</v>
      </c>
      <c r="G290" s="8" t="s">
        <v>31</v>
      </c>
      <c r="H290" s="8" t="s">
        <v>31</v>
      </c>
      <c r="I290" s="8" t="n">
        <f aca="false">IF(EXACT(G290,H290),1,0)</f>
        <v>1</v>
      </c>
      <c r="J290" s="8" t="n">
        <v>0</v>
      </c>
      <c r="K290" s="8" t="s">
        <v>140</v>
      </c>
      <c r="L290" s="8" t="n">
        <v>2</v>
      </c>
      <c r="M290" s="8" t="n">
        <v>3</v>
      </c>
      <c r="N290" s="8" t="s">
        <v>1784</v>
      </c>
      <c r="O290" s="8" t="n">
        <v>2</v>
      </c>
      <c r="P290" s="10" t="n">
        <v>34.71</v>
      </c>
      <c r="Q290" s="8" t="n">
        <v>7782</v>
      </c>
      <c r="R290" s="8" t="n">
        <v>1188</v>
      </c>
      <c r="S290" s="8" t="s">
        <v>255</v>
      </c>
      <c r="T290" s="8" t="s">
        <v>331</v>
      </c>
      <c r="U290" s="8" t="s">
        <v>332</v>
      </c>
      <c r="V290" s="8"/>
      <c r="W290" s="8" t="s">
        <v>333</v>
      </c>
      <c r="X290" s="8" t="s">
        <v>459</v>
      </c>
      <c r="Y290" s="8" t="s">
        <v>1815</v>
      </c>
      <c r="Z290" s="8" t="s">
        <v>1816</v>
      </c>
    </row>
    <row r="291" customFormat="false" ht="15" hidden="false" customHeight="false" outlineLevel="0" collapsed="false">
      <c r="A291" s="8" t="s">
        <v>330</v>
      </c>
      <c r="B291" s="8" t="s">
        <v>17</v>
      </c>
      <c r="C291" s="8" t="s">
        <v>18</v>
      </c>
      <c r="D291" s="8" t="s">
        <v>615</v>
      </c>
      <c r="E291" s="8" t="s">
        <v>38</v>
      </c>
      <c r="F291" s="8" t="s">
        <v>45</v>
      </c>
      <c r="G291" s="8" t="s">
        <v>31</v>
      </c>
      <c r="H291" s="8" t="s">
        <v>31</v>
      </c>
      <c r="I291" s="8" t="n">
        <f aca="false">IF(EXACT(G291,H291),1,0)</f>
        <v>1</v>
      </c>
      <c r="J291" s="8" t="n">
        <v>1</v>
      </c>
      <c r="K291" s="8" t="s">
        <v>140</v>
      </c>
      <c r="L291" s="8" t="n">
        <v>2</v>
      </c>
      <c r="M291" s="8" t="n">
        <v>3</v>
      </c>
      <c r="N291" s="8" t="s">
        <v>1784</v>
      </c>
      <c r="O291" s="8" t="n">
        <v>2</v>
      </c>
      <c r="P291" s="10" t="n">
        <v>34.98</v>
      </c>
      <c r="Q291" s="8" t="n">
        <v>7780</v>
      </c>
      <c r="R291" s="8" t="n">
        <v>1106</v>
      </c>
      <c r="S291" s="8" t="s">
        <v>255</v>
      </c>
      <c r="T291" s="8" t="s">
        <v>331</v>
      </c>
      <c r="U291" s="8" t="s">
        <v>332</v>
      </c>
      <c r="V291" s="8"/>
      <c r="W291" s="8" t="s">
        <v>333</v>
      </c>
      <c r="X291" s="8" t="s">
        <v>459</v>
      </c>
      <c r="Y291" s="8" t="s">
        <v>1817</v>
      </c>
      <c r="Z291" s="8" t="s">
        <v>1818</v>
      </c>
    </row>
    <row r="292" customFormat="false" ht="15" hidden="false" customHeight="false" outlineLevel="0" collapsed="false">
      <c r="A292" s="8" t="s">
        <v>330</v>
      </c>
      <c r="B292" s="8" t="s">
        <v>17</v>
      </c>
      <c r="C292" s="8" t="s">
        <v>18</v>
      </c>
      <c r="D292" s="8" t="s">
        <v>615</v>
      </c>
      <c r="E292" s="8" t="s">
        <v>38</v>
      </c>
      <c r="F292" s="8" t="s">
        <v>45</v>
      </c>
      <c r="G292" s="8" t="s">
        <v>31</v>
      </c>
      <c r="H292" s="8" t="s">
        <v>31</v>
      </c>
      <c r="I292" s="8" t="n">
        <f aca="false">IF(EXACT(G292,H292),1,0)</f>
        <v>1</v>
      </c>
      <c r="J292" s="8" t="n">
        <v>2</v>
      </c>
      <c r="K292" s="8" t="s">
        <v>116</v>
      </c>
      <c r="L292" s="8" t="n">
        <v>2</v>
      </c>
      <c r="M292" s="8" t="n">
        <v>3</v>
      </c>
      <c r="N292" s="8" t="s">
        <v>1784</v>
      </c>
      <c r="O292" s="8" t="n">
        <v>2</v>
      </c>
      <c r="P292" s="10" t="n">
        <v>42.02</v>
      </c>
      <c r="Q292" s="8" t="n">
        <v>7824</v>
      </c>
      <c r="R292" s="8" t="n">
        <v>1243</v>
      </c>
      <c r="S292" s="8" t="s">
        <v>255</v>
      </c>
      <c r="T292" s="8" t="s">
        <v>331</v>
      </c>
      <c r="U292" s="8" t="s">
        <v>332</v>
      </c>
      <c r="V292" s="8"/>
      <c r="W292" s="8" t="s">
        <v>333</v>
      </c>
      <c r="X292" s="8" t="s">
        <v>459</v>
      </c>
      <c r="Y292" s="8" t="s">
        <v>1819</v>
      </c>
      <c r="Z292" s="8" t="s">
        <v>1820</v>
      </c>
    </row>
    <row r="293" customFormat="false" ht="15" hidden="false" customHeight="false" outlineLevel="0" collapsed="false">
      <c r="A293" s="8" t="s">
        <v>336</v>
      </c>
      <c r="B293" s="8" t="s">
        <v>17</v>
      </c>
      <c r="C293" s="8" t="s">
        <v>18</v>
      </c>
      <c r="D293" s="8" t="s">
        <v>615</v>
      </c>
      <c r="E293" s="8" t="s">
        <v>38</v>
      </c>
      <c r="F293" s="8" t="s">
        <v>45</v>
      </c>
      <c r="G293" s="8" t="s">
        <v>32</v>
      </c>
      <c r="H293" s="8" t="s">
        <v>32</v>
      </c>
      <c r="I293" s="8" t="n">
        <f aca="false">IF(EXACT(G293,H293),1,0)</f>
        <v>1</v>
      </c>
      <c r="J293" s="8" t="n">
        <v>0</v>
      </c>
      <c r="K293" s="8" t="s">
        <v>92</v>
      </c>
      <c r="L293" s="8" t="n">
        <v>0</v>
      </c>
      <c r="M293" s="8" t="n">
        <v>3</v>
      </c>
      <c r="N293" s="8" t="s">
        <v>1784</v>
      </c>
      <c r="O293" s="8" t="n">
        <v>2</v>
      </c>
      <c r="P293" s="10" t="n">
        <v>26.48</v>
      </c>
      <c r="Q293" s="8" t="n">
        <v>8129</v>
      </c>
      <c r="R293" s="8" t="n">
        <v>1055</v>
      </c>
      <c r="S293" s="8" t="s">
        <v>94</v>
      </c>
      <c r="T293" s="8" t="s">
        <v>337</v>
      </c>
      <c r="U293" s="8" t="s">
        <v>338</v>
      </c>
      <c r="V293" s="8"/>
      <c r="W293" s="8" t="s">
        <v>339</v>
      </c>
      <c r="X293" s="8" t="s">
        <v>460</v>
      </c>
      <c r="Y293" s="8" t="s">
        <v>1821</v>
      </c>
      <c r="Z293" s="8"/>
    </row>
    <row r="294" customFormat="false" ht="15" hidden="false" customHeight="false" outlineLevel="0" collapsed="false">
      <c r="A294" s="8" t="s">
        <v>336</v>
      </c>
      <c r="B294" s="8" t="s">
        <v>17</v>
      </c>
      <c r="C294" s="8" t="s">
        <v>18</v>
      </c>
      <c r="D294" s="8" t="s">
        <v>615</v>
      </c>
      <c r="E294" s="8" t="s">
        <v>38</v>
      </c>
      <c r="F294" s="8" t="s">
        <v>45</v>
      </c>
      <c r="G294" s="8" t="s">
        <v>32</v>
      </c>
      <c r="H294" s="8" t="s">
        <v>32</v>
      </c>
      <c r="I294" s="8" t="n">
        <f aca="false">IF(EXACT(G294,H294),1,0)</f>
        <v>1</v>
      </c>
      <c r="J294" s="8" t="n">
        <v>1</v>
      </c>
      <c r="K294" s="8" t="s">
        <v>92</v>
      </c>
      <c r="L294" s="8" t="n">
        <v>0</v>
      </c>
      <c r="M294" s="8" t="n">
        <v>3</v>
      </c>
      <c r="N294" s="8" t="s">
        <v>1784</v>
      </c>
      <c r="O294" s="8" t="n">
        <v>2</v>
      </c>
      <c r="P294" s="10" t="n">
        <v>22.32</v>
      </c>
      <c r="Q294" s="8" t="n">
        <v>8139</v>
      </c>
      <c r="R294" s="8" t="n">
        <v>894</v>
      </c>
      <c r="S294" s="8" t="s">
        <v>94</v>
      </c>
      <c r="T294" s="8" t="s">
        <v>337</v>
      </c>
      <c r="U294" s="8" t="s">
        <v>338</v>
      </c>
      <c r="V294" s="8"/>
      <c r="W294" s="8" t="s">
        <v>339</v>
      </c>
      <c r="X294" s="8" t="s">
        <v>460</v>
      </c>
      <c r="Y294" s="8" t="s">
        <v>1822</v>
      </c>
      <c r="Z294" s="8"/>
    </row>
    <row r="295" customFormat="false" ht="15" hidden="false" customHeight="false" outlineLevel="0" collapsed="false">
      <c r="A295" s="8" t="s">
        <v>336</v>
      </c>
      <c r="B295" s="8" t="s">
        <v>17</v>
      </c>
      <c r="C295" s="8" t="s">
        <v>18</v>
      </c>
      <c r="D295" s="8" t="s">
        <v>615</v>
      </c>
      <c r="E295" s="8" t="s">
        <v>38</v>
      </c>
      <c r="F295" s="8" t="s">
        <v>45</v>
      </c>
      <c r="G295" s="8" t="s">
        <v>32</v>
      </c>
      <c r="H295" s="8" t="s">
        <v>32</v>
      </c>
      <c r="I295" s="8" t="n">
        <f aca="false">IF(EXACT(G295,H295),1,0)</f>
        <v>1</v>
      </c>
      <c r="J295" s="8" t="n">
        <v>2</v>
      </c>
      <c r="K295" s="8" t="s">
        <v>92</v>
      </c>
      <c r="L295" s="8" t="n">
        <v>0</v>
      </c>
      <c r="M295" s="8" t="n">
        <v>3</v>
      </c>
      <c r="N295" s="8" t="s">
        <v>1784</v>
      </c>
      <c r="O295" s="8" t="n">
        <v>2</v>
      </c>
      <c r="P295" s="10" t="n">
        <v>29.1</v>
      </c>
      <c r="Q295" s="8" t="n">
        <v>8137</v>
      </c>
      <c r="R295" s="8" t="n">
        <v>905</v>
      </c>
      <c r="S295" s="8" t="s">
        <v>94</v>
      </c>
      <c r="T295" s="8" t="s">
        <v>337</v>
      </c>
      <c r="U295" s="8" t="s">
        <v>338</v>
      </c>
      <c r="V295" s="8"/>
      <c r="W295" s="8" t="s">
        <v>339</v>
      </c>
      <c r="X295" s="8" t="s">
        <v>460</v>
      </c>
      <c r="Y295" s="8" t="s">
        <v>1823</v>
      </c>
      <c r="Z295" s="8"/>
    </row>
    <row r="296" customFormat="false" ht="15" hidden="false" customHeight="false" outlineLevel="0" collapsed="false">
      <c r="A296" s="8" t="s">
        <v>341</v>
      </c>
      <c r="B296" s="8" t="s">
        <v>17</v>
      </c>
      <c r="C296" s="8" t="s">
        <v>18</v>
      </c>
      <c r="D296" s="8" t="s">
        <v>615</v>
      </c>
      <c r="E296" s="8" t="s">
        <v>38</v>
      </c>
      <c r="F296" s="8" t="s">
        <v>45</v>
      </c>
      <c r="G296" s="8" t="s">
        <v>32</v>
      </c>
      <c r="H296" s="8" t="s">
        <v>32</v>
      </c>
      <c r="I296" s="8" t="n">
        <f aca="false">IF(EXACT(G296,H296),1,0)</f>
        <v>1</v>
      </c>
      <c r="J296" s="8" t="n">
        <v>0</v>
      </c>
      <c r="K296" s="8" t="s">
        <v>92</v>
      </c>
      <c r="L296" s="8" t="n">
        <v>0</v>
      </c>
      <c r="M296" s="8" t="n">
        <v>3</v>
      </c>
      <c r="N296" s="8" t="s">
        <v>1784</v>
      </c>
      <c r="O296" s="8" t="n">
        <v>2</v>
      </c>
      <c r="P296" s="10" t="n">
        <v>26.97</v>
      </c>
      <c r="Q296" s="8" t="n">
        <v>7918</v>
      </c>
      <c r="R296" s="8" t="n">
        <v>741</v>
      </c>
      <c r="S296" s="8" t="s">
        <v>125</v>
      </c>
      <c r="T296" s="8" t="s">
        <v>342</v>
      </c>
      <c r="U296" s="8" t="s">
        <v>343</v>
      </c>
      <c r="V296" s="8"/>
      <c r="W296" s="8" t="s">
        <v>344</v>
      </c>
      <c r="X296" s="8" t="s">
        <v>461</v>
      </c>
      <c r="Y296" s="8" t="s">
        <v>1824</v>
      </c>
      <c r="Z296" s="8"/>
    </row>
    <row r="297" customFormat="false" ht="15" hidden="false" customHeight="false" outlineLevel="0" collapsed="false">
      <c r="A297" s="8" t="s">
        <v>341</v>
      </c>
      <c r="B297" s="8" t="s">
        <v>17</v>
      </c>
      <c r="C297" s="8" t="s">
        <v>18</v>
      </c>
      <c r="D297" s="8" t="s">
        <v>615</v>
      </c>
      <c r="E297" s="8" t="s">
        <v>38</v>
      </c>
      <c r="F297" s="8" t="s">
        <v>45</v>
      </c>
      <c r="G297" s="8" t="s">
        <v>32</v>
      </c>
      <c r="H297" s="8" t="s">
        <v>32</v>
      </c>
      <c r="I297" s="8" t="n">
        <f aca="false">IF(EXACT(G297,H297),1,0)</f>
        <v>1</v>
      </c>
      <c r="J297" s="8" t="n">
        <v>1</v>
      </c>
      <c r="K297" s="8" t="s">
        <v>92</v>
      </c>
      <c r="L297" s="8" t="n">
        <v>0</v>
      </c>
      <c r="M297" s="8" t="n">
        <v>3</v>
      </c>
      <c r="N297" s="8" t="s">
        <v>1784</v>
      </c>
      <c r="O297" s="8" t="n">
        <v>2</v>
      </c>
      <c r="P297" s="10" t="n">
        <v>29.13</v>
      </c>
      <c r="Q297" s="8" t="n">
        <v>7922</v>
      </c>
      <c r="R297" s="8" t="n">
        <v>858</v>
      </c>
      <c r="S297" s="8" t="s">
        <v>125</v>
      </c>
      <c r="T297" s="8" t="s">
        <v>342</v>
      </c>
      <c r="U297" s="8" t="s">
        <v>343</v>
      </c>
      <c r="V297" s="8"/>
      <c r="W297" s="8" t="s">
        <v>344</v>
      </c>
      <c r="X297" s="8" t="s">
        <v>461</v>
      </c>
      <c r="Y297" s="8" t="s">
        <v>1825</v>
      </c>
      <c r="Z297" s="8"/>
    </row>
    <row r="298" customFormat="false" ht="15" hidden="false" customHeight="false" outlineLevel="0" collapsed="false">
      <c r="A298" s="8" t="s">
        <v>341</v>
      </c>
      <c r="B298" s="8" t="s">
        <v>17</v>
      </c>
      <c r="C298" s="8" t="s">
        <v>18</v>
      </c>
      <c r="D298" s="8" t="s">
        <v>615</v>
      </c>
      <c r="E298" s="8" t="s">
        <v>38</v>
      </c>
      <c r="F298" s="8" t="s">
        <v>45</v>
      </c>
      <c r="G298" s="8" t="s">
        <v>32</v>
      </c>
      <c r="H298" s="8" t="s">
        <v>32</v>
      </c>
      <c r="I298" s="8" t="n">
        <f aca="false">IF(EXACT(G298,H298),1,0)</f>
        <v>1</v>
      </c>
      <c r="J298" s="8" t="n">
        <v>2</v>
      </c>
      <c r="K298" s="8" t="s">
        <v>92</v>
      </c>
      <c r="L298" s="8" t="n">
        <v>0</v>
      </c>
      <c r="M298" s="8" t="n">
        <v>3</v>
      </c>
      <c r="N298" s="8" t="s">
        <v>1784</v>
      </c>
      <c r="O298" s="8" t="n">
        <v>2</v>
      </c>
      <c r="P298" s="10" t="n">
        <v>28.05</v>
      </c>
      <c r="Q298" s="8" t="n">
        <v>7923</v>
      </c>
      <c r="R298" s="8" t="n">
        <v>789</v>
      </c>
      <c r="S298" s="8" t="s">
        <v>125</v>
      </c>
      <c r="T298" s="8" t="s">
        <v>342</v>
      </c>
      <c r="U298" s="8" t="s">
        <v>343</v>
      </c>
      <c r="V298" s="8"/>
      <c r="W298" s="8" t="s">
        <v>344</v>
      </c>
      <c r="X298" s="8" t="s">
        <v>461</v>
      </c>
      <c r="Y298" s="8" t="s">
        <v>1826</v>
      </c>
      <c r="Z298" s="8"/>
    </row>
    <row r="299" customFormat="false" ht="15" hidden="false" customHeight="false" outlineLevel="0" collapsed="false">
      <c r="A299" s="8" t="s">
        <v>346</v>
      </c>
      <c r="B299" s="8" t="s">
        <v>17</v>
      </c>
      <c r="C299" s="8" t="s">
        <v>18</v>
      </c>
      <c r="D299" s="8" t="s">
        <v>615</v>
      </c>
      <c r="E299" s="8" t="s">
        <v>38</v>
      </c>
      <c r="F299" s="8" t="s">
        <v>45</v>
      </c>
      <c r="G299" s="8" t="s">
        <v>31</v>
      </c>
      <c r="H299" s="8" t="s">
        <v>31</v>
      </c>
      <c r="I299" s="8" t="n">
        <f aca="false">IF(EXACT(G299,H299),1,0)</f>
        <v>1</v>
      </c>
      <c r="J299" s="8" t="n">
        <v>0</v>
      </c>
      <c r="K299" s="8" t="s">
        <v>116</v>
      </c>
      <c r="L299" s="8" t="n">
        <v>2</v>
      </c>
      <c r="M299" s="8" t="n">
        <v>3</v>
      </c>
      <c r="N299" s="8" t="s">
        <v>1784</v>
      </c>
      <c r="O299" s="8" t="n">
        <v>2</v>
      </c>
      <c r="P299" s="10" t="n">
        <v>29.62</v>
      </c>
      <c r="Q299" s="8" t="n">
        <v>7921</v>
      </c>
      <c r="R299" s="8" t="n">
        <v>1081</v>
      </c>
      <c r="S299" s="8" t="s">
        <v>347</v>
      </c>
      <c r="T299" s="8" t="s">
        <v>331</v>
      </c>
      <c r="U299" s="8" t="s">
        <v>332</v>
      </c>
      <c r="V299" s="8"/>
      <c r="W299" s="8" t="s">
        <v>348</v>
      </c>
      <c r="X299" s="8" t="s">
        <v>462</v>
      </c>
      <c r="Y299" s="8" t="s">
        <v>1827</v>
      </c>
      <c r="Z299" s="8" t="s">
        <v>1828</v>
      </c>
    </row>
    <row r="300" customFormat="false" ht="15" hidden="false" customHeight="false" outlineLevel="0" collapsed="false">
      <c r="A300" s="8" t="s">
        <v>346</v>
      </c>
      <c r="B300" s="8" t="s">
        <v>17</v>
      </c>
      <c r="C300" s="8" t="s">
        <v>18</v>
      </c>
      <c r="D300" s="8" t="s">
        <v>615</v>
      </c>
      <c r="E300" s="8" t="s">
        <v>38</v>
      </c>
      <c r="F300" s="8" t="s">
        <v>45</v>
      </c>
      <c r="G300" s="8" t="s">
        <v>31</v>
      </c>
      <c r="H300" s="8" t="s">
        <v>31</v>
      </c>
      <c r="I300" s="8" t="n">
        <f aca="false">IF(EXACT(G300,H300),1,0)</f>
        <v>1</v>
      </c>
      <c r="J300" s="8" t="n">
        <v>1</v>
      </c>
      <c r="K300" s="8" t="s">
        <v>116</v>
      </c>
      <c r="L300" s="8" t="n">
        <v>2</v>
      </c>
      <c r="M300" s="8" t="n">
        <v>3</v>
      </c>
      <c r="N300" s="8" t="s">
        <v>1784</v>
      </c>
      <c r="O300" s="8" t="n">
        <v>2</v>
      </c>
      <c r="P300" s="10" t="n">
        <v>24.54</v>
      </c>
      <c r="Q300" s="8" t="n">
        <v>7921</v>
      </c>
      <c r="R300" s="8" t="n">
        <v>910</v>
      </c>
      <c r="S300" s="8" t="s">
        <v>347</v>
      </c>
      <c r="T300" s="8" t="s">
        <v>331</v>
      </c>
      <c r="U300" s="8" t="s">
        <v>332</v>
      </c>
      <c r="V300" s="8"/>
      <c r="W300" s="8" t="s">
        <v>348</v>
      </c>
      <c r="X300" s="8" t="s">
        <v>462</v>
      </c>
      <c r="Y300" s="8" t="s">
        <v>1829</v>
      </c>
      <c r="Z300" s="8" t="s">
        <v>1830</v>
      </c>
    </row>
    <row r="301" customFormat="false" ht="15" hidden="false" customHeight="false" outlineLevel="0" collapsed="false">
      <c r="A301" s="8" t="s">
        <v>346</v>
      </c>
      <c r="B301" s="8" t="s">
        <v>17</v>
      </c>
      <c r="C301" s="8" t="s">
        <v>18</v>
      </c>
      <c r="D301" s="8" t="s">
        <v>615</v>
      </c>
      <c r="E301" s="8" t="s">
        <v>38</v>
      </c>
      <c r="F301" s="8" t="s">
        <v>45</v>
      </c>
      <c r="G301" s="8" t="s">
        <v>31</v>
      </c>
      <c r="H301" s="8" t="s">
        <v>31</v>
      </c>
      <c r="I301" s="8" t="n">
        <f aca="false">IF(EXACT(G301,H301),1,0)</f>
        <v>1</v>
      </c>
      <c r="J301" s="8" t="n">
        <v>2</v>
      </c>
      <c r="K301" s="8" t="s">
        <v>116</v>
      </c>
      <c r="L301" s="8" t="n">
        <v>3</v>
      </c>
      <c r="M301" s="8" t="n">
        <v>3</v>
      </c>
      <c r="N301" s="8" t="s">
        <v>1784</v>
      </c>
      <c r="O301" s="8" t="n">
        <v>2</v>
      </c>
      <c r="P301" s="10" t="n">
        <v>31.54</v>
      </c>
      <c r="Q301" s="8" t="n">
        <v>7920</v>
      </c>
      <c r="R301" s="8" t="n">
        <v>1185</v>
      </c>
      <c r="S301" s="8" t="s">
        <v>347</v>
      </c>
      <c r="T301" s="8" t="s">
        <v>331</v>
      </c>
      <c r="U301" s="8" t="s">
        <v>332</v>
      </c>
      <c r="V301" s="8"/>
      <c r="W301" s="8" t="s">
        <v>348</v>
      </c>
      <c r="X301" s="8" t="s">
        <v>462</v>
      </c>
      <c r="Y301" s="8" t="s">
        <v>1831</v>
      </c>
      <c r="Z301" s="8" t="s">
        <v>1832</v>
      </c>
    </row>
    <row r="302" customFormat="false" ht="15" hidden="false" customHeight="false" outlineLevel="0" collapsed="false">
      <c r="A302" s="8" t="s">
        <v>351</v>
      </c>
      <c r="B302" s="8" t="s">
        <v>17</v>
      </c>
      <c r="C302" s="8" t="s">
        <v>18</v>
      </c>
      <c r="D302" s="8" t="s">
        <v>615</v>
      </c>
      <c r="E302" s="8" t="s">
        <v>38</v>
      </c>
      <c r="F302" s="8" t="s">
        <v>45</v>
      </c>
      <c r="G302" s="8" t="s">
        <v>30</v>
      </c>
      <c r="H302" s="8" t="s">
        <v>31</v>
      </c>
      <c r="I302" s="8" t="n">
        <f aca="false">IF(EXACT(G302,H302),1,0)</f>
        <v>0</v>
      </c>
      <c r="J302" s="8" t="n">
        <v>0</v>
      </c>
      <c r="K302" s="8" t="s">
        <v>116</v>
      </c>
      <c r="L302" s="8" t="n">
        <v>1</v>
      </c>
      <c r="M302" s="8" t="n">
        <v>3</v>
      </c>
      <c r="N302" s="8" t="s">
        <v>1784</v>
      </c>
      <c r="O302" s="8" t="n">
        <v>2</v>
      </c>
      <c r="P302" s="10" t="n">
        <v>22.12</v>
      </c>
      <c r="Q302" s="8" t="n">
        <v>8134</v>
      </c>
      <c r="R302" s="8" t="n">
        <v>879</v>
      </c>
      <c r="S302" s="8" t="s">
        <v>110</v>
      </c>
      <c r="T302" s="8" t="s">
        <v>337</v>
      </c>
      <c r="U302" s="8" t="s">
        <v>338</v>
      </c>
      <c r="V302" s="8"/>
      <c r="W302" s="8" t="s">
        <v>352</v>
      </c>
      <c r="X302" s="8" t="s">
        <v>463</v>
      </c>
      <c r="Y302" s="8" t="s">
        <v>1833</v>
      </c>
      <c r="Z302" s="8" t="s">
        <v>1834</v>
      </c>
    </row>
    <row r="303" customFormat="false" ht="15" hidden="false" customHeight="false" outlineLevel="0" collapsed="false">
      <c r="A303" s="8" t="s">
        <v>351</v>
      </c>
      <c r="B303" s="8" t="s">
        <v>17</v>
      </c>
      <c r="C303" s="8" t="s">
        <v>18</v>
      </c>
      <c r="D303" s="8" t="s">
        <v>615</v>
      </c>
      <c r="E303" s="8" t="s">
        <v>38</v>
      </c>
      <c r="F303" s="8" t="s">
        <v>45</v>
      </c>
      <c r="G303" s="8" t="s">
        <v>30</v>
      </c>
      <c r="H303" s="8" t="s">
        <v>30</v>
      </c>
      <c r="I303" s="8" t="n">
        <f aca="false">IF(EXACT(G303,H303),1,0)</f>
        <v>1</v>
      </c>
      <c r="J303" s="8" t="n">
        <v>1</v>
      </c>
      <c r="K303" s="8" t="s">
        <v>92</v>
      </c>
      <c r="L303" s="8" t="n">
        <v>0</v>
      </c>
      <c r="M303" s="8" t="n">
        <v>3</v>
      </c>
      <c r="N303" s="8" t="s">
        <v>1784</v>
      </c>
      <c r="O303" s="8" t="n">
        <v>2</v>
      </c>
      <c r="P303" s="10" t="n">
        <v>23.24</v>
      </c>
      <c r="Q303" s="8" t="n">
        <v>8134</v>
      </c>
      <c r="R303" s="8" t="n">
        <v>922</v>
      </c>
      <c r="S303" s="8" t="s">
        <v>110</v>
      </c>
      <c r="T303" s="8" t="s">
        <v>337</v>
      </c>
      <c r="U303" s="8" t="s">
        <v>338</v>
      </c>
      <c r="V303" s="8"/>
      <c r="W303" s="8" t="s">
        <v>352</v>
      </c>
      <c r="X303" s="8" t="s">
        <v>463</v>
      </c>
      <c r="Y303" s="8" t="s">
        <v>1835</v>
      </c>
      <c r="Z303" s="8"/>
    </row>
    <row r="304" customFormat="false" ht="15" hidden="false" customHeight="false" outlineLevel="0" collapsed="false">
      <c r="A304" s="8" t="s">
        <v>351</v>
      </c>
      <c r="B304" s="8" t="s">
        <v>17</v>
      </c>
      <c r="C304" s="8" t="s">
        <v>18</v>
      </c>
      <c r="D304" s="8" t="s">
        <v>615</v>
      </c>
      <c r="E304" s="8" t="s">
        <v>38</v>
      </c>
      <c r="F304" s="8" t="s">
        <v>45</v>
      </c>
      <c r="G304" s="8" t="s">
        <v>30</v>
      </c>
      <c r="H304" s="8" t="s">
        <v>30</v>
      </c>
      <c r="I304" s="8" t="n">
        <f aca="false">IF(EXACT(G304,H304),1,0)</f>
        <v>1</v>
      </c>
      <c r="J304" s="8" t="n">
        <v>2</v>
      </c>
      <c r="K304" s="8" t="s">
        <v>92</v>
      </c>
      <c r="L304" s="8" t="n">
        <v>0</v>
      </c>
      <c r="M304" s="8" t="n">
        <v>3</v>
      </c>
      <c r="N304" s="8" t="s">
        <v>1784</v>
      </c>
      <c r="O304" s="8" t="n">
        <v>2</v>
      </c>
      <c r="P304" s="10" t="n">
        <v>22.94</v>
      </c>
      <c r="Q304" s="8" t="n">
        <v>8133</v>
      </c>
      <c r="R304" s="8" t="n">
        <v>930</v>
      </c>
      <c r="S304" s="8" t="s">
        <v>110</v>
      </c>
      <c r="T304" s="8" t="s">
        <v>337</v>
      </c>
      <c r="U304" s="8" t="s">
        <v>338</v>
      </c>
      <c r="V304" s="8"/>
      <c r="W304" s="8" t="s">
        <v>352</v>
      </c>
      <c r="X304" s="8" t="s">
        <v>463</v>
      </c>
      <c r="Y304" s="8" t="s">
        <v>1836</v>
      </c>
      <c r="Z304" s="8"/>
    </row>
    <row r="305" customFormat="false" ht="15" hidden="false" customHeight="false" outlineLevel="0" collapsed="false">
      <c r="A305" s="8" t="s">
        <v>354</v>
      </c>
      <c r="B305" s="8" t="s">
        <v>17</v>
      </c>
      <c r="C305" s="8" t="s">
        <v>18</v>
      </c>
      <c r="D305" s="8" t="s">
        <v>615</v>
      </c>
      <c r="E305" s="8" t="s">
        <v>38</v>
      </c>
      <c r="F305" s="8" t="s">
        <v>45</v>
      </c>
      <c r="G305" s="8" t="s">
        <v>30</v>
      </c>
      <c r="H305" s="8" t="s">
        <v>31</v>
      </c>
      <c r="I305" s="8" t="n">
        <f aca="false">IF(EXACT(G305,H305),1,0)</f>
        <v>0</v>
      </c>
      <c r="J305" s="8" t="n">
        <v>0</v>
      </c>
      <c r="K305" s="8" t="s">
        <v>116</v>
      </c>
      <c r="L305" s="8" t="n">
        <v>1</v>
      </c>
      <c r="M305" s="8" t="n">
        <v>3</v>
      </c>
      <c r="N305" s="8" t="s">
        <v>1784</v>
      </c>
      <c r="O305" s="8" t="n">
        <v>2</v>
      </c>
      <c r="P305" s="10" t="n">
        <v>27.92</v>
      </c>
      <c r="Q305" s="8" t="n">
        <v>8093</v>
      </c>
      <c r="R305" s="8" t="n">
        <v>1168</v>
      </c>
      <c r="S305" s="8" t="s">
        <v>216</v>
      </c>
      <c r="T305" s="8" t="s">
        <v>355</v>
      </c>
      <c r="U305" s="8" t="s">
        <v>356</v>
      </c>
      <c r="V305" s="8"/>
      <c r="W305" s="8" t="s">
        <v>357</v>
      </c>
      <c r="X305" s="8" t="s">
        <v>464</v>
      </c>
      <c r="Y305" s="8" t="s">
        <v>1837</v>
      </c>
      <c r="Z305" s="8" t="s">
        <v>1838</v>
      </c>
    </row>
    <row r="306" customFormat="false" ht="15" hidden="false" customHeight="false" outlineLevel="0" collapsed="false">
      <c r="A306" s="8" t="s">
        <v>354</v>
      </c>
      <c r="B306" s="8" t="s">
        <v>17</v>
      </c>
      <c r="C306" s="8" t="s">
        <v>18</v>
      </c>
      <c r="D306" s="8" t="s">
        <v>615</v>
      </c>
      <c r="E306" s="8" t="s">
        <v>38</v>
      </c>
      <c r="F306" s="8" t="s">
        <v>45</v>
      </c>
      <c r="G306" s="8" t="s">
        <v>30</v>
      </c>
      <c r="H306" s="8" t="s">
        <v>30</v>
      </c>
      <c r="I306" s="8" t="n">
        <f aca="false">IF(EXACT(G306,H306),1,0)</f>
        <v>1</v>
      </c>
      <c r="J306" s="8" t="n">
        <v>1</v>
      </c>
      <c r="K306" s="8" t="s">
        <v>92</v>
      </c>
      <c r="L306" s="8" t="n">
        <v>0</v>
      </c>
      <c r="M306" s="8" t="n">
        <v>3</v>
      </c>
      <c r="N306" s="8" t="s">
        <v>1784</v>
      </c>
      <c r="O306" s="8" t="n">
        <v>2</v>
      </c>
      <c r="P306" s="10" t="n">
        <v>24.03</v>
      </c>
      <c r="Q306" s="8" t="n">
        <v>8087</v>
      </c>
      <c r="R306" s="8" t="n">
        <v>932</v>
      </c>
      <c r="S306" s="8" t="s">
        <v>216</v>
      </c>
      <c r="T306" s="8" t="s">
        <v>355</v>
      </c>
      <c r="U306" s="8" t="s">
        <v>356</v>
      </c>
      <c r="V306" s="8"/>
      <c r="W306" s="8" t="s">
        <v>357</v>
      </c>
      <c r="X306" s="8" t="s">
        <v>464</v>
      </c>
      <c r="Y306" s="8" t="s">
        <v>1839</v>
      </c>
      <c r="Z306" s="8"/>
    </row>
    <row r="307" customFormat="false" ht="15" hidden="false" customHeight="false" outlineLevel="0" collapsed="false">
      <c r="A307" s="8" t="s">
        <v>354</v>
      </c>
      <c r="B307" s="8" t="s">
        <v>17</v>
      </c>
      <c r="C307" s="8" t="s">
        <v>18</v>
      </c>
      <c r="D307" s="8" t="s">
        <v>615</v>
      </c>
      <c r="E307" s="8" t="s">
        <v>38</v>
      </c>
      <c r="F307" s="8" t="s">
        <v>45</v>
      </c>
      <c r="G307" s="8" t="s">
        <v>30</v>
      </c>
      <c r="H307" s="8" t="s">
        <v>31</v>
      </c>
      <c r="I307" s="8" t="n">
        <f aca="false">IF(EXACT(G307,H307),1,0)</f>
        <v>0</v>
      </c>
      <c r="J307" s="8" t="n">
        <v>2</v>
      </c>
      <c r="K307" s="8" t="s">
        <v>116</v>
      </c>
      <c r="L307" s="8" t="n">
        <v>1</v>
      </c>
      <c r="M307" s="8" t="n">
        <v>3</v>
      </c>
      <c r="N307" s="8" t="s">
        <v>1784</v>
      </c>
      <c r="O307" s="8" t="n">
        <v>2</v>
      </c>
      <c r="P307" s="10" t="n">
        <v>27.67</v>
      </c>
      <c r="Q307" s="8" t="n">
        <v>8088</v>
      </c>
      <c r="R307" s="8" t="n">
        <v>1194</v>
      </c>
      <c r="S307" s="8" t="s">
        <v>216</v>
      </c>
      <c r="T307" s="8" t="s">
        <v>355</v>
      </c>
      <c r="U307" s="8" t="s">
        <v>356</v>
      </c>
      <c r="V307" s="8"/>
      <c r="W307" s="8" t="s">
        <v>357</v>
      </c>
      <c r="X307" s="8" t="s">
        <v>464</v>
      </c>
      <c r="Y307" s="8" t="s">
        <v>1840</v>
      </c>
      <c r="Z307" s="8" t="s">
        <v>1841</v>
      </c>
    </row>
    <row r="308" customFormat="false" ht="15" hidden="false" customHeight="false" outlineLevel="0" collapsed="false">
      <c r="A308" s="8" t="s">
        <v>90</v>
      </c>
      <c r="B308" s="8" t="s">
        <v>17</v>
      </c>
      <c r="C308" s="8" t="s">
        <v>18</v>
      </c>
      <c r="D308" s="8" t="s">
        <v>615</v>
      </c>
      <c r="E308" s="8" t="s">
        <v>38</v>
      </c>
      <c r="F308" s="8" t="s">
        <v>49</v>
      </c>
      <c r="G308" s="8" t="s">
        <v>32</v>
      </c>
      <c r="H308" s="8" t="s">
        <v>32</v>
      </c>
      <c r="I308" s="8" t="n">
        <f aca="false">IF(EXACT(G308,H308),1,0)</f>
        <v>1</v>
      </c>
      <c r="J308" s="8" t="n">
        <v>0</v>
      </c>
      <c r="K308" s="8" t="s">
        <v>92</v>
      </c>
      <c r="L308" s="8" t="n">
        <v>0</v>
      </c>
      <c r="M308" s="8" t="n">
        <v>3</v>
      </c>
      <c r="N308" s="8" t="s">
        <v>1784</v>
      </c>
      <c r="O308" s="8" t="n">
        <v>2</v>
      </c>
      <c r="P308" s="10" t="n">
        <v>25.22</v>
      </c>
      <c r="Q308" s="8" t="n">
        <v>7817</v>
      </c>
      <c r="R308" s="8" t="n">
        <v>762</v>
      </c>
      <c r="S308" s="8" t="s">
        <v>94</v>
      </c>
      <c r="T308" s="8" t="s">
        <v>95</v>
      </c>
      <c r="U308" s="8" t="s">
        <v>96</v>
      </c>
      <c r="V308" s="8"/>
      <c r="W308" s="8" t="s">
        <v>97</v>
      </c>
      <c r="X308" s="8" t="s">
        <v>465</v>
      </c>
      <c r="Y308" s="8" t="s">
        <v>1842</v>
      </c>
      <c r="Z308" s="8"/>
    </row>
    <row r="309" customFormat="false" ht="15" hidden="false" customHeight="false" outlineLevel="0" collapsed="false">
      <c r="A309" s="8" t="s">
        <v>90</v>
      </c>
      <c r="B309" s="8" t="s">
        <v>17</v>
      </c>
      <c r="C309" s="8" t="s">
        <v>18</v>
      </c>
      <c r="D309" s="8" t="s">
        <v>615</v>
      </c>
      <c r="E309" s="8" t="s">
        <v>38</v>
      </c>
      <c r="F309" s="8" t="s">
        <v>49</v>
      </c>
      <c r="G309" s="8" t="s">
        <v>32</v>
      </c>
      <c r="H309" s="8" t="s">
        <v>32</v>
      </c>
      <c r="I309" s="8" t="n">
        <f aca="false">IF(EXACT(G309,H309),1,0)</f>
        <v>1</v>
      </c>
      <c r="J309" s="8" t="n">
        <v>1</v>
      </c>
      <c r="K309" s="8" t="s">
        <v>92</v>
      </c>
      <c r="L309" s="8" t="n">
        <v>0</v>
      </c>
      <c r="M309" s="8" t="n">
        <v>3</v>
      </c>
      <c r="N309" s="8" t="s">
        <v>1784</v>
      </c>
      <c r="O309" s="8" t="n">
        <v>2</v>
      </c>
      <c r="P309" s="10" t="n">
        <v>27.35</v>
      </c>
      <c r="Q309" s="8" t="n">
        <v>7816</v>
      </c>
      <c r="R309" s="8" t="n">
        <v>747</v>
      </c>
      <c r="S309" s="8" t="s">
        <v>94</v>
      </c>
      <c r="T309" s="8" t="s">
        <v>95</v>
      </c>
      <c r="U309" s="8" t="s">
        <v>96</v>
      </c>
      <c r="V309" s="8"/>
      <c r="W309" s="8" t="s">
        <v>97</v>
      </c>
      <c r="X309" s="8" t="s">
        <v>465</v>
      </c>
      <c r="Y309" s="8" t="s">
        <v>1843</v>
      </c>
      <c r="Z309" s="8"/>
    </row>
    <row r="310" customFormat="false" ht="15" hidden="false" customHeight="false" outlineLevel="0" collapsed="false">
      <c r="A310" s="8" t="s">
        <v>90</v>
      </c>
      <c r="B310" s="8" t="s">
        <v>17</v>
      </c>
      <c r="C310" s="8" t="s">
        <v>18</v>
      </c>
      <c r="D310" s="8" t="s">
        <v>615</v>
      </c>
      <c r="E310" s="8" t="s">
        <v>38</v>
      </c>
      <c r="F310" s="8" t="s">
        <v>49</v>
      </c>
      <c r="G310" s="8" t="s">
        <v>32</v>
      </c>
      <c r="H310" s="8" t="s">
        <v>32</v>
      </c>
      <c r="I310" s="8" t="n">
        <f aca="false">IF(EXACT(G310,H310),1,0)</f>
        <v>1</v>
      </c>
      <c r="J310" s="8" t="n">
        <v>2</v>
      </c>
      <c r="K310" s="8" t="s">
        <v>92</v>
      </c>
      <c r="L310" s="8" t="n">
        <v>0</v>
      </c>
      <c r="M310" s="8" t="n">
        <v>3</v>
      </c>
      <c r="N310" s="8" t="s">
        <v>1784</v>
      </c>
      <c r="O310" s="8" t="n">
        <v>2</v>
      </c>
      <c r="P310" s="10" t="n">
        <v>25.41</v>
      </c>
      <c r="Q310" s="8" t="n">
        <v>7815</v>
      </c>
      <c r="R310" s="8" t="n">
        <v>796</v>
      </c>
      <c r="S310" s="8" t="s">
        <v>94</v>
      </c>
      <c r="T310" s="8" t="s">
        <v>95</v>
      </c>
      <c r="U310" s="8" t="s">
        <v>96</v>
      </c>
      <c r="V310" s="8"/>
      <c r="W310" s="8" t="s">
        <v>97</v>
      </c>
      <c r="X310" s="8" t="s">
        <v>465</v>
      </c>
      <c r="Y310" s="8" t="s">
        <v>1844</v>
      </c>
      <c r="Z310" s="8"/>
    </row>
    <row r="311" customFormat="false" ht="15" hidden="false" customHeight="false" outlineLevel="0" collapsed="false">
      <c r="A311" s="8" t="s">
        <v>100</v>
      </c>
      <c r="B311" s="8" t="s">
        <v>17</v>
      </c>
      <c r="C311" s="8" t="s">
        <v>18</v>
      </c>
      <c r="D311" s="8" t="s">
        <v>615</v>
      </c>
      <c r="E311" s="8" t="s">
        <v>38</v>
      </c>
      <c r="F311" s="8" t="s">
        <v>49</v>
      </c>
      <c r="G311" s="8" t="s">
        <v>32</v>
      </c>
      <c r="H311" s="8" t="s">
        <v>32</v>
      </c>
      <c r="I311" s="8" t="n">
        <f aca="false">IF(EXACT(G311,H311),1,0)</f>
        <v>1</v>
      </c>
      <c r="J311" s="8" t="n">
        <v>0</v>
      </c>
      <c r="K311" s="8" t="s">
        <v>92</v>
      </c>
      <c r="L311" s="8" t="n">
        <v>0</v>
      </c>
      <c r="M311" s="8" t="n">
        <v>3</v>
      </c>
      <c r="N311" s="8" t="s">
        <v>1784</v>
      </c>
      <c r="O311" s="8" t="n">
        <v>2</v>
      </c>
      <c r="P311" s="10" t="n">
        <v>30.03</v>
      </c>
      <c r="Q311" s="8" t="n">
        <v>7820</v>
      </c>
      <c r="R311" s="8" t="n">
        <v>872</v>
      </c>
      <c r="S311" s="8" t="s">
        <v>101</v>
      </c>
      <c r="T311" s="8" t="s">
        <v>95</v>
      </c>
      <c r="U311" s="8" t="s">
        <v>96</v>
      </c>
      <c r="V311" s="8"/>
      <c r="W311" s="8" t="s">
        <v>102</v>
      </c>
      <c r="X311" s="8" t="s">
        <v>466</v>
      </c>
      <c r="Y311" s="8" t="s">
        <v>1845</v>
      </c>
      <c r="Z311" s="8"/>
    </row>
    <row r="312" customFormat="false" ht="15" hidden="false" customHeight="false" outlineLevel="0" collapsed="false">
      <c r="A312" s="8" t="s">
        <v>100</v>
      </c>
      <c r="B312" s="8" t="s">
        <v>17</v>
      </c>
      <c r="C312" s="8" t="s">
        <v>18</v>
      </c>
      <c r="D312" s="8" t="s">
        <v>615</v>
      </c>
      <c r="E312" s="8" t="s">
        <v>38</v>
      </c>
      <c r="F312" s="8" t="s">
        <v>49</v>
      </c>
      <c r="G312" s="8" t="s">
        <v>32</v>
      </c>
      <c r="H312" s="8" t="s">
        <v>32</v>
      </c>
      <c r="I312" s="8" t="n">
        <f aca="false">IF(EXACT(G312,H312),1,0)</f>
        <v>1</v>
      </c>
      <c r="J312" s="8" t="n">
        <v>1</v>
      </c>
      <c r="K312" s="8" t="s">
        <v>92</v>
      </c>
      <c r="L312" s="8" t="n">
        <v>0</v>
      </c>
      <c r="M312" s="8" t="n">
        <v>3</v>
      </c>
      <c r="N312" s="8" t="s">
        <v>1784</v>
      </c>
      <c r="O312" s="8" t="n">
        <v>2</v>
      </c>
      <c r="P312" s="10" t="n">
        <v>27.17</v>
      </c>
      <c r="Q312" s="8" t="n">
        <v>7798</v>
      </c>
      <c r="R312" s="8" t="n">
        <v>871</v>
      </c>
      <c r="S312" s="8" t="s">
        <v>101</v>
      </c>
      <c r="T312" s="8" t="s">
        <v>95</v>
      </c>
      <c r="U312" s="8" t="s">
        <v>96</v>
      </c>
      <c r="V312" s="8"/>
      <c r="W312" s="8" t="s">
        <v>102</v>
      </c>
      <c r="X312" s="8" t="s">
        <v>466</v>
      </c>
      <c r="Y312" s="8" t="s">
        <v>1846</v>
      </c>
      <c r="Z312" s="8"/>
    </row>
    <row r="313" customFormat="false" ht="15" hidden="false" customHeight="false" outlineLevel="0" collapsed="false">
      <c r="A313" s="8" t="s">
        <v>100</v>
      </c>
      <c r="B313" s="8" t="s">
        <v>17</v>
      </c>
      <c r="C313" s="8" t="s">
        <v>18</v>
      </c>
      <c r="D313" s="8" t="s">
        <v>615</v>
      </c>
      <c r="E313" s="8" t="s">
        <v>38</v>
      </c>
      <c r="F313" s="8" t="s">
        <v>49</v>
      </c>
      <c r="G313" s="8" t="s">
        <v>32</v>
      </c>
      <c r="H313" s="8" t="s">
        <v>32</v>
      </c>
      <c r="I313" s="8" t="n">
        <f aca="false">IF(EXACT(G313,H313),1,0)</f>
        <v>1</v>
      </c>
      <c r="J313" s="8" t="n">
        <v>2</v>
      </c>
      <c r="K313" s="8" t="s">
        <v>92</v>
      </c>
      <c r="L313" s="8" t="n">
        <v>0</v>
      </c>
      <c r="M313" s="8" t="n">
        <v>3</v>
      </c>
      <c r="N313" s="8" t="s">
        <v>1784</v>
      </c>
      <c r="O313" s="8" t="n">
        <v>2</v>
      </c>
      <c r="P313" s="10" t="n">
        <v>36.26</v>
      </c>
      <c r="Q313" s="8" t="n">
        <v>7797</v>
      </c>
      <c r="R313" s="8" t="n">
        <v>794</v>
      </c>
      <c r="S313" s="8" t="s">
        <v>101</v>
      </c>
      <c r="T313" s="8" t="s">
        <v>95</v>
      </c>
      <c r="U313" s="8" t="s">
        <v>96</v>
      </c>
      <c r="V313" s="8"/>
      <c r="W313" s="8" t="s">
        <v>102</v>
      </c>
      <c r="X313" s="8" t="s">
        <v>466</v>
      </c>
      <c r="Y313" s="8" t="s">
        <v>1847</v>
      </c>
      <c r="Z313" s="8"/>
    </row>
    <row r="314" customFormat="false" ht="15" hidden="false" customHeight="false" outlineLevel="0" collapsed="false">
      <c r="A314" s="8" t="s">
        <v>104</v>
      </c>
      <c r="B314" s="8" t="s">
        <v>17</v>
      </c>
      <c r="C314" s="8" t="s">
        <v>18</v>
      </c>
      <c r="D314" s="8" t="s">
        <v>615</v>
      </c>
      <c r="E314" s="8" t="s">
        <v>38</v>
      </c>
      <c r="F314" s="8" t="s">
        <v>49</v>
      </c>
      <c r="G314" s="8" t="s">
        <v>30</v>
      </c>
      <c r="H314" s="8" t="s">
        <v>30</v>
      </c>
      <c r="I314" s="8" t="n">
        <f aca="false">IF(EXACT(G314,H314),1,0)</f>
        <v>1</v>
      </c>
      <c r="J314" s="8" t="n">
        <v>0</v>
      </c>
      <c r="K314" s="8" t="s">
        <v>92</v>
      </c>
      <c r="L314" s="8" t="n">
        <v>0</v>
      </c>
      <c r="M314" s="8" t="n">
        <v>3</v>
      </c>
      <c r="N314" s="8" t="s">
        <v>1784</v>
      </c>
      <c r="O314" s="8" t="n">
        <v>2</v>
      </c>
      <c r="P314" s="10" t="n">
        <v>28.77</v>
      </c>
      <c r="Q314" s="8" t="n">
        <v>7808</v>
      </c>
      <c r="R314" s="8" t="n">
        <v>698</v>
      </c>
      <c r="S314" s="8" t="s">
        <v>105</v>
      </c>
      <c r="T314" s="8" t="s">
        <v>95</v>
      </c>
      <c r="U314" s="8" t="s">
        <v>96</v>
      </c>
      <c r="V314" s="8"/>
      <c r="W314" s="8" t="s">
        <v>106</v>
      </c>
      <c r="X314" s="8" t="s">
        <v>467</v>
      </c>
      <c r="Y314" s="8" t="s">
        <v>1848</v>
      </c>
      <c r="Z314" s="8"/>
    </row>
    <row r="315" customFormat="false" ht="15" hidden="false" customHeight="false" outlineLevel="0" collapsed="false">
      <c r="A315" s="8" t="s">
        <v>104</v>
      </c>
      <c r="B315" s="8" t="s">
        <v>17</v>
      </c>
      <c r="C315" s="8" t="s">
        <v>18</v>
      </c>
      <c r="D315" s="8" t="s">
        <v>615</v>
      </c>
      <c r="E315" s="8" t="s">
        <v>38</v>
      </c>
      <c r="F315" s="8" t="s">
        <v>49</v>
      </c>
      <c r="G315" s="8" t="s">
        <v>30</v>
      </c>
      <c r="H315" s="8" t="s">
        <v>31</v>
      </c>
      <c r="I315" s="8" t="n">
        <f aca="false">IF(EXACT(G315,H315),1,0)</f>
        <v>0</v>
      </c>
      <c r="J315" s="8" t="n">
        <v>1</v>
      </c>
      <c r="K315" s="8" t="s">
        <v>116</v>
      </c>
      <c r="L315" s="8" t="n">
        <v>1</v>
      </c>
      <c r="M315" s="8" t="n">
        <v>3</v>
      </c>
      <c r="N315" s="8" t="s">
        <v>1784</v>
      </c>
      <c r="O315" s="8" t="n">
        <v>2</v>
      </c>
      <c r="P315" s="10" t="n">
        <v>26.72</v>
      </c>
      <c r="Q315" s="8" t="n">
        <v>7830</v>
      </c>
      <c r="R315" s="8" t="n">
        <v>645</v>
      </c>
      <c r="S315" s="8" t="s">
        <v>105</v>
      </c>
      <c r="T315" s="8" t="s">
        <v>95</v>
      </c>
      <c r="U315" s="8" t="s">
        <v>96</v>
      </c>
      <c r="V315" s="8"/>
      <c r="W315" s="8" t="s">
        <v>106</v>
      </c>
      <c r="X315" s="8" t="s">
        <v>467</v>
      </c>
      <c r="Y315" s="8" t="s">
        <v>1849</v>
      </c>
      <c r="Z315" s="8" t="s">
        <v>1850</v>
      </c>
    </row>
    <row r="316" customFormat="false" ht="15" hidden="false" customHeight="false" outlineLevel="0" collapsed="false">
      <c r="A316" s="8" t="s">
        <v>104</v>
      </c>
      <c r="B316" s="8" t="s">
        <v>17</v>
      </c>
      <c r="C316" s="8" t="s">
        <v>18</v>
      </c>
      <c r="D316" s="8" t="s">
        <v>615</v>
      </c>
      <c r="E316" s="8" t="s">
        <v>38</v>
      </c>
      <c r="F316" s="8" t="s">
        <v>49</v>
      </c>
      <c r="G316" s="8" t="s">
        <v>30</v>
      </c>
      <c r="H316" s="8" t="s">
        <v>31</v>
      </c>
      <c r="I316" s="8" t="n">
        <f aca="false">IF(EXACT(G316,H316),1,0)</f>
        <v>0</v>
      </c>
      <c r="J316" s="8" t="n">
        <v>2</v>
      </c>
      <c r="K316" s="8" t="s">
        <v>116</v>
      </c>
      <c r="L316" s="8" t="n">
        <v>1</v>
      </c>
      <c r="M316" s="8" t="n">
        <v>3</v>
      </c>
      <c r="N316" s="8" t="s">
        <v>1784</v>
      </c>
      <c r="O316" s="8" t="n">
        <v>2</v>
      </c>
      <c r="P316" s="10" t="n">
        <v>32.36</v>
      </c>
      <c r="Q316" s="8" t="n">
        <v>7807</v>
      </c>
      <c r="R316" s="8" t="n">
        <v>833</v>
      </c>
      <c r="S316" s="8" t="s">
        <v>105</v>
      </c>
      <c r="T316" s="8" t="s">
        <v>95</v>
      </c>
      <c r="U316" s="8" t="s">
        <v>96</v>
      </c>
      <c r="V316" s="8"/>
      <c r="W316" s="8" t="s">
        <v>106</v>
      </c>
      <c r="X316" s="8" t="s">
        <v>467</v>
      </c>
      <c r="Y316" s="8" t="s">
        <v>1851</v>
      </c>
      <c r="Z316" s="8" t="s">
        <v>1852</v>
      </c>
    </row>
    <row r="317" customFormat="false" ht="15" hidden="false" customHeight="false" outlineLevel="0" collapsed="false">
      <c r="A317" s="8" t="s">
        <v>109</v>
      </c>
      <c r="B317" s="8" t="s">
        <v>17</v>
      </c>
      <c r="C317" s="8" t="s">
        <v>18</v>
      </c>
      <c r="D317" s="8" t="s">
        <v>615</v>
      </c>
      <c r="E317" s="8" t="s">
        <v>38</v>
      </c>
      <c r="F317" s="8" t="s">
        <v>49</v>
      </c>
      <c r="G317" s="8" t="s">
        <v>30</v>
      </c>
      <c r="H317" s="8" t="s">
        <v>30</v>
      </c>
      <c r="I317" s="8" t="n">
        <f aca="false">IF(EXACT(G317,H317),1,0)</f>
        <v>1</v>
      </c>
      <c r="J317" s="8" t="n">
        <v>0</v>
      </c>
      <c r="K317" s="8" t="s">
        <v>92</v>
      </c>
      <c r="L317" s="8" t="n">
        <v>0</v>
      </c>
      <c r="M317" s="8" t="n">
        <v>3</v>
      </c>
      <c r="N317" s="8" t="s">
        <v>1784</v>
      </c>
      <c r="O317" s="8" t="n">
        <v>2</v>
      </c>
      <c r="P317" s="10" t="n">
        <v>67.78</v>
      </c>
      <c r="Q317" s="8" t="n">
        <v>9405</v>
      </c>
      <c r="R317" s="8" t="n">
        <v>1517</v>
      </c>
      <c r="S317" s="8" t="s">
        <v>110</v>
      </c>
      <c r="T317" s="8" t="s">
        <v>111</v>
      </c>
      <c r="U317" s="8" t="s">
        <v>112</v>
      </c>
      <c r="V317" s="8"/>
      <c r="W317" s="8" t="s">
        <v>113</v>
      </c>
      <c r="X317" s="8" t="s">
        <v>469</v>
      </c>
      <c r="Y317" s="8" t="s">
        <v>1853</v>
      </c>
      <c r="Z317" s="8"/>
    </row>
    <row r="318" customFormat="false" ht="15" hidden="false" customHeight="false" outlineLevel="0" collapsed="false">
      <c r="A318" s="8" t="s">
        <v>109</v>
      </c>
      <c r="B318" s="8" t="s">
        <v>17</v>
      </c>
      <c r="C318" s="8" t="s">
        <v>18</v>
      </c>
      <c r="D318" s="8" t="s">
        <v>615</v>
      </c>
      <c r="E318" s="8" t="s">
        <v>38</v>
      </c>
      <c r="F318" s="8" t="s">
        <v>49</v>
      </c>
      <c r="G318" s="8" t="s">
        <v>30</v>
      </c>
      <c r="H318" s="8" t="s">
        <v>30</v>
      </c>
      <c r="I318" s="8" t="n">
        <f aca="false">IF(EXACT(G318,H318),1,0)</f>
        <v>1</v>
      </c>
      <c r="J318" s="8" t="n">
        <v>1</v>
      </c>
      <c r="K318" s="8" t="s">
        <v>92</v>
      </c>
      <c r="L318" s="8" t="n">
        <v>0</v>
      </c>
      <c r="M318" s="8" t="n">
        <v>3</v>
      </c>
      <c r="N318" s="8" t="s">
        <v>1784</v>
      </c>
      <c r="O318" s="8" t="n">
        <v>2</v>
      </c>
      <c r="P318" s="10" t="n">
        <v>35.33</v>
      </c>
      <c r="Q318" s="8" t="n">
        <v>9612</v>
      </c>
      <c r="R318" s="8" t="n">
        <v>1397</v>
      </c>
      <c r="S318" s="8" t="s">
        <v>110</v>
      </c>
      <c r="T318" s="8" t="s">
        <v>111</v>
      </c>
      <c r="U318" s="8" t="s">
        <v>112</v>
      </c>
      <c r="V318" s="8"/>
      <c r="W318" s="8" t="s">
        <v>113</v>
      </c>
      <c r="X318" s="8" t="s">
        <v>469</v>
      </c>
      <c r="Y318" s="8" t="s">
        <v>1854</v>
      </c>
      <c r="Z318" s="8"/>
    </row>
    <row r="319" customFormat="false" ht="15" hidden="false" customHeight="false" outlineLevel="0" collapsed="false">
      <c r="A319" s="8" t="s">
        <v>109</v>
      </c>
      <c r="B319" s="8" t="s">
        <v>17</v>
      </c>
      <c r="C319" s="8" t="s">
        <v>18</v>
      </c>
      <c r="D319" s="8" t="s">
        <v>615</v>
      </c>
      <c r="E319" s="8" t="s">
        <v>38</v>
      </c>
      <c r="F319" s="8" t="s">
        <v>49</v>
      </c>
      <c r="G319" s="8" t="s">
        <v>30</v>
      </c>
      <c r="H319" s="8" t="s">
        <v>30</v>
      </c>
      <c r="I319" s="8" t="n">
        <f aca="false">IF(EXACT(G319,H319),1,0)</f>
        <v>1</v>
      </c>
      <c r="J319" s="8" t="n">
        <v>2</v>
      </c>
      <c r="K319" s="8" t="s">
        <v>92</v>
      </c>
      <c r="L319" s="8" t="n">
        <v>0</v>
      </c>
      <c r="M319" s="8" t="n">
        <v>3</v>
      </c>
      <c r="N319" s="8" t="s">
        <v>1784</v>
      </c>
      <c r="O319" s="8" t="n">
        <v>2</v>
      </c>
      <c r="P319" s="10" t="n">
        <v>45.47</v>
      </c>
      <c r="Q319" s="8" t="n">
        <v>9615</v>
      </c>
      <c r="R319" s="8" t="n">
        <v>1399</v>
      </c>
      <c r="S319" s="8" t="s">
        <v>110</v>
      </c>
      <c r="T319" s="8" t="s">
        <v>111</v>
      </c>
      <c r="U319" s="8" t="s">
        <v>112</v>
      </c>
      <c r="V319" s="8"/>
      <c r="W319" s="8" t="s">
        <v>113</v>
      </c>
      <c r="X319" s="8" t="s">
        <v>469</v>
      </c>
      <c r="Y319" s="8" t="s">
        <v>1855</v>
      </c>
      <c r="Z319" s="8"/>
    </row>
    <row r="320" customFormat="false" ht="15" hidden="false" customHeight="false" outlineLevel="0" collapsed="false">
      <c r="A320" s="8" t="s">
        <v>115</v>
      </c>
      <c r="B320" s="8" t="s">
        <v>17</v>
      </c>
      <c r="C320" s="8" t="s">
        <v>18</v>
      </c>
      <c r="D320" s="8" t="s">
        <v>615</v>
      </c>
      <c r="E320" s="8" t="s">
        <v>38</v>
      </c>
      <c r="F320" s="8" t="s">
        <v>49</v>
      </c>
      <c r="G320" s="8" t="s">
        <v>31</v>
      </c>
      <c r="H320" s="8" t="s">
        <v>31</v>
      </c>
      <c r="I320" s="8" t="n">
        <f aca="false">IF(EXACT(G320,H320),1,0)</f>
        <v>1</v>
      </c>
      <c r="J320" s="8" t="n">
        <v>0</v>
      </c>
      <c r="K320" s="8" t="s">
        <v>116</v>
      </c>
      <c r="L320" s="8" t="n">
        <v>1</v>
      </c>
      <c r="M320" s="8" t="n">
        <v>3</v>
      </c>
      <c r="N320" s="8" t="s">
        <v>1784</v>
      </c>
      <c r="O320" s="8" t="n">
        <v>2</v>
      </c>
      <c r="P320" s="10" t="n">
        <v>29.84</v>
      </c>
      <c r="Q320" s="8" t="n">
        <v>8857</v>
      </c>
      <c r="R320" s="8" t="n">
        <v>1281</v>
      </c>
      <c r="S320" s="8" t="s">
        <v>117</v>
      </c>
      <c r="T320" s="8" t="s">
        <v>111</v>
      </c>
      <c r="U320" s="8" t="s">
        <v>112</v>
      </c>
      <c r="V320" s="8"/>
      <c r="W320" s="8" t="s">
        <v>118</v>
      </c>
      <c r="X320" s="8" t="s">
        <v>470</v>
      </c>
      <c r="Y320" s="8" t="s">
        <v>1856</v>
      </c>
      <c r="Z320" s="8" t="s">
        <v>1857</v>
      </c>
    </row>
    <row r="321" customFormat="false" ht="15" hidden="false" customHeight="false" outlineLevel="0" collapsed="false">
      <c r="A321" s="8" t="s">
        <v>115</v>
      </c>
      <c r="B321" s="8" t="s">
        <v>17</v>
      </c>
      <c r="C321" s="8" t="s">
        <v>18</v>
      </c>
      <c r="D321" s="8" t="s">
        <v>615</v>
      </c>
      <c r="E321" s="8" t="s">
        <v>38</v>
      </c>
      <c r="F321" s="8" t="s">
        <v>49</v>
      </c>
      <c r="G321" s="8" t="s">
        <v>31</v>
      </c>
      <c r="H321" s="8" t="s">
        <v>31</v>
      </c>
      <c r="I321" s="8" t="n">
        <f aca="false">IF(EXACT(G321,H321),1,0)</f>
        <v>1</v>
      </c>
      <c r="J321" s="8" t="n">
        <v>1</v>
      </c>
      <c r="K321" s="8" t="s">
        <v>116</v>
      </c>
      <c r="L321" s="8" t="n">
        <v>1</v>
      </c>
      <c r="M321" s="8" t="n">
        <v>3</v>
      </c>
      <c r="N321" s="8" t="s">
        <v>1784</v>
      </c>
      <c r="O321" s="8" t="n">
        <v>2</v>
      </c>
      <c r="P321" s="10" t="n">
        <v>33.06</v>
      </c>
      <c r="Q321" s="8" t="n">
        <v>8853</v>
      </c>
      <c r="R321" s="8" t="n">
        <v>1516</v>
      </c>
      <c r="S321" s="8" t="s">
        <v>117</v>
      </c>
      <c r="T321" s="8" t="s">
        <v>111</v>
      </c>
      <c r="U321" s="8" t="s">
        <v>112</v>
      </c>
      <c r="V321" s="8"/>
      <c r="W321" s="8" t="s">
        <v>118</v>
      </c>
      <c r="X321" s="8" t="s">
        <v>470</v>
      </c>
      <c r="Y321" s="8" t="s">
        <v>1858</v>
      </c>
      <c r="Z321" s="8" t="s">
        <v>1859</v>
      </c>
    </row>
    <row r="322" customFormat="false" ht="15" hidden="false" customHeight="false" outlineLevel="0" collapsed="false">
      <c r="A322" s="8" t="s">
        <v>115</v>
      </c>
      <c r="B322" s="8" t="s">
        <v>17</v>
      </c>
      <c r="C322" s="8" t="s">
        <v>18</v>
      </c>
      <c r="D322" s="8" t="s">
        <v>615</v>
      </c>
      <c r="E322" s="8" t="s">
        <v>38</v>
      </c>
      <c r="F322" s="8" t="s">
        <v>49</v>
      </c>
      <c r="G322" s="8" t="s">
        <v>31</v>
      </c>
      <c r="H322" s="8" t="s">
        <v>31</v>
      </c>
      <c r="I322" s="8" t="n">
        <f aca="false">IF(EXACT(G322,H322),1,0)</f>
        <v>1</v>
      </c>
      <c r="J322" s="8" t="n">
        <v>2</v>
      </c>
      <c r="K322" s="8" t="s">
        <v>116</v>
      </c>
      <c r="L322" s="8" t="n">
        <v>1</v>
      </c>
      <c r="M322" s="8" t="n">
        <v>3</v>
      </c>
      <c r="N322" s="8" t="s">
        <v>1784</v>
      </c>
      <c r="O322" s="8" t="n">
        <v>2</v>
      </c>
      <c r="P322" s="10" t="n">
        <v>29.49</v>
      </c>
      <c r="Q322" s="8" t="n">
        <v>8856</v>
      </c>
      <c r="R322" s="8" t="n">
        <v>1255</v>
      </c>
      <c r="S322" s="8" t="s">
        <v>117</v>
      </c>
      <c r="T322" s="8" t="s">
        <v>111</v>
      </c>
      <c r="U322" s="8" t="s">
        <v>112</v>
      </c>
      <c r="V322" s="8"/>
      <c r="W322" s="8" t="s">
        <v>118</v>
      </c>
      <c r="X322" s="8" t="s">
        <v>470</v>
      </c>
      <c r="Y322" s="8" t="s">
        <v>1860</v>
      </c>
      <c r="Z322" s="8" t="s">
        <v>1861</v>
      </c>
    </row>
    <row r="323" customFormat="false" ht="15" hidden="false" customHeight="false" outlineLevel="0" collapsed="false">
      <c r="A323" s="8" t="s">
        <v>121</v>
      </c>
      <c r="B323" s="8" t="s">
        <v>17</v>
      </c>
      <c r="C323" s="8" t="s">
        <v>18</v>
      </c>
      <c r="D323" s="8" t="s">
        <v>615</v>
      </c>
      <c r="E323" s="8" t="s">
        <v>38</v>
      </c>
      <c r="F323" s="8" t="s">
        <v>49</v>
      </c>
      <c r="G323" s="8" t="s">
        <v>31</v>
      </c>
      <c r="H323" s="8" t="s">
        <v>31</v>
      </c>
      <c r="I323" s="8" t="n">
        <f aca="false">IF(EXACT(G323,H323),1,0)</f>
        <v>1</v>
      </c>
      <c r="J323" s="8" t="n">
        <v>0</v>
      </c>
      <c r="K323" s="8" t="s">
        <v>116</v>
      </c>
      <c r="L323" s="8" t="n">
        <v>1</v>
      </c>
      <c r="M323" s="8" t="n">
        <v>3</v>
      </c>
      <c r="N323" s="8" t="s">
        <v>1784</v>
      </c>
      <c r="O323" s="8" t="n">
        <v>2</v>
      </c>
      <c r="P323" s="10" t="n">
        <v>28.65</v>
      </c>
      <c r="Q323" s="8" t="n">
        <v>7768</v>
      </c>
      <c r="R323" s="8" t="n">
        <v>988</v>
      </c>
      <c r="S323" s="8" t="s">
        <v>117</v>
      </c>
      <c r="T323" s="8" t="s">
        <v>95</v>
      </c>
      <c r="U323" s="8" t="s">
        <v>96</v>
      </c>
      <c r="V323" s="8"/>
      <c r="W323" s="8" t="s">
        <v>122</v>
      </c>
      <c r="X323" s="8" t="s">
        <v>471</v>
      </c>
      <c r="Y323" s="8" t="s">
        <v>1862</v>
      </c>
      <c r="Z323" s="8" t="s">
        <v>1863</v>
      </c>
    </row>
    <row r="324" customFormat="false" ht="15" hidden="false" customHeight="false" outlineLevel="0" collapsed="false">
      <c r="A324" s="8" t="s">
        <v>121</v>
      </c>
      <c r="B324" s="8" t="s">
        <v>17</v>
      </c>
      <c r="C324" s="8" t="s">
        <v>18</v>
      </c>
      <c r="D324" s="8" t="s">
        <v>615</v>
      </c>
      <c r="E324" s="8" t="s">
        <v>38</v>
      </c>
      <c r="F324" s="8" t="s">
        <v>49</v>
      </c>
      <c r="G324" s="8" t="s">
        <v>31</v>
      </c>
      <c r="H324" s="8" t="s">
        <v>31</v>
      </c>
      <c r="I324" s="8" t="n">
        <f aca="false">IF(EXACT(G324,H324),1,0)</f>
        <v>1</v>
      </c>
      <c r="J324" s="8" t="n">
        <v>1</v>
      </c>
      <c r="K324" s="8" t="s">
        <v>140</v>
      </c>
      <c r="L324" s="8" t="n">
        <v>3</v>
      </c>
      <c r="M324" s="8" t="n">
        <v>3</v>
      </c>
      <c r="N324" s="8" t="s">
        <v>1784</v>
      </c>
      <c r="O324" s="8" t="n">
        <v>2</v>
      </c>
      <c r="P324" s="10" t="n">
        <v>35.14</v>
      </c>
      <c r="Q324" s="8" t="n">
        <v>7767</v>
      </c>
      <c r="R324" s="8" t="n">
        <v>1351</v>
      </c>
      <c r="S324" s="8" t="s">
        <v>117</v>
      </c>
      <c r="T324" s="8" t="s">
        <v>95</v>
      </c>
      <c r="U324" s="8" t="s">
        <v>96</v>
      </c>
      <c r="V324" s="8"/>
      <c r="W324" s="8" t="s">
        <v>122</v>
      </c>
      <c r="X324" s="8" t="s">
        <v>471</v>
      </c>
      <c r="Y324" s="8" t="s">
        <v>1864</v>
      </c>
      <c r="Z324" s="8" t="s">
        <v>1865</v>
      </c>
    </row>
    <row r="325" customFormat="false" ht="15" hidden="false" customHeight="false" outlineLevel="0" collapsed="false">
      <c r="A325" s="8" t="s">
        <v>121</v>
      </c>
      <c r="B325" s="8" t="s">
        <v>17</v>
      </c>
      <c r="C325" s="8" t="s">
        <v>18</v>
      </c>
      <c r="D325" s="8" t="s">
        <v>615</v>
      </c>
      <c r="E325" s="8" t="s">
        <v>38</v>
      </c>
      <c r="F325" s="8" t="s">
        <v>49</v>
      </c>
      <c r="G325" s="8" t="s">
        <v>31</v>
      </c>
      <c r="H325" s="8" t="s">
        <v>31</v>
      </c>
      <c r="I325" s="8" t="n">
        <f aca="false">IF(EXACT(G325,H325),1,0)</f>
        <v>1</v>
      </c>
      <c r="J325" s="8" t="n">
        <v>2</v>
      </c>
      <c r="K325" s="8" t="s">
        <v>116</v>
      </c>
      <c r="L325" s="8" t="n">
        <v>2</v>
      </c>
      <c r="M325" s="8" t="n">
        <v>3</v>
      </c>
      <c r="N325" s="8" t="s">
        <v>1784</v>
      </c>
      <c r="O325" s="8" t="n">
        <v>2</v>
      </c>
      <c r="P325" s="10" t="n">
        <v>30.6</v>
      </c>
      <c r="Q325" s="8" t="n">
        <v>7768</v>
      </c>
      <c r="R325" s="8" t="n">
        <v>922</v>
      </c>
      <c r="S325" s="8" t="s">
        <v>117</v>
      </c>
      <c r="T325" s="8" t="s">
        <v>95</v>
      </c>
      <c r="U325" s="8" t="s">
        <v>96</v>
      </c>
      <c r="V325" s="8"/>
      <c r="W325" s="8" t="s">
        <v>122</v>
      </c>
      <c r="X325" s="8" t="s">
        <v>471</v>
      </c>
      <c r="Y325" s="8" t="s">
        <v>1866</v>
      </c>
      <c r="Z325" s="8" t="s">
        <v>1867</v>
      </c>
    </row>
    <row r="326" customFormat="false" ht="15" hidden="false" customHeight="false" outlineLevel="0" collapsed="false">
      <c r="A326" s="8" t="s">
        <v>472</v>
      </c>
      <c r="B326" s="8" t="s">
        <v>17</v>
      </c>
      <c r="C326" s="8" t="s">
        <v>18</v>
      </c>
      <c r="D326" s="8" t="s">
        <v>615</v>
      </c>
      <c r="E326" s="8" t="s">
        <v>38</v>
      </c>
      <c r="F326" s="8" t="s">
        <v>52</v>
      </c>
      <c r="G326" s="8" t="s">
        <v>30</v>
      </c>
      <c r="H326" s="8" t="s">
        <v>31</v>
      </c>
      <c r="I326" s="8" t="n">
        <f aca="false">IF(EXACT(G326,H326),1,0)</f>
        <v>0</v>
      </c>
      <c r="J326" s="8" t="n">
        <v>0</v>
      </c>
      <c r="K326" s="8" t="s">
        <v>116</v>
      </c>
      <c r="L326" s="8" t="n">
        <v>2</v>
      </c>
      <c r="M326" s="8" t="n">
        <v>3</v>
      </c>
      <c r="N326" s="8" t="s">
        <v>1784</v>
      </c>
      <c r="O326" s="8" t="n">
        <v>2</v>
      </c>
      <c r="P326" s="10" t="n">
        <v>64.83</v>
      </c>
      <c r="Q326" s="8" t="n">
        <v>14390</v>
      </c>
      <c r="R326" s="8" t="n">
        <v>2598</v>
      </c>
      <c r="S326" s="8" t="s">
        <v>473</v>
      </c>
      <c r="T326" s="8" t="s">
        <v>474</v>
      </c>
      <c r="U326" s="8" t="s">
        <v>475</v>
      </c>
      <c r="V326" s="8"/>
      <c r="W326" s="8" t="s">
        <v>476</v>
      </c>
      <c r="X326" s="8" t="s">
        <v>477</v>
      </c>
      <c r="Y326" s="8" t="s">
        <v>1868</v>
      </c>
      <c r="Z326" s="8" t="s">
        <v>1869</v>
      </c>
    </row>
    <row r="327" customFormat="false" ht="15" hidden="false" customHeight="false" outlineLevel="0" collapsed="false">
      <c r="A327" s="8" t="s">
        <v>472</v>
      </c>
      <c r="B327" s="8" t="s">
        <v>17</v>
      </c>
      <c r="C327" s="8" t="s">
        <v>18</v>
      </c>
      <c r="D327" s="8" t="s">
        <v>615</v>
      </c>
      <c r="E327" s="8" t="s">
        <v>38</v>
      </c>
      <c r="F327" s="8" t="s">
        <v>52</v>
      </c>
      <c r="G327" s="8" t="s">
        <v>30</v>
      </c>
      <c r="H327" s="8" t="s">
        <v>31</v>
      </c>
      <c r="I327" s="8" t="n">
        <f aca="false">IF(EXACT(G327,H327),1,0)</f>
        <v>0</v>
      </c>
      <c r="J327" s="8" t="n">
        <v>1</v>
      </c>
      <c r="K327" s="8" t="s">
        <v>116</v>
      </c>
      <c r="L327" s="8" t="n">
        <v>2</v>
      </c>
      <c r="M327" s="8" t="n">
        <v>3</v>
      </c>
      <c r="N327" s="8" t="s">
        <v>1784</v>
      </c>
      <c r="O327" s="8" t="n">
        <v>2</v>
      </c>
      <c r="P327" s="10" t="n">
        <v>68.91</v>
      </c>
      <c r="Q327" s="8" t="n">
        <v>14388</v>
      </c>
      <c r="R327" s="8" t="n">
        <v>2675</v>
      </c>
      <c r="S327" s="8" t="s">
        <v>473</v>
      </c>
      <c r="T327" s="8" t="s">
        <v>474</v>
      </c>
      <c r="U327" s="8" t="s">
        <v>475</v>
      </c>
      <c r="V327" s="8"/>
      <c r="W327" s="8" t="s">
        <v>476</v>
      </c>
      <c r="X327" s="8" t="s">
        <v>477</v>
      </c>
      <c r="Y327" s="8" t="s">
        <v>1870</v>
      </c>
      <c r="Z327" s="8" t="s">
        <v>1871</v>
      </c>
    </row>
    <row r="328" customFormat="false" ht="15" hidden="false" customHeight="false" outlineLevel="0" collapsed="false">
      <c r="A328" s="8" t="s">
        <v>472</v>
      </c>
      <c r="B328" s="8" t="s">
        <v>17</v>
      </c>
      <c r="C328" s="8" t="s">
        <v>18</v>
      </c>
      <c r="D328" s="8" t="s">
        <v>615</v>
      </c>
      <c r="E328" s="8" t="s">
        <v>38</v>
      </c>
      <c r="F328" s="8" t="s">
        <v>52</v>
      </c>
      <c r="G328" s="8" t="s">
        <v>30</v>
      </c>
      <c r="H328" s="8" t="s">
        <v>31</v>
      </c>
      <c r="I328" s="8" t="n">
        <f aca="false">IF(EXACT(G328,H328),1,0)</f>
        <v>0</v>
      </c>
      <c r="J328" s="8" t="n">
        <v>2</v>
      </c>
      <c r="K328" s="8" t="s">
        <v>116</v>
      </c>
      <c r="L328" s="8" t="n">
        <v>2</v>
      </c>
      <c r="M328" s="8" t="n">
        <v>3</v>
      </c>
      <c r="N328" s="8" t="s">
        <v>1784</v>
      </c>
      <c r="O328" s="8" t="n">
        <v>2</v>
      </c>
      <c r="P328" s="10" t="n">
        <v>59.18</v>
      </c>
      <c r="Q328" s="8" t="n">
        <v>14387</v>
      </c>
      <c r="R328" s="8" t="n">
        <v>2634</v>
      </c>
      <c r="S328" s="8" t="s">
        <v>473</v>
      </c>
      <c r="T328" s="8" t="s">
        <v>474</v>
      </c>
      <c r="U328" s="8" t="s">
        <v>475</v>
      </c>
      <c r="V328" s="8"/>
      <c r="W328" s="8" t="s">
        <v>476</v>
      </c>
      <c r="X328" s="8" t="s">
        <v>477</v>
      </c>
      <c r="Y328" s="8" t="s">
        <v>1872</v>
      </c>
      <c r="Z328" s="8" t="s">
        <v>1873</v>
      </c>
    </row>
    <row r="329" customFormat="false" ht="15" hidden="false" customHeight="false" outlineLevel="0" collapsed="false">
      <c r="A329" s="8" t="s">
        <v>478</v>
      </c>
      <c r="B329" s="8" t="s">
        <v>17</v>
      </c>
      <c r="C329" s="8" t="s">
        <v>18</v>
      </c>
      <c r="D329" s="8" t="s">
        <v>615</v>
      </c>
      <c r="E329" s="8" t="s">
        <v>38</v>
      </c>
      <c r="F329" s="8" t="s">
        <v>52</v>
      </c>
      <c r="G329" s="8" t="s">
        <v>30</v>
      </c>
      <c r="H329" s="8" t="s">
        <v>31</v>
      </c>
      <c r="I329" s="8" t="n">
        <f aca="false">IF(EXACT(G329,H329),1,0)</f>
        <v>0</v>
      </c>
      <c r="J329" s="8" t="n">
        <v>0</v>
      </c>
      <c r="K329" s="8" t="s">
        <v>116</v>
      </c>
      <c r="L329" s="8" t="n">
        <v>3</v>
      </c>
      <c r="M329" s="8" t="n">
        <v>3</v>
      </c>
      <c r="N329" s="8" t="s">
        <v>1784</v>
      </c>
      <c r="O329" s="8" t="n">
        <v>2</v>
      </c>
      <c r="P329" s="10" t="n">
        <v>42.84</v>
      </c>
      <c r="Q329" s="8" t="n">
        <v>9914</v>
      </c>
      <c r="R329" s="8" t="n">
        <v>1521</v>
      </c>
      <c r="S329" s="8" t="s">
        <v>232</v>
      </c>
      <c r="T329" s="8" t="s">
        <v>474</v>
      </c>
      <c r="U329" s="8" t="s">
        <v>475</v>
      </c>
      <c r="V329" s="8"/>
      <c r="W329" s="8" t="s">
        <v>479</v>
      </c>
      <c r="X329" s="8" t="s">
        <v>480</v>
      </c>
      <c r="Y329" s="8" t="s">
        <v>1874</v>
      </c>
      <c r="Z329" s="8" t="s">
        <v>1875</v>
      </c>
    </row>
    <row r="330" customFormat="false" ht="15" hidden="false" customHeight="false" outlineLevel="0" collapsed="false">
      <c r="A330" s="8" t="s">
        <v>478</v>
      </c>
      <c r="B330" s="8" t="s">
        <v>17</v>
      </c>
      <c r="C330" s="8" t="s">
        <v>18</v>
      </c>
      <c r="D330" s="8" t="s">
        <v>615</v>
      </c>
      <c r="E330" s="8" t="s">
        <v>38</v>
      </c>
      <c r="F330" s="8" t="s">
        <v>52</v>
      </c>
      <c r="G330" s="8" t="s">
        <v>30</v>
      </c>
      <c r="H330" s="8" t="s">
        <v>31</v>
      </c>
      <c r="I330" s="8" t="n">
        <f aca="false">IF(EXACT(G330,H330),1,0)</f>
        <v>0</v>
      </c>
      <c r="J330" s="8" t="n">
        <v>1</v>
      </c>
      <c r="K330" s="8" t="s">
        <v>140</v>
      </c>
      <c r="L330" s="8" t="n">
        <v>3</v>
      </c>
      <c r="M330" s="8" t="n">
        <v>3</v>
      </c>
      <c r="N330" s="8" t="s">
        <v>1784</v>
      </c>
      <c r="O330" s="8" t="n">
        <v>2</v>
      </c>
      <c r="P330" s="10" t="n">
        <v>43.69</v>
      </c>
      <c r="Q330" s="8" t="n">
        <v>9915</v>
      </c>
      <c r="R330" s="8" t="n">
        <v>1770</v>
      </c>
      <c r="S330" s="8" t="s">
        <v>232</v>
      </c>
      <c r="T330" s="8" t="s">
        <v>474</v>
      </c>
      <c r="U330" s="8" t="s">
        <v>475</v>
      </c>
      <c r="V330" s="8"/>
      <c r="W330" s="8" t="s">
        <v>479</v>
      </c>
      <c r="X330" s="8" t="s">
        <v>480</v>
      </c>
      <c r="Y330" s="8" t="s">
        <v>1876</v>
      </c>
      <c r="Z330" s="8" t="s">
        <v>1877</v>
      </c>
    </row>
    <row r="331" customFormat="false" ht="15" hidden="false" customHeight="false" outlineLevel="0" collapsed="false">
      <c r="A331" s="8" t="s">
        <v>478</v>
      </c>
      <c r="B331" s="8" t="s">
        <v>17</v>
      </c>
      <c r="C331" s="8" t="s">
        <v>18</v>
      </c>
      <c r="D331" s="8" t="s">
        <v>615</v>
      </c>
      <c r="E331" s="8" t="s">
        <v>38</v>
      </c>
      <c r="F331" s="8" t="s">
        <v>52</v>
      </c>
      <c r="G331" s="8" t="s">
        <v>30</v>
      </c>
      <c r="H331" s="8" t="s">
        <v>31</v>
      </c>
      <c r="I331" s="8" t="n">
        <f aca="false">IF(EXACT(G331,H331),1,0)</f>
        <v>0</v>
      </c>
      <c r="J331" s="8" t="n">
        <v>2</v>
      </c>
      <c r="K331" s="8" t="s">
        <v>116</v>
      </c>
      <c r="L331" s="8" t="n">
        <v>3</v>
      </c>
      <c r="M331" s="8" t="n">
        <v>3</v>
      </c>
      <c r="N331" s="8" t="s">
        <v>1784</v>
      </c>
      <c r="O331" s="8" t="n">
        <v>2</v>
      </c>
      <c r="P331" s="10" t="n">
        <v>40.34</v>
      </c>
      <c r="Q331" s="8" t="n">
        <v>9916</v>
      </c>
      <c r="R331" s="8" t="n">
        <v>1600</v>
      </c>
      <c r="S331" s="8" t="s">
        <v>232</v>
      </c>
      <c r="T331" s="8" t="s">
        <v>474</v>
      </c>
      <c r="U331" s="8" t="s">
        <v>475</v>
      </c>
      <c r="V331" s="8"/>
      <c r="W331" s="8" t="s">
        <v>479</v>
      </c>
      <c r="X331" s="8" t="s">
        <v>480</v>
      </c>
      <c r="Y331" s="8" t="s">
        <v>1878</v>
      </c>
      <c r="Z331" s="8" t="s">
        <v>1879</v>
      </c>
    </row>
    <row r="332" customFormat="false" ht="15" hidden="false" customHeight="false" outlineLevel="0" collapsed="false">
      <c r="A332" s="8" t="s">
        <v>481</v>
      </c>
      <c r="B332" s="8" t="s">
        <v>17</v>
      </c>
      <c r="C332" s="8" t="s">
        <v>18</v>
      </c>
      <c r="D332" s="8" t="s">
        <v>615</v>
      </c>
      <c r="E332" s="8" t="s">
        <v>38</v>
      </c>
      <c r="F332" s="8" t="s">
        <v>52</v>
      </c>
      <c r="G332" s="8" t="s">
        <v>31</v>
      </c>
      <c r="H332" s="8" t="s">
        <v>31</v>
      </c>
      <c r="I332" s="8" t="n">
        <f aca="false">IF(EXACT(G332,H332),1,0)</f>
        <v>1</v>
      </c>
      <c r="J332" s="8" t="n">
        <v>0</v>
      </c>
      <c r="K332" s="8" t="s">
        <v>116</v>
      </c>
      <c r="L332" s="8" t="n">
        <v>2</v>
      </c>
      <c r="M332" s="8" t="n">
        <v>3</v>
      </c>
      <c r="N332" s="8" t="s">
        <v>1784</v>
      </c>
      <c r="O332" s="8" t="n">
        <v>2</v>
      </c>
      <c r="P332" s="10" t="n">
        <v>47.25</v>
      </c>
      <c r="Q332" s="8" t="n">
        <v>9199</v>
      </c>
      <c r="R332" s="8" t="n">
        <v>1371</v>
      </c>
      <c r="S332" s="8" t="s">
        <v>117</v>
      </c>
      <c r="T332" s="8" t="s">
        <v>474</v>
      </c>
      <c r="U332" s="8" t="s">
        <v>475</v>
      </c>
      <c r="V332" s="8"/>
      <c r="W332" s="8" t="s">
        <v>482</v>
      </c>
      <c r="X332" s="8" t="s">
        <v>483</v>
      </c>
      <c r="Y332" s="8" t="s">
        <v>1880</v>
      </c>
      <c r="Z332" s="8" t="s">
        <v>1881</v>
      </c>
    </row>
    <row r="333" customFormat="false" ht="15" hidden="false" customHeight="false" outlineLevel="0" collapsed="false">
      <c r="A333" s="8" t="s">
        <v>481</v>
      </c>
      <c r="B333" s="8" t="s">
        <v>17</v>
      </c>
      <c r="C333" s="8" t="s">
        <v>18</v>
      </c>
      <c r="D333" s="8" t="s">
        <v>615</v>
      </c>
      <c r="E333" s="8" t="s">
        <v>38</v>
      </c>
      <c r="F333" s="8" t="s">
        <v>52</v>
      </c>
      <c r="G333" s="8" t="s">
        <v>31</v>
      </c>
      <c r="H333" s="8" t="s">
        <v>31</v>
      </c>
      <c r="I333" s="8" t="n">
        <f aca="false">IF(EXACT(G333,H333),1,0)</f>
        <v>1</v>
      </c>
      <c r="J333" s="8" t="n">
        <v>1</v>
      </c>
      <c r="K333" s="8" t="s">
        <v>116</v>
      </c>
      <c r="L333" s="8" t="n">
        <v>2</v>
      </c>
      <c r="M333" s="8" t="n">
        <v>3</v>
      </c>
      <c r="N333" s="8" t="s">
        <v>1784</v>
      </c>
      <c r="O333" s="8" t="n">
        <v>2</v>
      </c>
      <c r="P333" s="10" t="n">
        <v>42.99</v>
      </c>
      <c r="Q333" s="8" t="n">
        <v>9200</v>
      </c>
      <c r="R333" s="8" t="n">
        <v>1431</v>
      </c>
      <c r="S333" s="8" t="s">
        <v>117</v>
      </c>
      <c r="T333" s="8" t="s">
        <v>474</v>
      </c>
      <c r="U333" s="8" t="s">
        <v>475</v>
      </c>
      <c r="V333" s="8"/>
      <c r="W333" s="8" t="s">
        <v>482</v>
      </c>
      <c r="X333" s="8" t="s">
        <v>483</v>
      </c>
      <c r="Y333" s="8" t="s">
        <v>1882</v>
      </c>
      <c r="Z333" s="8" t="s">
        <v>1883</v>
      </c>
    </row>
    <row r="334" customFormat="false" ht="15" hidden="false" customHeight="false" outlineLevel="0" collapsed="false">
      <c r="A334" s="8" t="s">
        <v>481</v>
      </c>
      <c r="B334" s="8" t="s">
        <v>17</v>
      </c>
      <c r="C334" s="8" t="s">
        <v>18</v>
      </c>
      <c r="D334" s="8" t="s">
        <v>615</v>
      </c>
      <c r="E334" s="8" t="s">
        <v>38</v>
      </c>
      <c r="F334" s="8" t="s">
        <v>52</v>
      </c>
      <c r="G334" s="8" t="s">
        <v>31</v>
      </c>
      <c r="H334" s="8" t="s">
        <v>31</v>
      </c>
      <c r="I334" s="8" t="n">
        <f aca="false">IF(EXACT(G334,H334),1,0)</f>
        <v>1</v>
      </c>
      <c r="J334" s="8" t="n">
        <v>2</v>
      </c>
      <c r="K334" s="8" t="s">
        <v>116</v>
      </c>
      <c r="L334" s="8" t="n">
        <v>2</v>
      </c>
      <c r="M334" s="8" t="n">
        <v>3</v>
      </c>
      <c r="N334" s="8" t="s">
        <v>1784</v>
      </c>
      <c r="O334" s="8" t="n">
        <v>2</v>
      </c>
      <c r="P334" s="10" t="n">
        <v>43.33</v>
      </c>
      <c r="Q334" s="8" t="n">
        <v>9198</v>
      </c>
      <c r="R334" s="8" t="n">
        <v>1441</v>
      </c>
      <c r="S334" s="8" t="s">
        <v>117</v>
      </c>
      <c r="T334" s="8" t="s">
        <v>474</v>
      </c>
      <c r="U334" s="8" t="s">
        <v>475</v>
      </c>
      <c r="V334" s="8"/>
      <c r="W334" s="8" t="s">
        <v>482</v>
      </c>
      <c r="X334" s="8" t="s">
        <v>483</v>
      </c>
      <c r="Y334" s="8" t="s">
        <v>1884</v>
      </c>
      <c r="Z334" s="8" t="s">
        <v>1885</v>
      </c>
    </row>
    <row r="335" customFormat="false" ht="15" hidden="false" customHeight="false" outlineLevel="0" collapsed="false">
      <c r="A335" s="8" t="s">
        <v>484</v>
      </c>
      <c r="B335" s="8" t="s">
        <v>17</v>
      </c>
      <c r="C335" s="8" t="s">
        <v>18</v>
      </c>
      <c r="D335" s="8" t="s">
        <v>615</v>
      </c>
      <c r="E335" s="8" t="s">
        <v>38</v>
      </c>
      <c r="F335" s="8" t="s">
        <v>52</v>
      </c>
      <c r="G335" s="8" t="s">
        <v>32</v>
      </c>
      <c r="H335" s="8" t="s">
        <v>31</v>
      </c>
      <c r="I335" s="8" t="n">
        <f aca="false">IF(EXACT(G335,H335),1,0)</f>
        <v>0</v>
      </c>
      <c r="J335" s="8" t="n">
        <v>0</v>
      </c>
      <c r="K335" s="8" t="s">
        <v>116</v>
      </c>
      <c r="L335" s="8" t="n">
        <v>1</v>
      </c>
      <c r="M335" s="8" t="n">
        <v>3</v>
      </c>
      <c r="N335" s="8" t="s">
        <v>1784</v>
      </c>
      <c r="O335" s="8" t="n">
        <v>2</v>
      </c>
      <c r="P335" s="10" t="n">
        <v>22.43</v>
      </c>
      <c r="Q335" s="8" t="n">
        <v>7595</v>
      </c>
      <c r="R335" s="8" t="n">
        <v>546</v>
      </c>
      <c r="S335" s="8" t="s">
        <v>132</v>
      </c>
      <c r="T335" s="8" t="s">
        <v>474</v>
      </c>
      <c r="U335" s="8" t="s">
        <v>475</v>
      </c>
      <c r="V335" s="8"/>
      <c r="W335" s="8" t="s">
        <v>485</v>
      </c>
      <c r="X335" s="8" t="s">
        <v>486</v>
      </c>
      <c r="Y335" s="8" t="s">
        <v>1886</v>
      </c>
      <c r="Z335" s="8" t="s">
        <v>1887</v>
      </c>
    </row>
    <row r="336" customFormat="false" ht="15" hidden="false" customHeight="false" outlineLevel="0" collapsed="false">
      <c r="A336" s="8" t="s">
        <v>484</v>
      </c>
      <c r="B336" s="8" t="s">
        <v>17</v>
      </c>
      <c r="C336" s="8" t="s">
        <v>18</v>
      </c>
      <c r="D336" s="8" t="s">
        <v>615</v>
      </c>
      <c r="E336" s="8" t="s">
        <v>38</v>
      </c>
      <c r="F336" s="8" t="s">
        <v>52</v>
      </c>
      <c r="G336" s="8" t="s">
        <v>32</v>
      </c>
      <c r="H336" s="8" t="s">
        <v>32</v>
      </c>
      <c r="I336" s="8" t="n">
        <f aca="false">IF(EXACT(G336,H336),1,0)</f>
        <v>1</v>
      </c>
      <c r="J336" s="8" t="n">
        <v>1</v>
      </c>
      <c r="K336" s="8" t="s">
        <v>92</v>
      </c>
      <c r="L336" s="8" t="n">
        <v>0</v>
      </c>
      <c r="M336" s="8" t="n">
        <v>3</v>
      </c>
      <c r="N336" s="8" t="s">
        <v>1784</v>
      </c>
      <c r="O336" s="8" t="n">
        <v>2</v>
      </c>
      <c r="P336" s="10" t="n">
        <v>30.62</v>
      </c>
      <c r="Q336" s="8" t="n">
        <v>7594</v>
      </c>
      <c r="R336" s="8" t="n">
        <v>593</v>
      </c>
      <c r="S336" s="8" t="s">
        <v>132</v>
      </c>
      <c r="T336" s="8" t="s">
        <v>474</v>
      </c>
      <c r="U336" s="8" t="s">
        <v>475</v>
      </c>
      <c r="V336" s="8"/>
      <c r="W336" s="8" t="s">
        <v>485</v>
      </c>
      <c r="X336" s="8" t="s">
        <v>486</v>
      </c>
      <c r="Y336" s="8" t="s">
        <v>1888</v>
      </c>
      <c r="Z336" s="8"/>
    </row>
    <row r="337" customFormat="false" ht="15" hidden="false" customHeight="false" outlineLevel="0" collapsed="false">
      <c r="A337" s="8" t="s">
        <v>484</v>
      </c>
      <c r="B337" s="8" t="s">
        <v>17</v>
      </c>
      <c r="C337" s="8" t="s">
        <v>18</v>
      </c>
      <c r="D337" s="8" t="s">
        <v>615</v>
      </c>
      <c r="E337" s="8" t="s">
        <v>38</v>
      </c>
      <c r="F337" s="8" t="s">
        <v>52</v>
      </c>
      <c r="G337" s="8" t="s">
        <v>32</v>
      </c>
      <c r="H337" s="8" t="s">
        <v>32</v>
      </c>
      <c r="I337" s="8" t="n">
        <f aca="false">IF(EXACT(G337,H337),1,0)</f>
        <v>1</v>
      </c>
      <c r="J337" s="8" t="n">
        <v>2</v>
      </c>
      <c r="K337" s="8" t="s">
        <v>92</v>
      </c>
      <c r="L337" s="8" t="n">
        <v>0</v>
      </c>
      <c r="M337" s="8" t="n">
        <v>3</v>
      </c>
      <c r="N337" s="8" t="s">
        <v>1784</v>
      </c>
      <c r="O337" s="8" t="n">
        <v>2</v>
      </c>
      <c r="P337" s="10" t="n">
        <v>30.71</v>
      </c>
      <c r="Q337" s="8" t="n">
        <v>7594</v>
      </c>
      <c r="R337" s="8" t="n">
        <v>546</v>
      </c>
      <c r="S337" s="8" t="s">
        <v>132</v>
      </c>
      <c r="T337" s="8" t="s">
        <v>474</v>
      </c>
      <c r="U337" s="8" t="s">
        <v>475</v>
      </c>
      <c r="V337" s="8"/>
      <c r="W337" s="8" t="s">
        <v>485</v>
      </c>
      <c r="X337" s="8" t="s">
        <v>486</v>
      </c>
      <c r="Y337" s="8" t="s">
        <v>1889</v>
      </c>
      <c r="Z337" s="8"/>
    </row>
    <row r="338" customFormat="false" ht="15" hidden="false" customHeight="false" outlineLevel="0" collapsed="false">
      <c r="A338" s="8" t="s">
        <v>487</v>
      </c>
      <c r="B338" s="8" t="s">
        <v>17</v>
      </c>
      <c r="C338" s="8" t="s">
        <v>18</v>
      </c>
      <c r="D338" s="8" t="s">
        <v>615</v>
      </c>
      <c r="E338" s="8" t="s">
        <v>38</v>
      </c>
      <c r="F338" s="8" t="s">
        <v>52</v>
      </c>
      <c r="G338" s="8" t="s">
        <v>31</v>
      </c>
      <c r="H338" s="8" t="s">
        <v>31</v>
      </c>
      <c r="I338" s="8" t="n">
        <f aca="false">IF(EXACT(G338,H338),1,0)</f>
        <v>1</v>
      </c>
      <c r="J338" s="8" t="n">
        <v>0</v>
      </c>
      <c r="K338" s="8" t="s">
        <v>116</v>
      </c>
      <c r="L338" s="8" t="n">
        <v>3</v>
      </c>
      <c r="M338" s="8" t="n">
        <v>3</v>
      </c>
      <c r="N338" s="8" t="s">
        <v>1784</v>
      </c>
      <c r="O338" s="8" t="n">
        <v>2</v>
      </c>
      <c r="P338" s="10" t="n">
        <v>59.8</v>
      </c>
      <c r="Q338" s="8" t="n">
        <v>11597</v>
      </c>
      <c r="R338" s="8" t="n">
        <v>1679</v>
      </c>
      <c r="S338" s="8" t="s">
        <v>488</v>
      </c>
      <c r="T338" s="8"/>
      <c r="U338" s="8"/>
      <c r="V338" s="8" t="s">
        <v>155</v>
      </c>
      <c r="W338" s="8"/>
      <c r="X338" s="8" t="s">
        <v>489</v>
      </c>
      <c r="Y338" s="8" t="s">
        <v>1890</v>
      </c>
      <c r="Z338" s="8" t="s">
        <v>1891</v>
      </c>
    </row>
    <row r="339" customFormat="false" ht="15" hidden="false" customHeight="false" outlineLevel="0" collapsed="false">
      <c r="A339" s="8" t="s">
        <v>487</v>
      </c>
      <c r="B339" s="8" t="s">
        <v>17</v>
      </c>
      <c r="C339" s="8" t="s">
        <v>18</v>
      </c>
      <c r="D339" s="8" t="s">
        <v>615</v>
      </c>
      <c r="E339" s="8" t="s">
        <v>38</v>
      </c>
      <c r="F339" s="8" t="s">
        <v>52</v>
      </c>
      <c r="G339" s="8" t="s">
        <v>31</v>
      </c>
      <c r="H339" s="8" t="s">
        <v>31</v>
      </c>
      <c r="I339" s="8" t="n">
        <f aca="false">IF(EXACT(G339,H339),1,0)</f>
        <v>1</v>
      </c>
      <c r="J339" s="8" t="n">
        <v>1</v>
      </c>
      <c r="K339" s="8" t="s">
        <v>116</v>
      </c>
      <c r="L339" s="8" t="n">
        <v>2</v>
      </c>
      <c r="M339" s="8" t="n">
        <v>3</v>
      </c>
      <c r="N339" s="8" t="s">
        <v>1784</v>
      </c>
      <c r="O339" s="8" t="n">
        <v>2</v>
      </c>
      <c r="P339" s="10" t="n">
        <v>55.97</v>
      </c>
      <c r="Q339" s="8" t="n">
        <v>11597</v>
      </c>
      <c r="R339" s="8" t="n">
        <v>1665</v>
      </c>
      <c r="S339" s="8" t="s">
        <v>488</v>
      </c>
      <c r="T339" s="8"/>
      <c r="U339" s="8"/>
      <c r="V339" s="8" t="s">
        <v>155</v>
      </c>
      <c r="W339" s="8"/>
      <c r="X339" s="8" t="s">
        <v>489</v>
      </c>
      <c r="Y339" s="8" t="s">
        <v>1892</v>
      </c>
      <c r="Z339" s="8" t="s">
        <v>1893</v>
      </c>
    </row>
    <row r="340" customFormat="false" ht="15" hidden="false" customHeight="false" outlineLevel="0" collapsed="false">
      <c r="A340" s="8" t="s">
        <v>487</v>
      </c>
      <c r="B340" s="8" t="s">
        <v>17</v>
      </c>
      <c r="C340" s="8" t="s">
        <v>18</v>
      </c>
      <c r="D340" s="8" t="s">
        <v>615</v>
      </c>
      <c r="E340" s="8" t="s">
        <v>38</v>
      </c>
      <c r="F340" s="8" t="s">
        <v>52</v>
      </c>
      <c r="G340" s="8" t="s">
        <v>31</v>
      </c>
      <c r="H340" s="8" t="s">
        <v>31</v>
      </c>
      <c r="I340" s="8" t="n">
        <f aca="false">IF(EXACT(G340,H340),1,0)</f>
        <v>1</v>
      </c>
      <c r="J340" s="8" t="n">
        <v>2</v>
      </c>
      <c r="K340" s="8" t="s">
        <v>116</v>
      </c>
      <c r="L340" s="8" t="n">
        <v>2</v>
      </c>
      <c r="M340" s="8" t="n">
        <v>3</v>
      </c>
      <c r="N340" s="8" t="s">
        <v>1784</v>
      </c>
      <c r="O340" s="8" t="n">
        <v>2</v>
      </c>
      <c r="P340" s="10" t="n">
        <v>54.87</v>
      </c>
      <c r="Q340" s="8" t="n">
        <v>11597</v>
      </c>
      <c r="R340" s="8" t="n">
        <v>1695</v>
      </c>
      <c r="S340" s="8" t="s">
        <v>488</v>
      </c>
      <c r="T340" s="8"/>
      <c r="U340" s="8"/>
      <c r="V340" s="8" t="s">
        <v>155</v>
      </c>
      <c r="W340" s="8"/>
      <c r="X340" s="8" t="s">
        <v>489</v>
      </c>
      <c r="Y340" s="8" t="s">
        <v>1894</v>
      </c>
      <c r="Z340" s="8" t="s">
        <v>1895</v>
      </c>
    </row>
    <row r="341" customFormat="false" ht="15" hidden="false" customHeight="false" outlineLevel="0" collapsed="false">
      <c r="A341" s="8" t="s">
        <v>490</v>
      </c>
      <c r="B341" s="8" t="s">
        <v>17</v>
      </c>
      <c r="C341" s="8" t="s">
        <v>18</v>
      </c>
      <c r="D341" s="8" t="s">
        <v>615</v>
      </c>
      <c r="E341" s="8" t="s">
        <v>38</v>
      </c>
      <c r="F341" s="8" t="s">
        <v>52</v>
      </c>
      <c r="G341" s="8" t="s">
        <v>32</v>
      </c>
      <c r="H341" s="8" t="s">
        <v>32</v>
      </c>
      <c r="I341" s="8" t="n">
        <f aca="false">IF(EXACT(G341,H341),1,0)</f>
        <v>1</v>
      </c>
      <c r="J341" s="8" t="n">
        <v>0</v>
      </c>
      <c r="K341" s="8" t="s">
        <v>92</v>
      </c>
      <c r="L341" s="8" t="n">
        <v>0</v>
      </c>
      <c r="M341" s="8" t="n">
        <v>3</v>
      </c>
      <c r="N341" s="8" t="s">
        <v>1784</v>
      </c>
      <c r="O341" s="8" t="n">
        <v>2</v>
      </c>
      <c r="P341" s="10" t="n">
        <v>38.7</v>
      </c>
      <c r="Q341" s="8" t="n">
        <v>8029</v>
      </c>
      <c r="R341" s="8" t="n">
        <v>966</v>
      </c>
      <c r="S341" s="8" t="s">
        <v>491</v>
      </c>
      <c r="T341" s="8"/>
      <c r="U341" s="8"/>
      <c r="V341" s="8" t="s">
        <v>155</v>
      </c>
      <c r="W341" s="8"/>
      <c r="X341" s="8" t="s">
        <v>492</v>
      </c>
      <c r="Y341" s="8" t="s">
        <v>1896</v>
      </c>
      <c r="Z341" s="8"/>
    </row>
    <row r="342" customFormat="false" ht="15" hidden="false" customHeight="false" outlineLevel="0" collapsed="false">
      <c r="A342" s="8" t="s">
        <v>490</v>
      </c>
      <c r="B342" s="8" t="s">
        <v>17</v>
      </c>
      <c r="C342" s="8" t="s">
        <v>18</v>
      </c>
      <c r="D342" s="8" t="s">
        <v>615</v>
      </c>
      <c r="E342" s="8" t="s">
        <v>38</v>
      </c>
      <c r="F342" s="8" t="s">
        <v>52</v>
      </c>
      <c r="G342" s="8" t="s">
        <v>32</v>
      </c>
      <c r="H342" s="8" t="s">
        <v>30</v>
      </c>
      <c r="I342" s="8" t="n">
        <f aca="false">IF(EXACT(G342,H342),1,0)</f>
        <v>0</v>
      </c>
      <c r="J342" s="8" t="n">
        <v>1</v>
      </c>
      <c r="K342" s="8" t="s">
        <v>92</v>
      </c>
      <c r="L342" s="8" t="n">
        <v>0</v>
      </c>
      <c r="M342" s="8" t="n">
        <v>3</v>
      </c>
      <c r="N342" s="8" t="s">
        <v>1784</v>
      </c>
      <c r="O342" s="8" t="n">
        <v>2</v>
      </c>
      <c r="P342" s="10" t="n">
        <v>34.92</v>
      </c>
      <c r="Q342" s="8" t="n">
        <v>7978</v>
      </c>
      <c r="R342" s="8" t="n">
        <v>893</v>
      </c>
      <c r="S342" s="8" t="s">
        <v>491</v>
      </c>
      <c r="T342" s="8"/>
      <c r="U342" s="8"/>
      <c r="V342" s="8" t="s">
        <v>155</v>
      </c>
      <c r="W342" s="8"/>
      <c r="X342" s="8" t="s">
        <v>492</v>
      </c>
      <c r="Y342" s="8" t="s">
        <v>1897</v>
      </c>
      <c r="Z342" s="8"/>
    </row>
    <row r="343" customFormat="false" ht="15" hidden="false" customHeight="false" outlineLevel="0" collapsed="false">
      <c r="A343" s="8" t="s">
        <v>490</v>
      </c>
      <c r="B343" s="8" t="s">
        <v>17</v>
      </c>
      <c r="C343" s="8" t="s">
        <v>18</v>
      </c>
      <c r="D343" s="8" t="s">
        <v>615</v>
      </c>
      <c r="E343" s="8" t="s">
        <v>38</v>
      </c>
      <c r="F343" s="8" t="s">
        <v>52</v>
      </c>
      <c r="G343" s="8" t="s">
        <v>32</v>
      </c>
      <c r="H343" s="8" t="s">
        <v>30</v>
      </c>
      <c r="I343" s="8" t="n">
        <f aca="false">IF(EXACT(G343,H343),1,0)</f>
        <v>0</v>
      </c>
      <c r="J343" s="8" t="n">
        <v>2</v>
      </c>
      <c r="K343" s="8" t="s">
        <v>92</v>
      </c>
      <c r="L343" s="8" t="n">
        <v>0</v>
      </c>
      <c r="M343" s="8" t="n">
        <v>3</v>
      </c>
      <c r="N343" s="8" t="s">
        <v>1784</v>
      </c>
      <c r="O343" s="8" t="n">
        <v>2</v>
      </c>
      <c r="P343" s="10" t="n">
        <v>34.81</v>
      </c>
      <c r="Q343" s="8" t="n">
        <v>7978</v>
      </c>
      <c r="R343" s="8" t="n">
        <v>888</v>
      </c>
      <c r="S343" s="8" t="s">
        <v>491</v>
      </c>
      <c r="T343" s="8"/>
      <c r="U343" s="8"/>
      <c r="V343" s="8" t="s">
        <v>155</v>
      </c>
      <c r="W343" s="8"/>
      <c r="X343" s="8" t="s">
        <v>492</v>
      </c>
      <c r="Y343" s="8" t="s">
        <v>1898</v>
      </c>
      <c r="Z343" s="8"/>
    </row>
    <row r="344" customFormat="false" ht="15" hidden="false" customHeight="false" outlineLevel="0" collapsed="false">
      <c r="A344" s="8" t="s">
        <v>493</v>
      </c>
      <c r="B344" s="8" t="s">
        <v>17</v>
      </c>
      <c r="C344" s="8" t="s">
        <v>18</v>
      </c>
      <c r="D344" s="8" t="s">
        <v>615</v>
      </c>
      <c r="E344" s="8" t="s">
        <v>38</v>
      </c>
      <c r="F344" s="8" t="s">
        <v>63</v>
      </c>
      <c r="G344" s="8" t="s">
        <v>31</v>
      </c>
      <c r="H344" s="8" t="s">
        <v>31</v>
      </c>
      <c r="I344" s="8" t="n">
        <f aca="false">IF(EXACT(G344,H344),1,0)</f>
        <v>1</v>
      </c>
      <c r="J344" s="8" t="n">
        <v>0</v>
      </c>
      <c r="K344" s="8" t="s">
        <v>140</v>
      </c>
      <c r="L344" s="8" t="n">
        <v>2</v>
      </c>
      <c r="M344" s="8" t="n">
        <v>3</v>
      </c>
      <c r="N344" s="8" t="s">
        <v>1784</v>
      </c>
      <c r="O344" s="8" t="n">
        <v>2</v>
      </c>
      <c r="P344" s="10" t="n">
        <v>27.13</v>
      </c>
      <c r="Q344" s="8" t="n">
        <v>8431</v>
      </c>
      <c r="R344" s="8" t="n">
        <v>844</v>
      </c>
      <c r="S344" s="8" t="s">
        <v>117</v>
      </c>
      <c r="T344" s="8" t="s">
        <v>494</v>
      </c>
      <c r="U344" s="8" t="s">
        <v>495</v>
      </c>
      <c r="V344" s="8"/>
      <c r="W344" s="8" t="s">
        <v>496</v>
      </c>
      <c r="X344" s="8" t="s">
        <v>497</v>
      </c>
      <c r="Y344" s="8" t="s">
        <v>1899</v>
      </c>
      <c r="Z344" s="8" t="s">
        <v>1900</v>
      </c>
    </row>
    <row r="345" customFormat="false" ht="15" hidden="false" customHeight="false" outlineLevel="0" collapsed="false">
      <c r="A345" s="8" t="s">
        <v>493</v>
      </c>
      <c r="B345" s="8" t="s">
        <v>17</v>
      </c>
      <c r="C345" s="8" t="s">
        <v>18</v>
      </c>
      <c r="D345" s="8" t="s">
        <v>615</v>
      </c>
      <c r="E345" s="8" t="s">
        <v>38</v>
      </c>
      <c r="F345" s="8" t="s">
        <v>63</v>
      </c>
      <c r="G345" s="8" t="s">
        <v>31</v>
      </c>
      <c r="H345" s="8" t="s">
        <v>31</v>
      </c>
      <c r="I345" s="8" t="n">
        <f aca="false">IF(EXACT(G345,H345),1,0)</f>
        <v>1</v>
      </c>
      <c r="J345" s="8" t="n">
        <v>1</v>
      </c>
      <c r="K345" s="8" t="s">
        <v>140</v>
      </c>
      <c r="L345" s="8" t="n">
        <v>2</v>
      </c>
      <c r="M345" s="8" t="n">
        <v>3</v>
      </c>
      <c r="N345" s="8" t="s">
        <v>1784</v>
      </c>
      <c r="O345" s="8" t="n">
        <v>2</v>
      </c>
      <c r="P345" s="10" t="n">
        <v>27.75</v>
      </c>
      <c r="Q345" s="8" t="n">
        <v>8432</v>
      </c>
      <c r="R345" s="8" t="n">
        <v>831</v>
      </c>
      <c r="S345" s="8" t="s">
        <v>117</v>
      </c>
      <c r="T345" s="8" t="s">
        <v>494</v>
      </c>
      <c r="U345" s="8" t="s">
        <v>495</v>
      </c>
      <c r="V345" s="8"/>
      <c r="W345" s="8" t="s">
        <v>496</v>
      </c>
      <c r="X345" s="8" t="s">
        <v>497</v>
      </c>
      <c r="Y345" s="8" t="s">
        <v>1901</v>
      </c>
      <c r="Z345" s="8" t="s">
        <v>1902</v>
      </c>
    </row>
    <row r="346" customFormat="false" ht="15" hidden="false" customHeight="false" outlineLevel="0" collapsed="false">
      <c r="A346" s="8" t="s">
        <v>493</v>
      </c>
      <c r="B346" s="8" t="s">
        <v>17</v>
      </c>
      <c r="C346" s="8" t="s">
        <v>18</v>
      </c>
      <c r="D346" s="8" t="s">
        <v>615</v>
      </c>
      <c r="E346" s="8" t="s">
        <v>38</v>
      </c>
      <c r="F346" s="8" t="s">
        <v>63</v>
      </c>
      <c r="G346" s="8" t="s">
        <v>31</v>
      </c>
      <c r="H346" s="8" t="s">
        <v>31</v>
      </c>
      <c r="I346" s="8" t="n">
        <f aca="false">IF(EXACT(G346,H346),1,0)</f>
        <v>1</v>
      </c>
      <c r="J346" s="8" t="n">
        <v>2</v>
      </c>
      <c r="K346" s="8" t="s">
        <v>140</v>
      </c>
      <c r="L346" s="8" t="n">
        <v>2</v>
      </c>
      <c r="M346" s="8" t="n">
        <v>3</v>
      </c>
      <c r="N346" s="8" t="s">
        <v>1784</v>
      </c>
      <c r="O346" s="8" t="n">
        <v>2</v>
      </c>
      <c r="P346" s="10" t="n">
        <v>27.85</v>
      </c>
      <c r="Q346" s="8" t="n">
        <v>8432</v>
      </c>
      <c r="R346" s="8" t="n">
        <v>841</v>
      </c>
      <c r="S346" s="8" t="s">
        <v>117</v>
      </c>
      <c r="T346" s="8" t="s">
        <v>494</v>
      </c>
      <c r="U346" s="8" t="s">
        <v>495</v>
      </c>
      <c r="V346" s="8"/>
      <c r="W346" s="8" t="s">
        <v>496</v>
      </c>
      <c r="X346" s="8" t="s">
        <v>497</v>
      </c>
      <c r="Y346" s="8" t="s">
        <v>1903</v>
      </c>
      <c r="Z346" s="8" t="s">
        <v>1904</v>
      </c>
    </row>
    <row r="347" customFormat="false" ht="15" hidden="false" customHeight="false" outlineLevel="0" collapsed="false">
      <c r="A347" s="8" t="s">
        <v>499</v>
      </c>
      <c r="B347" s="8" t="s">
        <v>17</v>
      </c>
      <c r="C347" s="8" t="s">
        <v>18</v>
      </c>
      <c r="D347" s="8" t="s">
        <v>615</v>
      </c>
      <c r="E347" s="8" t="s">
        <v>38</v>
      </c>
      <c r="F347" s="8" t="s">
        <v>63</v>
      </c>
      <c r="G347" s="8" t="s">
        <v>30</v>
      </c>
      <c r="H347" s="8" t="s">
        <v>31</v>
      </c>
      <c r="I347" s="8" t="n">
        <f aca="false">IF(EXACT(G347,H347),1,0)</f>
        <v>0</v>
      </c>
      <c r="J347" s="8" t="n">
        <v>0</v>
      </c>
      <c r="K347" s="8" t="s">
        <v>140</v>
      </c>
      <c r="L347" s="8" t="n">
        <v>3</v>
      </c>
      <c r="M347" s="8" t="n">
        <v>3</v>
      </c>
      <c r="N347" s="8" t="s">
        <v>1784</v>
      </c>
      <c r="O347" s="8" t="n">
        <v>2</v>
      </c>
      <c r="P347" s="10" t="n">
        <v>47.74</v>
      </c>
      <c r="Q347" s="8" t="n">
        <v>8573</v>
      </c>
      <c r="R347" s="8" t="n">
        <v>1225</v>
      </c>
      <c r="S347" s="8" t="s">
        <v>216</v>
      </c>
      <c r="T347" s="8" t="s">
        <v>500</v>
      </c>
      <c r="U347" s="8" t="s">
        <v>501</v>
      </c>
      <c r="V347" s="8"/>
      <c r="W347" s="8" t="s">
        <v>502</v>
      </c>
      <c r="X347" s="8" t="s">
        <v>503</v>
      </c>
      <c r="Y347" s="8" t="s">
        <v>1905</v>
      </c>
      <c r="Z347" s="8" t="s">
        <v>1906</v>
      </c>
    </row>
    <row r="348" customFormat="false" ht="15" hidden="false" customHeight="false" outlineLevel="0" collapsed="false">
      <c r="A348" s="8" t="s">
        <v>499</v>
      </c>
      <c r="B348" s="8" t="s">
        <v>17</v>
      </c>
      <c r="C348" s="8" t="s">
        <v>18</v>
      </c>
      <c r="D348" s="8" t="s">
        <v>615</v>
      </c>
      <c r="E348" s="8" t="s">
        <v>38</v>
      </c>
      <c r="F348" s="8" t="s">
        <v>63</v>
      </c>
      <c r="G348" s="8" t="s">
        <v>30</v>
      </c>
      <c r="H348" s="8" t="s">
        <v>31</v>
      </c>
      <c r="I348" s="8" t="n">
        <f aca="false">IF(EXACT(G348,H348),1,0)</f>
        <v>0</v>
      </c>
      <c r="J348" s="8" t="n">
        <v>1</v>
      </c>
      <c r="K348" s="8" t="s">
        <v>140</v>
      </c>
      <c r="L348" s="8" t="n">
        <v>3</v>
      </c>
      <c r="M348" s="8" t="n">
        <v>3</v>
      </c>
      <c r="N348" s="8" t="s">
        <v>1784</v>
      </c>
      <c r="O348" s="8" t="n">
        <v>2</v>
      </c>
      <c r="P348" s="10" t="n">
        <v>44.36</v>
      </c>
      <c r="Q348" s="8" t="n">
        <v>8573</v>
      </c>
      <c r="R348" s="8" t="n">
        <v>1210</v>
      </c>
      <c r="S348" s="8" t="s">
        <v>216</v>
      </c>
      <c r="T348" s="8" t="s">
        <v>500</v>
      </c>
      <c r="U348" s="8" t="s">
        <v>501</v>
      </c>
      <c r="V348" s="8"/>
      <c r="W348" s="8" t="s">
        <v>502</v>
      </c>
      <c r="X348" s="8" t="s">
        <v>503</v>
      </c>
      <c r="Y348" s="8" t="s">
        <v>1907</v>
      </c>
      <c r="Z348" s="8" t="s">
        <v>1908</v>
      </c>
    </row>
    <row r="349" customFormat="false" ht="15" hidden="false" customHeight="false" outlineLevel="0" collapsed="false">
      <c r="A349" s="8" t="s">
        <v>499</v>
      </c>
      <c r="B349" s="8" t="s">
        <v>17</v>
      </c>
      <c r="C349" s="8" t="s">
        <v>18</v>
      </c>
      <c r="D349" s="8" t="s">
        <v>615</v>
      </c>
      <c r="E349" s="8" t="s">
        <v>38</v>
      </c>
      <c r="F349" s="8" t="s">
        <v>63</v>
      </c>
      <c r="G349" s="8" t="s">
        <v>30</v>
      </c>
      <c r="H349" s="8" t="s">
        <v>31</v>
      </c>
      <c r="I349" s="8" t="n">
        <f aca="false">IF(EXACT(G349,H349),1,0)</f>
        <v>0</v>
      </c>
      <c r="J349" s="8" t="n">
        <v>2</v>
      </c>
      <c r="K349" s="8" t="s">
        <v>140</v>
      </c>
      <c r="L349" s="8" t="n">
        <v>3</v>
      </c>
      <c r="M349" s="8" t="n">
        <v>3</v>
      </c>
      <c r="N349" s="8" t="s">
        <v>1784</v>
      </c>
      <c r="O349" s="8" t="n">
        <v>2</v>
      </c>
      <c r="P349" s="10" t="n">
        <v>43.26</v>
      </c>
      <c r="Q349" s="8" t="n">
        <v>8570</v>
      </c>
      <c r="R349" s="8" t="n">
        <v>1167</v>
      </c>
      <c r="S349" s="8" t="s">
        <v>216</v>
      </c>
      <c r="T349" s="8" t="s">
        <v>500</v>
      </c>
      <c r="U349" s="8" t="s">
        <v>501</v>
      </c>
      <c r="V349" s="8"/>
      <c r="W349" s="8" t="s">
        <v>502</v>
      </c>
      <c r="X349" s="8" t="s">
        <v>503</v>
      </c>
      <c r="Y349" s="8" t="s">
        <v>1909</v>
      </c>
      <c r="Z349" s="8" t="s">
        <v>1910</v>
      </c>
    </row>
    <row r="350" customFormat="false" ht="15" hidden="false" customHeight="false" outlineLevel="0" collapsed="false">
      <c r="A350" s="8" t="s">
        <v>504</v>
      </c>
      <c r="B350" s="8" t="s">
        <v>17</v>
      </c>
      <c r="C350" s="8" t="s">
        <v>18</v>
      </c>
      <c r="D350" s="8" t="s">
        <v>615</v>
      </c>
      <c r="E350" s="8" t="s">
        <v>38</v>
      </c>
      <c r="F350" s="8" t="s">
        <v>63</v>
      </c>
      <c r="G350" s="8" t="s">
        <v>32</v>
      </c>
      <c r="H350" s="8" t="s">
        <v>32</v>
      </c>
      <c r="I350" s="8" t="n">
        <f aca="false">IF(EXACT(G350,H350),1,0)</f>
        <v>1</v>
      </c>
      <c r="J350" s="8" t="n">
        <v>0</v>
      </c>
      <c r="K350" s="8" t="s">
        <v>92</v>
      </c>
      <c r="L350" s="8" t="n">
        <v>0</v>
      </c>
      <c r="M350" s="8" t="n">
        <v>3</v>
      </c>
      <c r="N350" s="8" t="s">
        <v>1784</v>
      </c>
      <c r="O350" s="8" t="n">
        <v>2</v>
      </c>
      <c r="P350" s="10" t="n">
        <v>23.56</v>
      </c>
      <c r="Q350" s="8" t="n">
        <v>7969</v>
      </c>
      <c r="R350" s="8" t="n">
        <v>895</v>
      </c>
      <c r="S350" s="8" t="s">
        <v>384</v>
      </c>
      <c r="T350" s="8" t="s">
        <v>505</v>
      </c>
      <c r="U350" s="8" t="s">
        <v>506</v>
      </c>
      <c r="V350" s="8"/>
      <c r="W350" s="8" t="s">
        <v>507</v>
      </c>
      <c r="X350" s="8" t="s">
        <v>508</v>
      </c>
      <c r="Y350" s="8" t="s">
        <v>1911</v>
      </c>
      <c r="Z350" s="8"/>
    </row>
    <row r="351" customFormat="false" ht="15" hidden="false" customHeight="false" outlineLevel="0" collapsed="false">
      <c r="A351" s="8" t="s">
        <v>504</v>
      </c>
      <c r="B351" s="8" t="s">
        <v>17</v>
      </c>
      <c r="C351" s="8" t="s">
        <v>18</v>
      </c>
      <c r="D351" s="8" t="s">
        <v>615</v>
      </c>
      <c r="E351" s="8" t="s">
        <v>38</v>
      </c>
      <c r="F351" s="8" t="s">
        <v>63</v>
      </c>
      <c r="G351" s="8" t="s">
        <v>32</v>
      </c>
      <c r="H351" s="8" t="s">
        <v>32</v>
      </c>
      <c r="I351" s="8" t="n">
        <f aca="false">IF(EXACT(G351,H351),1,0)</f>
        <v>1</v>
      </c>
      <c r="J351" s="8" t="n">
        <v>1</v>
      </c>
      <c r="K351" s="8" t="s">
        <v>92</v>
      </c>
      <c r="L351" s="8" t="n">
        <v>0</v>
      </c>
      <c r="M351" s="8" t="n">
        <v>3</v>
      </c>
      <c r="N351" s="8" t="s">
        <v>1784</v>
      </c>
      <c r="O351" s="8" t="n">
        <v>2</v>
      </c>
      <c r="P351" s="10" t="n">
        <v>26.28</v>
      </c>
      <c r="Q351" s="8" t="n">
        <v>7955</v>
      </c>
      <c r="R351" s="8" t="n">
        <v>811</v>
      </c>
      <c r="S351" s="8" t="s">
        <v>384</v>
      </c>
      <c r="T351" s="8" t="s">
        <v>505</v>
      </c>
      <c r="U351" s="8" t="s">
        <v>506</v>
      </c>
      <c r="V351" s="8"/>
      <c r="W351" s="8" t="s">
        <v>507</v>
      </c>
      <c r="X351" s="8" t="s">
        <v>508</v>
      </c>
      <c r="Y351" s="8" t="s">
        <v>1912</v>
      </c>
      <c r="Z351" s="8"/>
    </row>
    <row r="352" customFormat="false" ht="15" hidden="false" customHeight="false" outlineLevel="0" collapsed="false">
      <c r="A352" s="8" t="s">
        <v>504</v>
      </c>
      <c r="B352" s="8" t="s">
        <v>17</v>
      </c>
      <c r="C352" s="8" t="s">
        <v>18</v>
      </c>
      <c r="D352" s="8" t="s">
        <v>615</v>
      </c>
      <c r="E352" s="8" t="s">
        <v>38</v>
      </c>
      <c r="F352" s="8" t="s">
        <v>63</v>
      </c>
      <c r="G352" s="8" t="s">
        <v>32</v>
      </c>
      <c r="H352" s="8" t="s">
        <v>32</v>
      </c>
      <c r="I352" s="8" t="n">
        <f aca="false">IF(EXACT(G352,H352),1,0)</f>
        <v>1</v>
      </c>
      <c r="J352" s="8" t="n">
        <v>2</v>
      </c>
      <c r="K352" s="8" t="s">
        <v>92</v>
      </c>
      <c r="L352" s="8" t="n">
        <v>0</v>
      </c>
      <c r="M352" s="8" t="n">
        <v>3</v>
      </c>
      <c r="N352" s="8" t="s">
        <v>1784</v>
      </c>
      <c r="O352" s="8" t="n">
        <v>2</v>
      </c>
      <c r="P352" s="10" t="n">
        <v>23.29</v>
      </c>
      <c r="Q352" s="8" t="n">
        <v>7952</v>
      </c>
      <c r="R352" s="8" t="n">
        <v>827</v>
      </c>
      <c r="S352" s="8" t="s">
        <v>384</v>
      </c>
      <c r="T352" s="8" t="s">
        <v>505</v>
      </c>
      <c r="U352" s="8" t="s">
        <v>506</v>
      </c>
      <c r="V352" s="8"/>
      <c r="W352" s="8" t="s">
        <v>507</v>
      </c>
      <c r="X352" s="8" t="s">
        <v>508</v>
      </c>
      <c r="Y352" s="8" t="s">
        <v>1913</v>
      </c>
      <c r="Z352" s="8"/>
    </row>
    <row r="353" customFormat="false" ht="15" hidden="false" customHeight="false" outlineLevel="0" collapsed="false">
      <c r="A353" s="8" t="s">
        <v>509</v>
      </c>
      <c r="B353" s="8" t="s">
        <v>17</v>
      </c>
      <c r="C353" s="8" t="s">
        <v>18</v>
      </c>
      <c r="D353" s="8" t="s">
        <v>615</v>
      </c>
      <c r="E353" s="8" t="s">
        <v>38</v>
      </c>
      <c r="F353" s="8" t="s">
        <v>63</v>
      </c>
      <c r="G353" s="8" t="s">
        <v>32</v>
      </c>
      <c r="H353" s="8" t="s">
        <v>31</v>
      </c>
      <c r="I353" s="8" t="n">
        <f aca="false">IF(EXACT(G353,H353),1,0)</f>
        <v>0</v>
      </c>
      <c r="J353" s="8" t="n">
        <v>0</v>
      </c>
      <c r="K353" s="8" t="s">
        <v>140</v>
      </c>
      <c r="L353" s="8" t="n">
        <v>3</v>
      </c>
      <c r="M353" s="8" t="n">
        <v>3</v>
      </c>
      <c r="N353" s="8" t="s">
        <v>1784</v>
      </c>
      <c r="O353" s="8" t="n">
        <v>2</v>
      </c>
      <c r="P353" s="10" t="n">
        <v>28.17</v>
      </c>
      <c r="Q353" s="8" t="n">
        <v>8490</v>
      </c>
      <c r="R353" s="8" t="n">
        <v>1010</v>
      </c>
      <c r="S353" s="8" t="s">
        <v>132</v>
      </c>
      <c r="T353" s="8" t="s">
        <v>500</v>
      </c>
      <c r="U353" s="8" t="s">
        <v>501</v>
      </c>
      <c r="V353" s="8"/>
      <c r="W353" s="8" t="s">
        <v>510</v>
      </c>
      <c r="X353" s="8" t="s">
        <v>511</v>
      </c>
      <c r="Y353" s="8" t="s">
        <v>1914</v>
      </c>
      <c r="Z353" s="8" t="s">
        <v>1915</v>
      </c>
    </row>
    <row r="354" customFormat="false" ht="15" hidden="false" customHeight="false" outlineLevel="0" collapsed="false">
      <c r="A354" s="8" t="s">
        <v>509</v>
      </c>
      <c r="B354" s="8" t="s">
        <v>17</v>
      </c>
      <c r="C354" s="8" t="s">
        <v>18</v>
      </c>
      <c r="D354" s="8" t="s">
        <v>615</v>
      </c>
      <c r="E354" s="8" t="s">
        <v>38</v>
      </c>
      <c r="F354" s="8" t="s">
        <v>63</v>
      </c>
      <c r="G354" s="8" t="s">
        <v>32</v>
      </c>
      <c r="H354" s="8" t="s">
        <v>31</v>
      </c>
      <c r="I354" s="8" t="n">
        <f aca="false">IF(EXACT(G354,H354),1,0)</f>
        <v>0</v>
      </c>
      <c r="J354" s="8" t="n">
        <v>1</v>
      </c>
      <c r="K354" s="8" t="s">
        <v>140</v>
      </c>
      <c r="L354" s="8" t="n">
        <v>2</v>
      </c>
      <c r="M354" s="8" t="n">
        <v>3</v>
      </c>
      <c r="N354" s="8" t="s">
        <v>1784</v>
      </c>
      <c r="O354" s="8" t="n">
        <v>2</v>
      </c>
      <c r="P354" s="10" t="n">
        <v>26.02</v>
      </c>
      <c r="Q354" s="8" t="n">
        <v>8516</v>
      </c>
      <c r="R354" s="8" t="n">
        <v>865</v>
      </c>
      <c r="S354" s="8" t="s">
        <v>132</v>
      </c>
      <c r="T354" s="8" t="s">
        <v>500</v>
      </c>
      <c r="U354" s="8" t="s">
        <v>501</v>
      </c>
      <c r="V354" s="8"/>
      <c r="W354" s="8" t="s">
        <v>510</v>
      </c>
      <c r="X354" s="8" t="s">
        <v>511</v>
      </c>
      <c r="Y354" s="8" t="s">
        <v>1916</v>
      </c>
      <c r="Z354" s="8" t="s">
        <v>1917</v>
      </c>
    </row>
    <row r="355" customFormat="false" ht="15" hidden="false" customHeight="false" outlineLevel="0" collapsed="false">
      <c r="A355" s="8" t="s">
        <v>509</v>
      </c>
      <c r="B355" s="8" t="s">
        <v>17</v>
      </c>
      <c r="C355" s="8" t="s">
        <v>18</v>
      </c>
      <c r="D355" s="8" t="s">
        <v>615</v>
      </c>
      <c r="E355" s="8" t="s">
        <v>38</v>
      </c>
      <c r="F355" s="8" t="s">
        <v>63</v>
      </c>
      <c r="G355" s="8" t="s">
        <v>32</v>
      </c>
      <c r="H355" s="8" t="s">
        <v>31</v>
      </c>
      <c r="I355" s="8" t="n">
        <f aca="false">IF(EXACT(G355,H355),1,0)</f>
        <v>0</v>
      </c>
      <c r="J355" s="8" t="n">
        <v>2</v>
      </c>
      <c r="K355" s="8" t="s">
        <v>140</v>
      </c>
      <c r="L355" s="8" t="n">
        <v>3</v>
      </c>
      <c r="M355" s="8" t="n">
        <v>3</v>
      </c>
      <c r="N355" s="8" t="s">
        <v>1784</v>
      </c>
      <c r="O355" s="8" t="n">
        <v>2</v>
      </c>
      <c r="P355" s="10" t="n">
        <v>27.79</v>
      </c>
      <c r="Q355" s="8" t="n">
        <v>8518</v>
      </c>
      <c r="R355" s="8" t="n">
        <v>1004</v>
      </c>
      <c r="S355" s="8" t="s">
        <v>132</v>
      </c>
      <c r="T355" s="8" t="s">
        <v>500</v>
      </c>
      <c r="U355" s="8" t="s">
        <v>501</v>
      </c>
      <c r="V355" s="8"/>
      <c r="W355" s="8" t="s">
        <v>510</v>
      </c>
      <c r="X355" s="8" t="s">
        <v>511</v>
      </c>
      <c r="Y355" s="8" t="s">
        <v>1918</v>
      </c>
      <c r="Z355" s="8" t="s">
        <v>1919</v>
      </c>
    </row>
    <row r="356" customFormat="false" ht="15" hidden="false" customHeight="false" outlineLevel="0" collapsed="false">
      <c r="A356" s="8" t="s">
        <v>512</v>
      </c>
      <c r="B356" s="8" t="s">
        <v>17</v>
      </c>
      <c r="C356" s="8" t="s">
        <v>18</v>
      </c>
      <c r="D356" s="8" t="s">
        <v>615</v>
      </c>
      <c r="E356" s="8" t="s">
        <v>38</v>
      </c>
      <c r="F356" s="8" t="s">
        <v>63</v>
      </c>
      <c r="G356" s="8" t="s">
        <v>30</v>
      </c>
      <c r="H356" s="8" t="s">
        <v>31</v>
      </c>
      <c r="I356" s="8" t="n">
        <f aca="false">IF(EXACT(G356,H356),1,0)</f>
        <v>0</v>
      </c>
      <c r="J356" s="8" t="n">
        <v>0</v>
      </c>
      <c r="K356" s="8" t="s">
        <v>116</v>
      </c>
      <c r="L356" s="8" t="n">
        <v>2</v>
      </c>
      <c r="M356" s="8" t="n">
        <v>3</v>
      </c>
      <c r="N356" s="8" t="s">
        <v>1784</v>
      </c>
      <c r="O356" s="8" t="n">
        <v>2</v>
      </c>
      <c r="P356" s="10" t="n">
        <v>31.02</v>
      </c>
      <c r="Q356" s="8" t="n">
        <v>8102</v>
      </c>
      <c r="R356" s="8" t="n">
        <v>1163</v>
      </c>
      <c r="S356" s="8" t="s">
        <v>105</v>
      </c>
      <c r="T356" s="8" t="s">
        <v>513</v>
      </c>
      <c r="U356" s="8" t="s">
        <v>514</v>
      </c>
      <c r="V356" s="8"/>
      <c r="W356" s="8" t="s">
        <v>515</v>
      </c>
      <c r="X356" s="8" t="s">
        <v>516</v>
      </c>
      <c r="Y356" s="8" t="s">
        <v>1920</v>
      </c>
      <c r="Z356" s="8" t="s">
        <v>1921</v>
      </c>
    </row>
    <row r="357" customFormat="false" ht="15" hidden="false" customHeight="false" outlineLevel="0" collapsed="false">
      <c r="A357" s="8" t="s">
        <v>512</v>
      </c>
      <c r="B357" s="8" t="s">
        <v>17</v>
      </c>
      <c r="C357" s="8" t="s">
        <v>18</v>
      </c>
      <c r="D357" s="8" t="s">
        <v>615</v>
      </c>
      <c r="E357" s="8" t="s">
        <v>38</v>
      </c>
      <c r="F357" s="8" t="s">
        <v>63</v>
      </c>
      <c r="G357" s="8" t="s">
        <v>30</v>
      </c>
      <c r="H357" s="8" t="s">
        <v>31</v>
      </c>
      <c r="I357" s="8" t="n">
        <f aca="false">IF(EXACT(G357,H357),1,0)</f>
        <v>0</v>
      </c>
      <c r="J357" s="8" t="n">
        <v>1</v>
      </c>
      <c r="K357" s="8" t="s">
        <v>116</v>
      </c>
      <c r="L357" s="8" t="n">
        <v>1</v>
      </c>
      <c r="M357" s="8" t="n">
        <v>3</v>
      </c>
      <c r="N357" s="8" t="s">
        <v>1784</v>
      </c>
      <c r="O357" s="8" t="n">
        <v>2</v>
      </c>
      <c r="P357" s="10" t="n">
        <v>29.6</v>
      </c>
      <c r="Q357" s="8" t="n">
        <v>8102</v>
      </c>
      <c r="R357" s="8" t="n">
        <v>1113</v>
      </c>
      <c r="S357" s="8" t="s">
        <v>105</v>
      </c>
      <c r="T357" s="8" t="s">
        <v>513</v>
      </c>
      <c r="U357" s="8" t="s">
        <v>514</v>
      </c>
      <c r="V357" s="8"/>
      <c r="W357" s="8" t="s">
        <v>515</v>
      </c>
      <c r="X357" s="8" t="s">
        <v>516</v>
      </c>
      <c r="Y357" s="8" t="s">
        <v>1922</v>
      </c>
      <c r="Z357" s="8" t="s">
        <v>1923</v>
      </c>
    </row>
    <row r="358" customFormat="false" ht="15" hidden="false" customHeight="false" outlineLevel="0" collapsed="false">
      <c r="A358" s="8" t="s">
        <v>512</v>
      </c>
      <c r="B358" s="8" t="s">
        <v>17</v>
      </c>
      <c r="C358" s="8" t="s">
        <v>18</v>
      </c>
      <c r="D358" s="8" t="s">
        <v>615</v>
      </c>
      <c r="E358" s="8" t="s">
        <v>38</v>
      </c>
      <c r="F358" s="8" t="s">
        <v>63</v>
      </c>
      <c r="G358" s="8" t="s">
        <v>30</v>
      </c>
      <c r="H358" s="8" t="s">
        <v>31</v>
      </c>
      <c r="I358" s="8" t="n">
        <f aca="false">IF(EXACT(G358,H358),1,0)</f>
        <v>0</v>
      </c>
      <c r="J358" s="8" t="n">
        <v>2</v>
      </c>
      <c r="K358" s="8" t="s">
        <v>116</v>
      </c>
      <c r="L358" s="8" t="n">
        <v>1</v>
      </c>
      <c r="M358" s="8" t="n">
        <v>3</v>
      </c>
      <c r="N358" s="8" t="s">
        <v>1784</v>
      </c>
      <c r="O358" s="8" t="n">
        <v>2</v>
      </c>
      <c r="P358" s="10" t="n">
        <v>27.94</v>
      </c>
      <c r="Q358" s="8" t="n">
        <v>8102</v>
      </c>
      <c r="R358" s="8" t="n">
        <v>1074</v>
      </c>
      <c r="S358" s="8" t="s">
        <v>105</v>
      </c>
      <c r="T358" s="8" t="s">
        <v>513</v>
      </c>
      <c r="U358" s="8" t="s">
        <v>514</v>
      </c>
      <c r="V358" s="8"/>
      <c r="W358" s="8" t="s">
        <v>515</v>
      </c>
      <c r="X358" s="8" t="s">
        <v>516</v>
      </c>
      <c r="Y358" s="8" t="s">
        <v>1924</v>
      </c>
      <c r="Z358" s="8" t="s">
        <v>1925</v>
      </c>
    </row>
    <row r="359" customFormat="false" ht="15" hidden="false" customHeight="false" outlineLevel="0" collapsed="false">
      <c r="A359" s="8" t="s">
        <v>124</v>
      </c>
      <c r="B359" s="8" t="s">
        <v>17</v>
      </c>
      <c r="C359" s="8" t="s">
        <v>18</v>
      </c>
      <c r="D359" s="8" t="s">
        <v>615</v>
      </c>
      <c r="E359" s="8" t="s">
        <v>39</v>
      </c>
      <c r="F359" s="8" t="s">
        <v>50</v>
      </c>
      <c r="G359" s="8" t="s">
        <v>32</v>
      </c>
      <c r="H359" s="8" t="s">
        <v>31</v>
      </c>
      <c r="I359" s="8" t="n">
        <f aca="false">IF(EXACT(G359,H359),1,0)</f>
        <v>0</v>
      </c>
      <c r="J359" s="8" t="n">
        <v>0</v>
      </c>
      <c r="K359" s="8" t="s">
        <v>140</v>
      </c>
      <c r="L359" s="8" t="n">
        <v>2</v>
      </c>
      <c r="M359" s="8" t="n">
        <v>4</v>
      </c>
      <c r="N359" s="8" t="s">
        <v>1926</v>
      </c>
      <c r="O359" s="8" t="n">
        <v>2</v>
      </c>
      <c r="P359" s="10" t="n">
        <v>23.41</v>
      </c>
      <c r="Q359" s="8" t="n">
        <v>8895</v>
      </c>
      <c r="R359" s="8" t="n">
        <v>989</v>
      </c>
      <c r="S359" s="8" t="s">
        <v>125</v>
      </c>
      <c r="T359" s="8" t="s">
        <v>126</v>
      </c>
      <c r="U359" s="8" t="s">
        <v>127</v>
      </c>
      <c r="V359" s="8"/>
      <c r="W359" s="8" t="s">
        <v>128</v>
      </c>
      <c r="X359" s="8" t="s">
        <v>517</v>
      </c>
      <c r="Y359" s="8" t="s">
        <v>1927</v>
      </c>
      <c r="Z359" s="8" t="s">
        <v>1928</v>
      </c>
    </row>
    <row r="360" customFormat="false" ht="15" hidden="false" customHeight="false" outlineLevel="0" collapsed="false">
      <c r="A360" s="8" t="s">
        <v>124</v>
      </c>
      <c r="B360" s="8" t="s">
        <v>17</v>
      </c>
      <c r="C360" s="8" t="s">
        <v>18</v>
      </c>
      <c r="D360" s="8" t="s">
        <v>615</v>
      </c>
      <c r="E360" s="8" t="s">
        <v>39</v>
      </c>
      <c r="F360" s="8" t="s">
        <v>50</v>
      </c>
      <c r="G360" s="8" t="s">
        <v>32</v>
      </c>
      <c r="H360" s="8" t="s">
        <v>31</v>
      </c>
      <c r="I360" s="8" t="n">
        <f aca="false">IF(EXACT(G360,H360),1,0)</f>
        <v>0</v>
      </c>
      <c r="J360" s="8" t="n">
        <v>1</v>
      </c>
      <c r="K360" s="8" t="s">
        <v>140</v>
      </c>
      <c r="L360" s="8" t="n">
        <v>2</v>
      </c>
      <c r="M360" s="8" t="n">
        <v>4</v>
      </c>
      <c r="N360" s="8" t="s">
        <v>1926</v>
      </c>
      <c r="O360" s="8" t="n">
        <v>2</v>
      </c>
      <c r="P360" s="10" t="n">
        <v>24.8</v>
      </c>
      <c r="Q360" s="8" t="n">
        <v>8908</v>
      </c>
      <c r="R360" s="8" t="n">
        <v>956</v>
      </c>
      <c r="S360" s="8" t="s">
        <v>125</v>
      </c>
      <c r="T360" s="8" t="s">
        <v>126</v>
      </c>
      <c r="U360" s="8" t="s">
        <v>127</v>
      </c>
      <c r="V360" s="8"/>
      <c r="W360" s="8" t="s">
        <v>128</v>
      </c>
      <c r="X360" s="8" t="s">
        <v>517</v>
      </c>
      <c r="Y360" s="8" t="s">
        <v>1929</v>
      </c>
      <c r="Z360" s="8" t="s">
        <v>1930</v>
      </c>
    </row>
    <row r="361" customFormat="false" ht="15" hidden="false" customHeight="false" outlineLevel="0" collapsed="false">
      <c r="A361" s="8" t="s">
        <v>124</v>
      </c>
      <c r="B361" s="8" t="s">
        <v>17</v>
      </c>
      <c r="C361" s="8" t="s">
        <v>18</v>
      </c>
      <c r="D361" s="8" t="s">
        <v>615</v>
      </c>
      <c r="E361" s="8" t="s">
        <v>39</v>
      </c>
      <c r="F361" s="8" t="s">
        <v>50</v>
      </c>
      <c r="G361" s="8" t="s">
        <v>32</v>
      </c>
      <c r="H361" s="8" t="s">
        <v>31</v>
      </c>
      <c r="I361" s="8" t="n">
        <f aca="false">IF(EXACT(G361,H361),1,0)</f>
        <v>0</v>
      </c>
      <c r="J361" s="8" t="n">
        <v>2</v>
      </c>
      <c r="K361" s="8" t="s">
        <v>140</v>
      </c>
      <c r="L361" s="8" t="n">
        <v>2</v>
      </c>
      <c r="M361" s="8" t="n">
        <v>4</v>
      </c>
      <c r="N361" s="8" t="s">
        <v>1926</v>
      </c>
      <c r="O361" s="8" t="n">
        <v>2</v>
      </c>
      <c r="P361" s="10" t="n">
        <v>23.68</v>
      </c>
      <c r="Q361" s="8" t="n">
        <v>8897</v>
      </c>
      <c r="R361" s="8" t="n">
        <v>978</v>
      </c>
      <c r="S361" s="8" t="s">
        <v>125</v>
      </c>
      <c r="T361" s="8" t="s">
        <v>126</v>
      </c>
      <c r="U361" s="8" t="s">
        <v>127</v>
      </c>
      <c r="V361" s="8"/>
      <c r="W361" s="8" t="s">
        <v>128</v>
      </c>
      <c r="X361" s="8" t="s">
        <v>517</v>
      </c>
      <c r="Y361" s="8" t="s">
        <v>1931</v>
      </c>
      <c r="Z361" s="8" t="s">
        <v>1932</v>
      </c>
    </row>
    <row r="362" customFormat="false" ht="15" hidden="false" customHeight="false" outlineLevel="0" collapsed="false">
      <c r="A362" s="8" t="s">
        <v>131</v>
      </c>
      <c r="B362" s="8" t="s">
        <v>17</v>
      </c>
      <c r="C362" s="8" t="s">
        <v>18</v>
      </c>
      <c r="D362" s="8" t="s">
        <v>615</v>
      </c>
      <c r="E362" s="8" t="s">
        <v>39</v>
      </c>
      <c r="F362" s="8" t="s">
        <v>50</v>
      </c>
      <c r="G362" s="8" t="s">
        <v>32</v>
      </c>
      <c r="H362" s="8" t="s">
        <v>31</v>
      </c>
      <c r="I362" s="8" t="n">
        <f aca="false">IF(EXACT(G362,H362),1,0)</f>
        <v>0</v>
      </c>
      <c r="J362" s="8" t="n">
        <v>0</v>
      </c>
      <c r="K362" s="8" t="s">
        <v>116</v>
      </c>
      <c r="L362" s="8" t="n">
        <v>1</v>
      </c>
      <c r="M362" s="8" t="n">
        <v>4</v>
      </c>
      <c r="N362" s="8" t="s">
        <v>1926</v>
      </c>
      <c r="O362" s="8" t="n">
        <v>2</v>
      </c>
      <c r="P362" s="10" t="n">
        <v>22.47</v>
      </c>
      <c r="Q362" s="8" t="n">
        <v>8805</v>
      </c>
      <c r="R362" s="8" t="n">
        <v>977</v>
      </c>
      <c r="S362" s="8" t="s">
        <v>132</v>
      </c>
      <c r="T362" s="8" t="s">
        <v>126</v>
      </c>
      <c r="U362" s="8" t="s">
        <v>127</v>
      </c>
      <c r="V362" s="8"/>
      <c r="W362" s="8" t="s">
        <v>133</v>
      </c>
      <c r="X362" s="8" t="s">
        <v>518</v>
      </c>
      <c r="Y362" s="8" t="s">
        <v>1933</v>
      </c>
      <c r="Z362" s="8" t="s">
        <v>1934</v>
      </c>
    </row>
    <row r="363" customFormat="false" ht="15" hidden="false" customHeight="false" outlineLevel="0" collapsed="false">
      <c r="A363" s="8" t="s">
        <v>131</v>
      </c>
      <c r="B363" s="8" t="s">
        <v>17</v>
      </c>
      <c r="C363" s="8" t="s">
        <v>18</v>
      </c>
      <c r="D363" s="8" t="s">
        <v>615</v>
      </c>
      <c r="E363" s="8" t="s">
        <v>39</v>
      </c>
      <c r="F363" s="8" t="s">
        <v>50</v>
      </c>
      <c r="G363" s="8" t="s">
        <v>32</v>
      </c>
      <c r="H363" s="8" t="s">
        <v>31</v>
      </c>
      <c r="I363" s="8" t="n">
        <f aca="false">IF(EXACT(G363,H363),1,0)</f>
        <v>0</v>
      </c>
      <c r="J363" s="8" t="n">
        <v>1</v>
      </c>
      <c r="K363" s="8" t="s">
        <v>116</v>
      </c>
      <c r="L363" s="8" t="n">
        <v>1</v>
      </c>
      <c r="M363" s="8" t="n">
        <v>4</v>
      </c>
      <c r="N363" s="8" t="s">
        <v>1926</v>
      </c>
      <c r="O363" s="8" t="n">
        <v>2</v>
      </c>
      <c r="P363" s="10" t="n">
        <v>24</v>
      </c>
      <c r="Q363" s="8" t="n">
        <v>8805</v>
      </c>
      <c r="R363" s="8" t="n">
        <v>1004</v>
      </c>
      <c r="S363" s="8" t="s">
        <v>132</v>
      </c>
      <c r="T363" s="8" t="s">
        <v>126</v>
      </c>
      <c r="U363" s="8" t="s">
        <v>127</v>
      </c>
      <c r="V363" s="8"/>
      <c r="W363" s="8" t="s">
        <v>133</v>
      </c>
      <c r="X363" s="8" t="s">
        <v>518</v>
      </c>
      <c r="Y363" s="8" t="s">
        <v>1933</v>
      </c>
      <c r="Z363" s="8" t="s">
        <v>1935</v>
      </c>
    </row>
    <row r="364" customFormat="false" ht="15" hidden="false" customHeight="false" outlineLevel="0" collapsed="false">
      <c r="A364" s="8" t="s">
        <v>131</v>
      </c>
      <c r="B364" s="8" t="s">
        <v>17</v>
      </c>
      <c r="C364" s="8" t="s">
        <v>18</v>
      </c>
      <c r="D364" s="8" t="s">
        <v>615</v>
      </c>
      <c r="E364" s="8" t="s">
        <v>39</v>
      </c>
      <c r="F364" s="8" t="s">
        <v>50</v>
      </c>
      <c r="G364" s="8" t="s">
        <v>32</v>
      </c>
      <c r="H364" s="8" t="s">
        <v>31</v>
      </c>
      <c r="I364" s="8" t="n">
        <f aca="false">IF(EXACT(G364,H364),1,0)</f>
        <v>0</v>
      </c>
      <c r="J364" s="8" t="n">
        <v>2</v>
      </c>
      <c r="K364" s="8" t="s">
        <v>116</v>
      </c>
      <c r="L364" s="8" t="n">
        <v>1</v>
      </c>
      <c r="M364" s="8" t="n">
        <v>4</v>
      </c>
      <c r="N364" s="8" t="s">
        <v>1926</v>
      </c>
      <c r="O364" s="8" t="n">
        <v>2</v>
      </c>
      <c r="P364" s="10" t="n">
        <v>24.59</v>
      </c>
      <c r="Q364" s="8" t="n">
        <v>8835</v>
      </c>
      <c r="R364" s="8" t="n">
        <v>1008</v>
      </c>
      <c r="S364" s="8" t="s">
        <v>132</v>
      </c>
      <c r="T364" s="8" t="s">
        <v>126</v>
      </c>
      <c r="U364" s="8" t="s">
        <v>127</v>
      </c>
      <c r="V364" s="8"/>
      <c r="W364" s="8" t="s">
        <v>133</v>
      </c>
      <c r="X364" s="8" t="s">
        <v>518</v>
      </c>
      <c r="Y364" s="8" t="s">
        <v>1936</v>
      </c>
      <c r="Z364" s="8" t="s">
        <v>1937</v>
      </c>
    </row>
    <row r="365" customFormat="false" ht="15" hidden="false" customHeight="false" outlineLevel="0" collapsed="false">
      <c r="A365" s="8" t="s">
        <v>135</v>
      </c>
      <c r="B365" s="8" t="s">
        <v>17</v>
      </c>
      <c r="C365" s="8" t="s">
        <v>18</v>
      </c>
      <c r="D365" s="8" t="s">
        <v>615</v>
      </c>
      <c r="E365" s="8" t="s">
        <v>39</v>
      </c>
      <c r="F365" s="8" t="s">
        <v>50</v>
      </c>
      <c r="G365" s="8" t="s">
        <v>30</v>
      </c>
      <c r="H365" s="8" t="s">
        <v>31</v>
      </c>
      <c r="I365" s="8" t="n">
        <f aca="false">IF(EXACT(G365,H365),1,0)</f>
        <v>0</v>
      </c>
      <c r="J365" s="8" t="n">
        <v>0</v>
      </c>
      <c r="K365" s="8" t="s">
        <v>140</v>
      </c>
      <c r="L365" s="8" t="n">
        <v>1</v>
      </c>
      <c r="M365" s="8" t="n">
        <v>4</v>
      </c>
      <c r="N365" s="8" t="s">
        <v>1926</v>
      </c>
      <c r="O365" s="8" t="n">
        <v>2</v>
      </c>
      <c r="P365" s="10" t="n">
        <v>33.11</v>
      </c>
      <c r="Q365" s="8" t="n">
        <v>8645</v>
      </c>
      <c r="R365" s="8" t="n">
        <v>1073</v>
      </c>
      <c r="S365" s="8" t="s">
        <v>105</v>
      </c>
      <c r="T365" s="8" t="s">
        <v>126</v>
      </c>
      <c r="U365" s="8" t="s">
        <v>127</v>
      </c>
      <c r="V365" s="8"/>
      <c r="W365" s="8" t="s">
        <v>136</v>
      </c>
      <c r="X365" s="8" t="s">
        <v>519</v>
      </c>
      <c r="Y365" s="8" t="s">
        <v>1938</v>
      </c>
      <c r="Z365" s="8" t="s">
        <v>1939</v>
      </c>
    </row>
    <row r="366" customFormat="false" ht="15" hidden="false" customHeight="false" outlineLevel="0" collapsed="false">
      <c r="A366" s="8" t="s">
        <v>135</v>
      </c>
      <c r="B366" s="8" t="s">
        <v>17</v>
      </c>
      <c r="C366" s="8" t="s">
        <v>18</v>
      </c>
      <c r="D366" s="8" t="s">
        <v>615</v>
      </c>
      <c r="E366" s="8" t="s">
        <v>39</v>
      </c>
      <c r="F366" s="8" t="s">
        <v>50</v>
      </c>
      <c r="G366" s="8" t="s">
        <v>30</v>
      </c>
      <c r="H366" s="8" t="s">
        <v>31</v>
      </c>
      <c r="I366" s="8" t="n">
        <f aca="false">IF(EXACT(G366,H366),1,0)</f>
        <v>0</v>
      </c>
      <c r="J366" s="8" t="n">
        <v>1</v>
      </c>
      <c r="K366" s="8" t="s">
        <v>140</v>
      </c>
      <c r="L366" s="8" t="n">
        <v>1</v>
      </c>
      <c r="M366" s="8" t="n">
        <v>4</v>
      </c>
      <c r="N366" s="8" t="s">
        <v>1926</v>
      </c>
      <c r="O366" s="8" t="n">
        <v>2</v>
      </c>
      <c r="P366" s="10" t="n">
        <v>29.79</v>
      </c>
      <c r="Q366" s="8" t="n">
        <v>8649</v>
      </c>
      <c r="R366" s="8" t="n">
        <v>1069</v>
      </c>
      <c r="S366" s="8" t="s">
        <v>105</v>
      </c>
      <c r="T366" s="8" t="s">
        <v>126</v>
      </c>
      <c r="U366" s="8" t="s">
        <v>127</v>
      </c>
      <c r="V366" s="8"/>
      <c r="W366" s="8" t="s">
        <v>136</v>
      </c>
      <c r="X366" s="8" t="s">
        <v>519</v>
      </c>
      <c r="Y366" s="8" t="s">
        <v>1940</v>
      </c>
      <c r="Z366" s="8" t="s">
        <v>1941</v>
      </c>
    </row>
    <row r="367" customFormat="false" ht="15" hidden="false" customHeight="false" outlineLevel="0" collapsed="false">
      <c r="A367" s="8" t="s">
        <v>135</v>
      </c>
      <c r="B367" s="8" t="s">
        <v>17</v>
      </c>
      <c r="C367" s="8" t="s">
        <v>18</v>
      </c>
      <c r="D367" s="8" t="s">
        <v>615</v>
      </c>
      <c r="E367" s="8" t="s">
        <v>39</v>
      </c>
      <c r="F367" s="8" t="s">
        <v>50</v>
      </c>
      <c r="G367" s="8" t="s">
        <v>30</v>
      </c>
      <c r="H367" s="8" t="s">
        <v>31</v>
      </c>
      <c r="I367" s="8" t="n">
        <f aca="false">IF(EXACT(G367,H367),1,0)</f>
        <v>0</v>
      </c>
      <c r="J367" s="8" t="n">
        <v>2</v>
      </c>
      <c r="K367" s="8" t="s">
        <v>140</v>
      </c>
      <c r="L367" s="8" t="n">
        <v>1</v>
      </c>
      <c r="M367" s="8" t="n">
        <v>4</v>
      </c>
      <c r="N367" s="8" t="s">
        <v>1926</v>
      </c>
      <c r="O367" s="8" t="n">
        <v>2</v>
      </c>
      <c r="P367" s="10" t="n">
        <v>29.96</v>
      </c>
      <c r="Q367" s="8" t="n">
        <v>8649</v>
      </c>
      <c r="R367" s="8" t="n">
        <v>1041</v>
      </c>
      <c r="S367" s="8" t="s">
        <v>105</v>
      </c>
      <c r="T367" s="8" t="s">
        <v>126</v>
      </c>
      <c r="U367" s="8" t="s">
        <v>127</v>
      </c>
      <c r="V367" s="8"/>
      <c r="W367" s="8" t="s">
        <v>136</v>
      </c>
      <c r="X367" s="8" t="s">
        <v>519</v>
      </c>
      <c r="Y367" s="8" t="s">
        <v>1942</v>
      </c>
      <c r="Z367" s="8" t="s">
        <v>1943</v>
      </c>
    </row>
    <row r="368" customFormat="false" ht="15" hidden="false" customHeight="false" outlineLevel="0" collapsed="false">
      <c r="A368" s="8" t="s">
        <v>139</v>
      </c>
      <c r="B368" s="8" t="s">
        <v>17</v>
      </c>
      <c r="C368" s="8" t="s">
        <v>18</v>
      </c>
      <c r="D368" s="8" t="s">
        <v>615</v>
      </c>
      <c r="E368" s="8" t="s">
        <v>39</v>
      </c>
      <c r="F368" s="8" t="s">
        <v>50</v>
      </c>
      <c r="G368" s="8" t="s">
        <v>31</v>
      </c>
      <c r="H368" s="8" t="s">
        <v>31</v>
      </c>
      <c r="I368" s="8" t="n">
        <f aca="false">IF(EXACT(G368,H368),1,0)</f>
        <v>1</v>
      </c>
      <c r="J368" s="8" t="n">
        <v>0</v>
      </c>
      <c r="K368" s="8" t="s">
        <v>140</v>
      </c>
      <c r="L368" s="8" t="n">
        <v>2</v>
      </c>
      <c r="M368" s="8" t="n">
        <v>4</v>
      </c>
      <c r="N368" s="8" t="s">
        <v>1926</v>
      </c>
      <c r="O368" s="8" t="n">
        <v>2</v>
      </c>
      <c r="P368" s="10" t="n">
        <v>25.34</v>
      </c>
      <c r="Q368" s="8" t="n">
        <v>8887</v>
      </c>
      <c r="R368" s="8" t="n">
        <v>982</v>
      </c>
      <c r="S368" s="8" t="s">
        <v>117</v>
      </c>
      <c r="T368" s="8" t="s">
        <v>126</v>
      </c>
      <c r="U368" s="8" t="s">
        <v>127</v>
      </c>
      <c r="V368" s="8"/>
      <c r="W368" s="8" t="s">
        <v>141</v>
      </c>
      <c r="X368" s="8" t="s">
        <v>520</v>
      </c>
      <c r="Y368" s="8" t="s">
        <v>1944</v>
      </c>
      <c r="Z368" s="8" t="s">
        <v>1945</v>
      </c>
    </row>
    <row r="369" customFormat="false" ht="15" hidden="false" customHeight="false" outlineLevel="0" collapsed="false">
      <c r="A369" s="8" t="s">
        <v>139</v>
      </c>
      <c r="B369" s="8" t="s">
        <v>17</v>
      </c>
      <c r="C369" s="8" t="s">
        <v>18</v>
      </c>
      <c r="D369" s="8" t="s">
        <v>615</v>
      </c>
      <c r="E369" s="8" t="s">
        <v>39</v>
      </c>
      <c r="F369" s="8" t="s">
        <v>50</v>
      </c>
      <c r="G369" s="8" t="s">
        <v>31</v>
      </c>
      <c r="H369" s="8" t="s">
        <v>31</v>
      </c>
      <c r="I369" s="8" t="n">
        <f aca="false">IF(EXACT(G369,H369),1,0)</f>
        <v>1</v>
      </c>
      <c r="J369" s="8" t="n">
        <v>1</v>
      </c>
      <c r="K369" s="8" t="s">
        <v>140</v>
      </c>
      <c r="L369" s="8" t="n">
        <v>2</v>
      </c>
      <c r="M369" s="8" t="n">
        <v>4</v>
      </c>
      <c r="N369" s="8" t="s">
        <v>1926</v>
      </c>
      <c r="O369" s="8" t="n">
        <v>2</v>
      </c>
      <c r="P369" s="10" t="n">
        <v>23.19</v>
      </c>
      <c r="Q369" s="8" t="n">
        <v>8882</v>
      </c>
      <c r="R369" s="8" t="n">
        <v>956</v>
      </c>
      <c r="S369" s="8" t="s">
        <v>117</v>
      </c>
      <c r="T369" s="8" t="s">
        <v>126</v>
      </c>
      <c r="U369" s="8" t="s">
        <v>127</v>
      </c>
      <c r="V369" s="8"/>
      <c r="W369" s="8" t="s">
        <v>141</v>
      </c>
      <c r="X369" s="8" t="s">
        <v>520</v>
      </c>
      <c r="Y369" s="8" t="s">
        <v>1946</v>
      </c>
      <c r="Z369" s="8" t="s">
        <v>1947</v>
      </c>
    </row>
    <row r="370" customFormat="false" ht="15" hidden="false" customHeight="false" outlineLevel="0" collapsed="false">
      <c r="A370" s="8" t="s">
        <v>139</v>
      </c>
      <c r="B370" s="8" t="s">
        <v>17</v>
      </c>
      <c r="C370" s="8" t="s">
        <v>18</v>
      </c>
      <c r="D370" s="8" t="s">
        <v>615</v>
      </c>
      <c r="E370" s="8" t="s">
        <v>39</v>
      </c>
      <c r="F370" s="8" t="s">
        <v>50</v>
      </c>
      <c r="G370" s="8" t="s">
        <v>31</v>
      </c>
      <c r="H370" s="8" t="s">
        <v>31</v>
      </c>
      <c r="I370" s="8" t="n">
        <f aca="false">IF(EXACT(G370,H370),1,0)</f>
        <v>1</v>
      </c>
      <c r="J370" s="8" t="n">
        <v>2</v>
      </c>
      <c r="K370" s="8" t="s">
        <v>140</v>
      </c>
      <c r="L370" s="8" t="n">
        <v>2</v>
      </c>
      <c r="M370" s="8" t="n">
        <v>4</v>
      </c>
      <c r="N370" s="8" t="s">
        <v>1926</v>
      </c>
      <c r="O370" s="8" t="n">
        <v>2</v>
      </c>
      <c r="P370" s="10" t="n">
        <v>27.01</v>
      </c>
      <c r="Q370" s="8" t="n">
        <v>8882</v>
      </c>
      <c r="R370" s="8" t="n">
        <v>972</v>
      </c>
      <c r="S370" s="8" t="s">
        <v>117</v>
      </c>
      <c r="T370" s="8" t="s">
        <v>126</v>
      </c>
      <c r="U370" s="8" t="s">
        <v>127</v>
      </c>
      <c r="V370" s="8"/>
      <c r="W370" s="8" t="s">
        <v>141</v>
      </c>
      <c r="X370" s="8" t="s">
        <v>520</v>
      </c>
      <c r="Y370" s="8" t="s">
        <v>1948</v>
      </c>
      <c r="Z370" s="8" t="s">
        <v>1949</v>
      </c>
    </row>
    <row r="371" customFormat="false" ht="15" hidden="false" customHeight="false" outlineLevel="0" collapsed="false">
      <c r="A371" s="8" t="s">
        <v>145</v>
      </c>
      <c r="B371" s="8" t="s">
        <v>17</v>
      </c>
      <c r="C371" s="8" t="s">
        <v>18</v>
      </c>
      <c r="D371" s="8" t="s">
        <v>615</v>
      </c>
      <c r="E371" s="8" t="s">
        <v>39</v>
      </c>
      <c r="F371" s="8" t="s">
        <v>50</v>
      </c>
      <c r="G371" s="8" t="s">
        <v>31</v>
      </c>
      <c r="H371" s="8" t="s">
        <v>31</v>
      </c>
      <c r="I371" s="8" t="n">
        <f aca="false">IF(EXACT(G371,H371),1,0)</f>
        <v>1</v>
      </c>
      <c r="J371" s="8" t="n">
        <v>0</v>
      </c>
      <c r="K371" s="8" t="s">
        <v>116</v>
      </c>
      <c r="L371" s="8" t="n">
        <v>2</v>
      </c>
      <c r="M371" s="8" t="n">
        <v>4</v>
      </c>
      <c r="N371" s="8" t="s">
        <v>1926</v>
      </c>
      <c r="O371" s="8" t="n">
        <v>2</v>
      </c>
      <c r="P371" s="10" t="n">
        <v>26.08</v>
      </c>
      <c r="Q371" s="8" t="n">
        <v>8935</v>
      </c>
      <c r="R371" s="8" t="n">
        <v>1051</v>
      </c>
      <c r="S371" s="8" t="s">
        <v>146</v>
      </c>
      <c r="T371" s="8" t="s">
        <v>126</v>
      </c>
      <c r="U371" s="8" t="s">
        <v>127</v>
      </c>
      <c r="V371" s="8"/>
      <c r="W371" s="8" t="s">
        <v>147</v>
      </c>
      <c r="X371" s="8" t="s">
        <v>521</v>
      </c>
      <c r="Y371" s="8" t="s">
        <v>1950</v>
      </c>
      <c r="Z371" s="8" t="s">
        <v>1951</v>
      </c>
    </row>
    <row r="372" customFormat="false" ht="15" hidden="false" customHeight="false" outlineLevel="0" collapsed="false">
      <c r="A372" s="8" t="s">
        <v>145</v>
      </c>
      <c r="B372" s="8" t="s">
        <v>17</v>
      </c>
      <c r="C372" s="8" t="s">
        <v>18</v>
      </c>
      <c r="D372" s="8" t="s">
        <v>615</v>
      </c>
      <c r="E372" s="8" t="s">
        <v>39</v>
      </c>
      <c r="F372" s="8" t="s">
        <v>50</v>
      </c>
      <c r="G372" s="8" t="s">
        <v>31</v>
      </c>
      <c r="H372" s="8" t="s">
        <v>31</v>
      </c>
      <c r="I372" s="8" t="n">
        <f aca="false">IF(EXACT(G372,H372),1,0)</f>
        <v>1</v>
      </c>
      <c r="J372" s="8" t="n">
        <v>1</v>
      </c>
      <c r="K372" s="8" t="s">
        <v>116</v>
      </c>
      <c r="L372" s="8" t="n">
        <v>2</v>
      </c>
      <c r="M372" s="8" t="n">
        <v>4</v>
      </c>
      <c r="N372" s="8" t="s">
        <v>1926</v>
      </c>
      <c r="O372" s="8" t="n">
        <v>2</v>
      </c>
      <c r="P372" s="10" t="n">
        <v>22.57</v>
      </c>
      <c r="Q372" s="8" t="n">
        <v>8939</v>
      </c>
      <c r="R372" s="8" t="n">
        <v>1008</v>
      </c>
      <c r="S372" s="8" t="s">
        <v>146</v>
      </c>
      <c r="T372" s="8" t="s">
        <v>126</v>
      </c>
      <c r="U372" s="8" t="s">
        <v>127</v>
      </c>
      <c r="V372" s="8"/>
      <c r="W372" s="8" t="s">
        <v>147</v>
      </c>
      <c r="X372" s="8" t="s">
        <v>521</v>
      </c>
      <c r="Y372" s="8" t="s">
        <v>1952</v>
      </c>
      <c r="Z372" s="8" t="s">
        <v>1953</v>
      </c>
    </row>
    <row r="373" customFormat="false" ht="15" hidden="false" customHeight="false" outlineLevel="0" collapsed="false">
      <c r="A373" s="8" t="s">
        <v>145</v>
      </c>
      <c r="B373" s="8" t="s">
        <v>17</v>
      </c>
      <c r="C373" s="8" t="s">
        <v>18</v>
      </c>
      <c r="D373" s="8" t="s">
        <v>615</v>
      </c>
      <c r="E373" s="8" t="s">
        <v>39</v>
      </c>
      <c r="F373" s="8" t="s">
        <v>50</v>
      </c>
      <c r="G373" s="8" t="s">
        <v>31</v>
      </c>
      <c r="H373" s="8" t="s">
        <v>31</v>
      </c>
      <c r="I373" s="8" t="n">
        <f aca="false">IF(EXACT(G373,H373),1,0)</f>
        <v>1</v>
      </c>
      <c r="J373" s="8" t="n">
        <v>2</v>
      </c>
      <c r="K373" s="8" t="s">
        <v>116</v>
      </c>
      <c r="L373" s="8" t="n">
        <v>2</v>
      </c>
      <c r="M373" s="8" t="n">
        <v>4</v>
      </c>
      <c r="N373" s="8" t="s">
        <v>1926</v>
      </c>
      <c r="O373" s="8" t="n">
        <v>2</v>
      </c>
      <c r="P373" s="10" t="n">
        <v>24.41</v>
      </c>
      <c r="Q373" s="8" t="n">
        <v>8935</v>
      </c>
      <c r="R373" s="8" t="n">
        <v>1005</v>
      </c>
      <c r="S373" s="8" t="s">
        <v>146</v>
      </c>
      <c r="T373" s="8" t="s">
        <v>126</v>
      </c>
      <c r="U373" s="8" t="s">
        <v>127</v>
      </c>
      <c r="V373" s="8"/>
      <c r="W373" s="8" t="s">
        <v>147</v>
      </c>
      <c r="X373" s="8" t="s">
        <v>521</v>
      </c>
      <c r="Y373" s="8" t="s">
        <v>1954</v>
      </c>
      <c r="Z373" s="8" t="s">
        <v>1955</v>
      </c>
    </row>
    <row r="374" customFormat="false" ht="15" hidden="false" customHeight="false" outlineLevel="0" collapsed="false">
      <c r="A374" s="8" t="s">
        <v>149</v>
      </c>
      <c r="B374" s="8" t="s">
        <v>17</v>
      </c>
      <c r="C374" s="8" t="s">
        <v>18</v>
      </c>
      <c r="D374" s="8" t="s">
        <v>615</v>
      </c>
      <c r="E374" s="8" t="s">
        <v>39</v>
      </c>
      <c r="F374" s="8" t="s">
        <v>50</v>
      </c>
      <c r="G374" s="8" t="s">
        <v>30</v>
      </c>
      <c r="H374" s="8" t="s">
        <v>31</v>
      </c>
      <c r="I374" s="8" t="n">
        <f aca="false">IF(EXACT(G374,H374),1,0)</f>
        <v>0</v>
      </c>
      <c r="J374" s="8" t="n">
        <v>0</v>
      </c>
      <c r="K374" s="8" t="s">
        <v>140</v>
      </c>
      <c r="L374" s="8" t="n">
        <v>2</v>
      </c>
      <c r="M374" s="8" t="n">
        <v>4</v>
      </c>
      <c r="N374" s="8" t="s">
        <v>1926</v>
      </c>
      <c r="O374" s="8" t="n">
        <v>2</v>
      </c>
      <c r="P374" s="10" t="n">
        <v>23.74</v>
      </c>
      <c r="Q374" s="8" t="n">
        <v>8782</v>
      </c>
      <c r="R374" s="8" t="n">
        <v>855</v>
      </c>
      <c r="S374" s="8" t="s">
        <v>150</v>
      </c>
      <c r="T374" s="8" t="s">
        <v>126</v>
      </c>
      <c r="U374" s="8" t="s">
        <v>127</v>
      </c>
      <c r="V374" s="8"/>
      <c r="W374" s="8" t="s">
        <v>151</v>
      </c>
      <c r="X374" s="8" t="s">
        <v>522</v>
      </c>
      <c r="Y374" s="8" t="s">
        <v>1956</v>
      </c>
      <c r="Z374" s="8" t="s">
        <v>1957</v>
      </c>
    </row>
    <row r="375" customFormat="false" ht="15" hidden="false" customHeight="false" outlineLevel="0" collapsed="false">
      <c r="A375" s="8" t="s">
        <v>149</v>
      </c>
      <c r="B375" s="8" t="s">
        <v>17</v>
      </c>
      <c r="C375" s="8" t="s">
        <v>18</v>
      </c>
      <c r="D375" s="8" t="s">
        <v>615</v>
      </c>
      <c r="E375" s="8" t="s">
        <v>39</v>
      </c>
      <c r="F375" s="8" t="s">
        <v>50</v>
      </c>
      <c r="G375" s="8" t="s">
        <v>30</v>
      </c>
      <c r="H375" s="8" t="s">
        <v>31</v>
      </c>
      <c r="I375" s="8" t="n">
        <f aca="false">IF(EXACT(G375,H375),1,0)</f>
        <v>0</v>
      </c>
      <c r="J375" s="8" t="n">
        <v>1</v>
      </c>
      <c r="K375" s="8" t="s">
        <v>116</v>
      </c>
      <c r="L375" s="8" t="n">
        <v>2</v>
      </c>
      <c r="M375" s="8" t="n">
        <v>4</v>
      </c>
      <c r="N375" s="8" t="s">
        <v>1926</v>
      </c>
      <c r="O375" s="8" t="n">
        <v>2</v>
      </c>
      <c r="P375" s="10" t="n">
        <v>24.46</v>
      </c>
      <c r="Q375" s="8" t="n">
        <v>8783</v>
      </c>
      <c r="R375" s="8" t="n">
        <v>854</v>
      </c>
      <c r="S375" s="8" t="s">
        <v>150</v>
      </c>
      <c r="T375" s="8" t="s">
        <v>126</v>
      </c>
      <c r="U375" s="8" t="s">
        <v>127</v>
      </c>
      <c r="V375" s="8"/>
      <c r="W375" s="8" t="s">
        <v>151</v>
      </c>
      <c r="X375" s="8" t="s">
        <v>522</v>
      </c>
      <c r="Y375" s="8" t="s">
        <v>1958</v>
      </c>
      <c r="Z375" s="8" t="s">
        <v>1959</v>
      </c>
    </row>
    <row r="376" customFormat="false" ht="15" hidden="false" customHeight="false" outlineLevel="0" collapsed="false">
      <c r="A376" s="8" t="s">
        <v>149</v>
      </c>
      <c r="B376" s="8" t="s">
        <v>17</v>
      </c>
      <c r="C376" s="8" t="s">
        <v>18</v>
      </c>
      <c r="D376" s="8" t="s">
        <v>615</v>
      </c>
      <c r="E376" s="8" t="s">
        <v>39</v>
      </c>
      <c r="F376" s="8" t="s">
        <v>50</v>
      </c>
      <c r="G376" s="8" t="s">
        <v>30</v>
      </c>
      <c r="H376" s="8" t="s">
        <v>31</v>
      </c>
      <c r="I376" s="8" t="n">
        <f aca="false">IF(EXACT(G376,H376),1,0)</f>
        <v>0</v>
      </c>
      <c r="J376" s="8" t="n">
        <v>2</v>
      </c>
      <c r="K376" s="8" t="s">
        <v>116</v>
      </c>
      <c r="L376" s="8" t="n">
        <v>2</v>
      </c>
      <c r="M376" s="8" t="n">
        <v>4</v>
      </c>
      <c r="N376" s="8" t="s">
        <v>1926</v>
      </c>
      <c r="O376" s="8" t="n">
        <v>2</v>
      </c>
      <c r="P376" s="10" t="n">
        <v>24.09</v>
      </c>
      <c r="Q376" s="8" t="n">
        <v>8783</v>
      </c>
      <c r="R376" s="8" t="n">
        <v>870</v>
      </c>
      <c r="S376" s="8" t="s">
        <v>150</v>
      </c>
      <c r="T376" s="8" t="s">
        <v>126</v>
      </c>
      <c r="U376" s="8" t="s">
        <v>127</v>
      </c>
      <c r="V376" s="8"/>
      <c r="W376" s="8" t="s">
        <v>151</v>
      </c>
      <c r="X376" s="8" t="s">
        <v>522</v>
      </c>
      <c r="Y376" s="8" t="s">
        <v>1960</v>
      </c>
      <c r="Z376" s="8" t="s">
        <v>1961</v>
      </c>
    </row>
    <row r="377" customFormat="false" ht="15" hidden="false" customHeight="false" outlineLevel="0" collapsed="false">
      <c r="A377" s="8" t="s">
        <v>312</v>
      </c>
      <c r="B377" s="8" t="s">
        <v>17</v>
      </c>
      <c r="C377" s="8" t="s">
        <v>18</v>
      </c>
      <c r="D377" s="8" t="s">
        <v>615</v>
      </c>
      <c r="E377" s="8" t="s">
        <v>39</v>
      </c>
      <c r="F377" s="8" t="s">
        <v>57</v>
      </c>
      <c r="G377" s="8" t="s">
        <v>31</v>
      </c>
      <c r="H377" s="8" t="s">
        <v>30</v>
      </c>
      <c r="I377" s="8" t="n">
        <f aca="false">IF(EXACT(G377,H377),1,0)</f>
        <v>0</v>
      </c>
      <c r="J377" s="8" t="n">
        <v>0</v>
      </c>
      <c r="K377" s="8" t="s">
        <v>92</v>
      </c>
      <c r="L377" s="8" t="n">
        <v>0</v>
      </c>
      <c r="M377" s="8" t="n">
        <v>4</v>
      </c>
      <c r="N377" s="8" t="s">
        <v>1926</v>
      </c>
      <c r="O377" s="8" t="n">
        <v>2</v>
      </c>
      <c r="P377" s="10" t="n">
        <v>18.41</v>
      </c>
      <c r="Q377" s="8" t="n">
        <v>9462</v>
      </c>
      <c r="R377" s="8" t="n">
        <v>905</v>
      </c>
      <c r="S377" s="8" t="s">
        <v>313</v>
      </c>
      <c r="T377" s="8"/>
      <c r="U377" s="8"/>
      <c r="V377" s="8" t="s">
        <v>155</v>
      </c>
      <c r="W377" s="8"/>
      <c r="X377" s="8" t="s">
        <v>523</v>
      </c>
      <c r="Y377" s="8" t="s">
        <v>1962</v>
      </c>
      <c r="Z377" s="8"/>
    </row>
    <row r="378" customFormat="false" ht="15" hidden="false" customHeight="false" outlineLevel="0" collapsed="false">
      <c r="A378" s="8" t="s">
        <v>312</v>
      </c>
      <c r="B378" s="8" t="s">
        <v>17</v>
      </c>
      <c r="C378" s="8" t="s">
        <v>18</v>
      </c>
      <c r="D378" s="8" t="s">
        <v>615</v>
      </c>
      <c r="E378" s="8" t="s">
        <v>39</v>
      </c>
      <c r="F378" s="8" t="s">
        <v>57</v>
      </c>
      <c r="G378" s="8" t="s">
        <v>31</v>
      </c>
      <c r="H378" s="8" t="s">
        <v>30</v>
      </c>
      <c r="I378" s="8" t="n">
        <f aca="false">IF(EXACT(G378,H378),1,0)</f>
        <v>0</v>
      </c>
      <c r="J378" s="8" t="n">
        <v>1</v>
      </c>
      <c r="K378" s="8" t="s">
        <v>92</v>
      </c>
      <c r="L378" s="8" t="n">
        <v>0</v>
      </c>
      <c r="M378" s="8" t="n">
        <v>4</v>
      </c>
      <c r="N378" s="8" t="s">
        <v>1926</v>
      </c>
      <c r="O378" s="8" t="n">
        <v>2</v>
      </c>
      <c r="P378" s="10" t="n">
        <v>18.29</v>
      </c>
      <c r="Q378" s="8" t="n">
        <v>9461</v>
      </c>
      <c r="R378" s="8" t="n">
        <v>894</v>
      </c>
      <c r="S378" s="8" t="s">
        <v>313</v>
      </c>
      <c r="T378" s="8"/>
      <c r="U378" s="8"/>
      <c r="V378" s="8" t="s">
        <v>155</v>
      </c>
      <c r="W378" s="8"/>
      <c r="X378" s="8" t="s">
        <v>523</v>
      </c>
      <c r="Y378" s="8" t="s">
        <v>1963</v>
      </c>
      <c r="Z378" s="8"/>
    </row>
    <row r="379" customFormat="false" ht="15" hidden="false" customHeight="false" outlineLevel="0" collapsed="false">
      <c r="A379" s="8" t="s">
        <v>312</v>
      </c>
      <c r="B379" s="8" t="s">
        <v>17</v>
      </c>
      <c r="C379" s="8" t="s">
        <v>18</v>
      </c>
      <c r="D379" s="8" t="s">
        <v>615</v>
      </c>
      <c r="E379" s="8" t="s">
        <v>39</v>
      </c>
      <c r="F379" s="8" t="s">
        <v>57</v>
      </c>
      <c r="G379" s="8" t="s">
        <v>31</v>
      </c>
      <c r="H379" s="8" t="s">
        <v>30</v>
      </c>
      <c r="I379" s="8" t="n">
        <f aca="false">IF(EXACT(G379,H379),1,0)</f>
        <v>0</v>
      </c>
      <c r="J379" s="8" t="n">
        <v>2</v>
      </c>
      <c r="K379" s="8" t="s">
        <v>92</v>
      </c>
      <c r="L379" s="8" t="n">
        <v>0</v>
      </c>
      <c r="M379" s="8" t="n">
        <v>4</v>
      </c>
      <c r="N379" s="8" t="s">
        <v>1926</v>
      </c>
      <c r="O379" s="8" t="n">
        <v>2</v>
      </c>
      <c r="P379" s="10" t="n">
        <v>18.23</v>
      </c>
      <c r="Q379" s="8" t="n">
        <v>9461</v>
      </c>
      <c r="R379" s="8" t="n">
        <v>894</v>
      </c>
      <c r="S379" s="8" t="s">
        <v>313</v>
      </c>
      <c r="T379" s="8"/>
      <c r="U379" s="8"/>
      <c r="V379" s="8" t="s">
        <v>155</v>
      </c>
      <c r="W379" s="8"/>
      <c r="X379" s="8" t="s">
        <v>523</v>
      </c>
      <c r="Y379" s="8" t="s">
        <v>1963</v>
      </c>
      <c r="Z379" s="8"/>
    </row>
    <row r="380" customFormat="false" ht="15" hidden="false" customHeight="false" outlineLevel="0" collapsed="false">
      <c r="A380" s="8" t="s">
        <v>315</v>
      </c>
      <c r="B380" s="8" t="s">
        <v>17</v>
      </c>
      <c r="C380" s="8" t="s">
        <v>18</v>
      </c>
      <c r="D380" s="8" t="s">
        <v>615</v>
      </c>
      <c r="E380" s="8" t="s">
        <v>39</v>
      </c>
      <c r="F380" s="8" t="s">
        <v>57</v>
      </c>
      <c r="G380" s="8" t="s">
        <v>31</v>
      </c>
      <c r="H380" s="8" t="s">
        <v>30</v>
      </c>
      <c r="I380" s="8" t="n">
        <f aca="false">IF(EXACT(G380,H380),1,0)</f>
        <v>0</v>
      </c>
      <c r="J380" s="8" t="n">
        <v>0</v>
      </c>
      <c r="K380" s="8" t="s">
        <v>92</v>
      </c>
      <c r="L380" s="8" t="n">
        <v>0</v>
      </c>
      <c r="M380" s="8" t="n">
        <v>4</v>
      </c>
      <c r="N380" s="8" t="s">
        <v>1926</v>
      </c>
      <c r="O380" s="8" t="n">
        <v>2</v>
      </c>
      <c r="P380" s="10" t="n">
        <v>18.8</v>
      </c>
      <c r="Q380" s="8" t="n">
        <v>9456</v>
      </c>
      <c r="R380" s="8" t="n">
        <v>893</v>
      </c>
      <c r="S380" s="8" t="s">
        <v>316</v>
      </c>
      <c r="T380" s="8"/>
      <c r="U380" s="8"/>
      <c r="V380" s="8" t="s">
        <v>155</v>
      </c>
      <c r="W380" s="8"/>
      <c r="X380" s="8" t="s">
        <v>524</v>
      </c>
      <c r="Y380" s="8" t="s">
        <v>1964</v>
      </c>
      <c r="Z380" s="8"/>
    </row>
    <row r="381" customFormat="false" ht="15" hidden="false" customHeight="false" outlineLevel="0" collapsed="false">
      <c r="A381" s="8" t="s">
        <v>315</v>
      </c>
      <c r="B381" s="8" t="s">
        <v>17</v>
      </c>
      <c r="C381" s="8" t="s">
        <v>18</v>
      </c>
      <c r="D381" s="8" t="s">
        <v>615</v>
      </c>
      <c r="E381" s="8" t="s">
        <v>39</v>
      </c>
      <c r="F381" s="8" t="s">
        <v>57</v>
      </c>
      <c r="G381" s="8" t="s">
        <v>31</v>
      </c>
      <c r="H381" s="8" t="s">
        <v>30</v>
      </c>
      <c r="I381" s="8" t="n">
        <f aca="false">IF(EXACT(G381,H381),1,0)</f>
        <v>0</v>
      </c>
      <c r="J381" s="8" t="n">
        <v>1</v>
      </c>
      <c r="K381" s="8" t="s">
        <v>92</v>
      </c>
      <c r="L381" s="8" t="n">
        <v>0</v>
      </c>
      <c r="M381" s="8" t="n">
        <v>4</v>
      </c>
      <c r="N381" s="8" t="s">
        <v>1926</v>
      </c>
      <c r="O381" s="8" t="n">
        <v>2</v>
      </c>
      <c r="P381" s="10" t="n">
        <v>24.08</v>
      </c>
      <c r="Q381" s="8" t="n">
        <v>9459</v>
      </c>
      <c r="R381" s="8" t="n">
        <v>1222</v>
      </c>
      <c r="S381" s="8" t="s">
        <v>316</v>
      </c>
      <c r="T381" s="8"/>
      <c r="U381" s="8"/>
      <c r="V381" s="8" t="s">
        <v>155</v>
      </c>
      <c r="W381" s="8"/>
      <c r="X381" s="8" t="s">
        <v>524</v>
      </c>
      <c r="Y381" s="8" t="s">
        <v>1965</v>
      </c>
      <c r="Z381" s="8"/>
    </row>
    <row r="382" customFormat="false" ht="15" hidden="false" customHeight="false" outlineLevel="0" collapsed="false">
      <c r="A382" s="8" t="s">
        <v>315</v>
      </c>
      <c r="B382" s="8" t="s">
        <v>17</v>
      </c>
      <c r="C382" s="8" t="s">
        <v>18</v>
      </c>
      <c r="D382" s="8" t="s">
        <v>615</v>
      </c>
      <c r="E382" s="8" t="s">
        <v>39</v>
      </c>
      <c r="F382" s="8" t="s">
        <v>57</v>
      </c>
      <c r="G382" s="8" t="s">
        <v>31</v>
      </c>
      <c r="H382" s="8" t="s">
        <v>30</v>
      </c>
      <c r="I382" s="8" t="n">
        <f aca="false">IF(EXACT(G382,H382),1,0)</f>
        <v>0</v>
      </c>
      <c r="J382" s="8" t="n">
        <v>2</v>
      </c>
      <c r="K382" s="8" t="s">
        <v>92</v>
      </c>
      <c r="L382" s="8" t="n">
        <v>0</v>
      </c>
      <c r="M382" s="8" t="n">
        <v>4</v>
      </c>
      <c r="N382" s="8" t="s">
        <v>1926</v>
      </c>
      <c r="O382" s="8" t="n">
        <v>2</v>
      </c>
      <c r="P382" s="10" t="n">
        <v>29.07</v>
      </c>
      <c r="Q382" s="8" t="n">
        <v>9460</v>
      </c>
      <c r="R382" s="8" t="n">
        <v>1219</v>
      </c>
      <c r="S382" s="8" t="s">
        <v>316</v>
      </c>
      <c r="T382" s="8"/>
      <c r="U382" s="8"/>
      <c r="V382" s="8" t="s">
        <v>155</v>
      </c>
      <c r="W382" s="8"/>
      <c r="X382" s="8" t="s">
        <v>524</v>
      </c>
      <c r="Y382" s="8" t="s">
        <v>1966</v>
      </c>
      <c r="Z382" s="8"/>
    </row>
    <row r="383" customFormat="false" ht="15" hidden="false" customHeight="false" outlineLevel="0" collapsed="false">
      <c r="A383" s="8" t="s">
        <v>318</v>
      </c>
      <c r="B383" s="8" t="s">
        <v>17</v>
      </c>
      <c r="C383" s="8" t="s">
        <v>18</v>
      </c>
      <c r="D383" s="8" t="s">
        <v>615</v>
      </c>
      <c r="E383" s="8" t="s">
        <v>39</v>
      </c>
      <c r="F383" s="8" t="s">
        <v>57</v>
      </c>
      <c r="G383" s="8" t="s">
        <v>32</v>
      </c>
      <c r="H383" s="8" t="s">
        <v>30</v>
      </c>
      <c r="I383" s="8" t="n">
        <f aca="false">IF(EXACT(G383,H383),1,0)</f>
        <v>0</v>
      </c>
      <c r="J383" s="8" t="n">
        <v>0</v>
      </c>
      <c r="K383" s="8" t="s">
        <v>92</v>
      </c>
      <c r="L383" s="8" t="n">
        <v>0</v>
      </c>
      <c r="M383" s="8" t="n">
        <v>4</v>
      </c>
      <c r="N383" s="8" t="s">
        <v>1926</v>
      </c>
      <c r="O383" s="8" t="n">
        <v>2</v>
      </c>
      <c r="P383" s="10" t="n">
        <v>21.41</v>
      </c>
      <c r="Q383" s="8" t="n">
        <v>9073</v>
      </c>
      <c r="R383" s="8" t="n">
        <v>938</v>
      </c>
      <c r="S383" s="8" t="s">
        <v>319</v>
      </c>
      <c r="T383" s="8"/>
      <c r="U383" s="8"/>
      <c r="V383" s="8" t="s">
        <v>155</v>
      </c>
      <c r="W383" s="8"/>
      <c r="X383" s="8" t="s">
        <v>525</v>
      </c>
      <c r="Y383" s="8" t="s">
        <v>1967</v>
      </c>
      <c r="Z383" s="8"/>
    </row>
    <row r="384" customFormat="false" ht="15" hidden="false" customHeight="false" outlineLevel="0" collapsed="false">
      <c r="A384" s="8" t="s">
        <v>318</v>
      </c>
      <c r="B384" s="8" t="s">
        <v>17</v>
      </c>
      <c r="C384" s="8" t="s">
        <v>18</v>
      </c>
      <c r="D384" s="8" t="s">
        <v>615</v>
      </c>
      <c r="E384" s="8" t="s">
        <v>39</v>
      </c>
      <c r="F384" s="8" t="s">
        <v>57</v>
      </c>
      <c r="G384" s="8" t="s">
        <v>32</v>
      </c>
      <c r="H384" s="8" t="s">
        <v>30</v>
      </c>
      <c r="I384" s="8" t="n">
        <f aca="false">IF(EXACT(G384,H384),1,0)</f>
        <v>0</v>
      </c>
      <c r="J384" s="8" t="n">
        <v>1</v>
      </c>
      <c r="K384" s="8" t="s">
        <v>92</v>
      </c>
      <c r="L384" s="8" t="n">
        <v>0</v>
      </c>
      <c r="M384" s="8" t="n">
        <v>4</v>
      </c>
      <c r="N384" s="8" t="s">
        <v>1926</v>
      </c>
      <c r="O384" s="8" t="n">
        <v>2</v>
      </c>
      <c r="P384" s="10" t="n">
        <v>20.98</v>
      </c>
      <c r="Q384" s="8" t="n">
        <v>9086</v>
      </c>
      <c r="R384" s="8" t="n">
        <v>950</v>
      </c>
      <c r="S384" s="8" t="s">
        <v>319</v>
      </c>
      <c r="T384" s="8"/>
      <c r="U384" s="8"/>
      <c r="V384" s="8" t="s">
        <v>155</v>
      </c>
      <c r="W384" s="8"/>
      <c r="X384" s="8" t="s">
        <v>525</v>
      </c>
      <c r="Y384" s="8" t="s">
        <v>1968</v>
      </c>
      <c r="Z384" s="8"/>
    </row>
    <row r="385" customFormat="false" ht="15" hidden="false" customHeight="false" outlineLevel="0" collapsed="false">
      <c r="A385" s="8" t="s">
        <v>318</v>
      </c>
      <c r="B385" s="8" t="s">
        <v>17</v>
      </c>
      <c r="C385" s="8" t="s">
        <v>18</v>
      </c>
      <c r="D385" s="8" t="s">
        <v>615</v>
      </c>
      <c r="E385" s="8" t="s">
        <v>39</v>
      </c>
      <c r="F385" s="8" t="s">
        <v>57</v>
      </c>
      <c r="G385" s="8" t="s">
        <v>32</v>
      </c>
      <c r="H385" s="8" t="s">
        <v>30</v>
      </c>
      <c r="I385" s="8" t="n">
        <f aca="false">IF(EXACT(G385,H385),1,0)</f>
        <v>0</v>
      </c>
      <c r="J385" s="8" t="n">
        <v>2</v>
      </c>
      <c r="K385" s="8" t="s">
        <v>92</v>
      </c>
      <c r="L385" s="8" t="n">
        <v>0</v>
      </c>
      <c r="M385" s="8" t="n">
        <v>4</v>
      </c>
      <c r="N385" s="8" t="s">
        <v>1926</v>
      </c>
      <c r="O385" s="8" t="n">
        <v>2</v>
      </c>
      <c r="P385" s="10" t="n">
        <v>25.04</v>
      </c>
      <c r="Q385" s="8" t="n">
        <v>9086</v>
      </c>
      <c r="R385" s="8" t="n">
        <v>982</v>
      </c>
      <c r="S385" s="8" t="s">
        <v>319</v>
      </c>
      <c r="T385" s="8"/>
      <c r="U385" s="8"/>
      <c r="V385" s="8" t="s">
        <v>155</v>
      </c>
      <c r="W385" s="8"/>
      <c r="X385" s="8" t="s">
        <v>525</v>
      </c>
      <c r="Y385" s="8" t="s">
        <v>1969</v>
      </c>
      <c r="Z385" s="8"/>
    </row>
    <row r="386" customFormat="false" ht="15" hidden="false" customHeight="false" outlineLevel="0" collapsed="false">
      <c r="A386" s="8" t="s">
        <v>321</v>
      </c>
      <c r="B386" s="8" t="s">
        <v>17</v>
      </c>
      <c r="C386" s="8" t="s">
        <v>18</v>
      </c>
      <c r="D386" s="8" t="s">
        <v>615</v>
      </c>
      <c r="E386" s="8" t="s">
        <v>39</v>
      </c>
      <c r="F386" s="8" t="s">
        <v>57</v>
      </c>
      <c r="G386" s="8" t="s">
        <v>32</v>
      </c>
      <c r="H386" s="8" t="s">
        <v>30</v>
      </c>
      <c r="I386" s="8" t="n">
        <f aca="false">IF(EXACT(G386,H386),1,0)</f>
        <v>0</v>
      </c>
      <c r="J386" s="8" t="n">
        <v>0</v>
      </c>
      <c r="K386" s="8" t="s">
        <v>92</v>
      </c>
      <c r="L386" s="8" t="n">
        <v>0</v>
      </c>
      <c r="M386" s="8" t="n">
        <v>4</v>
      </c>
      <c r="N386" s="8" t="s">
        <v>1926</v>
      </c>
      <c r="O386" s="8" t="n">
        <v>2</v>
      </c>
      <c r="P386" s="10" t="n">
        <v>27.81</v>
      </c>
      <c r="Q386" s="8" t="n">
        <v>9340</v>
      </c>
      <c r="R386" s="8" t="n">
        <v>1253</v>
      </c>
      <c r="S386" s="8" t="s">
        <v>322</v>
      </c>
      <c r="T386" s="8"/>
      <c r="U386" s="8"/>
      <c r="V386" s="8" t="s">
        <v>155</v>
      </c>
      <c r="W386" s="8"/>
      <c r="X386" s="8" t="s">
        <v>526</v>
      </c>
      <c r="Y386" s="8" t="s">
        <v>1970</v>
      </c>
      <c r="Z386" s="8"/>
    </row>
    <row r="387" customFormat="false" ht="15" hidden="false" customHeight="false" outlineLevel="0" collapsed="false">
      <c r="A387" s="8" t="s">
        <v>321</v>
      </c>
      <c r="B387" s="8" t="s">
        <v>17</v>
      </c>
      <c r="C387" s="8" t="s">
        <v>18</v>
      </c>
      <c r="D387" s="8" t="s">
        <v>615</v>
      </c>
      <c r="E387" s="8" t="s">
        <v>39</v>
      </c>
      <c r="F387" s="8" t="s">
        <v>57</v>
      </c>
      <c r="G387" s="8" t="s">
        <v>32</v>
      </c>
      <c r="H387" s="8" t="s">
        <v>30</v>
      </c>
      <c r="I387" s="8" t="n">
        <f aca="false">IF(EXACT(G387,H387),1,0)</f>
        <v>0</v>
      </c>
      <c r="J387" s="8" t="n">
        <v>1</v>
      </c>
      <c r="K387" s="8" t="s">
        <v>92</v>
      </c>
      <c r="L387" s="8" t="n">
        <v>0</v>
      </c>
      <c r="M387" s="8" t="n">
        <v>4</v>
      </c>
      <c r="N387" s="8" t="s">
        <v>1926</v>
      </c>
      <c r="O387" s="8" t="n">
        <v>2</v>
      </c>
      <c r="P387" s="10" t="n">
        <v>54.49</v>
      </c>
      <c r="Q387" s="8" t="n">
        <v>9340</v>
      </c>
      <c r="R387" s="8" t="n">
        <v>1231</v>
      </c>
      <c r="S387" s="8" t="s">
        <v>322</v>
      </c>
      <c r="T387" s="8"/>
      <c r="U387" s="8"/>
      <c r="V387" s="8" t="s">
        <v>155</v>
      </c>
      <c r="W387" s="8"/>
      <c r="X387" s="8" t="s">
        <v>526</v>
      </c>
      <c r="Y387" s="8" t="s">
        <v>1970</v>
      </c>
      <c r="Z387" s="8"/>
    </row>
    <row r="388" customFormat="false" ht="15" hidden="false" customHeight="false" outlineLevel="0" collapsed="false">
      <c r="A388" s="8" t="s">
        <v>321</v>
      </c>
      <c r="B388" s="8" t="s">
        <v>17</v>
      </c>
      <c r="C388" s="8" t="s">
        <v>18</v>
      </c>
      <c r="D388" s="8" t="s">
        <v>615</v>
      </c>
      <c r="E388" s="8" t="s">
        <v>39</v>
      </c>
      <c r="F388" s="8" t="s">
        <v>57</v>
      </c>
      <c r="G388" s="8" t="s">
        <v>32</v>
      </c>
      <c r="H388" s="8" t="s">
        <v>30</v>
      </c>
      <c r="I388" s="8" t="n">
        <f aca="false">IF(EXACT(G388,H388),1,0)</f>
        <v>0</v>
      </c>
      <c r="J388" s="8" t="n">
        <v>2</v>
      </c>
      <c r="K388" s="8" t="s">
        <v>92</v>
      </c>
      <c r="L388" s="8" t="n">
        <v>0</v>
      </c>
      <c r="M388" s="8" t="n">
        <v>4</v>
      </c>
      <c r="N388" s="8" t="s">
        <v>1926</v>
      </c>
      <c r="O388" s="8" t="n">
        <v>2</v>
      </c>
      <c r="P388" s="10" t="n">
        <v>25.96</v>
      </c>
      <c r="Q388" s="8" t="n">
        <v>9340</v>
      </c>
      <c r="R388" s="8" t="n">
        <v>1234</v>
      </c>
      <c r="S388" s="8" t="s">
        <v>322</v>
      </c>
      <c r="T388" s="8"/>
      <c r="U388" s="8"/>
      <c r="V388" s="8" t="s">
        <v>155</v>
      </c>
      <c r="W388" s="8"/>
      <c r="X388" s="8" t="s">
        <v>526</v>
      </c>
      <c r="Y388" s="8" t="s">
        <v>1971</v>
      </c>
      <c r="Z388" s="8"/>
    </row>
    <row r="389" customFormat="false" ht="15" hidden="false" customHeight="false" outlineLevel="0" collapsed="false">
      <c r="A389" s="8" t="s">
        <v>324</v>
      </c>
      <c r="B389" s="8" t="s">
        <v>17</v>
      </c>
      <c r="C389" s="8" t="s">
        <v>18</v>
      </c>
      <c r="D389" s="8" t="s">
        <v>615</v>
      </c>
      <c r="E389" s="8" t="s">
        <v>39</v>
      </c>
      <c r="F389" s="8" t="s">
        <v>57</v>
      </c>
      <c r="G389" s="8" t="s">
        <v>30</v>
      </c>
      <c r="H389" s="8" t="s">
        <v>30</v>
      </c>
      <c r="I389" s="8" t="n">
        <f aca="false">IF(EXACT(G389,H389),1,0)</f>
        <v>1</v>
      </c>
      <c r="J389" s="8" t="n">
        <v>0</v>
      </c>
      <c r="K389" s="8" t="s">
        <v>92</v>
      </c>
      <c r="L389" s="8" t="n">
        <v>0</v>
      </c>
      <c r="M389" s="8" t="n">
        <v>4</v>
      </c>
      <c r="N389" s="8" t="s">
        <v>1926</v>
      </c>
      <c r="O389" s="8" t="n">
        <v>2</v>
      </c>
      <c r="P389" s="10" t="n">
        <v>26.28</v>
      </c>
      <c r="Q389" s="8" t="n">
        <v>9685</v>
      </c>
      <c r="R389" s="8" t="n">
        <v>1391</v>
      </c>
      <c r="S389" s="8" t="s">
        <v>325</v>
      </c>
      <c r="T389" s="8"/>
      <c r="U389" s="8"/>
      <c r="V389" s="8" t="s">
        <v>155</v>
      </c>
      <c r="W389" s="8"/>
      <c r="X389" s="8" t="s">
        <v>527</v>
      </c>
      <c r="Y389" s="8" t="s">
        <v>1972</v>
      </c>
      <c r="Z389" s="8"/>
    </row>
    <row r="390" customFormat="false" ht="15" hidden="false" customHeight="false" outlineLevel="0" collapsed="false">
      <c r="A390" s="8" t="s">
        <v>324</v>
      </c>
      <c r="B390" s="8" t="s">
        <v>17</v>
      </c>
      <c r="C390" s="8" t="s">
        <v>18</v>
      </c>
      <c r="D390" s="8" t="s">
        <v>615</v>
      </c>
      <c r="E390" s="8" t="s">
        <v>39</v>
      </c>
      <c r="F390" s="8" t="s">
        <v>57</v>
      </c>
      <c r="G390" s="8" t="s">
        <v>30</v>
      </c>
      <c r="H390" s="8" t="s">
        <v>30</v>
      </c>
      <c r="I390" s="8" t="n">
        <f aca="false">IF(EXACT(G390,H390),1,0)</f>
        <v>1</v>
      </c>
      <c r="J390" s="8" t="n">
        <v>1</v>
      </c>
      <c r="K390" s="8" t="s">
        <v>92</v>
      </c>
      <c r="L390" s="8" t="n">
        <v>0</v>
      </c>
      <c r="M390" s="8" t="n">
        <v>4</v>
      </c>
      <c r="N390" s="8" t="s">
        <v>1926</v>
      </c>
      <c r="O390" s="8" t="n">
        <v>2</v>
      </c>
      <c r="P390" s="10" t="n">
        <v>24.81</v>
      </c>
      <c r="Q390" s="8" t="n">
        <v>9671</v>
      </c>
      <c r="R390" s="8" t="n">
        <v>1362</v>
      </c>
      <c r="S390" s="8" t="s">
        <v>325</v>
      </c>
      <c r="T390" s="8"/>
      <c r="U390" s="8"/>
      <c r="V390" s="8" t="s">
        <v>155</v>
      </c>
      <c r="W390" s="8"/>
      <c r="X390" s="8" t="s">
        <v>527</v>
      </c>
      <c r="Y390" s="8" t="s">
        <v>1973</v>
      </c>
      <c r="Z390" s="8"/>
    </row>
    <row r="391" customFormat="false" ht="15" hidden="false" customHeight="false" outlineLevel="0" collapsed="false">
      <c r="A391" s="8" t="s">
        <v>324</v>
      </c>
      <c r="B391" s="8" t="s">
        <v>17</v>
      </c>
      <c r="C391" s="8" t="s">
        <v>18</v>
      </c>
      <c r="D391" s="8" t="s">
        <v>615</v>
      </c>
      <c r="E391" s="8" t="s">
        <v>39</v>
      </c>
      <c r="F391" s="8" t="s">
        <v>57</v>
      </c>
      <c r="G391" s="8" t="s">
        <v>30</v>
      </c>
      <c r="H391" s="8" t="s">
        <v>30</v>
      </c>
      <c r="I391" s="8" t="n">
        <f aca="false">IF(EXACT(G391,H391),1,0)</f>
        <v>1</v>
      </c>
      <c r="J391" s="8" t="n">
        <v>2</v>
      </c>
      <c r="K391" s="8" t="s">
        <v>92</v>
      </c>
      <c r="L391" s="8" t="n">
        <v>0</v>
      </c>
      <c r="M391" s="8" t="n">
        <v>4</v>
      </c>
      <c r="N391" s="8" t="s">
        <v>1926</v>
      </c>
      <c r="O391" s="8" t="n">
        <v>2</v>
      </c>
      <c r="P391" s="10" t="n">
        <v>31.01</v>
      </c>
      <c r="Q391" s="8" t="n">
        <v>9671</v>
      </c>
      <c r="R391" s="8" t="n">
        <v>1371</v>
      </c>
      <c r="S391" s="8" t="s">
        <v>325</v>
      </c>
      <c r="T391" s="8"/>
      <c r="U391" s="8"/>
      <c r="V391" s="8" t="s">
        <v>155</v>
      </c>
      <c r="W391" s="8"/>
      <c r="X391" s="8" t="s">
        <v>527</v>
      </c>
      <c r="Y391" s="8" t="s">
        <v>1974</v>
      </c>
      <c r="Z391" s="8"/>
    </row>
    <row r="392" customFormat="false" ht="15" hidden="false" customHeight="false" outlineLevel="0" collapsed="false">
      <c r="A392" s="8" t="s">
        <v>327</v>
      </c>
      <c r="B392" s="8" t="s">
        <v>17</v>
      </c>
      <c r="C392" s="8" t="s">
        <v>18</v>
      </c>
      <c r="D392" s="8" t="s">
        <v>615</v>
      </c>
      <c r="E392" s="8" t="s">
        <v>39</v>
      </c>
      <c r="F392" s="8" t="s">
        <v>57</v>
      </c>
      <c r="G392" s="8" t="s">
        <v>30</v>
      </c>
      <c r="H392" s="8" t="s">
        <v>30</v>
      </c>
      <c r="I392" s="8" t="n">
        <f aca="false">IF(EXACT(G392,H392),1,0)</f>
        <v>1</v>
      </c>
      <c r="J392" s="8" t="n">
        <v>0</v>
      </c>
      <c r="K392" s="8" t="s">
        <v>92</v>
      </c>
      <c r="L392" s="8" t="n">
        <v>0</v>
      </c>
      <c r="M392" s="8" t="n">
        <v>4</v>
      </c>
      <c r="N392" s="8" t="s">
        <v>1926</v>
      </c>
      <c r="O392" s="8" t="n">
        <v>2</v>
      </c>
      <c r="P392" s="10" t="n">
        <v>19.58</v>
      </c>
      <c r="Q392" s="8" t="n">
        <v>9650</v>
      </c>
      <c r="R392" s="8" t="n">
        <v>1029</v>
      </c>
      <c r="S392" s="8" t="s">
        <v>328</v>
      </c>
      <c r="T392" s="8"/>
      <c r="U392" s="8"/>
      <c r="V392" s="8" t="s">
        <v>155</v>
      </c>
      <c r="W392" s="8"/>
      <c r="X392" s="8" t="s">
        <v>528</v>
      </c>
      <c r="Y392" s="8" t="s">
        <v>1975</v>
      </c>
      <c r="Z392" s="8"/>
    </row>
    <row r="393" customFormat="false" ht="15" hidden="false" customHeight="false" outlineLevel="0" collapsed="false">
      <c r="A393" s="8" t="s">
        <v>327</v>
      </c>
      <c r="B393" s="8" t="s">
        <v>17</v>
      </c>
      <c r="C393" s="8" t="s">
        <v>18</v>
      </c>
      <c r="D393" s="8" t="s">
        <v>615</v>
      </c>
      <c r="E393" s="8" t="s">
        <v>39</v>
      </c>
      <c r="F393" s="8" t="s">
        <v>57</v>
      </c>
      <c r="G393" s="8" t="s">
        <v>30</v>
      </c>
      <c r="H393" s="8" t="s">
        <v>30</v>
      </c>
      <c r="I393" s="8" t="n">
        <f aca="false">IF(EXACT(G393,H393),1,0)</f>
        <v>1</v>
      </c>
      <c r="J393" s="8" t="n">
        <v>1</v>
      </c>
      <c r="K393" s="8" t="s">
        <v>92</v>
      </c>
      <c r="L393" s="8" t="n">
        <v>0</v>
      </c>
      <c r="M393" s="8" t="n">
        <v>4</v>
      </c>
      <c r="N393" s="8" t="s">
        <v>1926</v>
      </c>
      <c r="O393" s="8" t="n">
        <v>2</v>
      </c>
      <c r="P393" s="10" t="n">
        <v>19.18</v>
      </c>
      <c r="Q393" s="8" t="n">
        <v>9650</v>
      </c>
      <c r="R393" s="8" t="n">
        <v>1030</v>
      </c>
      <c r="S393" s="8" t="s">
        <v>328</v>
      </c>
      <c r="T393" s="8"/>
      <c r="U393" s="8"/>
      <c r="V393" s="8" t="s">
        <v>155</v>
      </c>
      <c r="W393" s="8"/>
      <c r="X393" s="8" t="s">
        <v>528</v>
      </c>
      <c r="Y393" s="8" t="s">
        <v>1976</v>
      </c>
      <c r="Z393" s="8"/>
    </row>
    <row r="394" customFormat="false" ht="15" hidden="false" customHeight="false" outlineLevel="0" collapsed="false">
      <c r="A394" s="8" t="s">
        <v>327</v>
      </c>
      <c r="B394" s="8" t="s">
        <v>17</v>
      </c>
      <c r="C394" s="8" t="s">
        <v>18</v>
      </c>
      <c r="D394" s="8" t="s">
        <v>615</v>
      </c>
      <c r="E394" s="8" t="s">
        <v>39</v>
      </c>
      <c r="F394" s="8" t="s">
        <v>57</v>
      </c>
      <c r="G394" s="8" t="s">
        <v>30</v>
      </c>
      <c r="H394" s="8" t="s">
        <v>30</v>
      </c>
      <c r="I394" s="8" t="n">
        <f aca="false">IF(EXACT(G394,H394),1,0)</f>
        <v>1</v>
      </c>
      <c r="J394" s="8" t="n">
        <v>2</v>
      </c>
      <c r="K394" s="8" t="s">
        <v>92</v>
      </c>
      <c r="L394" s="8" t="n">
        <v>0</v>
      </c>
      <c r="M394" s="8" t="n">
        <v>4</v>
      </c>
      <c r="N394" s="8" t="s">
        <v>1926</v>
      </c>
      <c r="O394" s="8" t="n">
        <v>2</v>
      </c>
      <c r="P394" s="10" t="n">
        <v>19.61</v>
      </c>
      <c r="Q394" s="8" t="n">
        <v>9650</v>
      </c>
      <c r="R394" s="8" t="n">
        <v>1028</v>
      </c>
      <c r="S394" s="8" t="s">
        <v>328</v>
      </c>
      <c r="T394" s="8"/>
      <c r="U394" s="8"/>
      <c r="V394" s="8" t="s">
        <v>155</v>
      </c>
      <c r="W394" s="8"/>
      <c r="X394" s="8" t="s">
        <v>528</v>
      </c>
      <c r="Y394" s="8" t="s">
        <v>1977</v>
      </c>
      <c r="Z394" s="8"/>
    </row>
    <row r="395" customFormat="false" ht="15" hidden="false" customHeight="false" outlineLevel="0" collapsed="false">
      <c r="A395" s="8" t="s">
        <v>391</v>
      </c>
      <c r="B395" s="8" t="s">
        <v>17</v>
      </c>
      <c r="C395" s="8" t="s">
        <v>18</v>
      </c>
      <c r="D395" s="8" t="s">
        <v>615</v>
      </c>
      <c r="E395" s="8" t="s">
        <v>39</v>
      </c>
      <c r="F395" s="8" t="s">
        <v>59</v>
      </c>
      <c r="G395" s="8" t="s">
        <v>31</v>
      </c>
      <c r="H395" s="8" t="s">
        <v>31</v>
      </c>
      <c r="I395" s="8" t="n">
        <f aca="false">IF(EXACT(G395,H395),1,0)</f>
        <v>1</v>
      </c>
      <c r="J395" s="8" t="n">
        <v>0</v>
      </c>
      <c r="K395" s="8" t="s">
        <v>737</v>
      </c>
      <c r="L395" s="8" t="n">
        <v>1</v>
      </c>
      <c r="M395" s="8" t="n">
        <v>4</v>
      </c>
      <c r="N395" s="8" t="s">
        <v>1926</v>
      </c>
      <c r="O395" s="8" t="n">
        <v>2</v>
      </c>
      <c r="P395" s="10" t="n">
        <v>24</v>
      </c>
      <c r="Q395" s="8" t="n">
        <v>10016</v>
      </c>
      <c r="R395" s="8" t="n">
        <v>1177</v>
      </c>
      <c r="S395" s="8" t="s">
        <v>392</v>
      </c>
      <c r="T395" s="8"/>
      <c r="U395" s="8"/>
      <c r="V395" s="8" t="s">
        <v>155</v>
      </c>
      <c r="W395" s="8"/>
      <c r="X395" s="8" t="s">
        <v>529</v>
      </c>
      <c r="Y395" s="8" t="s">
        <v>1978</v>
      </c>
      <c r="Z395" s="8" t="s">
        <v>1979</v>
      </c>
    </row>
    <row r="396" customFormat="false" ht="15" hidden="false" customHeight="false" outlineLevel="0" collapsed="false">
      <c r="A396" s="8" t="s">
        <v>391</v>
      </c>
      <c r="B396" s="8" t="s">
        <v>17</v>
      </c>
      <c r="C396" s="8" t="s">
        <v>18</v>
      </c>
      <c r="D396" s="8" t="s">
        <v>615</v>
      </c>
      <c r="E396" s="8" t="s">
        <v>39</v>
      </c>
      <c r="F396" s="8" t="s">
        <v>59</v>
      </c>
      <c r="G396" s="8" t="s">
        <v>31</v>
      </c>
      <c r="H396" s="8" t="s">
        <v>31</v>
      </c>
      <c r="I396" s="8" t="n">
        <f aca="false">IF(EXACT(G396,H396),1,0)</f>
        <v>1</v>
      </c>
      <c r="J396" s="8" t="n">
        <v>1</v>
      </c>
      <c r="K396" s="8" t="s">
        <v>737</v>
      </c>
      <c r="L396" s="8" t="n">
        <v>1</v>
      </c>
      <c r="M396" s="8" t="n">
        <v>4</v>
      </c>
      <c r="N396" s="8" t="s">
        <v>1926</v>
      </c>
      <c r="O396" s="8" t="n">
        <v>2</v>
      </c>
      <c r="P396" s="10" t="n">
        <v>40.4</v>
      </c>
      <c r="Q396" s="8" t="n">
        <v>10016</v>
      </c>
      <c r="R396" s="8" t="n">
        <v>1478</v>
      </c>
      <c r="S396" s="8" t="s">
        <v>392</v>
      </c>
      <c r="T396" s="8"/>
      <c r="U396" s="8"/>
      <c r="V396" s="8" t="s">
        <v>155</v>
      </c>
      <c r="W396" s="8"/>
      <c r="X396" s="8" t="s">
        <v>529</v>
      </c>
      <c r="Y396" s="8" t="s">
        <v>1980</v>
      </c>
      <c r="Z396" s="8" t="s">
        <v>1981</v>
      </c>
    </row>
    <row r="397" customFormat="false" ht="15" hidden="false" customHeight="false" outlineLevel="0" collapsed="false">
      <c r="A397" s="8" t="s">
        <v>391</v>
      </c>
      <c r="B397" s="8" t="s">
        <v>17</v>
      </c>
      <c r="C397" s="8" t="s">
        <v>18</v>
      </c>
      <c r="D397" s="8" t="s">
        <v>615</v>
      </c>
      <c r="E397" s="8" t="s">
        <v>39</v>
      </c>
      <c r="F397" s="8" t="s">
        <v>59</v>
      </c>
      <c r="G397" s="8" t="s">
        <v>31</v>
      </c>
      <c r="H397" s="8" t="s">
        <v>31</v>
      </c>
      <c r="I397" s="8" t="n">
        <f aca="false">IF(EXACT(G397,H397),1,0)</f>
        <v>1</v>
      </c>
      <c r="J397" s="8" t="n">
        <v>2</v>
      </c>
      <c r="K397" s="8" t="s">
        <v>737</v>
      </c>
      <c r="L397" s="8" t="n">
        <v>1</v>
      </c>
      <c r="M397" s="8" t="n">
        <v>4</v>
      </c>
      <c r="N397" s="8" t="s">
        <v>1926</v>
      </c>
      <c r="O397" s="8" t="n">
        <v>2</v>
      </c>
      <c r="P397" s="10" t="n">
        <v>28.36</v>
      </c>
      <c r="Q397" s="8" t="n">
        <v>10029</v>
      </c>
      <c r="R397" s="8" t="n">
        <v>1402</v>
      </c>
      <c r="S397" s="8" t="s">
        <v>392</v>
      </c>
      <c r="T397" s="8"/>
      <c r="U397" s="8"/>
      <c r="V397" s="8" t="s">
        <v>155</v>
      </c>
      <c r="W397" s="8"/>
      <c r="X397" s="8" t="s">
        <v>529</v>
      </c>
      <c r="Y397" s="8" t="s">
        <v>1982</v>
      </c>
      <c r="Z397" s="8" t="s">
        <v>1983</v>
      </c>
    </row>
    <row r="398" customFormat="false" ht="15" hidden="false" customHeight="false" outlineLevel="0" collapsed="false">
      <c r="A398" s="8" t="s">
        <v>395</v>
      </c>
      <c r="B398" s="8" t="s">
        <v>17</v>
      </c>
      <c r="C398" s="8" t="s">
        <v>18</v>
      </c>
      <c r="D398" s="8" t="s">
        <v>615</v>
      </c>
      <c r="E398" s="8" t="s">
        <v>39</v>
      </c>
      <c r="F398" s="8" t="s">
        <v>59</v>
      </c>
      <c r="G398" s="8" t="s">
        <v>31</v>
      </c>
      <c r="H398" s="8" t="s">
        <v>31</v>
      </c>
      <c r="I398" s="8" t="n">
        <f aca="false">IF(EXACT(G398,H398),1,0)</f>
        <v>1</v>
      </c>
      <c r="J398" s="8" t="n">
        <v>0</v>
      </c>
      <c r="K398" s="8" t="s">
        <v>737</v>
      </c>
      <c r="L398" s="8" t="n">
        <v>1</v>
      </c>
      <c r="M398" s="8" t="n">
        <v>4</v>
      </c>
      <c r="N398" s="8" t="s">
        <v>1926</v>
      </c>
      <c r="O398" s="8" t="n">
        <v>2</v>
      </c>
      <c r="P398" s="10" t="n">
        <v>35.69</v>
      </c>
      <c r="Q398" s="8" t="n">
        <v>9298</v>
      </c>
      <c r="R398" s="8" t="n">
        <v>1325</v>
      </c>
      <c r="S398" s="8" t="s">
        <v>396</v>
      </c>
      <c r="T398" s="8"/>
      <c r="U398" s="8"/>
      <c r="V398" s="8" t="s">
        <v>155</v>
      </c>
      <c r="W398" s="8"/>
      <c r="X398" s="8" t="s">
        <v>530</v>
      </c>
      <c r="Y398" s="8" t="s">
        <v>1984</v>
      </c>
      <c r="Z398" s="8" t="s">
        <v>1985</v>
      </c>
    </row>
    <row r="399" customFormat="false" ht="15" hidden="false" customHeight="false" outlineLevel="0" collapsed="false">
      <c r="A399" s="8" t="s">
        <v>395</v>
      </c>
      <c r="B399" s="8" t="s">
        <v>17</v>
      </c>
      <c r="C399" s="8" t="s">
        <v>18</v>
      </c>
      <c r="D399" s="8" t="s">
        <v>615</v>
      </c>
      <c r="E399" s="8" t="s">
        <v>39</v>
      </c>
      <c r="F399" s="8" t="s">
        <v>59</v>
      </c>
      <c r="G399" s="8" t="s">
        <v>31</v>
      </c>
      <c r="H399" s="8" t="s">
        <v>31</v>
      </c>
      <c r="I399" s="8" t="n">
        <f aca="false">IF(EXACT(G399,H399),1,0)</f>
        <v>1</v>
      </c>
      <c r="J399" s="8" t="n">
        <v>1</v>
      </c>
      <c r="K399" s="8" t="s">
        <v>737</v>
      </c>
      <c r="L399" s="8" t="n">
        <v>1</v>
      </c>
      <c r="M399" s="8" t="n">
        <v>4</v>
      </c>
      <c r="N399" s="8" t="s">
        <v>1926</v>
      </c>
      <c r="O399" s="8" t="n">
        <v>2</v>
      </c>
      <c r="P399" s="10" t="n">
        <v>37.57</v>
      </c>
      <c r="Q399" s="8" t="n">
        <v>9298</v>
      </c>
      <c r="R399" s="8" t="n">
        <v>1417</v>
      </c>
      <c r="S399" s="8" t="s">
        <v>396</v>
      </c>
      <c r="T399" s="8"/>
      <c r="U399" s="8"/>
      <c r="V399" s="8" t="s">
        <v>155</v>
      </c>
      <c r="W399" s="8"/>
      <c r="X399" s="8" t="s">
        <v>530</v>
      </c>
      <c r="Y399" s="8" t="s">
        <v>1986</v>
      </c>
      <c r="Z399" s="8" t="s">
        <v>1987</v>
      </c>
    </row>
    <row r="400" customFormat="false" ht="15" hidden="false" customHeight="false" outlineLevel="0" collapsed="false">
      <c r="A400" s="8" t="s">
        <v>395</v>
      </c>
      <c r="B400" s="8" t="s">
        <v>17</v>
      </c>
      <c r="C400" s="8" t="s">
        <v>18</v>
      </c>
      <c r="D400" s="8" t="s">
        <v>615</v>
      </c>
      <c r="E400" s="8" t="s">
        <v>39</v>
      </c>
      <c r="F400" s="8" t="s">
        <v>59</v>
      </c>
      <c r="G400" s="8" t="s">
        <v>31</v>
      </c>
      <c r="H400" s="8" t="s">
        <v>31</v>
      </c>
      <c r="I400" s="8" t="n">
        <f aca="false">IF(EXACT(G400,H400),1,0)</f>
        <v>1</v>
      </c>
      <c r="J400" s="8" t="n">
        <v>2</v>
      </c>
      <c r="K400" s="8" t="s">
        <v>737</v>
      </c>
      <c r="L400" s="8" t="n">
        <v>1</v>
      </c>
      <c r="M400" s="8" t="n">
        <v>4</v>
      </c>
      <c r="N400" s="8" t="s">
        <v>1926</v>
      </c>
      <c r="O400" s="8" t="n">
        <v>2</v>
      </c>
      <c r="P400" s="10" t="n">
        <v>42.1</v>
      </c>
      <c r="Q400" s="8" t="n">
        <v>9298</v>
      </c>
      <c r="R400" s="8" t="n">
        <v>1284</v>
      </c>
      <c r="S400" s="8" t="s">
        <v>396</v>
      </c>
      <c r="T400" s="8"/>
      <c r="U400" s="8"/>
      <c r="V400" s="8" t="s">
        <v>155</v>
      </c>
      <c r="W400" s="8"/>
      <c r="X400" s="8" t="s">
        <v>530</v>
      </c>
      <c r="Y400" s="8" t="s">
        <v>1988</v>
      </c>
      <c r="Z400" s="8" t="s">
        <v>1989</v>
      </c>
    </row>
    <row r="401" customFormat="false" ht="15" hidden="false" customHeight="false" outlineLevel="0" collapsed="false">
      <c r="A401" s="8" t="s">
        <v>399</v>
      </c>
      <c r="B401" s="8" t="s">
        <v>17</v>
      </c>
      <c r="C401" s="8" t="s">
        <v>18</v>
      </c>
      <c r="D401" s="8" t="s">
        <v>615</v>
      </c>
      <c r="E401" s="8" t="s">
        <v>39</v>
      </c>
      <c r="F401" s="8" t="s">
        <v>59</v>
      </c>
      <c r="G401" s="8" t="s">
        <v>32</v>
      </c>
      <c r="H401" s="8" t="s">
        <v>30</v>
      </c>
      <c r="I401" s="8" t="n">
        <f aca="false">IF(EXACT(G401,H401),1,0)</f>
        <v>0</v>
      </c>
      <c r="J401" s="8" t="n">
        <v>0</v>
      </c>
      <c r="K401" s="8" t="s">
        <v>92</v>
      </c>
      <c r="L401" s="8" t="n">
        <v>0</v>
      </c>
      <c r="M401" s="8" t="n">
        <v>4</v>
      </c>
      <c r="N401" s="8" t="s">
        <v>1926</v>
      </c>
      <c r="O401" s="8" t="n">
        <v>2</v>
      </c>
      <c r="P401" s="10" t="n">
        <v>22.7</v>
      </c>
      <c r="Q401" s="8" t="n">
        <v>9621</v>
      </c>
      <c r="R401" s="8" t="n">
        <v>1132</v>
      </c>
      <c r="S401" s="8" t="s">
        <v>400</v>
      </c>
      <c r="T401" s="8"/>
      <c r="U401" s="8"/>
      <c r="V401" s="8" t="s">
        <v>155</v>
      </c>
      <c r="W401" s="8"/>
      <c r="X401" s="8" t="s">
        <v>531</v>
      </c>
      <c r="Y401" s="8" t="s">
        <v>1990</v>
      </c>
      <c r="Z401" s="8"/>
    </row>
    <row r="402" customFormat="false" ht="15" hidden="false" customHeight="false" outlineLevel="0" collapsed="false">
      <c r="A402" s="8" t="s">
        <v>399</v>
      </c>
      <c r="B402" s="8" t="s">
        <v>17</v>
      </c>
      <c r="C402" s="8" t="s">
        <v>18</v>
      </c>
      <c r="D402" s="8" t="s">
        <v>615</v>
      </c>
      <c r="E402" s="8" t="s">
        <v>39</v>
      </c>
      <c r="F402" s="8" t="s">
        <v>59</v>
      </c>
      <c r="G402" s="8" t="s">
        <v>32</v>
      </c>
      <c r="H402" s="8" t="s">
        <v>30</v>
      </c>
      <c r="I402" s="8" t="n">
        <f aca="false">IF(EXACT(G402,H402),1,0)</f>
        <v>0</v>
      </c>
      <c r="J402" s="8" t="n">
        <v>1</v>
      </c>
      <c r="K402" s="8" t="s">
        <v>92</v>
      </c>
      <c r="L402" s="8" t="n">
        <v>0</v>
      </c>
      <c r="M402" s="8" t="n">
        <v>4</v>
      </c>
      <c r="N402" s="8" t="s">
        <v>1926</v>
      </c>
      <c r="O402" s="8" t="n">
        <v>2</v>
      </c>
      <c r="P402" s="10" t="n">
        <v>23.32</v>
      </c>
      <c r="Q402" s="8" t="n">
        <v>9622</v>
      </c>
      <c r="R402" s="8" t="n">
        <v>1134</v>
      </c>
      <c r="S402" s="8" t="s">
        <v>400</v>
      </c>
      <c r="T402" s="8"/>
      <c r="U402" s="8"/>
      <c r="V402" s="8" t="s">
        <v>155</v>
      </c>
      <c r="W402" s="8"/>
      <c r="X402" s="8" t="s">
        <v>531</v>
      </c>
      <c r="Y402" s="8" t="s">
        <v>1991</v>
      </c>
      <c r="Z402" s="8"/>
    </row>
    <row r="403" customFormat="false" ht="15" hidden="false" customHeight="false" outlineLevel="0" collapsed="false">
      <c r="A403" s="8" t="s">
        <v>399</v>
      </c>
      <c r="B403" s="8" t="s">
        <v>17</v>
      </c>
      <c r="C403" s="8" t="s">
        <v>18</v>
      </c>
      <c r="D403" s="8" t="s">
        <v>615</v>
      </c>
      <c r="E403" s="8" t="s">
        <v>39</v>
      </c>
      <c r="F403" s="8" t="s">
        <v>59</v>
      </c>
      <c r="G403" s="8" t="s">
        <v>32</v>
      </c>
      <c r="H403" s="8" t="s">
        <v>30</v>
      </c>
      <c r="I403" s="8" t="n">
        <f aca="false">IF(EXACT(G403,H403),1,0)</f>
        <v>0</v>
      </c>
      <c r="J403" s="8" t="n">
        <v>2</v>
      </c>
      <c r="K403" s="8" t="s">
        <v>92</v>
      </c>
      <c r="L403" s="8" t="n">
        <v>0</v>
      </c>
      <c r="M403" s="8" t="n">
        <v>4</v>
      </c>
      <c r="N403" s="8" t="s">
        <v>1926</v>
      </c>
      <c r="O403" s="8" t="n">
        <v>2</v>
      </c>
      <c r="P403" s="10" t="n">
        <v>23.58</v>
      </c>
      <c r="Q403" s="8" t="n">
        <v>9620</v>
      </c>
      <c r="R403" s="8" t="n">
        <v>1150</v>
      </c>
      <c r="S403" s="8" t="s">
        <v>400</v>
      </c>
      <c r="T403" s="8"/>
      <c r="U403" s="8"/>
      <c r="V403" s="8" t="s">
        <v>155</v>
      </c>
      <c r="W403" s="8"/>
      <c r="X403" s="8" t="s">
        <v>531</v>
      </c>
      <c r="Y403" s="8" t="s">
        <v>1992</v>
      </c>
      <c r="Z403" s="8"/>
    </row>
    <row r="404" customFormat="false" ht="15" hidden="false" customHeight="false" outlineLevel="0" collapsed="false">
      <c r="A404" s="8" t="s">
        <v>402</v>
      </c>
      <c r="B404" s="8" t="s">
        <v>17</v>
      </c>
      <c r="C404" s="8" t="s">
        <v>18</v>
      </c>
      <c r="D404" s="8" t="s">
        <v>615</v>
      </c>
      <c r="E404" s="8" t="s">
        <v>39</v>
      </c>
      <c r="F404" s="8" t="s">
        <v>59</v>
      </c>
      <c r="G404" s="8" t="s">
        <v>32</v>
      </c>
      <c r="H404" s="8" t="s">
        <v>30</v>
      </c>
      <c r="I404" s="8" t="n">
        <f aca="false">IF(EXACT(G404,H404),1,0)</f>
        <v>0</v>
      </c>
      <c r="J404" s="8" t="n">
        <v>0</v>
      </c>
      <c r="K404" s="8" t="s">
        <v>92</v>
      </c>
      <c r="L404" s="8" t="n">
        <v>0</v>
      </c>
      <c r="M404" s="8" t="n">
        <v>4</v>
      </c>
      <c r="N404" s="8" t="s">
        <v>1926</v>
      </c>
      <c r="O404" s="8" t="n">
        <v>2</v>
      </c>
      <c r="P404" s="10" t="n">
        <v>23.14</v>
      </c>
      <c r="Q404" s="8" t="n">
        <v>9146</v>
      </c>
      <c r="R404" s="8" t="n">
        <v>1055</v>
      </c>
      <c r="S404" s="8" t="s">
        <v>403</v>
      </c>
      <c r="T404" s="8"/>
      <c r="U404" s="8"/>
      <c r="V404" s="8" t="s">
        <v>155</v>
      </c>
      <c r="W404" s="8"/>
      <c r="X404" s="8" t="s">
        <v>532</v>
      </c>
      <c r="Y404" s="8" t="s">
        <v>1993</v>
      </c>
      <c r="Z404" s="8"/>
    </row>
    <row r="405" customFormat="false" ht="15" hidden="false" customHeight="false" outlineLevel="0" collapsed="false">
      <c r="A405" s="8" t="s">
        <v>402</v>
      </c>
      <c r="B405" s="8" t="s">
        <v>17</v>
      </c>
      <c r="C405" s="8" t="s">
        <v>18</v>
      </c>
      <c r="D405" s="8" t="s">
        <v>615</v>
      </c>
      <c r="E405" s="8" t="s">
        <v>39</v>
      </c>
      <c r="F405" s="8" t="s">
        <v>59</v>
      </c>
      <c r="G405" s="8" t="s">
        <v>32</v>
      </c>
      <c r="H405" s="8" t="s">
        <v>30</v>
      </c>
      <c r="I405" s="8" t="n">
        <f aca="false">IF(EXACT(G405,H405),1,0)</f>
        <v>0</v>
      </c>
      <c r="J405" s="8" t="n">
        <v>1</v>
      </c>
      <c r="K405" s="8" t="s">
        <v>92</v>
      </c>
      <c r="L405" s="8" t="n">
        <v>0</v>
      </c>
      <c r="M405" s="8" t="n">
        <v>4</v>
      </c>
      <c r="N405" s="8" t="s">
        <v>1926</v>
      </c>
      <c r="O405" s="8" t="n">
        <v>2</v>
      </c>
      <c r="P405" s="10" t="n">
        <v>22.35</v>
      </c>
      <c r="Q405" s="8" t="n">
        <v>9153</v>
      </c>
      <c r="R405" s="8" t="n">
        <v>1008</v>
      </c>
      <c r="S405" s="8" t="s">
        <v>403</v>
      </c>
      <c r="T405" s="8"/>
      <c r="U405" s="8"/>
      <c r="V405" s="8" t="s">
        <v>155</v>
      </c>
      <c r="W405" s="8"/>
      <c r="X405" s="8" t="s">
        <v>532</v>
      </c>
      <c r="Y405" s="8" t="s">
        <v>1994</v>
      </c>
      <c r="Z405" s="8"/>
    </row>
    <row r="406" customFormat="false" ht="15" hidden="false" customHeight="false" outlineLevel="0" collapsed="false">
      <c r="A406" s="8" t="s">
        <v>402</v>
      </c>
      <c r="B406" s="8" t="s">
        <v>17</v>
      </c>
      <c r="C406" s="8" t="s">
        <v>18</v>
      </c>
      <c r="D406" s="8" t="s">
        <v>615</v>
      </c>
      <c r="E406" s="8" t="s">
        <v>39</v>
      </c>
      <c r="F406" s="8" t="s">
        <v>59</v>
      </c>
      <c r="G406" s="8" t="s">
        <v>32</v>
      </c>
      <c r="H406" s="8" t="s">
        <v>30</v>
      </c>
      <c r="I406" s="8" t="n">
        <f aca="false">IF(EXACT(G406,H406),1,0)</f>
        <v>0</v>
      </c>
      <c r="J406" s="8" t="n">
        <v>2</v>
      </c>
      <c r="K406" s="8" t="s">
        <v>92</v>
      </c>
      <c r="L406" s="8" t="n">
        <v>0</v>
      </c>
      <c r="M406" s="8" t="n">
        <v>4</v>
      </c>
      <c r="N406" s="8" t="s">
        <v>1926</v>
      </c>
      <c r="O406" s="8" t="n">
        <v>2</v>
      </c>
      <c r="P406" s="10" t="n">
        <v>22.77</v>
      </c>
      <c r="Q406" s="8" t="n">
        <v>9144</v>
      </c>
      <c r="R406" s="8" t="n">
        <v>1057</v>
      </c>
      <c r="S406" s="8" t="s">
        <v>403</v>
      </c>
      <c r="T406" s="8"/>
      <c r="U406" s="8"/>
      <c r="V406" s="8" t="s">
        <v>155</v>
      </c>
      <c r="W406" s="8"/>
      <c r="X406" s="8" t="s">
        <v>532</v>
      </c>
      <c r="Y406" s="8" t="s">
        <v>1995</v>
      </c>
      <c r="Z406" s="8"/>
    </row>
    <row r="407" customFormat="false" ht="15" hidden="false" customHeight="false" outlineLevel="0" collapsed="false">
      <c r="A407" s="8" t="s">
        <v>405</v>
      </c>
      <c r="B407" s="8" t="s">
        <v>17</v>
      </c>
      <c r="C407" s="8" t="s">
        <v>18</v>
      </c>
      <c r="D407" s="8" t="s">
        <v>615</v>
      </c>
      <c r="E407" s="8" t="s">
        <v>39</v>
      </c>
      <c r="F407" s="8" t="s">
        <v>59</v>
      </c>
      <c r="G407" s="8" t="s">
        <v>30</v>
      </c>
      <c r="H407" s="8" t="s">
        <v>30</v>
      </c>
      <c r="I407" s="8" t="n">
        <f aca="false">IF(EXACT(G407,H407),1,0)</f>
        <v>1</v>
      </c>
      <c r="J407" s="8" t="n">
        <v>0</v>
      </c>
      <c r="K407" s="8" t="s">
        <v>92</v>
      </c>
      <c r="L407" s="8" t="n">
        <v>0</v>
      </c>
      <c r="M407" s="8" t="n">
        <v>4</v>
      </c>
      <c r="N407" s="8" t="s">
        <v>1926</v>
      </c>
      <c r="O407" s="8" t="n">
        <v>2</v>
      </c>
      <c r="P407" s="10" t="n">
        <v>25.99</v>
      </c>
      <c r="Q407" s="8" t="n">
        <v>9504</v>
      </c>
      <c r="R407" s="8" t="n">
        <v>1319</v>
      </c>
      <c r="S407" s="8" t="s">
        <v>406</v>
      </c>
      <c r="T407" s="8"/>
      <c r="U407" s="8"/>
      <c r="V407" s="8" t="s">
        <v>155</v>
      </c>
      <c r="W407" s="8"/>
      <c r="X407" s="8" t="s">
        <v>533</v>
      </c>
      <c r="Y407" s="8" t="s">
        <v>1996</v>
      </c>
      <c r="Z407" s="8"/>
    </row>
    <row r="408" customFormat="false" ht="15" hidden="false" customHeight="false" outlineLevel="0" collapsed="false">
      <c r="A408" s="8" t="s">
        <v>405</v>
      </c>
      <c r="B408" s="8" t="s">
        <v>17</v>
      </c>
      <c r="C408" s="8" t="s">
        <v>18</v>
      </c>
      <c r="D408" s="8" t="s">
        <v>615</v>
      </c>
      <c r="E408" s="8" t="s">
        <v>39</v>
      </c>
      <c r="F408" s="8" t="s">
        <v>59</v>
      </c>
      <c r="G408" s="8" t="s">
        <v>30</v>
      </c>
      <c r="H408" s="8" t="s">
        <v>30</v>
      </c>
      <c r="I408" s="8" t="n">
        <f aca="false">IF(EXACT(G408,H408),1,0)</f>
        <v>1</v>
      </c>
      <c r="J408" s="8" t="n">
        <v>1</v>
      </c>
      <c r="K408" s="8" t="s">
        <v>92</v>
      </c>
      <c r="L408" s="8" t="n">
        <v>0</v>
      </c>
      <c r="M408" s="8" t="n">
        <v>4</v>
      </c>
      <c r="N408" s="8" t="s">
        <v>1926</v>
      </c>
      <c r="O408" s="8" t="n">
        <v>2</v>
      </c>
      <c r="P408" s="10" t="n">
        <v>32.2</v>
      </c>
      <c r="Q408" s="8" t="n">
        <v>9504</v>
      </c>
      <c r="R408" s="8" t="n">
        <v>1321</v>
      </c>
      <c r="S408" s="8" t="s">
        <v>406</v>
      </c>
      <c r="T408" s="8"/>
      <c r="U408" s="8"/>
      <c r="V408" s="8" t="s">
        <v>155</v>
      </c>
      <c r="W408" s="8"/>
      <c r="X408" s="8" t="s">
        <v>533</v>
      </c>
      <c r="Y408" s="8" t="s">
        <v>1996</v>
      </c>
      <c r="Z408" s="8"/>
    </row>
    <row r="409" customFormat="false" ht="15" hidden="false" customHeight="false" outlineLevel="0" collapsed="false">
      <c r="A409" s="8" t="s">
        <v>405</v>
      </c>
      <c r="B409" s="8" t="s">
        <v>17</v>
      </c>
      <c r="C409" s="8" t="s">
        <v>18</v>
      </c>
      <c r="D409" s="8" t="s">
        <v>615</v>
      </c>
      <c r="E409" s="8" t="s">
        <v>39</v>
      </c>
      <c r="F409" s="8" t="s">
        <v>59</v>
      </c>
      <c r="G409" s="8" t="s">
        <v>30</v>
      </c>
      <c r="H409" s="8" t="s">
        <v>30</v>
      </c>
      <c r="I409" s="8" t="n">
        <f aca="false">IF(EXACT(G409,H409),1,0)</f>
        <v>1</v>
      </c>
      <c r="J409" s="8" t="n">
        <v>2</v>
      </c>
      <c r="K409" s="8" t="s">
        <v>92</v>
      </c>
      <c r="L409" s="8" t="n">
        <v>0</v>
      </c>
      <c r="M409" s="8" t="n">
        <v>4</v>
      </c>
      <c r="N409" s="8" t="s">
        <v>1926</v>
      </c>
      <c r="O409" s="8" t="n">
        <v>2</v>
      </c>
      <c r="P409" s="10" t="n">
        <v>25.67</v>
      </c>
      <c r="Q409" s="8" t="n">
        <v>9504</v>
      </c>
      <c r="R409" s="8" t="n">
        <v>1287</v>
      </c>
      <c r="S409" s="8" t="s">
        <v>406</v>
      </c>
      <c r="T409" s="8"/>
      <c r="U409" s="8"/>
      <c r="V409" s="8" t="s">
        <v>155</v>
      </c>
      <c r="W409" s="8"/>
      <c r="X409" s="8" t="s">
        <v>533</v>
      </c>
      <c r="Y409" s="8" t="s">
        <v>1997</v>
      </c>
      <c r="Z409" s="8"/>
    </row>
    <row r="410" customFormat="false" ht="15" hidden="false" customHeight="false" outlineLevel="0" collapsed="false">
      <c r="A410" s="8" t="s">
        <v>408</v>
      </c>
      <c r="B410" s="8" t="s">
        <v>17</v>
      </c>
      <c r="C410" s="8" t="s">
        <v>18</v>
      </c>
      <c r="D410" s="8" t="s">
        <v>615</v>
      </c>
      <c r="E410" s="8" t="s">
        <v>39</v>
      </c>
      <c r="F410" s="8" t="s">
        <v>59</v>
      </c>
      <c r="G410" s="8" t="s">
        <v>30</v>
      </c>
      <c r="H410" s="8" t="s">
        <v>30</v>
      </c>
      <c r="I410" s="8" t="n">
        <f aca="false">IF(EXACT(G410,H410),1,0)</f>
        <v>1</v>
      </c>
      <c r="J410" s="8" t="n">
        <v>0</v>
      </c>
      <c r="K410" s="8" t="s">
        <v>92</v>
      </c>
      <c r="L410" s="8" t="n">
        <v>0</v>
      </c>
      <c r="M410" s="8" t="n">
        <v>4</v>
      </c>
      <c r="N410" s="8" t="s">
        <v>1926</v>
      </c>
      <c r="O410" s="8" t="n">
        <v>2</v>
      </c>
      <c r="P410" s="10" t="n">
        <v>26.69</v>
      </c>
      <c r="Q410" s="8" t="n">
        <v>9796</v>
      </c>
      <c r="R410" s="8" t="n">
        <v>1205</v>
      </c>
      <c r="S410" s="8" t="s">
        <v>409</v>
      </c>
      <c r="T410" s="8"/>
      <c r="U410" s="8"/>
      <c r="V410" s="8" t="s">
        <v>155</v>
      </c>
      <c r="W410" s="8"/>
      <c r="X410" s="8" t="s">
        <v>534</v>
      </c>
      <c r="Y410" s="8" t="s">
        <v>1998</v>
      </c>
      <c r="Z410" s="8"/>
    </row>
    <row r="411" customFormat="false" ht="15" hidden="false" customHeight="false" outlineLevel="0" collapsed="false">
      <c r="A411" s="8" t="s">
        <v>408</v>
      </c>
      <c r="B411" s="8" t="s">
        <v>17</v>
      </c>
      <c r="C411" s="8" t="s">
        <v>18</v>
      </c>
      <c r="D411" s="8" t="s">
        <v>615</v>
      </c>
      <c r="E411" s="8" t="s">
        <v>39</v>
      </c>
      <c r="F411" s="8" t="s">
        <v>59</v>
      </c>
      <c r="G411" s="8" t="s">
        <v>30</v>
      </c>
      <c r="H411" s="8" t="s">
        <v>30</v>
      </c>
      <c r="I411" s="8" t="n">
        <f aca="false">IF(EXACT(G411,H411),1,0)</f>
        <v>1</v>
      </c>
      <c r="J411" s="8" t="n">
        <v>1</v>
      </c>
      <c r="K411" s="8" t="s">
        <v>92</v>
      </c>
      <c r="L411" s="8" t="n">
        <v>0</v>
      </c>
      <c r="M411" s="8" t="n">
        <v>4</v>
      </c>
      <c r="N411" s="8" t="s">
        <v>1926</v>
      </c>
      <c r="O411" s="8" t="n">
        <v>2</v>
      </c>
      <c r="P411" s="10" t="n">
        <v>25.89</v>
      </c>
      <c r="Q411" s="8" t="n">
        <v>9798</v>
      </c>
      <c r="R411" s="8" t="n">
        <v>1267</v>
      </c>
      <c r="S411" s="8" t="s">
        <v>409</v>
      </c>
      <c r="T411" s="8"/>
      <c r="U411" s="8"/>
      <c r="V411" s="8" t="s">
        <v>155</v>
      </c>
      <c r="W411" s="8"/>
      <c r="X411" s="8" t="s">
        <v>534</v>
      </c>
      <c r="Y411" s="8" t="s">
        <v>1999</v>
      </c>
      <c r="Z411" s="8"/>
    </row>
    <row r="412" customFormat="false" ht="15" hidden="false" customHeight="false" outlineLevel="0" collapsed="false">
      <c r="A412" s="8" t="s">
        <v>408</v>
      </c>
      <c r="B412" s="8" t="s">
        <v>17</v>
      </c>
      <c r="C412" s="8" t="s">
        <v>18</v>
      </c>
      <c r="D412" s="8" t="s">
        <v>615</v>
      </c>
      <c r="E412" s="8" t="s">
        <v>39</v>
      </c>
      <c r="F412" s="8" t="s">
        <v>59</v>
      </c>
      <c r="G412" s="8" t="s">
        <v>30</v>
      </c>
      <c r="H412" s="8" t="s">
        <v>30</v>
      </c>
      <c r="I412" s="8" t="n">
        <f aca="false">IF(EXACT(G412,H412),1,0)</f>
        <v>1</v>
      </c>
      <c r="J412" s="8" t="n">
        <v>2</v>
      </c>
      <c r="K412" s="8" t="s">
        <v>92</v>
      </c>
      <c r="L412" s="8" t="n">
        <v>0</v>
      </c>
      <c r="M412" s="8" t="n">
        <v>4</v>
      </c>
      <c r="N412" s="8" t="s">
        <v>1926</v>
      </c>
      <c r="O412" s="8" t="n">
        <v>2</v>
      </c>
      <c r="P412" s="10" t="n">
        <v>26.54</v>
      </c>
      <c r="Q412" s="8" t="n">
        <v>9795</v>
      </c>
      <c r="R412" s="8" t="n">
        <v>1255</v>
      </c>
      <c r="S412" s="8" t="s">
        <v>409</v>
      </c>
      <c r="T412" s="8"/>
      <c r="U412" s="8"/>
      <c r="V412" s="8" t="s">
        <v>155</v>
      </c>
      <c r="W412" s="8"/>
      <c r="X412" s="8" t="s">
        <v>534</v>
      </c>
      <c r="Y412" s="8" t="s">
        <v>2000</v>
      </c>
      <c r="Z412" s="8"/>
    </row>
    <row r="413" customFormat="false" ht="15" hidden="false" customHeight="false" outlineLevel="0" collapsed="false">
      <c r="A413" s="8" t="s">
        <v>535</v>
      </c>
      <c r="B413" s="8" t="s">
        <v>17</v>
      </c>
      <c r="C413" s="8" t="s">
        <v>18</v>
      </c>
      <c r="D413" s="8" t="s">
        <v>615</v>
      </c>
      <c r="E413" s="8" t="s">
        <v>39</v>
      </c>
      <c r="F413" s="8" t="s">
        <v>61</v>
      </c>
      <c r="G413" s="8" t="s">
        <v>30</v>
      </c>
      <c r="H413" s="8" t="s">
        <v>31</v>
      </c>
      <c r="I413" s="8" t="n">
        <f aca="false">IF(EXACT(G413,H413),1,0)</f>
        <v>0</v>
      </c>
      <c r="J413" s="8" t="n">
        <v>0</v>
      </c>
      <c r="K413" s="8" t="s">
        <v>116</v>
      </c>
      <c r="L413" s="8" t="n">
        <v>2</v>
      </c>
      <c r="M413" s="8" t="n">
        <v>4</v>
      </c>
      <c r="N413" s="8" t="s">
        <v>1926</v>
      </c>
      <c r="O413" s="8" t="n">
        <v>2</v>
      </c>
      <c r="P413" s="10" t="n">
        <v>30.57</v>
      </c>
      <c r="Q413" s="8" t="n">
        <v>10208</v>
      </c>
      <c r="R413" s="8" t="n">
        <v>1777</v>
      </c>
      <c r="S413" s="8" t="s">
        <v>110</v>
      </c>
      <c r="T413" s="8" t="s">
        <v>536</v>
      </c>
      <c r="U413" s="8" t="s">
        <v>537</v>
      </c>
      <c r="V413" s="8"/>
      <c r="W413" s="8" t="s">
        <v>538</v>
      </c>
      <c r="X413" s="8" t="s">
        <v>539</v>
      </c>
      <c r="Y413" s="8" t="s">
        <v>2001</v>
      </c>
      <c r="Z413" s="8" t="s">
        <v>2002</v>
      </c>
    </row>
    <row r="414" customFormat="false" ht="15" hidden="false" customHeight="false" outlineLevel="0" collapsed="false">
      <c r="A414" s="8" t="s">
        <v>535</v>
      </c>
      <c r="B414" s="8" t="s">
        <v>17</v>
      </c>
      <c r="C414" s="8" t="s">
        <v>18</v>
      </c>
      <c r="D414" s="8" t="s">
        <v>615</v>
      </c>
      <c r="E414" s="8" t="s">
        <v>39</v>
      </c>
      <c r="F414" s="8" t="s">
        <v>61</v>
      </c>
      <c r="G414" s="8" t="s">
        <v>30</v>
      </c>
      <c r="H414" s="8" t="s">
        <v>31</v>
      </c>
      <c r="I414" s="8" t="n">
        <f aca="false">IF(EXACT(G414,H414),1,0)</f>
        <v>0</v>
      </c>
      <c r="J414" s="8" t="n">
        <v>1</v>
      </c>
      <c r="K414" s="8" t="s">
        <v>116</v>
      </c>
      <c r="L414" s="8" t="n">
        <v>2</v>
      </c>
      <c r="M414" s="8" t="n">
        <v>4</v>
      </c>
      <c r="N414" s="8" t="s">
        <v>1926</v>
      </c>
      <c r="O414" s="8" t="n">
        <v>2</v>
      </c>
      <c r="P414" s="10" t="n">
        <v>31.55</v>
      </c>
      <c r="Q414" s="8" t="n">
        <v>10208</v>
      </c>
      <c r="R414" s="8" t="n">
        <v>1772</v>
      </c>
      <c r="S414" s="8" t="s">
        <v>110</v>
      </c>
      <c r="T414" s="8" t="s">
        <v>536</v>
      </c>
      <c r="U414" s="8" t="s">
        <v>537</v>
      </c>
      <c r="V414" s="8"/>
      <c r="W414" s="8" t="s">
        <v>538</v>
      </c>
      <c r="X414" s="8" t="s">
        <v>539</v>
      </c>
      <c r="Y414" s="8" t="s">
        <v>2003</v>
      </c>
      <c r="Z414" s="8" t="s">
        <v>2004</v>
      </c>
    </row>
    <row r="415" customFormat="false" ht="15" hidden="false" customHeight="false" outlineLevel="0" collapsed="false">
      <c r="A415" s="8" t="s">
        <v>535</v>
      </c>
      <c r="B415" s="8" t="s">
        <v>17</v>
      </c>
      <c r="C415" s="8" t="s">
        <v>18</v>
      </c>
      <c r="D415" s="8" t="s">
        <v>615</v>
      </c>
      <c r="E415" s="8" t="s">
        <v>39</v>
      </c>
      <c r="F415" s="8" t="s">
        <v>61</v>
      </c>
      <c r="G415" s="8" t="s">
        <v>30</v>
      </c>
      <c r="H415" s="8" t="s">
        <v>31</v>
      </c>
      <c r="I415" s="8" t="n">
        <f aca="false">IF(EXACT(G415,H415),1,0)</f>
        <v>0</v>
      </c>
      <c r="J415" s="8" t="n">
        <v>2</v>
      </c>
      <c r="K415" s="8" t="s">
        <v>116</v>
      </c>
      <c r="L415" s="8" t="n">
        <v>2</v>
      </c>
      <c r="M415" s="8" t="n">
        <v>4</v>
      </c>
      <c r="N415" s="8" t="s">
        <v>1926</v>
      </c>
      <c r="O415" s="8" t="n">
        <v>2</v>
      </c>
      <c r="P415" s="10" t="n">
        <v>44.74</v>
      </c>
      <c r="Q415" s="8" t="n">
        <v>10208</v>
      </c>
      <c r="R415" s="8" t="n">
        <v>2128</v>
      </c>
      <c r="S415" s="8" t="s">
        <v>110</v>
      </c>
      <c r="T415" s="8" t="s">
        <v>536</v>
      </c>
      <c r="U415" s="8" t="s">
        <v>537</v>
      </c>
      <c r="V415" s="8"/>
      <c r="W415" s="8" t="s">
        <v>538</v>
      </c>
      <c r="X415" s="8" t="s">
        <v>539</v>
      </c>
      <c r="Y415" s="8" t="s">
        <v>2005</v>
      </c>
      <c r="Z415" s="8" t="s">
        <v>2006</v>
      </c>
    </row>
    <row r="416" customFormat="false" ht="15" hidden="false" customHeight="false" outlineLevel="0" collapsed="false">
      <c r="A416" s="8" t="s">
        <v>540</v>
      </c>
      <c r="B416" s="8" t="s">
        <v>17</v>
      </c>
      <c r="C416" s="8" t="s">
        <v>18</v>
      </c>
      <c r="D416" s="8" t="s">
        <v>615</v>
      </c>
      <c r="E416" s="8" t="s">
        <v>39</v>
      </c>
      <c r="F416" s="8" t="s">
        <v>61</v>
      </c>
      <c r="G416" s="8" t="s">
        <v>31</v>
      </c>
      <c r="H416" s="8" t="s">
        <v>31</v>
      </c>
      <c r="I416" s="8" t="n">
        <f aca="false">IF(EXACT(G416,H416),1,0)</f>
        <v>1</v>
      </c>
      <c r="J416" s="8" t="n">
        <v>0</v>
      </c>
      <c r="K416" s="8" t="s">
        <v>140</v>
      </c>
      <c r="L416" s="8" t="n">
        <v>2</v>
      </c>
      <c r="M416" s="8" t="n">
        <v>4</v>
      </c>
      <c r="N416" s="8" t="s">
        <v>1926</v>
      </c>
      <c r="O416" s="8" t="n">
        <v>2</v>
      </c>
      <c r="P416" s="10" t="n">
        <v>33.74</v>
      </c>
      <c r="Q416" s="8" t="n">
        <v>9411</v>
      </c>
      <c r="R416" s="8" t="n">
        <v>1462</v>
      </c>
      <c r="S416" s="8" t="s">
        <v>117</v>
      </c>
      <c r="T416" s="8" t="s">
        <v>536</v>
      </c>
      <c r="U416" s="8" t="s">
        <v>537</v>
      </c>
      <c r="V416" s="8"/>
      <c r="W416" s="8" t="s">
        <v>541</v>
      </c>
      <c r="X416" s="8" t="s">
        <v>542</v>
      </c>
      <c r="Y416" s="8" t="s">
        <v>2007</v>
      </c>
      <c r="Z416" s="8" t="s">
        <v>2008</v>
      </c>
    </row>
    <row r="417" customFormat="false" ht="15" hidden="false" customHeight="false" outlineLevel="0" collapsed="false">
      <c r="A417" s="8" t="s">
        <v>540</v>
      </c>
      <c r="B417" s="8" t="s">
        <v>17</v>
      </c>
      <c r="C417" s="8" t="s">
        <v>18</v>
      </c>
      <c r="D417" s="8" t="s">
        <v>615</v>
      </c>
      <c r="E417" s="8" t="s">
        <v>39</v>
      </c>
      <c r="F417" s="8" t="s">
        <v>61</v>
      </c>
      <c r="G417" s="8" t="s">
        <v>31</v>
      </c>
      <c r="H417" s="8" t="s">
        <v>31</v>
      </c>
      <c r="I417" s="8" t="n">
        <f aca="false">IF(EXACT(G417,H417),1,0)</f>
        <v>1</v>
      </c>
      <c r="J417" s="8" t="n">
        <v>1</v>
      </c>
      <c r="K417" s="8" t="s">
        <v>140</v>
      </c>
      <c r="L417" s="8" t="n">
        <v>2</v>
      </c>
      <c r="M417" s="8" t="n">
        <v>4</v>
      </c>
      <c r="N417" s="8" t="s">
        <v>1926</v>
      </c>
      <c r="O417" s="8" t="n">
        <v>2</v>
      </c>
      <c r="P417" s="10" t="n">
        <v>30.72</v>
      </c>
      <c r="Q417" s="8" t="n">
        <v>9412</v>
      </c>
      <c r="R417" s="8" t="n">
        <v>1460</v>
      </c>
      <c r="S417" s="8" t="s">
        <v>117</v>
      </c>
      <c r="T417" s="8" t="s">
        <v>536</v>
      </c>
      <c r="U417" s="8" t="s">
        <v>537</v>
      </c>
      <c r="V417" s="8"/>
      <c r="W417" s="8" t="s">
        <v>541</v>
      </c>
      <c r="X417" s="8" t="s">
        <v>542</v>
      </c>
      <c r="Y417" s="8" t="s">
        <v>2009</v>
      </c>
      <c r="Z417" s="8" t="s">
        <v>2010</v>
      </c>
    </row>
    <row r="418" customFormat="false" ht="15" hidden="false" customHeight="false" outlineLevel="0" collapsed="false">
      <c r="A418" s="8" t="s">
        <v>540</v>
      </c>
      <c r="B418" s="8" t="s">
        <v>17</v>
      </c>
      <c r="C418" s="8" t="s">
        <v>18</v>
      </c>
      <c r="D418" s="8" t="s">
        <v>615</v>
      </c>
      <c r="E418" s="8" t="s">
        <v>39</v>
      </c>
      <c r="F418" s="8" t="s">
        <v>61</v>
      </c>
      <c r="G418" s="8" t="s">
        <v>31</v>
      </c>
      <c r="H418" s="8" t="s">
        <v>31</v>
      </c>
      <c r="I418" s="8" t="n">
        <f aca="false">IF(EXACT(G418,H418),1,0)</f>
        <v>1</v>
      </c>
      <c r="J418" s="8" t="n">
        <v>2</v>
      </c>
      <c r="K418" s="8" t="s">
        <v>140</v>
      </c>
      <c r="L418" s="8" t="n">
        <v>2</v>
      </c>
      <c r="M418" s="8" t="n">
        <v>4</v>
      </c>
      <c r="N418" s="8" t="s">
        <v>1926</v>
      </c>
      <c r="O418" s="8" t="n">
        <v>2</v>
      </c>
      <c r="P418" s="10" t="n">
        <v>31.01</v>
      </c>
      <c r="Q418" s="8" t="n">
        <v>9412</v>
      </c>
      <c r="R418" s="8" t="n">
        <v>1467</v>
      </c>
      <c r="S418" s="8" t="s">
        <v>117</v>
      </c>
      <c r="T418" s="8" t="s">
        <v>536</v>
      </c>
      <c r="U418" s="8" t="s">
        <v>537</v>
      </c>
      <c r="V418" s="8"/>
      <c r="W418" s="8" t="s">
        <v>541</v>
      </c>
      <c r="X418" s="8" t="s">
        <v>542</v>
      </c>
      <c r="Y418" s="8" t="s">
        <v>2011</v>
      </c>
      <c r="Z418" s="8" t="s">
        <v>2012</v>
      </c>
    </row>
    <row r="419" customFormat="false" ht="15" hidden="false" customHeight="false" outlineLevel="0" collapsed="false">
      <c r="A419" s="8" t="s">
        <v>544</v>
      </c>
      <c r="B419" s="8" t="s">
        <v>17</v>
      </c>
      <c r="C419" s="8" t="s">
        <v>18</v>
      </c>
      <c r="D419" s="8" t="s">
        <v>615</v>
      </c>
      <c r="E419" s="8" t="s">
        <v>39</v>
      </c>
      <c r="F419" s="8" t="s">
        <v>61</v>
      </c>
      <c r="G419" s="8" t="s">
        <v>31</v>
      </c>
      <c r="H419" s="8" t="s">
        <v>31</v>
      </c>
      <c r="I419" s="8" t="n">
        <f aca="false">IF(EXACT(G419,H419),1,0)</f>
        <v>1</v>
      </c>
      <c r="J419" s="8" t="n">
        <v>0</v>
      </c>
      <c r="K419" s="8" t="s">
        <v>140</v>
      </c>
      <c r="L419" s="8" t="n">
        <v>2</v>
      </c>
      <c r="M419" s="8" t="n">
        <v>4</v>
      </c>
      <c r="N419" s="8" t="s">
        <v>1926</v>
      </c>
      <c r="O419" s="8" t="n">
        <v>2</v>
      </c>
      <c r="P419" s="10" t="n">
        <v>27.69</v>
      </c>
      <c r="Q419" s="8" t="n">
        <v>9274</v>
      </c>
      <c r="R419" s="8" t="n">
        <v>1256</v>
      </c>
      <c r="S419" s="8" t="s">
        <v>255</v>
      </c>
      <c r="T419" s="8" t="s">
        <v>536</v>
      </c>
      <c r="U419" s="8" t="s">
        <v>537</v>
      </c>
      <c r="V419" s="8"/>
      <c r="W419" s="8" t="s">
        <v>545</v>
      </c>
      <c r="X419" s="8" t="s">
        <v>546</v>
      </c>
      <c r="Y419" s="8" t="s">
        <v>2013</v>
      </c>
      <c r="Z419" s="8" t="s">
        <v>2014</v>
      </c>
    </row>
    <row r="420" customFormat="false" ht="15" hidden="false" customHeight="false" outlineLevel="0" collapsed="false">
      <c r="A420" s="8" t="s">
        <v>544</v>
      </c>
      <c r="B420" s="8" t="s">
        <v>17</v>
      </c>
      <c r="C420" s="8" t="s">
        <v>18</v>
      </c>
      <c r="D420" s="8" t="s">
        <v>615</v>
      </c>
      <c r="E420" s="8" t="s">
        <v>39</v>
      </c>
      <c r="F420" s="8" t="s">
        <v>61</v>
      </c>
      <c r="G420" s="8" t="s">
        <v>31</v>
      </c>
      <c r="H420" s="8" t="s">
        <v>31</v>
      </c>
      <c r="I420" s="8" t="n">
        <f aca="false">IF(EXACT(G420,H420),1,0)</f>
        <v>1</v>
      </c>
      <c r="J420" s="8" t="n">
        <v>1</v>
      </c>
      <c r="K420" s="8" t="s">
        <v>140</v>
      </c>
      <c r="L420" s="8" t="n">
        <v>2</v>
      </c>
      <c r="M420" s="8" t="n">
        <v>4</v>
      </c>
      <c r="N420" s="8" t="s">
        <v>1926</v>
      </c>
      <c r="O420" s="8" t="n">
        <v>2</v>
      </c>
      <c r="P420" s="10" t="n">
        <v>29.03</v>
      </c>
      <c r="Q420" s="8" t="n">
        <v>9276</v>
      </c>
      <c r="R420" s="8" t="n">
        <v>1324</v>
      </c>
      <c r="S420" s="8" t="s">
        <v>255</v>
      </c>
      <c r="T420" s="8" t="s">
        <v>536</v>
      </c>
      <c r="U420" s="8" t="s">
        <v>537</v>
      </c>
      <c r="V420" s="8"/>
      <c r="W420" s="8" t="s">
        <v>545</v>
      </c>
      <c r="X420" s="8" t="s">
        <v>546</v>
      </c>
      <c r="Y420" s="8" t="s">
        <v>2015</v>
      </c>
      <c r="Z420" s="8" t="s">
        <v>2016</v>
      </c>
    </row>
    <row r="421" customFormat="false" ht="15" hidden="false" customHeight="false" outlineLevel="0" collapsed="false">
      <c r="A421" s="8" t="s">
        <v>544</v>
      </c>
      <c r="B421" s="8" t="s">
        <v>17</v>
      </c>
      <c r="C421" s="8" t="s">
        <v>18</v>
      </c>
      <c r="D421" s="8" t="s">
        <v>615</v>
      </c>
      <c r="E421" s="8" t="s">
        <v>39</v>
      </c>
      <c r="F421" s="8" t="s">
        <v>61</v>
      </c>
      <c r="G421" s="8" t="s">
        <v>31</v>
      </c>
      <c r="H421" s="8" t="s">
        <v>31</v>
      </c>
      <c r="I421" s="8" t="n">
        <f aca="false">IF(EXACT(G421,H421),1,0)</f>
        <v>1</v>
      </c>
      <c r="J421" s="8" t="n">
        <v>2</v>
      </c>
      <c r="K421" s="8" t="s">
        <v>140</v>
      </c>
      <c r="L421" s="8" t="n">
        <v>2</v>
      </c>
      <c r="M421" s="8" t="n">
        <v>4</v>
      </c>
      <c r="N421" s="8" t="s">
        <v>1926</v>
      </c>
      <c r="O421" s="8" t="n">
        <v>2</v>
      </c>
      <c r="P421" s="10" t="n">
        <v>33.83</v>
      </c>
      <c r="Q421" s="8" t="n">
        <v>9265</v>
      </c>
      <c r="R421" s="8" t="n">
        <v>1591</v>
      </c>
      <c r="S421" s="8" t="s">
        <v>255</v>
      </c>
      <c r="T421" s="8" t="s">
        <v>536</v>
      </c>
      <c r="U421" s="8" t="s">
        <v>537</v>
      </c>
      <c r="V421" s="8"/>
      <c r="W421" s="8" t="s">
        <v>545</v>
      </c>
      <c r="X421" s="8" t="s">
        <v>546</v>
      </c>
      <c r="Y421" s="8" t="s">
        <v>2017</v>
      </c>
      <c r="Z421" s="8" t="s">
        <v>2018</v>
      </c>
    </row>
    <row r="422" customFormat="false" ht="15" hidden="false" customHeight="false" outlineLevel="0" collapsed="false">
      <c r="A422" s="8" t="s">
        <v>547</v>
      </c>
      <c r="B422" s="8" t="s">
        <v>17</v>
      </c>
      <c r="C422" s="8" t="s">
        <v>18</v>
      </c>
      <c r="D422" s="8" t="s">
        <v>615</v>
      </c>
      <c r="E422" s="8" t="s">
        <v>39</v>
      </c>
      <c r="F422" s="8" t="s">
        <v>61</v>
      </c>
      <c r="G422" s="8" t="s">
        <v>32</v>
      </c>
      <c r="H422" s="8" t="s">
        <v>31</v>
      </c>
      <c r="I422" s="8" t="n">
        <f aca="false">IF(EXACT(G422,H422),1,0)</f>
        <v>0</v>
      </c>
      <c r="J422" s="8" t="n">
        <v>0</v>
      </c>
      <c r="K422" s="8" t="s">
        <v>116</v>
      </c>
      <c r="L422" s="8" t="n">
        <v>1</v>
      </c>
      <c r="M422" s="8" t="n">
        <v>4</v>
      </c>
      <c r="N422" s="8" t="s">
        <v>1926</v>
      </c>
      <c r="O422" s="8" t="n">
        <v>2</v>
      </c>
      <c r="P422" s="10" t="n">
        <v>24.56</v>
      </c>
      <c r="Q422" s="8" t="n">
        <v>8847</v>
      </c>
      <c r="R422" s="8" t="n">
        <v>971</v>
      </c>
      <c r="S422" s="8" t="s">
        <v>132</v>
      </c>
      <c r="T422" s="8" t="s">
        <v>536</v>
      </c>
      <c r="U422" s="8" t="s">
        <v>537</v>
      </c>
      <c r="V422" s="8"/>
      <c r="W422" s="8" t="s">
        <v>548</v>
      </c>
      <c r="X422" s="8" t="s">
        <v>549</v>
      </c>
      <c r="Y422" s="8" t="s">
        <v>2019</v>
      </c>
      <c r="Z422" s="8" t="s">
        <v>2020</v>
      </c>
    </row>
    <row r="423" customFormat="false" ht="15" hidden="false" customHeight="false" outlineLevel="0" collapsed="false">
      <c r="A423" s="8" t="s">
        <v>547</v>
      </c>
      <c r="B423" s="8" t="s">
        <v>17</v>
      </c>
      <c r="C423" s="8" t="s">
        <v>18</v>
      </c>
      <c r="D423" s="8" t="s">
        <v>615</v>
      </c>
      <c r="E423" s="8" t="s">
        <v>39</v>
      </c>
      <c r="F423" s="8" t="s">
        <v>61</v>
      </c>
      <c r="G423" s="8" t="s">
        <v>32</v>
      </c>
      <c r="H423" s="8" t="s">
        <v>31</v>
      </c>
      <c r="I423" s="8" t="n">
        <f aca="false">IF(EXACT(G423,H423),1,0)</f>
        <v>0</v>
      </c>
      <c r="J423" s="8" t="n">
        <v>1</v>
      </c>
      <c r="K423" s="8" t="s">
        <v>116</v>
      </c>
      <c r="L423" s="8" t="n">
        <v>1</v>
      </c>
      <c r="M423" s="8" t="n">
        <v>4</v>
      </c>
      <c r="N423" s="8" t="s">
        <v>1926</v>
      </c>
      <c r="O423" s="8" t="n">
        <v>2</v>
      </c>
      <c r="P423" s="10" t="n">
        <v>19.07</v>
      </c>
      <c r="Q423" s="8" t="n">
        <v>8835</v>
      </c>
      <c r="R423" s="8" t="n">
        <v>692</v>
      </c>
      <c r="S423" s="8" t="s">
        <v>132</v>
      </c>
      <c r="T423" s="8" t="s">
        <v>536</v>
      </c>
      <c r="U423" s="8" t="s">
        <v>537</v>
      </c>
      <c r="V423" s="8"/>
      <c r="W423" s="8" t="s">
        <v>548</v>
      </c>
      <c r="X423" s="8" t="s">
        <v>549</v>
      </c>
      <c r="Y423" s="8" t="s">
        <v>2021</v>
      </c>
      <c r="Z423" s="8" t="s">
        <v>2022</v>
      </c>
    </row>
    <row r="424" customFormat="false" ht="15" hidden="false" customHeight="false" outlineLevel="0" collapsed="false">
      <c r="A424" s="8" t="s">
        <v>547</v>
      </c>
      <c r="B424" s="8" t="s">
        <v>17</v>
      </c>
      <c r="C424" s="8" t="s">
        <v>18</v>
      </c>
      <c r="D424" s="8" t="s">
        <v>615</v>
      </c>
      <c r="E424" s="8" t="s">
        <v>39</v>
      </c>
      <c r="F424" s="8" t="s">
        <v>61</v>
      </c>
      <c r="G424" s="8" t="s">
        <v>32</v>
      </c>
      <c r="H424" s="8" t="s">
        <v>31</v>
      </c>
      <c r="I424" s="8" t="n">
        <f aca="false">IF(EXACT(G424,H424),1,0)</f>
        <v>0</v>
      </c>
      <c r="J424" s="8" t="n">
        <v>2</v>
      </c>
      <c r="K424" s="8" t="s">
        <v>116</v>
      </c>
      <c r="L424" s="8" t="n">
        <v>1</v>
      </c>
      <c r="M424" s="8" t="n">
        <v>4</v>
      </c>
      <c r="N424" s="8" t="s">
        <v>1926</v>
      </c>
      <c r="O424" s="8" t="n">
        <v>2</v>
      </c>
      <c r="P424" s="10" t="n">
        <v>18.3</v>
      </c>
      <c r="Q424" s="8" t="n">
        <v>8833</v>
      </c>
      <c r="R424" s="8" t="n">
        <v>714</v>
      </c>
      <c r="S424" s="8" t="s">
        <v>132</v>
      </c>
      <c r="T424" s="8" t="s">
        <v>536</v>
      </c>
      <c r="U424" s="8" t="s">
        <v>537</v>
      </c>
      <c r="V424" s="8"/>
      <c r="W424" s="8" t="s">
        <v>548</v>
      </c>
      <c r="X424" s="8" t="s">
        <v>549</v>
      </c>
      <c r="Y424" s="8" t="s">
        <v>2023</v>
      </c>
      <c r="Z424" s="8" t="s">
        <v>2024</v>
      </c>
    </row>
    <row r="425" customFormat="false" ht="15" hidden="false" customHeight="false" outlineLevel="0" collapsed="false">
      <c r="A425" s="8" t="s">
        <v>550</v>
      </c>
      <c r="B425" s="8" t="s">
        <v>17</v>
      </c>
      <c r="C425" s="8" t="s">
        <v>18</v>
      </c>
      <c r="D425" s="8" t="s">
        <v>615</v>
      </c>
      <c r="E425" s="8" t="s">
        <v>39</v>
      </c>
      <c r="F425" s="8" t="s">
        <v>61</v>
      </c>
      <c r="G425" s="8" t="s">
        <v>30</v>
      </c>
      <c r="H425" s="8" t="s">
        <v>31</v>
      </c>
      <c r="I425" s="8" t="n">
        <f aca="false">IF(EXACT(G425,H425),1,0)</f>
        <v>0</v>
      </c>
      <c r="J425" s="8" t="n">
        <v>0</v>
      </c>
      <c r="K425" s="8" t="s">
        <v>116</v>
      </c>
      <c r="L425" s="8" t="n">
        <v>1</v>
      </c>
      <c r="M425" s="8" t="n">
        <v>4</v>
      </c>
      <c r="N425" s="8" t="s">
        <v>1926</v>
      </c>
      <c r="O425" s="8" t="n">
        <v>2</v>
      </c>
      <c r="P425" s="10" t="n">
        <v>28.8</v>
      </c>
      <c r="Q425" s="8" t="n">
        <v>9267</v>
      </c>
      <c r="R425" s="8" t="n">
        <v>1195</v>
      </c>
      <c r="S425" s="8" t="s">
        <v>150</v>
      </c>
      <c r="T425" s="8" t="s">
        <v>536</v>
      </c>
      <c r="U425" s="8" t="s">
        <v>537</v>
      </c>
      <c r="V425" s="8"/>
      <c r="W425" s="8" t="s">
        <v>551</v>
      </c>
      <c r="X425" s="8" t="s">
        <v>552</v>
      </c>
      <c r="Y425" s="8" t="s">
        <v>2025</v>
      </c>
      <c r="Z425" s="8" t="s">
        <v>2026</v>
      </c>
    </row>
    <row r="426" customFormat="false" ht="15" hidden="false" customHeight="false" outlineLevel="0" collapsed="false">
      <c r="A426" s="8" t="s">
        <v>550</v>
      </c>
      <c r="B426" s="8" t="s">
        <v>17</v>
      </c>
      <c r="C426" s="8" t="s">
        <v>18</v>
      </c>
      <c r="D426" s="8" t="s">
        <v>615</v>
      </c>
      <c r="E426" s="8" t="s">
        <v>39</v>
      </c>
      <c r="F426" s="8" t="s">
        <v>61</v>
      </c>
      <c r="G426" s="8" t="s">
        <v>30</v>
      </c>
      <c r="H426" s="8" t="s">
        <v>31</v>
      </c>
      <c r="I426" s="8" t="n">
        <f aca="false">IF(EXACT(G426,H426),1,0)</f>
        <v>0</v>
      </c>
      <c r="J426" s="8" t="n">
        <v>1</v>
      </c>
      <c r="K426" s="8" t="s">
        <v>116</v>
      </c>
      <c r="L426" s="8" t="n">
        <v>1</v>
      </c>
      <c r="M426" s="8" t="n">
        <v>4</v>
      </c>
      <c r="N426" s="8" t="s">
        <v>1926</v>
      </c>
      <c r="O426" s="8" t="n">
        <v>2</v>
      </c>
      <c r="P426" s="10" t="n">
        <v>28.95</v>
      </c>
      <c r="Q426" s="8" t="n">
        <v>9267</v>
      </c>
      <c r="R426" s="8" t="n">
        <v>1090</v>
      </c>
      <c r="S426" s="8" t="s">
        <v>150</v>
      </c>
      <c r="T426" s="8" t="s">
        <v>536</v>
      </c>
      <c r="U426" s="8" t="s">
        <v>537</v>
      </c>
      <c r="V426" s="8"/>
      <c r="W426" s="8" t="s">
        <v>551</v>
      </c>
      <c r="X426" s="8" t="s">
        <v>552</v>
      </c>
      <c r="Y426" s="8" t="s">
        <v>2027</v>
      </c>
      <c r="Z426" s="8" t="s">
        <v>2028</v>
      </c>
    </row>
    <row r="427" customFormat="false" ht="15" hidden="false" customHeight="false" outlineLevel="0" collapsed="false">
      <c r="A427" s="8" t="s">
        <v>550</v>
      </c>
      <c r="B427" s="8" t="s">
        <v>17</v>
      </c>
      <c r="C427" s="8" t="s">
        <v>18</v>
      </c>
      <c r="D427" s="8" t="s">
        <v>615</v>
      </c>
      <c r="E427" s="8" t="s">
        <v>39</v>
      </c>
      <c r="F427" s="8" t="s">
        <v>61</v>
      </c>
      <c r="G427" s="8" t="s">
        <v>30</v>
      </c>
      <c r="H427" s="8" t="s">
        <v>31</v>
      </c>
      <c r="I427" s="8" t="n">
        <f aca="false">IF(EXACT(G427,H427),1,0)</f>
        <v>0</v>
      </c>
      <c r="J427" s="8" t="n">
        <v>2</v>
      </c>
      <c r="K427" s="8" t="s">
        <v>116</v>
      </c>
      <c r="L427" s="8" t="n">
        <v>1</v>
      </c>
      <c r="M427" s="8" t="n">
        <v>4</v>
      </c>
      <c r="N427" s="8" t="s">
        <v>1926</v>
      </c>
      <c r="O427" s="8" t="n">
        <v>2</v>
      </c>
      <c r="P427" s="10" t="n">
        <v>25.7</v>
      </c>
      <c r="Q427" s="8" t="n">
        <v>9266</v>
      </c>
      <c r="R427" s="8" t="n">
        <v>1157</v>
      </c>
      <c r="S427" s="8" t="s">
        <v>150</v>
      </c>
      <c r="T427" s="8" t="s">
        <v>536</v>
      </c>
      <c r="U427" s="8" t="s">
        <v>537</v>
      </c>
      <c r="V427" s="8"/>
      <c r="W427" s="8" t="s">
        <v>551</v>
      </c>
      <c r="X427" s="8" t="s">
        <v>552</v>
      </c>
      <c r="Y427" s="8" t="s">
        <v>2029</v>
      </c>
      <c r="Z427" s="8" t="s">
        <v>2030</v>
      </c>
    </row>
    <row r="428" customFormat="false" ht="15" hidden="false" customHeight="false" outlineLevel="0" collapsed="false">
      <c r="A428" s="8" t="s">
        <v>553</v>
      </c>
      <c r="B428" s="8" t="s">
        <v>17</v>
      </c>
      <c r="C428" s="8" t="s">
        <v>18</v>
      </c>
      <c r="D428" s="8" t="s">
        <v>615</v>
      </c>
      <c r="E428" s="8" t="s">
        <v>39</v>
      </c>
      <c r="F428" s="8" t="s">
        <v>61</v>
      </c>
      <c r="G428" s="8" t="s">
        <v>32</v>
      </c>
      <c r="H428" s="8" t="s">
        <v>30</v>
      </c>
      <c r="I428" s="8" t="n">
        <f aca="false">IF(EXACT(G428,H428),1,0)</f>
        <v>0</v>
      </c>
      <c r="J428" s="8" t="n">
        <v>0</v>
      </c>
      <c r="K428" s="8" t="s">
        <v>92</v>
      </c>
      <c r="L428" s="8" t="n">
        <v>0</v>
      </c>
      <c r="M428" s="8" t="n">
        <v>4</v>
      </c>
      <c r="N428" s="8" t="s">
        <v>1926</v>
      </c>
      <c r="O428" s="8" t="n">
        <v>2</v>
      </c>
      <c r="P428" s="10" t="n">
        <v>21.95</v>
      </c>
      <c r="Q428" s="8" t="n">
        <v>9189</v>
      </c>
      <c r="R428" s="8" t="n">
        <v>1013</v>
      </c>
      <c r="S428" s="8" t="s">
        <v>554</v>
      </c>
      <c r="T428" s="8"/>
      <c r="U428" s="8"/>
      <c r="V428" s="8" t="s">
        <v>155</v>
      </c>
      <c r="W428" s="8"/>
      <c r="X428" s="8" t="s">
        <v>555</v>
      </c>
      <c r="Y428" s="8" t="s">
        <v>2031</v>
      </c>
      <c r="Z428" s="8"/>
    </row>
    <row r="429" customFormat="false" ht="15" hidden="false" customHeight="false" outlineLevel="0" collapsed="false">
      <c r="A429" s="8" t="s">
        <v>553</v>
      </c>
      <c r="B429" s="8" t="s">
        <v>17</v>
      </c>
      <c r="C429" s="8" t="s">
        <v>18</v>
      </c>
      <c r="D429" s="8" t="s">
        <v>615</v>
      </c>
      <c r="E429" s="8" t="s">
        <v>39</v>
      </c>
      <c r="F429" s="8" t="s">
        <v>61</v>
      </c>
      <c r="G429" s="8" t="s">
        <v>32</v>
      </c>
      <c r="H429" s="8" t="s">
        <v>30</v>
      </c>
      <c r="I429" s="8" t="n">
        <f aca="false">IF(EXACT(G429,H429),1,0)</f>
        <v>0</v>
      </c>
      <c r="J429" s="8" t="n">
        <v>1</v>
      </c>
      <c r="K429" s="8" t="s">
        <v>92</v>
      </c>
      <c r="L429" s="8" t="n">
        <v>0</v>
      </c>
      <c r="M429" s="8" t="n">
        <v>4</v>
      </c>
      <c r="N429" s="8" t="s">
        <v>1926</v>
      </c>
      <c r="O429" s="8" t="n">
        <v>2</v>
      </c>
      <c r="P429" s="10" t="n">
        <v>21.76</v>
      </c>
      <c r="Q429" s="8" t="n">
        <v>9184</v>
      </c>
      <c r="R429" s="8" t="n">
        <v>751</v>
      </c>
      <c r="S429" s="8" t="s">
        <v>554</v>
      </c>
      <c r="T429" s="8"/>
      <c r="U429" s="8"/>
      <c r="V429" s="8" t="s">
        <v>155</v>
      </c>
      <c r="W429" s="8"/>
      <c r="X429" s="8" t="s">
        <v>555</v>
      </c>
      <c r="Y429" s="8" t="s">
        <v>2032</v>
      </c>
      <c r="Z429" s="8"/>
    </row>
    <row r="430" customFormat="false" ht="15" hidden="false" customHeight="false" outlineLevel="0" collapsed="false">
      <c r="A430" s="8" t="s">
        <v>553</v>
      </c>
      <c r="B430" s="8" t="s">
        <v>17</v>
      </c>
      <c r="C430" s="8" t="s">
        <v>18</v>
      </c>
      <c r="D430" s="8" t="s">
        <v>615</v>
      </c>
      <c r="E430" s="8" t="s">
        <v>39</v>
      </c>
      <c r="F430" s="8" t="s">
        <v>61</v>
      </c>
      <c r="G430" s="8" t="s">
        <v>32</v>
      </c>
      <c r="H430" s="8" t="s">
        <v>30</v>
      </c>
      <c r="I430" s="8" t="n">
        <f aca="false">IF(EXACT(G430,H430),1,0)</f>
        <v>0</v>
      </c>
      <c r="J430" s="8" t="n">
        <v>2</v>
      </c>
      <c r="K430" s="8" t="s">
        <v>92</v>
      </c>
      <c r="L430" s="8" t="n">
        <v>0</v>
      </c>
      <c r="M430" s="8" t="n">
        <v>4</v>
      </c>
      <c r="N430" s="8" t="s">
        <v>1926</v>
      </c>
      <c r="O430" s="8" t="n">
        <v>2</v>
      </c>
      <c r="P430" s="10" t="n">
        <v>17.64</v>
      </c>
      <c r="Q430" s="8" t="n">
        <v>9184</v>
      </c>
      <c r="R430" s="8" t="n">
        <v>751</v>
      </c>
      <c r="S430" s="8" t="s">
        <v>554</v>
      </c>
      <c r="T430" s="8"/>
      <c r="U430" s="8"/>
      <c r="V430" s="8" t="s">
        <v>155</v>
      </c>
      <c r="W430" s="8"/>
      <c r="X430" s="8" t="s">
        <v>555</v>
      </c>
      <c r="Y430" s="8" t="s">
        <v>2032</v>
      </c>
      <c r="Z430" s="8"/>
    </row>
    <row r="431" customFormat="false" ht="15" hidden="false" customHeight="false" outlineLevel="0" collapsed="false">
      <c r="A431" s="8" t="s">
        <v>556</v>
      </c>
      <c r="B431" s="8" t="s">
        <v>17</v>
      </c>
      <c r="C431" s="8" t="s">
        <v>18</v>
      </c>
      <c r="D431" s="8" t="s">
        <v>615</v>
      </c>
      <c r="E431" s="8" t="s">
        <v>39</v>
      </c>
      <c r="F431" s="8" t="s">
        <v>62</v>
      </c>
      <c r="G431" s="8" t="s">
        <v>30</v>
      </c>
      <c r="H431" s="8" t="s">
        <v>30</v>
      </c>
      <c r="I431" s="8" t="n">
        <f aca="false">IF(EXACT(G431,H431),1,0)</f>
        <v>1</v>
      </c>
      <c r="J431" s="8" t="n">
        <v>0</v>
      </c>
      <c r="K431" s="8" t="s">
        <v>92</v>
      </c>
      <c r="L431" s="8" t="n">
        <v>0</v>
      </c>
      <c r="M431" s="8" t="n">
        <v>4</v>
      </c>
      <c r="N431" s="8" t="s">
        <v>1926</v>
      </c>
      <c r="O431" s="8" t="n">
        <v>2</v>
      </c>
      <c r="P431" s="10" t="n">
        <v>25.21</v>
      </c>
      <c r="Q431" s="8" t="n">
        <v>9083</v>
      </c>
      <c r="R431" s="8" t="n">
        <v>1089</v>
      </c>
      <c r="S431" s="8" t="s">
        <v>557</v>
      </c>
      <c r="T431" s="8"/>
      <c r="U431" s="8"/>
      <c r="V431" s="8" t="s">
        <v>309</v>
      </c>
      <c r="W431" s="8"/>
      <c r="X431" s="8" t="s">
        <v>558</v>
      </c>
      <c r="Y431" s="8" t="s">
        <v>2033</v>
      </c>
      <c r="Z431" s="8"/>
    </row>
    <row r="432" customFormat="false" ht="15" hidden="false" customHeight="false" outlineLevel="0" collapsed="false">
      <c r="A432" s="8" t="s">
        <v>556</v>
      </c>
      <c r="B432" s="8" t="s">
        <v>17</v>
      </c>
      <c r="C432" s="8" t="s">
        <v>18</v>
      </c>
      <c r="D432" s="8" t="s">
        <v>615</v>
      </c>
      <c r="E432" s="8" t="s">
        <v>39</v>
      </c>
      <c r="F432" s="8" t="s">
        <v>62</v>
      </c>
      <c r="G432" s="8" t="s">
        <v>30</v>
      </c>
      <c r="H432" s="8" t="s">
        <v>31</v>
      </c>
      <c r="I432" s="8" t="n">
        <f aca="false">IF(EXACT(G432,H432),1,0)</f>
        <v>0</v>
      </c>
      <c r="J432" s="8" t="n">
        <v>1</v>
      </c>
      <c r="K432" s="8" t="s">
        <v>116</v>
      </c>
      <c r="L432" s="8" t="n">
        <v>1</v>
      </c>
      <c r="M432" s="8" t="n">
        <v>4</v>
      </c>
      <c r="N432" s="8" t="s">
        <v>1926</v>
      </c>
      <c r="O432" s="8" t="n">
        <v>2</v>
      </c>
      <c r="P432" s="10" t="n">
        <v>24.76</v>
      </c>
      <c r="Q432" s="8" t="n">
        <v>9081</v>
      </c>
      <c r="R432" s="8" t="n">
        <v>1080</v>
      </c>
      <c r="S432" s="8" t="s">
        <v>557</v>
      </c>
      <c r="T432" s="8"/>
      <c r="U432" s="8"/>
      <c r="V432" s="8" t="s">
        <v>309</v>
      </c>
      <c r="W432" s="8"/>
      <c r="X432" s="8" t="s">
        <v>558</v>
      </c>
      <c r="Y432" s="8" t="s">
        <v>2034</v>
      </c>
      <c r="Z432" s="8" t="s">
        <v>2035</v>
      </c>
    </row>
    <row r="433" customFormat="false" ht="15" hidden="false" customHeight="false" outlineLevel="0" collapsed="false">
      <c r="A433" s="8" t="s">
        <v>556</v>
      </c>
      <c r="B433" s="8" t="s">
        <v>17</v>
      </c>
      <c r="C433" s="8" t="s">
        <v>18</v>
      </c>
      <c r="D433" s="8" t="s">
        <v>615</v>
      </c>
      <c r="E433" s="8" t="s">
        <v>39</v>
      </c>
      <c r="F433" s="8" t="s">
        <v>62</v>
      </c>
      <c r="G433" s="8" t="s">
        <v>30</v>
      </c>
      <c r="H433" s="8" t="s">
        <v>30</v>
      </c>
      <c r="I433" s="8" t="n">
        <f aca="false">IF(EXACT(G433,H433),1,0)</f>
        <v>1</v>
      </c>
      <c r="J433" s="8" t="n">
        <v>2</v>
      </c>
      <c r="K433" s="8" t="s">
        <v>92</v>
      </c>
      <c r="L433" s="8" t="n">
        <v>0</v>
      </c>
      <c r="M433" s="8" t="n">
        <v>4</v>
      </c>
      <c r="N433" s="8" t="s">
        <v>1926</v>
      </c>
      <c r="O433" s="8" t="n">
        <v>2</v>
      </c>
      <c r="P433" s="10" t="n">
        <v>23.63</v>
      </c>
      <c r="Q433" s="8" t="n">
        <v>9083</v>
      </c>
      <c r="R433" s="8" t="n">
        <v>1058</v>
      </c>
      <c r="S433" s="8" t="s">
        <v>557</v>
      </c>
      <c r="T433" s="8"/>
      <c r="U433" s="8"/>
      <c r="V433" s="8" t="s">
        <v>309</v>
      </c>
      <c r="W433" s="8"/>
      <c r="X433" s="8" t="s">
        <v>558</v>
      </c>
      <c r="Y433" s="8" t="s">
        <v>2036</v>
      </c>
      <c r="Z433" s="8"/>
    </row>
    <row r="434" customFormat="false" ht="15" hidden="false" customHeight="false" outlineLevel="0" collapsed="false">
      <c r="A434" s="8" t="s">
        <v>559</v>
      </c>
      <c r="B434" s="8" t="s">
        <v>17</v>
      </c>
      <c r="C434" s="8" t="s">
        <v>18</v>
      </c>
      <c r="D434" s="8" t="s">
        <v>615</v>
      </c>
      <c r="E434" s="8" t="s">
        <v>39</v>
      </c>
      <c r="F434" s="8" t="s">
        <v>62</v>
      </c>
      <c r="G434" s="8" t="s">
        <v>30</v>
      </c>
      <c r="H434" s="8" t="s">
        <v>30</v>
      </c>
      <c r="I434" s="8" t="n">
        <f aca="false">IF(EXACT(G434,H434),1,0)</f>
        <v>1</v>
      </c>
      <c r="J434" s="8" t="n">
        <v>0</v>
      </c>
      <c r="K434" s="8" t="s">
        <v>92</v>
      </c>
      <c r="L434" s="8" t="n">
        <v>0</v>
      </c>
      <c r="M434" s="8" t="n">
        <v>4</v>
      </c>
      <c r="N434" s="8" t="s">
        <v>1926</v>
      </c>
      <c r="O434" s="8" t="n">
        <v>2</v>
      </c>
      <c r="P434" s="10" t="n">
        <v>24</v>
      </c>
      <c r="Q434" s="8" t="n">
        <v>9089</v>
      </c>
      <c r="R434" s="8" t="n">
        <v>1032</v>
      </c>
      <c r="S434" s="8" t="s">
        <v>557</v>
      </c>
      <c r="T434" s="8"/>
      <c r="U434" s="8"/>
      <c r="V434" s="8" t="s">
        <v>309</v>
      </c>
      <c r="W434" s="8"/>
      <c r="X434" s="8" t="s">
        <v>560</v>
      </c>
      <c r="Y434" s="8" t="s">
        <v>2037</v>
      </c>
      <c r="Z434" s="8"/>
    </row>
    <row r="435" customFormat="false" ht="15" hidden="false" customHeight="false" outlineLevel="0" collapsed="false">
      <c r="A435" s="8" t="s">
        <v>559</v>
      </c>
      <c r="B435" s="8" t="s">
        <v>17</v>
      </c>
      <c r="C435" s="8" t="s">
        <v>18</v>
      </c>
      <c r="D435" s="8" t="s">
        <v>615</v>
      </c>
      <c r="E435" s="8" t="s">
        <v>39</v>
      </c>
      <c r="F435" s="8" t="s">
        <v>62</v>
      </c>
      <c r="G435" s="8" t="s">
        <v>30</v>
      </c>
      <c r="H435" s="8" t="s">
        <v>30</v>
      </c>
      <c r="I435" s="8" t="n">
        <f aca="false">IF(EXACT(G435,H435),1,0)</f>
        <v>1</v>
      </c>
      <c r="J435" s="8" t="n">
        <v>1</v>
      </c>
      <c r="K435" s="8" t="s">
        <v>92</v>
      </c>
      <c r="L435" s="8" t="n">
        <v>0</v>
      </c>
      <c r="M435" s="8" t="n">
        <v>4</v>
      </c>
      <c r="N435" s="8" t="s">
        <v>1926</v>
      </c>
      <c r="O435" s="8" t="n">
        <v>2</v>
      </c>
      <c r="P435" s="10" t="n">
        <v>23.4</v>
      </c>
      <c r="Q435" s="8" t="n">
        <v>9089</v>
      </c>
      <c r="R435" s="8" t="n">
        <v>1030</v>
      </c>
      <c r="S435" s="8" t="s">
        <v>557</v>
      </c>
      <c r="T435" s="8"/>
      <c r="U435" s="8"/>
      <c r="V435" s="8" t="s">
        <v>309</v>
      </c>
      <c r="W435" s="8"/>
      <c r="X435" s="8" t="s">
        <v>560</v>
      </c>
      <c r="Y435" s="8" t="s">
        <v>2038</v>
      </c>
      <c r="Z435" s="8"/>
    </row>
    <row r="436" customFormat="false" ht="15" hidden="false" customHeight="false" outlineLevel="0" collapsed="false">
      <c r="A436" s="8" t="s">
        <v>559</v>
      </c>
      <c r="B436" s="8" t="s">
        <v>17</v>
      </c>
      <c r="C436" s="8" t="s">
        <v>18</v>
      </c>
      <c r="D436" s="8" t="s">
        <v>615</v>
      </c>
      <c r="E436" s="8" t="s">
        <v>39</v>
      </c>
      <c r="F436" s="8" t="s">
        <v>62</v>
      </c>
      <c r="G436" s="8" t="s">
        <v>30</v>
      </c>
      <c r="H436" s="8" t="s">
        <v>30</v>
      </c>
      <c r="I436" s="8" t="n">
        <f aca="false">IF(EXACT(G436,H436),1,0)</f>
        <v>1</v>
      </c>
      <c r="J436" s="8" t="n">
        <v>2</v>
      </c>
      <c r="K436" s="8" t="s">
        <v>92</v>
      </c>
      <c r="L436" s="8" t="n">
        <v>0</v>
      </c>
      <c r="M436" s="8" t="n">
        <v>4</v>
      </c>
      <c r="N436" s="8" t="s">
        <v>1926</v>
      </c>
      <c r="O436" s="8" t="n">
        <v>2</v>
      </c>
      <c r="P436" s="10" t="n">
        <v>24.03</v>
      </c>
      <c r="Q436" s="8" t="n">
        <v>9089</v>
      </c>
      <c r="R436" s="8" t="n">
        <v>1036</v>
      </c>
      <c r="S436" s="8" t="s">
        <v>557</v>
      </c>
      <c r="T436" s="8"/>
      <c r="U436" s="8"/>
      <c r="V436" s="8" t="s">
        <v>309</v>
      </c>
      <c r="W436" s="8"/>
      <c r="X436" s="8" t="s">
        <v>560</v>
      </c>
      <c r="Y436" s="8" t="s">
        <v>2039</v>
      </c>
      <c r="Z436" s="8"/>
    </row>
    <row r="437" customFormat="false" ht="15" hidden="false" customHeight="false" outlineLevel="0" collapsed="false">
      <c r="A437" s="8" t="s">
        <v>561</v>
      </c>
      <c r="B437" s="8" t="s">
        <v>17</v>
      </c>
      <c r="C437" s="8" t="s">
        <v>18</v>
      </c>
      <c r="D437" s="8" t="s">
        <v>615</v>
      </c>
      <c r="E437" s="8" t="s">
        <v>39</v>
      </c>
      <c r="F437" s="8" t="s">
        <v>62</v>
      </c>
      <c r="G437" s="8" t="s">
        <v>31</v>
      </c>
      <c r="H437" s="8" t="s">
        <v>31</v>
      </c>
      <c r="I437" s="8" t="n">
        <f aca="false">IF(EXACT(G437,H437),1,0)</f>
        <v>1</v>
      </c>
      <c r="J437" s="8" t="n">
        <v>0</v>
      </c>
      <c r="K437" s="8" t="s">
        <v>116</v>
      </c>
      <c r="L437" s="8" t="n">
        <v>1</v>
      </c>
      <c r="M437" s="8" t="n">
        <v>4</v>
      </c>
      <c r="N437" s="8" t="s">
        <v>1926</v>
      </c>
      <c r="O437" s="8" t="n">
        <v>2</v>
      </c>
      <c r="P437" s="10" t="n">
        <v>26.38</v>
      </c>
      <c r="Q437" s="8" t="n">
        <v>9875</v>
      </c>
      <c r="R437" s="8" t="n">
        <v>1273</v>
      </c>
      <c r="S437" s="8" t="s">
        <v>562</v>
      </c>
      <c r="T437" s="8"/>
      <c r="U437" s="8"/>
      <c r="V437" s="8" t="s">
        <v>155</v>
      </c>
      <c r="W437" s="8"/>
      <c r="X437" s="8" t="s">
        <v>563</v>
      </c>
      <c r="Y437" s="8" t="s">
        <v>2040</v>
      </c>
      <c r="Z437" s="8" t="s">
        <v>2041</v>
      </c>
    </row>
    <row r="438" customFormat="false" ht="15" hidden="false" customHeight="false" outlineLevel="0" collapsed="false">
      <c r="A438" s="8" t="s">
        <v>561</v>
      </c>
      <c r="B438" s="8" t="s">
        <v>17</v>
      </c>
      <c r="C438" s="8" t="s">
        <v>18</v>
      </c>
      <c r="D438" s="8" t="s">
        <v>615</v>
      </c>
      <c r="E438" s="8" t="s">
        <v>39</v>
      </c>
      <c r="F438" s="8" t="s">
        <v>62</v>
      </c>
      <c r="G438" s="8" t="s">
        <v>31</v>
      </c>
      <c r="H438" s="8" t="s">
        <v>31</v>
      </c>
      <c r="I438" s="8" t="n">
        <f aca="false">IF(EXACT(G438,H438),1,0)</f>
        <v>1</v>
      </c>
      <c r="J438" s="8" t="n">
        <v>1</v>
      </c>
      <c r="K438" s="8" t="s">
        <v>116</v>
      </c>
      <c r="L438" s="8" t="n">
        <v>1</v>
      </c>
      <c r="M438" s="8" t="n">
        <v>4</v>
      </c>
      <c r="N438" s="8" t="s">
        <v>1926</v>
      </c>
      <c r="O438" s="8" t="n">
        <v>2</v>
      </c>
      <c r="P438" s="10" t="n">
        <v>24.77</v>
      </c>
      <c r="Q438" s="8" t="n">
        <v>9876</v>
      </c>
      <c r="R438" s="8" t="n">
        <v>1256</v>
      </c>
      <c r="S438" s="8" t="s">
        <v>562</v>
      </c>
      <c r="T438" s="8"/>
      <c r="U438" s="8"/>
      <c r="V438" s="8" t="s">
        <v>155</v>
      </c>
      <c r="W438" s="8"/>
      <c r="X438" s="8" t="s">
        <v>563</v>
      </c>
      <c r="Y438" s="8" t="s">
        <v>2042</v>
      </c>
      <c r="Z438" s="8" t="s">
        <v>2043</v>
      </c>
    </row>
    <row r="439" customFormat="false" ht="15" hidden="false" customHeight="false" outlineLevel="0" collapsed="false">
      <c r="A439" s="8" t="s">
        <v>561</v>
      </c>
      <c r="B439" s="8" t="s">
        <v>17</v>
      </c>
      <c r="C439" s="8" t="s">
        <v>18</v>
      </c>
      <c r="D439" s="8" t="s">
        <v>615</v>
      </c>
      <c r="E439" s="8" t="s">
        <v>39</v>
      </c>
      <c r="F439" s="8" t="s">
        <v>62</v>
      </c>
      <c r="G439" s="8" t="s">
        <v>31</v>
      </c>
      <c r="H439" s="8" t="s">
        <v>31</v>
      </c>
      <c r="I439" s="8" t="n">
        <f aca="false">IF(EXACT(G439,H439),1,0)</f>
        <v>1</v>
      </c>
      <c r="J439" s="8" t="n">
        <v>2</v>
      </c>
      <c r="K439" s="8" t="s">
        <v>116</v>
      </c>
      <c r="L439" s="8" t="n">
        <v>1</v>
      </c>
      <c r="M439" s="8" t="n">
        <v>4</v>
      </c>
      <c r="N439" s="8" t="s">
        <v>1926</v>
      </c>
      <c r="O439" s="8" t="n">
        <v>2</v>
      </c>
      <c r="P439" s="10" t="n">
        <v>33.88</v>
      </c>
      <c r="Q439" s="8" t="n">
        <v>9875</v>
      </c>
      <c r="R439" s="8" t="n">
        <v>1575</v>
      </c>
      <c r="S439" s="8" t="s">
        <v>562</v>
      </c>
      <c r="T439" s="8"/>
      <c r="U439" s="8"/>
      <c r="V439" s="8" t="s">
        <v>155</v>
      </c>
      <c r="W439" s="8"/>
      <c r="X439" s="8" t="s">
        <v>563</v>
      </c>
      <c r="Y439" s="8" t="s">
        <v>2040</v>
      </c>
      <c r="Z439" s="8" t="s">
        <v>2044</v>
      </c>
    </row>
    <row r="440" customFormat="false" ht="15" hidden="false" customHeight="false" outlineLevel="0" collapsed="false">
      <c r="A440" s="8" t="s">
        <v>564</v>
      </c>
      <c r="B440" s="8" t="s">
        <v>17</v>
      </c>
      <c r="C440" s="8" t="s">
        <v>18</v>
      </c>
      <c r="D440" s="8" t="s">
        <v>615</v>
      </c>
      <c r="E440" s="8" t="s">
        <v>39</v>
      </c>
      <c r="F440" s="8" t="s">
        <v>62</v>
      </c>
      <c r="G440" s="8" t="s">
        <v>31</v>
      </c>
      <c r="H440" s="8" t="s">
        <v>31</v>
      </c>
      <c r="I440" s="8" t="n">
        <f aca="false">IF(EXACT(G440,H440),1,0)</f>
        <v>1</v>
      </c>
      <c r="J440" s="8" t="n">
        <v>0</v>
      </c>
      <c r="K440" s="8" t="s">
        <v>116</v>
      </c>
      <c r="L440" s="8" t="n">
        <v>1</v>
      </c>
      <c r="M440" s="8" t="n">
        <v>4</v>
      </c>
      <c r="N440" s="8" t="s">
        <v>1926</v>
      </c>
      <c r="O440" s="8" t="n">
        <v>2</v>
      </c>
      <c r="P440" s="10" t="n">
        <v>30.01</v>
      </c>
      <c r="Q440" s="8" t="n">
        <v>10359</v>
      </c>
      <c r="R440" s="8" t="n">
        <v>1629</v>
      </c>
      <c r="S440" s="8" t="s">
        <v>565</v>
      </c>
      <c r="T440" s="8"/>
      <c r="U440" s="8"/>
      <c r="V440" s="8" t="s">
        <v>155</v>
      </c>
      <c r="W440" s="8"/>
      <c r="X440" s="8" t="s">
        <v>566</v>
      </c>
      <c r="Y440" s="8" t="s">
        <v>2045</v>
      </c>
      <c r="Z440" s="8" t="s">
        <v>2046</v>
      </c>
    </row>
    <row r="441" customFormat="false" ht="15" hidden="false" customHeight="false" outlineLevel="0" collapsed="false">
      <c r="A441" s="8" t="s">
        <v>564</v>
      </c>
      <c r="B441" s="8" t="s">
        <v>17</v>
      </c>
      <c r="C441" s="8" t="s">
        <v>18</v>
      </c>
      <c r="D441" s="8" t="s">
        <v>615</v>
      </c>
      <c r="E441" s="8" t="s">
        <v>39</v>
      </c>
      <c r="F441" s="8" t="s">
        <v>62</v>
      </c>
      <c r="G441" s="8" t="s">
        <v>31</v>
      </c>
      <c r="H441" s="8" t="s">
        <v>31</v>
      </c>
      <c r="I441" s="8" t="n">
        <f aca="false">IF(EXACT(G441,H441),1,0)</f>
        <v>1</v>
      </c>
      <c r="J441" s="8" t="n">
        <v>1</v>
      </c>
      <c r="K441" s="8" t="s">
        <v>116</v>
      </c>
      <c r="L441" s="8" t="n">
        <v>1</v>
      </c>
      <c r="M441" s="8" t="n">
        <v>4</v>
      </c>
      <c r="N441" s="8" t="s">
        <v>1926</v>
      </c>
      <c r="O441" s="8" t="n">
        <v>2</v>
      </c>
      <c r="P441" s="10" t="n">
        <v>34.63</v>
      </c>
      <c r="Q441" s="8" t="n">
        <v>10358</v>
      </c>
      <c r="R441" s="8" t="n">
        <v>1969</v>
      </c>
      <c r="S441" s="8" t="s">
        <v>565</v>
      </c>
      <c r="T441" s="8"/>
      <c r="U441" s="8"/>
      <c r="V441" s="8" t="s">
        <v>155</v>
      </c>
      <c r="W441" s="8"/>
      <c r="X441" s="8" t="s">
        <v>566</v>
      </c>
      <c r="Y441" s="8" t="s">
        <v>2047</v>
      </c>
      <c r="Z441" s="8" t="s">
        <v>2048</v>
      </c>
    </row>
    <row r="442" customFormat="false" ht="15" hidden="false" customHeight="false" outlineLevel="0" collapsed="false">
      <c r="A442" s="8" t="s">
        <v>564</v>
      </c>
      <c r="B442" s="8" t="s">
        <v>17</v>
      </c>
      <c r="C442" s="8" t="s">
        <v>18</v>
      </c>
      <c r="D442" s="8" t="s">
        <v>615</v>
      </c>
      <c r="E442" s="8" t="s">
        <v>39</v>
      </c>
      <c r="F442" s="8" t="s">
        <v>62</v>
      </c>
      <c r="G442" s="8" t="s">
        <v>31</v>
      </c>
      <c r="H442" s="8" t="s">
        <v>31</v>
      </c>
      <c r="I442" s="8" t="n">
        <f aca="false">IF(EXACT(G442,H442),1,0)</f>
        <v>1</v>
      </c>
      <c r="J442" s="8" t="n">
        <v>2</v>
      </c>
      <c r="K442" s="8" t="s">
        <v>116</v>
      </c>
      <c r="L442" s="8" t="n">
        <v>1</v>
      </c>
      <c r="M442" s="8" t="n">
        <v>4</v>
      </c>
      <c r="N442" s="8" t="s">
        <v>1926</v>
      </c>
      <c r="O442" s="8" t="n">
        <v>2</v>
      </c>
      <c r="P442" s="10" t="n">
        <v>35.46</v>
      </c>
      <c r="Q442" s="8" t="n">
        <v>10371</v>
      </c>
      <c r="R442" s="8" t="n">
        <v>1944</v>
      </c>
      <c r="S442" s="8" t="s">
        <v>565</v>
      </c>
      <c r="T442" s="8"/>
      <c r="U442" s="8"/>
      <c r="V442" s="8" t="s">
        <v>155</v>
      </c>
      <c r="W442" s="8"/>
      <c r="X442" s="8" t="s">
        <v>566</v>
      </c>
      <c r="Y442" s="8" t="s">
        <v>2049</v>
      </c>
      <c r="Z442" s="8" t="s">
        <v>2050</v>
      </c>
    </row>
    <row r="443" customFormat="false" ht="15" hidden="false" customHeight="false" outlineLevel="0" collapsed="false">
      <c r="A443" s="8" t="s">
        <v>567</v>
      </c>
      <c r="B443" s="8" t="s">
        <v>17</v>
      </c>
      <c r="C443" s="8" t="s">
        <v>18</v>
      </c>
      <c r="D443" s="8" t="s">
        <v>615</v>
      </c>
      <c r="E443" s="8" t="s">
        <v>39</v>
      </c>
      <c r="F443" s="8" t="s">
        <v>62</v>
      </c>
      <c r="G443" s="8" t="s">
        <v>32</v>
      </c>
      <c r="H443" s="8" t="s">
        <v>30</v>
      </c>
      <c r="I443" s="8" t="n">
        <f aca="false">IF(EXACT(G443,H443),1,0)</f>
        <v>0</v>
      </c>
      <c r="J443" s="8" t="n">
        <v>0</v>
      </c>
      <c r="K443" s="8" t="s">
        <v>92</v>
      </c>
      <c r="L443" s="8" t="n">
        <v>0</v>
      </c>
      <c r="M443" s="8" t="n">
        <v>4</v>
      </c>
      <c r="N443" s="8" t="s">
        <v>1926</v>
      </c>
      <c r="O443" s="8" t="n">
        <v>2</v>
      </c>
      <c r="P443" s="10" t="n">
        <v>23.44</v>
      </c>
      <c r="Q443" s="8" t="n">
        <v>9396</v>
      </c>
      <c r="R443" s="8" t="n">
        <v>1178</v>
      </c>
      <c r="S443" s="8" t="s">
        <v>568</v>
      </c>
      <c r="T443" s="8"/>
      <c r="U443" s="8"/>
      <c r="V443" s="8" t="s">
        <v>155</v>
      </c>
      <c r="W443" s="8"/>
      <c r="X443" s="8" t="s">
        <v>569</v>
      </c>
      <c r="Y443" s="8" t="s">
        <v>2051</v>
      </c>
      <c r="Z443" s="8"/>
    </row>
    <row r="444" customFormat="false" ht="15" hidden="false" customHeight="false" outlineLevel="0" collapsed="false">
      <c r="A444" s="8" t="s">
        <v>567</v>
      </c>
      <c r="B444" s="8" t="s">
        <v>17</v>
      </c>
      <c r="C444" s="8" t="s">
        <v>18</v>
      </c>
      <c r="D444" s="8" t="s">
        <v>615</v>
      </c>
      <c r="E444" s="8" t="s">
        <v>39</v>
      </c>
      <c r="F444" s="8" t="s">
        <v>62</v>
      </c>
      <c r="G444" s="8" t="s">
        <v>32</v>
      </c>
      <c r="H444" s="8" t="s">
        <v>30</v>
      </c>
      <c r="I444" s="8" t="n">
        <f aca="false">IF(EXACT(G444,H444),1,0)</f>
        <v>0</v>
      </c>
      <c r="J444" s="8" t="n">
        <v>1</v>
      </c>
      <c r="K444" s="8" t="s">
        <v>92</v>
      </c>
      <c r="L444" s="8" t="n">
        <v>0</v>
      </c>
      <c r="M444" s="8" t="n">
        <v>4</v>
      </c>
      <c r="N444" s="8" t="s">
        <v>1926</v>
      </c>
      <c r="O444" s="8" t="n">
        <v>2</v>
      </c>
      <c r="P444" s="10" t="n">
        <v>23.73</v>
      </c>
      <c r="Q444" s="8" t="n">
        <v>9397</v>
      </c>
      <c r="R444" s="8" t="n">
        <v>1185</v>
      </c>
      <c r="S444" s="8" t="s">
        <v>568</v>
      </c>
      <c r="T444" s="8"/>
      <c r="U444" s="8"/>
      <c r="V444" s="8" t="s">
        <v>155</v>
      </c>
      <c r="W444" s="8"/>
      <c r="X444" s="8" t="s">
        <v>569</v>
      </c>
      <c r="Y444" s="8" t="s">
        <v>2052</v>
      </c>
      <c r="Z444" s="8"/>
    </row>
    <row r="445" customFormat="false" ht="15" hidden="false" customHeight="false" outlineLevel="0" collapsed="false">
      <c r="A445" s="8" t="s">
        <v>567</v>
      </c>
      <c r="B445" s="8" t="s">
        <v>17</v>
      </c>
      <c r="C445" s="8" t="s">
        <v>18</v>
      </c>
      <c r="D445" s="8" t="s">
        <v>615</v>
      </c>
      <c r="E445" s="8" t="s">
        <v>39</v>
      </c>
      <c r="F445" s="8" t="s">
        <v>62</v>
      </c>
      <c r="G445" s="8" t="s">
        <v>32</v>
      </c>
      <c r="H445" s="8" t="s">
        <v>30</v>
      </c>
      <c r="I445" s="8" t="n">
        <f aca="false">IF(EXACT(G445,H445),1,0)</f>
        <v>0</v>
      </c>
      <c r="J445" s="8" t="n">
        <v>2</v>
      </c>
      <c r="K445" s="8" t="s">
        <v>92</v>
      </c>
      <c r="L445" s="8" t="n">
        <v>0</v>
      </c>
      <c r="M445" s="8" t="n">
        <v>4</v>
      </c>
      <c r="N445" s="8" t="s">
        <v>1926</v>
      </c>
      <c r="O445" s="8" t="n">
        <v>2</v>
      </c>
      <c r="P445" s="10" t="n">
        <v>23.18</v>
      </c>
      <c r="Q445" s="8" t="n">
        <v>9396</v>
      </c>
      <c r="R445" s="8" t="n">
        <v>1176</v>
      </c>
      <c r="S445" s="8" t="s">
        <v>568</v>
      </c>
      <c r="T445" s="8"/>
      <c r="U445" s="8"/>
      <c r="V445" s="8" t="s">
        <v>155</v>
      </c>
      <c r="W445" s="8"/>
      <c r="X445" s="8" t="s">
        <v>569</v>
      </c>
      <c r="Y445" s="8" t="s">
        <v>2053</v>
      </c>
      <c r="Z445" s="8"/>
    </row>
    <row r="446" customFormat="false" ht="15" hidden="false" customHeight="false" outlineLevel="0" collapsed="false">
      <c r="A446" s="8" t="s">
        <v>570</v>
      </c>
      <c r="B446" s="8" t="s">
        <v>17</v>
      </c>
      <c r="C446" s="8" t="s">
        <v>18</v>
      </c>
      <c r="D446" s="8" t="s">
        <v>615</v>
      </c>
      <c r="E446" s="8" t="s">
        <v>39</v>
      </c>
      <c r="F446" s="8" t="s">
        <v>62</v>
      </c>
      <c r="G446" s="8" t="s">
        <v>32</v>
      </c>
      <c r="H446" s="8" t="s">
        <v>30</v>
      </c>
      <c r="I446" s="8" t="n">
        <f aca="false">IF(EXACT(G446,H446),1,0)</f>
        <v>0</v>
      </c>
      <c r="J446" s="8" t="n">
        <v>0</v>
      </c>
      <c r="K446" s="8" t="s">
        <v>92</v>
      </c>
      <c r="L446" s="8" t="n">
        <v>0</v>
      </c>
      <c r="M446" s="8" t="n">
        <v>4</v>
      </c>
      <c r="N446" s="8" t="s">
        <v>1926</v>
      </c>
      <c r="O446" s="8" t="n">
        <v>2</v>
      </c>
      <c r="P446" s="10" t="n">
        <v>34.01</v>
      </c>
      <c r="Q446" s="8" t="n">
        <v>9701</v>
      </c>
      <c r="R446" s="8" t="n">
        <v>1210</v>
      </c>
      <c r="S446" s="8" t="s">
        <v>571</v>
      </c>
      <c r="T446" s="8"/>
      <c r="U446" s="8"/>
      <c r="V446" s="8" t="s">
        <v>155</v>
      </c>
      <c r="W446" s="8"/>
      <c r="X446" s="8" t="s">
        <v>572</v>
      </c>
      <c r="Y446" s="8" t="s">
        <v>2054</v>
      </c>
      <c r="Z446" s="8"/>
    </row>
    <row r="447" customFormat="false" ht="15" hidden="false" customHeight="false" outlineLevel="0" collapsed="false">
      <c r="A447" s="8" t="s">
        <v>570</v>
      </c>
      <c r="B447" s="8" t="s">
        <v>17</v>
      </c>
      <c r="C447" s="8" t="s">
        <v>18</v>
      </c>
      <c r="D447" s="8" t="s">
        <v>615</v>
      </c>
      <c r="E447" s="8" t="s">
        <v>39</v>
      </c>
      <c r="F447" s="8" t="s">
        <v>62</v>
      </c>
      <c r="G447" s="8" t="s">
        <v>32</v>
      </c>
      <c r="H447" s="8" t="s">
        <v>30</v>
      </c>
      <c r="I447" s="8" t="n">
        <f aca="false">IF(EXACT(G447,H447),1,0)</f>
        <v>0</v>
      </c>
      <c r="J447" s="8" t="n">
        <v>1</v>
      </c>
      <c r="K447" s="8" t="s">
        <v>92</v>
      </c>
      <c r="L447" s="8" t="n">
        <v>0</v>
      </c>
      <c r="M447" s="8" t="n">
        <v>4</v>
      </c>
      <c r="N447" s="8" t="s">
        <v>1926</v>
      </c>
      <c r="O447" s="8" t="n">
        <v>2</v>
      </c>
      <c r="P447" s="10" t="n">
        <v>33.37</v>
      </c>
      <c r="Q447" s="8" t="n">
        <v>9701</v>
      </c>
      <c r="R447" s="8" t="n">
        <v>1211</v>
      </c>
      <c r="S447" s="8" t="s">
        <v>571</v>
      </c>
      <c r="T447" s="8"/>
      <c r="U447" s="8"/>
      <c r="V447" s="8" t="s">
        <v>155</v>
      </c>
      <c r="W447" s="8"/>
      <c r="X447" s="8" t="s">
        <v>572</v>
      </c>
      <c r="Y447" s="8" t="s">
        <v>2055</v>
      </c>
      <c r="Z447" s="8"/>
    </row>
    <row r="448" customFormat="false" ht="15" hidden="false" customHeight="false" outlineLevel="0" collapsed="false">
      <c r="A448" s="8" t="s">
        <v>570</v>
      </c>
      <c r="B448" s="8" t="s">
        <v>17</v>
      </c>
      <c r="C448" s="8" t="s">
        <v>18</v>
      </c>
      <c r="D448" s="8" t="s">
        <v>615</v>
      </c>
      <c r="E448" s="8" t="s">
        <v>39</v>
      </c>
      <c r="F448" s="8" t="s">
        <v>62</v>
      </c>
      <c r="G448" s="8" t="s">
        <v>32</v>
      </c>
      <c r="H448" s="8" t="s">
        <v>30</v>
      </c>
      <c r="I448" s="8" t="n">
        <f aca="false">IF(EXACT(G448,H448),1,0)</f>
        <v>0</v>
      </c>
      <c r="J448" s="8" t="n">
        <v>2</v>
      </c>
      <c r="K448" s="8" t="s">
        <v>92</v>
      </c>
      <c r="L448" s="8" t="n">
        <v>0</v>
      </c>
      <c r="M448" s="8" t="n">
        <v>4</v>
      </c>
      <c r="N448" s="8" t="s">
        <v>1926</v>
      </c>
      <c r="O448" s="8" t="n">
        <v>2</v>
      </c>
      <c r="P448" s="10" t="n">
        <v>33.69</v>
      </c>
      <c r="Q448" s="8" t="n">
        <v>9701</v>
      </c>
      <c r="R448" s="8" t="n">
        <v>1223</v>
      </c>
      <c r="S448" s="8" t="s">
        <v>571</v>
      </c>
      <c r="T448" s="8"/>
      <c r="U448" s="8"/>
      <c r="V448" s="8" t="s">
        <v>155</v>
      </c>
      <c r="W448" s="8"/>
      <c r="X448" s="8" t="s">
        <v>572</v>
      </c>
      <c r="Y448" s="8" t="s">
        <v>2056</v>
      </c>
      <c r="Z448" s="8"/>
    </row>
    <row r="449" customFormat="false" ht="15" hidden="false" customHeight="false" outlineLevel="0" collapsed="false">
      <c r="A449" s="8" t="s">
        <v>242</v>
      </c>
      <c r="B449" s="8" t="s">
        <v>17</v>
      </c>
      <c r="C449" s="8" t="s">
        <v>18</v>
      </c>
      <c r="D449" s="8" t="s">
        <v>615</v>
      </c>
      <c r="E449" s="8" t="s">
        <v>40</v>
      </c>
      <c r="F449" s="8" t="s">
        <v>48</v>
      </c>
      <c r="G449" s="8" t="s">
        <v>32</v>
      </c>
      <c r="H449" s="8" t="s">
        <v>32</v>
      </c>
      <c r="I449" s="8" t="n">
        <f aca="false">IF(EXACT(G449,H449),1,0)</f>
        <v>1</v>
      </c>
      <c r="J449" s="8" t="n">
        <v>0</v>
      </c>
      <c r="K449" s="8" t="s">
        <v>92</v>
      </c>
      <c r="L449" s="8" t="n">
        <v>0</v>
      </c>
      <c r="M449" s="8" t="n">
        <v>5</v>
      </c>
      <c r="N449" s="8" t="s">
        <v>2057</v>
      </c>
      <c r="O449" s="8" t="n">
        <v>2</v>
      </c>
      <c r="P449" s="10" t="n">
        <v>18.59</v>
      </c>
      <c r="Q449" s="8" t="n">
        <v>9530</v>
      </c>
      <c r="R449" s="8" t="n">
        <v>917</v>
      </c>
      <c r="S449" s="8" t="s">
        <v>94</v>
      </c>
      <c r="T449" s="8" t="s">
        <v>243</v>
      </c>
      <c r="U449" s="8" t="s">
        <v>244</v>
      </c>
      <c r="V449" s="8"/>
      <c r="W449" s="8" t="s">
        <v>245</v>
      </c>
      <c r="X449" s="8" t="s">
        <v>573</v>
      </c>
      <c r="Y449" s="8" t="s">
        <v>2058</v>
      </c>
      <c r="Z449" s="8"/>
    </row>
    <row r="450" customFormat="false" ht="15" hidden="false" customHeight="false" outlineLevel="0" collapsed="false">
      <c r="A450" s="8" t="s">
        <v>242</v>
      </c>
      <c r="B450" s="8" t="s">
        <v>17</v>
      </c>
      <c r="C450" s="8" t="s">
        <v>18</v>
      </c>
      <c r="D450" s="8" t="s">
        <v>615</v>
      </c>
      <c r="E450" s="8" t="s">
        <v>40</v>
      </c>
      <c r="F450" s="8" t="s">
        <v>48</v>
      </c>
      <c r="G450" s="8" t="s">
        <v>32</v>
      </c>
      <c r="H450" s="8" t="s">
        <v>32</v>
      </c>
      <c r="I450" s="8" t="n">
        <f aca="false">IF(EXACT(G450,H450),1,0)</f>
        <v>1</v>
      </c>
      <c r="J450" s="8" t="n">
        <v>1</v>
      </c>
      <c r="K450" s="8" t="s">
        <v>92</v>
      </c>
      <c r="L450" s="8" t="n">
        <v>0</v>
      </c>
      <c r="M450" s="8" t="n">
        <v>5</v>
      </c>
      <c r="N450" s="8" t="s">
        <v>2057</v>
      </c>
      <c r="O450" s="8" t="n">
        <v>2</v>
      </c>
      <c r="P450" s="10" t="n">
        <v>13.74</v>
      </c>
      <c r="Q450" s="8" t="n">
        <v>9530</v>
      </c>
      <c r="R450" s="8" t="n">
        <v>664</v>
      </c>
      <c r="S450" s="8" t="s">
        <v>94</v>
      </c>
      <c r="T450" s="8" t="s">
        <v>243</v>
      </c>
      <c r="U450" s="8" t="s">
        <v>244</v>
      </c>
      <c r="V450" s="8"/>
      <c r="W450" s="8" t="s">
        <v>245</v>
      </c>
      <c r="X450" s="8" t="s">
        <v>573</v>
      </c>
      <c r="Y450" s="8" t="s">
        <v>2059</v>
      </c>
      <c r="Z450" s="8"/>
    </row>
    <row r="451" customFormat="false" ht="15" hidden="false" customHeight="false" outlineLevel="0" collapsed="false">
      <c r="A451" s="8" t="s">
        <v>242</v>
      </c>
      <c r="B451" s="8" t="s">
        <v>17</v>
      </c>
      <c r="C451" s="8" t="s">
        <v>18</v>
      </c>
      <c r="D451" s="8" t="s">
        <v>615</v>
      </c>
      <c r="E451" s="8" t="s">
        <v>40</v>
      </c>
      <c r="F451" s="8" t="s">
        <v>48</v>
      </c>
      <c r="G451" s="8" t="s">
        <v>32</v>
      </c>
      <c r="H451" s="8" t="s">
        <v>32</v>
      </c>
      <c r="I451" s="8" t="n">
        <f aca="false">IF(EXACT(G451,H451),1,0)</f>
        <v>1</v>
      </c>
      <c r="J451" s="8" t="n">
        <v>2</v>
      </c>
      <c r="K451" s="8" t="s">
        <v>92</v>
      </c>
      <c r="L451" s="8" t="n">
        <v>0</v>
      </c>
      <c r="M451" s="8" t="n">
        <v>5</v>
      </c>
      <c r="N451" s="8" t="s">
        <v>2057</v>
      </c>
      <c r="O451" s="8" t="n">
        <v>2</v>
      </c>
      <c r="P451" s="10" t="n">
        <v>21.14</v>
      </c>
      <c r="Q451" s="8" t="n">
        <v>9529</v>
      </c>
      <c r="R451" s="8" t="n">
        <v>1044</v>
      </c>
      <c r="S451" s="8" t="s">
        <v>94</v>
      </c>
      <c r="T451" s="8" t="s">
        <v>243</v>
      </c>
      <c r="U451" s="8" t="s">
        <v>244</v>
      </c>
      <c r="V451" s="8"/>
      <c r="W451" s="8" t="s">
        <v>245</v>
      </c>
      <c r="X451" s="8" t="s">
        <v>573</v>
      </c>
      <c r="Y451" s="8" t="s">
        <v>2060</v>
      </c>
      <c r="Z451" s="8"/>
    </row>
    <row r="452" customFormat="false" ht="15" hidden="false" customHeight="false" outlineLevel="0" collapsed="false">
      <c r="A452" s="8" t="s">
        <v>247</v>
      </c>
      <c r="B452" s="8" t="s">
        <v>17</v>
      </c>
      <c r="C452" s="8" t="s">
        <v>18</v>
      </c>
      <c r="D452" s="8" t="s">
        <v>615</v>
      </c>
      <c r="E452" s="8" t="s">
        <v>40</v>
      </c>
      <c r="F452" s="8" t="s">
        <v>48</v>
      </c>
      <c r="G452" s="8" t="s">
        <v>30</v>
      </c>
      <c r="H452" s="8" t="s">
        <v>30</v>
      </c>
      <c r="I452" s="8" t="n">
        <f aca="false">IF(EXACT(G452,H452),1,0)</f>
        <v>1</v>
      </c>
      <c r="J452" s="8" t="n">
        <v>0</v>
      </c>
      <c r="K452" s="8" t="s">
        <v>92</v>
      </c>
      <c r="L452" s="8" t="n">
        <v>0</v>
      </c>
      <c r="M452" s="8" t="n">
        <v>5</v>
      </c>
      <c r="N452" s="8" t="s">
        <v>2057</v>
      </c>
      <c r="O452" s="8" t="n">
        <v>2</v>
      </c>
      <c r="P452" s="10" t="n">
        <v>34.16</v>
      </c>
      <c r="Q452" s="8" t="n">
        <v>9708</v>
      </c>
      <c r="R452" s="8" t="n">
        <v>1183</v>
      </c>
      <c r="S452" s="8" t="s">
        <v>216</v>
      </c>
      <c r="T452" s="8" t="s">
        <v>243</v>
      </c>
      <c r="U452" s="8" t="s">
        <v>244</v>
      </c>
      <c r="V452" s="8"/>
      <c r="W452" s="8" t="s">
        <v>248</v>
      </c>
      <c r="X452" s="8" t="s">
        <v>574</v>
      </c>
      <c r="Y452" s="8" t="s">
        <v>2061</v>
      </c>
      <c r="Z452" s="8"/>
    </row>
    <row r="453" customFormat="false" ht="15" hidden="false" customHeight="false" outlineLevel="0" collapsed="false">
      <c r="A453" s="8" t="s">
        <v>247</v>
      </c>
      <c r="B453" s="8" t="s">
        <v>17</v>
      </c>
      <c r="C453" s="8" t="s">
        <v>18</v>
      </c>
      <c r="D453" s="8" t="s">
        <v>615</v>
      </c>
      <c r="E453" s="8" t="s">
        <v>40</v>
      </c>
      <c r="F453" s="8" t="s">
        <v>48</v>
      </c>
      <c r="G453" s="8" t="s">
        <v>30</v>
      </c>
      <c r="H453" s="8" t="s">
        <v>30</v>
      </c>
      <c r="I453" s="8" t="n">
        <f aca="false">IF(EXACT(G453,H453),1,0)</f>
        <v>1</v>
      </c>
      <c r="J453" s="8" t="n">
        <v>1</v>
      </c>
      <c r="K453" s="8" t="s">
        <v>92</v>
      </c>
      <c r="L453" s="8" t="n">
        <v>0</v>
      </c>
      <c r="M453" s="8" t="n">
        <v>5</v>
      </c>
      <c r="N453" s="8" t="s">
        <v>2057</v>
      </c>
      <c r="O453" s="8" t="n">
        <v>2</v>
      </c>
      <c r="P453" s="10" t="n">
        <v>30.65</v>
      </c>
      <c r="Q453" s="8" t="n">
        <v>9708</v>
      </c>
      <c r="R453" s="8" t="n">
        <v>1022</v>
      </c>
      <c r="S453" s="8" t="s">
        <v>216</v>
      </c>
      <c r="T453" s="8" t="s">
        <v>243</v>
      </c>
      <c r="U453" s="8" t="s">
        <v>244</v>
      </c>
      <c r="V453" s="8"/>
      <c r="W453" s="8" t="s">
        <v>248</v>
      </c>
      <c r="X453" s="8" t="s">
        <v>574</v>
      </c>
      <c r="Y453" s="8" t="s">
        <v>2062</v>
      </c>
      <c r="Z453" s="8"/>
    </row>
    <row r="454" customFormat="false" ht="15" hidden="false" customHeight="false" outlineLevel="0" collapsed="false">
      <c r="A454" s="8" t="s">
        <v>247</v>
      </c>
      <c r="B454" s="8" t="s">
        <v>17</v>
      </c>
      <c r="C454" s="8" t="s">
        <v>18</v>
      </c>
      <c r="D454" s="8" t="s">
        <v>615</v>
      </c>
      <c r="E454" s="8" t="s">
        <v>40</v>
      </c>
      <c r="F454" s="8" t="s">
        <v>48</v>
      </c>
      <c r="G454" s="8" t="s">
        <v>30</v>
      </c>
      <c r="H454" s="8" t="s">
        <v>30</v>
      </c>
      <c r="I454" s="8" t="n">
        <f aca="false">IF(EXACT(G454,H454),1,0)</f>
        <v>1</v>
      </c>
      <c r="J454" s="8" t="n">
        <v>2</v>
      </c>
      <c r="K454" s="8" t="s">
        <v>92</v>
      </c>
      <c r="L454" s="8" t="n">
        <v>0</v>
      </c>
      <c r="M454" s="8" t="n">
        <v>5</v>
      </c>
      <c r="N454" s="8" t="s">
        <v>2057</v>
      </c>
      <c r="O454" s="8" t="n">
        <v>2</v>
      </c>
      <c r="P454" s="10" t="n">
        <v>29.1</v>
      </c>
      <c r="Q454" s="8" t="n">
        <v>9708</v>
      </c>
      <c r="R454" s="8" t="n">
        <v>976</v>
      </c>
      <c r="S454" s="8" t="s">
        <v>216</v>
      </c>
      <c r="T454" s="8" t="s">
        <v>243</v>
      </c>
      <c r="U454" s="8" t="s">
        <v>244</v>
      </c>
      <c r="V454" s="8"/>
      <c r="W454" s="8" t="s">
        <v>248</v>
      </c>
      <c r="X454" s="8" t="s">
        <v>574</v>
      </c>
      <c r="Y454" s="8" t="s">
        <v>2063</v>
      </c>
      <c r="Z454" s="8"/>
    </row>
    <row r="455" customFormat="false" ht="15" hidden="false" customHeight="false" outlineLevel="0" collapsed="false">
      <c r="A455" s="8" t="s">
        <v>250</v>
      </c>
      <c r="B455" s="8" t="s">
        <v>17</v>
      </c>
      <c r="C455" s="8" t="s">
        <v>18</v>
      </c>
      <c r="D455" s="8" t="s">
        <v>615</v>
      </c>
      <c r="E455" s="8" t="s">
        <v>40</v>
      </c>
      <c r="F455" s="8" t="s">
        <v>48</v>
      </c>
      <c r="G455" s="8" t="s">
        <v>32</v>
      </c>
      <c r="H455" s="8" t="s">
        <v>30</v>
      </c>
      <c r="I455" s="8" t="n">
        <f aca="false">IF(EXACT(G455,H455),1,0)</f>
        <v>0</v>
      </c>
      <c r="J455" s="8" t="n">
        <v>0</v>
      </c>
      <c r="K455" s="8" t="s">
        <v>92</v>
      </c>
      <c r="L455" s="8" t="n">
        <v>0</v>
      </c>
      <c r="M455" s="8" t="n">
        <v>5</v>
      </c>
      <c r="N455" s="8" t="s">
        <v>2057</v>
      </c>
      <c r="O455" s="8" t="n">
        <v>2</v>
      </c>
      <c r="P455" s="10" t="n">
        <v>25.68</v>
      </c>
      <c r="Q455" s="8" t="n">
        <v>9844</v>
      </c>
      <c r="R455" s="8" t="n">
        <v>1220</v>
      </c>
      <c r="S455" s="8" t="s">
        <v>251</v>
      </c>
      <c r="T455" s="8" t="s">
        <v>243</v>
      </c>
      <c r="U455" s="8" t="s">
        <v>244</v>
      </c>
      <c r="V455" s="8"/>
      <c r="W455" s="8" t="s">
        <v>252</v>
      </c>
      <c r="X455" s="8" t="s">
        <v>575</v>
      </c>
      <c r="Y455" s="8" t="s">
        <v>2064</v>
      </c>
      <c r="Z455" s="8"/>
    </row>
    <row r="456" customFormat="false" ht="15" hidden="false" customHeight="false" outlineLevel="0" collapsed="false">
      <c r="A456" s="8" t="s">
        <v>250</v>
      </c>
      <c r="B456" s="8" t="s">
        <v>17</v>
      </c>
      <c r="C456" s="8" t="s">
        <v>18</v>
      </c>
      <c r="D456" s="8" t="s">
        <v>615</v>
      </c>
      <c r="E456" s="8" t="s">
        <v>40</v>
      </c>
      <c r="F456" s="8" t="s">
        <v>48</v>
      </c>
      <c r="G456" s="8" t="s">
        <v>32</v>
      </c>
      <c r="H456" s="8" t="s">
        <v>30</v>
      </c>
      <c r="I456" s="8" t="n">
        <f aca="false">IF(EXACT(G456,H456),1,0)</f>
        <v>0</v>
      </c>
      <c r="J456" s="8" t="n">
        <v>1</v>
      </c>
      <c r="K456" s="8" t="s">
        <v>92</v>
      </c>
      <c r="L456" s="8" t="n">
        <v>0</v>
      </c>
      <c r="M456" s="8" t="n">
        <v>5</v>
      </c>
      <c r="N456" s="8" t="s">
        <v>2057</v>
      </c>
      <c r="O456" s="8" t="n">
        <v>2</v>
      </c>
      <c r="P456" s="10" t="n">
        <v>25.06</v>
      </c>
      <c r="Q456" s="8" t="n">
        <v>9844</v>
      </c>
      <c r="R456" s="8" t="n">
        <v>1204</v>
      </c>
      <c r="S456" s="8" t="s">
        <v>251</v>
      </c>
      <c r="T456" s="8" t="s">
        <v>243</v>
      </c>
      <c r="U456" s="8" t="s">
        <v>244</v>
      </c>
      <c r="V456" s="8"/>
      <c r="W456" s="8" t="s">
        <v>252</v>
      </c>
      <c r="X456" s="8" t="s">
        <v>575</v>
      </c>
      <c r="Y456" s="8" t="s">
        <v>2065</v>
      </c>
      <c r="Z456" s="8"/>
    </row>
    <row r="457" customFormat="false" ht="15" hidden="false" customHeight="false" outlineLevel="0" collapsed="false">
      <c r="A457" s="8" t="s">
        <v>250</v>
      </c>
      <c r="B457" s="8" t="s">
        <v>17</v>
      </c>
      <c r="C457" s="8" t="s">
        <v>18</v>
      </c>
      <c r="D457" s="8" t="s">
        <v>615</v>
      </c>
      <c r="E457" s="8" t="s">
        <v>40</v>
      </c>
      <c r="F457" s="8" t="s">
        <v>48</v>
      </c>
      <c r="G457" s="8" t="s">
        <v>32</v>
      </c>
      <c r="H457" s="8" t="s">
        <v>30</v>
      </c>
      <c r="I457" s="8" t="n">
        <f aca="false">IF(EXACT(G457,H457),1,0)</f>
        <v>0</v>
      </c>
      <c r="J457" s="8" t="n">
        <v>2</v>
      </c>
      <c r="K457" s="8" t="s">
        <v>92</v>
      </c>
      <c r="L457" s="8" t="n">
        <v>0</v>
      </c>
      <c r="M457" s="8" t="n">
        <v>5</v>
      </c>
      <c r="N457" s="8" t="s">
        <v>2057</v>
      </c>
      <c r="O457" s="8" t="n">
        <v>2</v>
      </c>
      <c r="P457" s="10" t="n">
        <v>21.4</v>
      </c>
      <c r="Q457" s="8" t="n">
        <v>9844</v>
      </c>
      <c r="R457" s="8" t="n">
        <v>1075</v>
      </c>
      <c r="S457" s="8" t="s">
        <v>251</v>
      </c>
      <c r="T457" s="8" t="s">
        <v>243</v>
      </c>
      <c r="U457" s="8" t="s">
        <v>244</v>
      </c>
      <c r="V457" s="8"/>
      <c r="W457" s="8" t="s">
        <v>252</v>
      </c>
      <c r="X457" s="8" t="s">
        <v>575</v>
      </c>
      <c r="Y457" s="8" t="s">
        <v>2066</v>
      </c>
      <c r="Z457" s="8"/>
    </row>
    <row r="458" customFormat="false" ht="15" hidden="false" customHeight="false" outlineLevel="0" collapsed="false">
      <c r="A458" s="8" t="s">
        <v>254</v>
      </c>
      <c r="B458" s="8" t="s">
        <v>17</v>
      </c>
      <c r="C458" s="8" t="s">
        <v>18</v>
      </c>
      <c r="D458" s="8" t="s">
        <v>615</v>
      </c>
      <c r="E458" s="8" t="s">
        <v>40</v>
      </c>
      <c r="F458" s="8" t="s">
        <v>48</v>
      </c>
      <c r="G458" s="8" t="s">
        <v>31</v>
      </c>
      <c r="H458" s="8" t="s">
        <v>31</v>
      </c>
      <c r="I458" s="8" t="n">
        <f aca="false">IF(EXACT(G458,H458),1,0)</f>
        <v>1</v>
      </c>
      <c r="J458" s="8" t="n">
        <v>0</v>
      </c>
      <c r="K458" s="8" t="s">
        <v>116</v>
      </c>
      <c r="L458" s="8" t="n">
        <v>2</v>
      </c>
      <c r="M458" s="8" t="n">
        <v>5</v>
      </c>
      <c r="N458" s="8" t="s">
        <v>2057</v>
      </c>
      <c r="O458" s="8" t="n">
        <v>2</v>
      </c>
      <c r="P458" s="10" t="n">
        <v>26.59</v>
      </c>
      <c r="Q458" s="8" t="n">
        <v>9791</v>
      </c>
      <c r="R458" s="8" t="n">
        <v>1233</v>
      </c>
      <c r="S458" s="8" t="s">
        <v>255</v>
      </c>
      <c r="T458" s="8" t="s">
        <v>256</v>
      </c>
      <c r="U458" s="8" t="s">
        <v>257</v>
      </c>
      <c r="V458" s="8"/>
      <c r="W458" s="8" t="s">
        <v>258</v>
      </c>
      <c r="X458" s="8" t="s">
        <v>576</v>
      </c>
      <c r="Y458" s="8" t="s">
        <v>2067</v>
      </c>
      <c r="Z458" s="8" t="s">
        <v>2068</v>
      </c>
    </row>
    <row r="459" customFormat="false" ht="15" hidden="false" customHeight="false" outlineLevel="0" collapsed="false">
      <c r="A459" s="8" t="s">
        <v>254</v>
      </c>
      <c r="B459" s="8" t="s">
        <v>17</v>
      </c>
      <c r="C459" s="8" t="s">
        <v>18</v>
      </c>
      <c r="D459" s="8" t="s">
        <v>615</v>
      </c>
      <c r="E459" s="8" t="s">
        <v>40</v>
      </c>
      <c r="F459" s="8" t="s">
        <v>48</v>
      </c>
      <c r="G459" s="8" t="s">
        <v>31</v>
      </c>
      <c r="H459" s="8" t="s">
        <v>30</v>
      </c>
      <c r="I459" s="8" t="n">
        <f aca="false">IF(EXACT(G459,H459),1,0)</f>
        <v>0</v>
      </c>
      <c r="J459" s="8" t="n">
        <v>1</v>
      </c>
      <c r="K459" s="8" t="s">
        <v>92</v>
      </c>
      <c r="L459" s="8" t="n">
        <v>0</v>
      </c>
      <c r="M459" s="8" t="n">
        <v>5</v>
      </c>
      <c r="N459" s="8" t="s">
        <v>2057</v>
      </c>
      <c r="O459" s="8" t="n">
        <v>2</v>
      </c>
      <c r="P459" s="10" t="n">
        <v>22.76</v>
      </c>
      <c r="Q459" s="8" t="n">
        <v>9791</v>
      </c>
      <c r="R459" s="8" t="n">
        <v>1062</v>
      </c>
      <c r="S459" s="8" t="s">
        <v>255</v>
      </c>
      <c r="T459" s="8" t="s">
        <v>256</v>
      </c>
      <c r="U459" s="8" t="s">
        <v>257</v>
      </c>
      <c r="V459" s="8"/>
      <c r="W459" s="8" t="s">
        <v>258</v>
      </c>
      <c r="X459" s="8" t="s">
        <v>576</v>
      </c>
      <c r="Y459" s="8" t="s">
        <v>2069</v>
      </c>
      <c r="Z459" s="8"/>
    </row>
    <row r="460" customFormat="false" ht="15" hidden="false" customHeight="false" outlineLevel="0" collapsed="false">
      <c r="A460" s="8" t="s">
        <v>254</v>
      </c>
      <c r="B460" s="8" t="s">
        <v>17</v>
      </c>
      <c r="C460" s="8" t="s">
        <v>18</v>
      </c>
      <c r="D460" s="8" t="s">
        <v>615</v>
      </c>
      <c r="E460" s="8" t="s">
        <v>40</v>
      </c>
      <c r="F460" s="8" t="s">
        <v>48</v>
      </c>
      <c r="G460" s="8" t="s">
        <v>31</v>
      </c>
      <c r="H460" s="8" t="s">
        <v>30</v>
      </c>
      <c r="I460" s="8" t="n">
        <f aca="false">IF(EXACT(G460,H460),1,0)</f>
        <v>0</v>
      </c>
      <c r="J460" s="8" t="n">
        <v>2</v>
      </c>
      <c r="K460" s="8" t="s">
        <v>92</v>
      </c>
      <c r="L460" s="8" t="n">
        <v>0</v>
      </c>
      <c r="M460" s="8" t="n">
        <v>5</v>
      </c>
      <c r="N460" s="8" t="s">
        <v>2057</v>
      </c>
      <c r="O460" s="8" t="n">
        <v>2</v>
      </c>
      <c r="P460" s="10" t="n">
        <v>21.07</v>
      </c>
      <c r="Q460" s="8" t="n">
        <v>9791</v>
      </c>
      <c r="R460" s="8" t="n">
        <v>1004</v>
      </c>
      <c r="S460" s="8" t="s">
        <v>255</v>
      </c>
      <c r="T460" s="8" t="s">
        <v>256</v>
      </c>
      <c r="U460" s="8" t="s">
        <v>257</v>
      </c>
      <c r="V460" s="8"/>
      <c r="W460" s="8" t="s">
        <v>258</v>
      </c>
      <c r="X460" s="8" t="s">
        <v>576</v>
      </c>
      <c r="Y460" s="8" t="s">
        <v>2070</v>
      </c>
      <c r="Z460" s="8"/>
    </row>
    <row r="461" customFormat="false" ht="15" hidden="false" customHeight="false" outlineLevel="0" collapsed="false">
      <c r="A461" s="8" t="s">
        <v>261</v>
      </c>
      <c r="B461" s="8" t="s">
        <v>17</v>
      </c>
      <c r="C461" s="8" t="s">
        <v>18</v>
      </c>
      <c r="D461" s="8" t="s">
        <v>615</v>
      </c>
      <c r="E461" s="8" t="s">
        <v>40</v>
      </c>
      <c r="F461" s="8" t="s">
        <v>48</v>
      </c>
      <c r="G461" s="8" t="s">
        <v>30</v>
      </c>
      <c r="H461" s="8" t="s">
        <v>30</v>
      </c>
      <c r="I461" s="8" t="n">
        <f aca="false">IF(EXACT(G461,H461),1,0)</f>
        <v>1</v>
      </c>
      <c r="J461" s="8" t="n">
        <v>0</v>
      </c>
      <c r="K461" s="8" t="s">
        <v>92</v>
      </c>
      <c r="L461" s="8" t="n">
        <v>0</v>
      </c>
      <c r="M461" s="8" t="n">
        <v>5</v>
      </c>
      <c r="N461" s="8" t="s">
        <v>2057</v>
      </c>
      <c r="O461" s="8" t="n">
        <v>2</v>
      </c>
      <c r="P461" s="10" t="n">
        <v>24.25</v>
      </c>
      <c r="Q461" s="8" t="n">
        <v>9785</v>
      </c>
      <c r="R461" s="8" t="n">
        <v>1078</v>
      </c>
      <c r="S461" s="8" t="s">
        <v>262</v>
      </c>
      <c r="T461" s="8" t="s">
        <v>256</v>
      </c>
      <c r="U461" s="8" t="s">
        <v>257</v>
      </c>
      <c r="V461" s="8"/>
      <c r="W461" s="8" t="s">
        <v>263</v>
      </c>
      <c r="X461" s="8" t="s">
        <v>577</v>
      </c>
      <c r="Y461" s="8" t="s">
        <v>2071</v>
      </c>
      <c r="Z461" s="8"/>
    </row>
    <row r="462" customFormat="false" ht="15" hidden="false" customHeight="false" outlineLevel="0" collapsed="false">
      <c r="A462" s="8" t="s">
        <v>261</v>
      </c>
      <c r="B462" s="8" t="s">
        <v>17</v>
      </c>
      <c r="C462" s="8" t="s">
        <v>18</v>
      </c>
      <c r="D462" s="8" t="s">
        <v>615</v>
      </c>
      <c r="E462" s="8" t="s">
        <v>40</v>
      </c>
      <c r="F462" s="8" t="s">
        <v>48</v>
      </c>
      <c r="G462" s="8" t="s">
        <v>30</v>
      </c>
      <c r="H462" s="8" t="s">
        <v>30</v>
      </c>
      <c r="I462" s="8" t="n">
        <f aca="false">IF(EXACT(G462,H462),1,0)</f>
        <v>1</v>
      </c>
      <c r="J462" s="8" t="n">
        <v>1</v>
      </c>
      <c r="K462" s="8" t="s">
        <v>92</v>
      </c>
      <c r="L462" s="8" t="n">
        <v>0</v>
      </c>
      <c r="M462" s="8" t="n">
        <v>5</v>
      </c>
      <c r="N462" s="8" t="s">
        <v>2057</v>
      </c>
      <c r="O462" s="8" t="n">
        <v>2</v>
      </c>
      <c r="P462" s="10" t="n">
        <v>22.2</v>
      </c>
      <c r="Q462" s="8" t="n">
        <v>9785</v>
      </c>
      <c r="R462" s="8" t="n">
        <v>1055</v>
      </c>
      <c r="S462" s="8" t="s">
        <v>262</v>
      </c>
      <c r="T462" s="8" t="s">
        <v>256</v>
      </c>
      <c r="U462" s="8" t="s">
        <v>257</v>
      </c>
      <c r="V462" s="8"/>
      <c r="W462" s="8" t="s">
        <v>263</v>
      </c>
      <c r="X462" s="8" t="s">
        <v>577</v>
      </c>
      <c r="Y462" s="8" t="s">
        <v>2072</v>
      </c>
      <c r="Z462" s="8"/>
    </row>
    <row r="463" customFormat="false" ht="15" hidden="false" customHeight="false" outlineLevel="0" collapsed="false">
      <c r="A463" s="8" t="s">
        <v>261</v>
      </c>
      <c r="B463" s="8" t="s">
        <v>17</v>
      </c>
      <c r="C463" s="8" t="s">
        <v>18</v>
      </c>
      <c r="D463" s="8" t="s">
        <v>615</v>
      </c>
      <c r="E463" s="8" t="s">
        <v>40</v>
      </c>
      <c r="F463" s="8" t="s">
        <v>48</v>
      </c>
      <c r="G463" s="8" t="s">
        <v>30</v>
      </c>
      <c r="H463" s="8" t="s">
        <v>30</v>
      </c>
      <c r="I463" s="8" t="n">
        <f aca="false">IF(EXACT(G463,H463),1,0)</f>
        <v>1</v>
      </c>
      <c r="J463" s="8" t="n">
        <v>2</v>
      </c>
      <c r="K463" s="8" t="s">
        <v>92</v>
      </c>
      <c r="L463" s="8" t="n">
        <v>0</v>
      </c>
      <c r="M463" s="8" t="n">
        <v>5</v>
      </c>
      <c r="N463" s="8" t="s">
        <v>2057</v>
      </c>
      <c r="O463" s="8" t="n">
        <v>2</v>
      </c>
      <c r="P463" s="10" t="n">
        <v>24.14</v>
      </c>
      <c r="Q463" s="8" t="n">
        <v>9785</v>
      </c>
      <c r="R463" s="8" t="n">
        <v>1178</v>
      </c>
      <c r="S463" s="8" t="s">
        <v>262</v>
      </c>
      <c r="T463" s="8" t="s">
        <v>256</v>
      </c>
      <c r="U463" s="8" t="s">
        <v>257</v>
      </c>
      <c r="V463" s="8"/>
      <c r="W463" s="8" t="s">
        <v>263</v>
      </c>
      <c r="X463" s="8" t="s">
        <v>577</v>
      </c>
      <c r="Y463" s="8" t="s">
        <v>2073</v>
      </c>
      <c r="Z463" s="8"/>
    </row>
    <row r="464" customFormat="false" ht="15" hidden="false" customHeight="false" outlineLevel="0" collapsed="false">
      <c r="A464" s="8" t="s">
        <v>265</v>
      </c>
      <c r="B464" s="8" t="s">
        <v>17</v>
      </c>
      <c r="C464" s="8" t="s">
        <v>18</v>
      </c>
      <c r="D464" s="8" t="s">
        <v>615</v>
      </c>
      <c r="E464" s="8" t="s">
        <v>40</v>
      </c>
      <c r="F464" s="8" t="s">
        <v>48</v>
      </c>
      <c r="G464" s="8" t="s">
        <v>31</v>
      </c>
      <c r="H464" s="8" t="s">
        <v>31</v>
      </c>
      <c r="I464" s="8" t="n">
        <f aca="false">IF(EXACT(G464,H464),1,0)</f>
        <v>1</v>
      </c>
      <c r="J464" s="8" t="n">
        <v>0</v>
      </c>
      <c r="K464" s="8" t="s">
        <v>116</v>
      </c>
      <c r="L464" s="8" t="n">
        <v>3</v>
      </c>
      <c r="M464" s="8" t="n">
        <v>5</v>
      </c>
      <c r="N464" s="8" t="s">
        <v>2057</v>
      </c>
      <c r="O464" s="8" t="n">
        <v>2</v>
      </c>
      <c r="P464" s="10" t="n">
        <v>27.61</v>
      </c>
      <c r="Q464" s="8" t="n">
        <v>9602</v>
      </c>
      <c r="R464" s="8" t="n">
        <v>1187</v>
      </c>
      <c r="S464" s="8" t="s">
        <v>117</v>
      </c>
      <c r="T464" s="8" t="s">
        <v>256</v>
      </c>
      <c r="U464" s="8" t="s">
        <v>257</v>
      </c>
      <c r="V464" s="8"/>
      <c r="W464" s="8" t="s">
        <v>266</v>
      </c>
      <c r="X464" s="8" t="s">
        <v>578</v>
      </c>
      <c r="Y464" s="8" t="s">
        <v>2074</v>
      </c>
      <c r="Z464" s="8" t="s">
        <v>2075</v>
      </c>
    </row>
    <row r="465" customFormat="false" ht="15" hidden="false" customHeight="false" outlineLevel="0" collapsed="false">
      <c r="A465" s="8" t="s">
        <v>265</v>
      </c>
      <c r="B465" s="8" t="s">
        <v>17</v>
      </c>
      <c r="C465" s="8" t="s">
        <v>18</v>
      </c>
      <c r="D465" s="8" t="s">
        <v>615</v>
      </c>
      <c r="E465" s="8" t="s">
        <v>40</v>
      </c>
      <c r="F465" s="8" t="s">
        <v>48</v>
      </c>
      <c r="G465" s="8" t="s">
        <v>31</v>
      </c>
      <c r="H465" s="8" t="s">
        <v>31</v>
      </c>
      <c r="I465" s="8" t="n">
        <f aca="false">IF(EXACT(G465,H465),1,0)</f>
        <v>1</v>
      </c>
      <c r="J465" s="8" t="n">
        <v>1</v>
      </c>
      <c r="K465" s="8" t="s">
        <v>116</v>
      </c>
      <c r="L465" s="8" t="n">
        <v>3</v>
      </c>
      <c r="M465" s="8" t="n">
        <v>5</v>
      </c>
      <c r="N465" s="8" t="s">
        <v>2057</v>
      </c>
      <c r="O465" s="8" t="n">
        <v>2</v>
      </c>
      <c r="P465" s="10" t="n">
        <v>25.93</v>
      </c>
      <c r="Q465" s="8" t="n">
        <v>9602</v>
      </c>
      <c r="R465" s="8" t="n">
        <v>1188</v>
      </c>
      <c r="S465" s="8" t="s">
        <v>117</v>
      </c>
      <c r="T465" s="8" t="s">
        <v>256</v>
      </c>
      <c r="U465" s="8" t="s">
        <v>257</v>
      </c>
      <c r="V465" s="8"/>
      <c r="W465" s="8" t="s">
        <v>266</v>
      </c>
      <c r="X465" s="8" t="s">
        <v>578</v>
      </c>
      <c r="Y465" s="8" t="s">
        <v>2076</v>
      </c>
      <c r="Z465" s="8" t="s">
        <v>2077</v>
      </c>
    </row>
    <row r="466" customFormat="false" ht="15" hidden="false" customHeight="false" outlineLevel="0" collapsed="false">
      <c r="A466" s="8" t="s">
        <v>265</v>
      </c>
      <c r="B466" s="8" t="s">
        <v>17</v>
      </c>
      <c r="C466" s="8" t="s">
        <v>18</v>
      </c>
      <c r="D466" s="8" t="s">
        <v>615</v>
      </c>
      <c r="E466" s="8" t="s">
        <v>40</v>
      </c>
      <c r="F466" s="8" t="s">
        <v>48</v>
      </c>
      <c r="G466" s="8" t="s">
        <v>31</v>
      </c>
      <c r="H466" s="8" t="s">
        <v>31</v>
      </c>
      <c r="I466" s="8" t="n">
        <f aca="false">IF(EXACT(G466,H466),1,0)</f>
        <v>1</v>
      </c>
      <c r="J466" s="8" t="n">
        <v>2</v>
      </c>
      <c r="K466" s="8" t="s">
        <v>140</v>
      </c>
      <c r="L466" s="8" t="n">
        <v>1</v>
      </c>
      <c r="M466" s="8" t="n">
        <v>5</v>
      </c>
      <c r="N466" s="8" t="s">
        <v>2057</v>
      </c>
      <c r="O466" s="8" t="n">
        <v>2</v>
      </c>
      <c r="P466" s="10" t="n">
        <v>22.28</v>
      </c>
      <c r="Q466" s="8" t="n">
        <v>9602</v>
      </c>
      <c r="R466" s="8" t="n">
        <v>940</v>
      </c>
      <c r="S466" s="8" t="s">
        <v>117</v>
      </c>
      <c r="T466" s="8" t="s">
        <v>256</v>
      </c>
      <c r="U466" s="8" t="s">
        <v>257</v>
      </c>
      <c r="V466" s="8"/>
      <c r="W466" s="8" t="s">
        <v>266</v>
      </c>
      <c r="X466" s="8" t="s">
        <v>578</v>
      </c>
      <c r="Y466" s="8" t="s">
        <v>2078</v>
      </c>
      <c r="Z466" s="8" t="s">
        <v>2079</v>
      </c>
    </row>
    <row r="467" customFormat="false" ht="15" hidden="false" customHeight="false" outlineLevel="0" collapsed="false">
      <c r="A467" s="8" t="s">
        <v>290</v>
      </c>
      <c r="B467" s="8" t="s">
        <v>17</v>
      </c>
      <c r="C467" s="8" t="s">
        <v>18</v>
      </c>
      <c r="D467" s="8" t="s">
        <v>615</v>
      </c>
      <c r="E467" s="8" t="s">
        <v>40</v>
      </c>
      <c r="F467" s="8" t="s">
        <v>51</v>
      </c>
      <c r="G467" s="8" t="s">
        <v>32</v>
      </c>
      <c r="H467" s="8" t="s">
        <v>32</v>
      </c>
      <c r="I467" s="8" t="n">
        <f aca="false">IF(EXACT(G467,H467),1,0)</f>
        <v>1</v>
      </c>
      <c r="J467" s="8" t="n">
        <v>0</v>
      </c>
      <c r="K467" s="8" t="s">
        <v>92</v>
      </c>
      <c r="L467" s="8" t="n">
        <v>0</v>
      </c>
      <c r="M467" s="8" t="n">
        <v>5</v>
      </c>
      <c r="N467" s="8" t="s">
        <v>2057</v>
      </c>
      <c r="O467" s="8" t="n">
        <v>2</v>
      </c>
      <c r="P467" s="10" t="n">
        <v>22.34</v>
      </c>
      <c r="Q467" s="8" t="n">
        <v>9790</v>
      </c>
      <c r="R467" s="8" t="n">
        <v>1181</v>
      </c>
      <c r="S467" s="8" t="s">
        <v>101</v>
      </c>
      <c r="T467" s="8" t="s">
        <v>291</v>
      </c>
      <c r="U467" s="8" t="s">
        <v>292</v>
      </c>
      <c r="V467" s="8"/>
      <c r="W467" s="8" t="s">
        <v>293</v>
      </c>
      <c r="X467" s="8" t="s">
        <v>579</v>
      </c>
      <c r="Y467" s="8" t="s">
        <v>2080</v>
      </c>
      <c r="Z467" s="8"/>
    </row>
    <row r="468" customFormat="false" ht="15" hidden="false" customHeight="false" outlineLevel="0" collapsed="false">
      <c r="A468" s="8" t="s">
        <v>290</v>
      </c>
      <c r="B468" s="8" t="s">
        <v>17</v>
      </c>
      <c r="C468" s="8" t="s">
        <v>18</v>
      </c>
      <c r="D468" s="8" t="s">
        <v>615</v>
      </c>
      <c r="E468" s="8" t="s">
        <v>40</v>
      </c>
      <c r="F468" s="8" t="s">
        <v>51</v>
      </c>
      <c r="G468" s="8" t="s">
        <v>32</v>
      </c>
      <c r="H468" s="8" t="s">
        <v>32</v>
      </c>
      <c r="I468" s="8" t="n">
        <f aca="false">IF(EXACT(G468,H468),1,0)</f>
        <v>1</v>
      </c>
      <c r="J468" s="8" t="n">
        <v>1</v>
      </c>
      <c r="K468" s="8" t="s">
        <v>92</v>
      </c>
      <c r="L468" s="8" t="n">
        <v>0</v>
      </c>
      <c r="M468" s="8" t="n">
        <v>5</v>
      </c>
      <c r="N468" s="8" t="s">
        <v>2057</v>
      </c>
      <c r="O468" s="8" t="n">
        <v>2</v>
      </c>
      <c r="P468" s="10" t="n">
        <v>22.29</v>
      </c>
      <c r="Q468" s="8" t="n">
        <v>9790</v>
      </c>
      <c r="R468" s="8" t="n">
        <v>1222</v>
      </c>
      <c r="S468" s="8" t="s">
        <v>101</v>
      </c>
      <c r="T468" s="8" t="s">
        <v>291</v>
      </c>
      <c r="U468" s="8" t="s">
        <v>292</v>
      </c>
      <c r="V468" s="8"/>
      <c r="W468" s="8" t="s">
        <v>293</v>
      </c>
      <c r="X468" s="8" t="s">
        <v>579</v>
      </c>
      <c r="Y468" s="8" t="s">
        <v>2081</v>
      </c>
      <c r="Z468" s="8"/>
    </row>
    <row r="469" customFormat="false" ht="15" hidden="false" customHeight="false" outlineLevel="0" collapsed="false">
      <c r="A469" s="8" t="s">
        <v>290</v>
      </c>
      <c r="B469" s="8" t="s">
        <v>17</v>
      </c>
      <c r="C469" s="8" t="s">
        <v>18</v>
      </c>
      <c r="D469" s="8" t="s">
        <v>615</v>
      </c>
      <c r="E469" s="8" t="s">
        <v>40</v>
      </c>
      <c r="F469" s="8" t="s">
        <v>51</v>
      </c>
      <c r="G469" s="8" t="s">
        <v>32</v>
      </c>
      <c r="H469" s="8" t="s">
        <v>32</v>
      </c>
      <c r="I469" s="8" t="n">
        <f aca="false">IF(EXACT(G469,H469),1,0)</f>
        <v>1</v>
      </c>
      <c r="J469" s="8" t="n">
        <v>2</v>
      </c>
      <c r="K469" s="8" t="s">
        <v>92</v>
      </c>
      <c r="L469" s="8" t="n">
        <v>0</v>
      </c>
      <c r="M469" s="8" t="n">
        <v>5</v>
      </c>
      <c r="N469" s="8" t="s">
        <v>2057</v>
      </c>
      <c r="O469" s="8" t="n">
        <v>2</v>
      </c>
      <c r="P469" s="10" t="n">
        <v>20.5</v>
      </c>
      <c r="Q469" s="8" t="n">
        <v>9790</v>
      </c>
      <c r="R469" s="8" t="n">
        <v>1072</v>
      </c>
      <c r="S469" s="8" t="s">
        <v>101</v>
      </c>
      <c r="T469" s="8" t="s">
        <v>291</v>
      </c>
      <c r="U469" s="8" t="s">
        <v>292</v>
      </c>
      <c r="V469" s="8"/>
      <c r="W469" s="8" t="s">
        <v>293</v>
      </c>
      <c r="X469" s="8" t="s">
        <v>579</v>
      </c>
      <c r="Y469" s="8" t="s">
        <v>2082</v>
      </c>
      <c r="Z469" s="8"/>
    </row>
    <row r="470" customFormat="false" ht="15" hidden="false" customHeight="false" outlineLevel="0" collapsed="false">
      <c r="A470" s="8" t="s">
        <v>295</v>
      </c>
      <c r="B470" s="8" t="s">
        <v>17</v>
      </c>
      <c r="C470" s="8" t="s">
        <v>18</v>
      </c>
      <c r="D470" s="8" t="s">
        <v>615</v>
      </c>
      <c r="E470" s="8" t="s">
        <v>40</v>
      </c>
      <c r="F470" s="8" t="s">
        <v>51</v>
      </c>
      <c r="G470" s="8" t="s">
        <v>30</v>
      </c>
      <c r="H470" s="8" t="s">
        <v>30</v>
      </c>
      <c r="I470" s="8" t="n">
        <f aca="false">IF(EXACT(G470,H470),1,0)</f>
        <v>1</v>
      </c>
      <c r="J470" s="8" t="n">
        <v>0</v>
      </c>
      <c r="K470" s="8" t="s">
        <v>92</v>
      </c>
      <c r="L470" s="8" t="n">
        <v>0</v>
      </c>
      <c r="M470" s="8" t="n">
        <v>5</v>
      </c>
      <c r="N470" s="8" t="s">
        <v>2057</v>
      </c>
      <c r="O470" s="8" t="n">
        <v>2</v>
      </c>
      <c r="P470" s="10" t="n">
        <v>31.55</v>
      </c>
      <c r="Q470" s="8" t="n">
        <v>10268</v>
      </c>
      <c r="R470" s="8" t="n">
        <v>1599</v>
      </c>
      <c r="S470" s="8" t="s">
        <v>110</v>
      </c>
      <c r="T470" s="8" t="s">
        <v>291</v>
      </c>
      <c r="U470" s="8" t="s">
        <v>292</v>
      </c>
      <c r="V470" s="8"/>
      <c r="W470" s="8" t="s">
        <v>296</v>
      </c>
      <c r="X470" s="8" t="s">
        <v>580</v>
      </c>
      <c r="Y470" s="8" t="s">
        <v>2083</v>
      </c>
      <c r="Z470" s="8"/>
    </row>
    <row r="471" customFormat="false" ht="15" hidden="false" customHeight="false" outlineLevel="0" collapsed="false">
      <c r="A471" s="8" t="s">
        <v>295</v>
      </c>
      <c r="B471" s="8" t="s">
        <v>17</v>
      </c>
      <c r="C471" s="8" t="s">
        <v>18</v>
      </c>
      <c r="D471" s="8" t="s">
        <v>615</v>
      </c>
      <c r="E471" s="8" t="s">
        <v>40</v>
      </c>
      <c r="F471" s="8" t="s">
        <v>51</v>
      </c>
      <c r="G471" s="8" t="s">
        <v>30</v>
      </c>
      <c r="H471" s="8" t="s">
        <v>30</v>
      </c>
      <c r="I471" s="8" t="n">
        <f aca="false">IF(EXACT(G471,H471),1,0)</f>
        <v>1</v>
      </c>
      <c r="J471" s="8" t="n">
        <v>1</v>
      </c>
      <c r="K471" s="8" t="s">
        <v>92</v>
      </c>
      <c r="L471" s="8" t="n">
        <v>0</v>
      </c>
      <c r="M471" s="8" t="n">
        <v>5</v>
      </c>
      <c r="N471" s="8" t="s">
        <v>2057</v>
      </c>
      <c r="O471" s="8" t="n">
        <v>2</v>
      </c>
      <c r="P471" s="10" t="n">
        <v>30.91</v>
      </c>
      <c r="Q471" s="8" t="n">
        <v>10268</v>
      </c>
      <c r="R471" s="8" t="n">
        <v>1626</v>
      </c>
      <c r="S471" s="8" t="s">
        <v>110</v>
      </c>
      <c r="T471" s="8" t="s">
        <v>291</v>
      </c>
      <c r="U471" s="8" t="s">
        <v>292</v>
      </c>
      <c r="V471" s="8"/>
      <c r="W471" s="8" t="s">
        <v>296</v>
      </c>
      <c r="X471" s="8" t="s">
        <v>580</v>
      </c>
      <c r="Y471" s="8" t="s">
        <v>2084</v>
      </c>
      <c r="Z471" s="8"/>
    </row>
    <row r="472" customFormat="false" ht="15" hidden="false" customHeight="false" outlineLevel="0" collapsed="false">
      <c r="A472" s="8" t="s">
        <v>295</v>
      </c>
      <c r="B472" s="8" t="s">
        <v>17</v>
      </c>
      <c r="C472" s="8" t="s">
        <v>18</v>
      </c>
      <c r="D472" s="8" t="s">
        <v>615</v>
      </c>
      <c r="E472" s="8" t="s">
        <v>40</v>
      </c>
      <c r="F472" s="8" t="s">
        <v>51</v>
      </c>
      <c r="G472" s="8" t="s">
        <v>30</v>
      </c>
      <c r="H472" s="8" t="s">
        <v>30</v>
      </c>
      <c r="I472" s="8" t="n">
        <f aca="false">IF(EXACT(G472,H472),1,0)</f>
        <v>1</v>
      </c>
      <c r="J472" s="8" t="n">
        <v>2</v>
      </c>
      <c r="K472" s="8" t="s">
        <v>92</v>
      </c>
      <c r="L472" s="8" t="n">
        <v>0</v>
      </c>
      <c r="M472" s="8" t="n">
        <v>5</v>
      </c>
      <c r="N472" s="8" t="s">
        <v>2057</v>
      </c>
      <c r="O472" s="8" t="n">
        <v>2</v>
      </c>
      <c r="P472" s="10" t="n">
        <v>26.51</v>
      </c>
      <c r="Q472" s="8" t="n">
        <v>10269</v>
      </c>
      <c r="R472" s="8" t="n">
        <v>1444</v>
      </c>
      <c r="S472" s="8" t="s">
        <v>110</v>
      </c>
      <c r="T472" s="8" t="s">
        <v>291</v>
      </c>
      <c r="U472" s="8" t="s">
        <v>292</v>
      </c>
      <c r="V472" s="8"/>
      <c r="W472" s="8" t="s">
        <v>296</v>
      </c>
      <c r="X472" s="8" t="s">
        <v>580</v>
      </c>
      <c r="Y472" s="8" t="s">
        <v>2085</v>
      </c>
      <c r="Z472" s="8"/>
    </row>
    <row r="473" customFormat="false" ht="15" hidden="false" customHeight="false" outlineLevel="0" collapsed="false">
      <c r="A473" s="8" t="s">
        <v>298</v>
      </c>
      <c r="B473" s="8" t="s">
        <v>17</v>
      </c>
      <c r="C473" s="8" t="s">
        <v>18</v>
      </c>
      <c r="D473" s="8" t="s">
        <v>615</v>
      </c>
      <c r="E473" s="8" t="s">
        <v>40</v>
      </c>
      <c r="F473" s="8" t="s">
        <v>51</v>
      </c>
      <c r="G473" s="8" t="s">
        <v>30</v>
      </c>
      <c r="H473" s="8" t="s">
        <v>30</v>
      </c>
      <c r="I473" s="8" t="n">
        <f aca="false">IF(EXACT(G473,H473),1,0)</f>
        <v>1</v>
      </c>
      <c r="J473" s="8" t="n">
        <v>0</v>
      </c>
      <c r="K473" s="8" t="s">
        <v>92</v>
      </c>
      <c r="L473" s="8" t="n">
        <v>0</v>
      </c>
      <c r="M473" s="8" t="n">
        <v>5</v>
      </c>
      <c r="N473" s="8" t="s">
        <v>2057</v>
      </c>
      <c r="O473" s="8" t="n">
        <v>2</v>
      </c>
      <c r="P473" s="10" t="n">
        <v>29.13</v>
      </c>
      <c r="Q473" s="8" t="n">
        <v>10226</v>
      </c>
      <c r="R473" s="8" t="n">
        <v>1493</v>
      </c>
      <c r="S473" s="8" t="s">
        <v>150</v>
      </c>
      <c r="T473" s="8" t="s">
        <v>291</v>
      </c>
      <c r="U473" s="8" t="s">
        <v>292</v>
      </c>
      <c r="V473" s="8"/>
      <c r="W473" s="8" t="s">
        <v>299</v>
      </c>
      <c r="X473" s="8" t="s">
        <v>581</v>
      </c>
      <c r="Y473" s="8" t="s">
        <v>2086</v>
      </c>
      <c r="Z473" s="8"/>
    </row>
    <row r="474" customFormat="false" ht="15" hidden="false" customHeight="false" outlineLevel="0" collapsed="false">
      <c r="A474" s="8" t="s">
        <v>298</v>
      </c>
      <c r="B474" s="8" t="s">
        <v>17</v>
      </c>
      <c r="C474" s="8" t="s">
        <v>18</v>
      </c>
      <c r="D474" s="8" t="s">
        <v>615</v>
      </c>
      <c r="E474" s="8" t="s">
        <v>40</v>
      </c>
      <c r="F474" s="8" t="s">
        <v>51</v>
      </c>
      <c r="G474" s="8" t="s">
        <v>30</v>
      </c>
      <c r="H474" s="8" t="s">
        <v>30</v>
      </c>
      <c r="I474" s="8" t="n">
        <f aca="false">IF(EXACT(G474,H474),1,0)</f>
        <v>1</v>
      </c>
      <c r="J474" s="8" t="n">
        <v>1</v>
      </c>
      <c r="K474" s="8" t="s">
        <v>92</v>
      </c>
      <c r="L474" s="8" t="n">
        <v>0</v>
      </c>
      <c r="M474" s="8" t="n">
        <v>5</v>
      </c>
      <c r="N474" s="8" t="s">
        <v>2057</v>
      </c>
      <c r="O474" s="8" t="n">
        <v>2</v>
      </c>
      <c r="P474" s="10" t="n">
        <v>25.8</v>
      </c>
      <c r="Q474" s="8" t="n">
        <v>10226</v>
      </c>
      <c r="R474" s="8" t="n">
        <v>1447</v>
      </c>
      <c r="S474" s="8" t="s">
        <v>150</v>
      </c>
      <c r="T474" s="8" t="s">
        <v>291</v>
      </c>
      <c r="U474" s="8" t="s">
        <v>292</v>
      </c>
      <c r="V474" s="8"/>
      <c r="W474" s="8" t="s">
        <v>299</v>
      </c>
      <c r="X474" s="8" t="s">
        <v>581</v>
      </c>
      <c r="Y474" s="8" t="s">
        <v>2087</v>
      </c>
      <c r="Z474" s="8"/>
    </row>
    <row r="475" customFormat="false" ht="15" hidden="false" customHeight="false" outlineLevel="0" collapsed="false">
      <c r="A475" s="8" t="s">
        <v>298</v>
      </c>
      <c r="B475" s="8" t="s">
        <v>17</v>
      </c>
      <c r="C475" s="8" t="s">
        <v>18</v>
      </c>
      <c r="D475" s="8" t="s">
        <v>615</v>
      </c>
      <c r="E475" s="8" t="s">
        <v>40</v>
      </c>
      <c r="F475" s="8" t="s">
        <v>51</v>
      </c>
      <c r="G475" s="8" t="s">
        <v>30</v>
      </c>
      <c r="H475" s="8" t="s">
        <v>30</v>
      </c>
      <c r="I475" s="8" t="n">
        <f aca="false">IF(EXACT(G475,H475),1,0)</f>
        <v>1</v>
      </c>
      <c r="J475" s="8" t="n">
        <v>2</v>
      </c>
      <c r="K475" s="8" t="s">
        <v>92</v>
      </c>
      <c r="L475" s="8" t="n">
        <v>0</v>
      </c>
      <c r="M475" s="8" t="n">
        <v>5</v>
      </c>
      <c r="N475" s="8" t="s">
        <v>2057</v>
      </c>
      <c r="O475" s="8" t="n">
        <v>2</v>
      </c>
      <c r="P475" s="10" t="n">
        <v>29</v>
      </c>
      <c r="Q475" s="8" t="n">
        <v>10226</v>
      </c>
      <c r="R475" s="8" t="n">
        <v>1530</v>
      </c>
      <c r="S475" s="8" t="s">
        <v>150</v>
      </c>
      <c r="T475" s="8" t="s">
        <v>291</v>
      </c>
      <c r="U475" s="8" t="s">
        <v>292</v>
      </c>
      <c r="V475" s="8"/>
      <c r="W475" s="8" t="s">
        <v>299</v>
      </c>
      <c r="X475" s="8" t="s">
        <v>581</v>
      </c>
      <c r="Y475" s="8" t="s">
        <v>2088</v>
      </c>
      <c r="Z475" s="8"/>
    </row>
    <row r="476" customFormat="false" ht="15" hidden="false" customHeight="false" outlineLevel="0" collapsed="false">
      <c r="A476" s="8" t="s">
        <v>301</v>
      </c>
      <c r="B476" s="8" t="s">
        <v>17</v>
      </c>
      <c r="C476" s="8" t="s">
        <v>18</v>
      </c>
      <c r="D476" s="8" t="s">
        <v>615</v>
      </c>
      <c r="E476" s="8" t="s">
        <v>40</v>
      </c>
      <c r="F476" s="8" t="s">
        <v>51</v>
      </c>
      <c r="G476" s="8" t="s">
        <v>32</v>
      </c>
      <c r="H476" s="8" t="s">
        <v>32</v>
      </c>
      <c r="I476" s="8" t="n">
        <f aca="false">IF(EXACT(G476,H476),1,0)</f>
        <v>1</v>
      </c>
      <c r="J476" s="8" t="n">
        <v>0</v>
      </c>
      <c r="K476" s="8" t="s">
        <v>92</v>
      </c>
      <c r="L476" s="8" t="n">
        <v>0</v>
      </c>
      <c r="M476" s="8" t="n">
        <v>5</v>
      </c>
      <c r="N476" s="8" t="s">
        <v>2057</v>
      </c>
      <c r="O476" s="8" t="n">
        <v>2</v>
      </c>
      <c r="P476" s="10" t="n">
        <v>22.09</v>
      </c>
      <c r="Q476" s="8" t="n">
        <v>9963</v>
      </c>
      <c r="R476" s="8" t="n">
        <v>1194</v>
      </c>
      <c r="S476" s="8" t="s">
        <v>132</v>
      </c>
      <c r="T476" s="8" t="s">
        <v>291</v>
      </c>
      <c r="U476" s="8" t="s">
        <v>292</v>
      </c>
      <c r="V476" s="8"/>
      <c r="W476" s="8" t="s">
        <v>302</v>
      </c>
      <c r="X476" s="8" t="s">
        <v>582</v>
      </c>
      <c r="Y476" s="8" t="s">
        <v>2089</v>
      </c>
      <c r="Z476" s="8"/>
    </row>
    <row r="477" customFormat="false" ht="15" hidden="false" customHeight="false" outlineLevel="0" collapsed="false">
      <c r="A477" s="8" t="s">
        <v>301</v>
      </c>
      <c r="B477" s="8" t="s">
        <v>17</v>
      </c>
      <c r="C477" s="8" t="s">
        <v>18</v>
      </c>
      <c r="D477" s="8" t="s">
        <v>615</v>
      </c>
      <c r="E477" s="8" t="s">
        <v>40</v>
      </c>
      <c r="F477" s="8" t="s">
        <v>51</v>
      </c>
      <c r="G477" s="8" t="s">
        <v>32</v>
      </c>
      <c r="H477" s="8" t="s">
        <v>32</v>
      </c>
      <c r="I477" s="8" t="n">
        <f aca="false">IF(EXACT(G477,H477),1,0)</f>
        <v>1</v>
      </c>
      <c r="J477" s="8" t="n">
        <v>1</v>
      </c>
      <c r="K477" s="8" t="s">
        <v>92</v>
      </c>
      <c r="L477" s="8" t="n">
        <v>0</v>
      </c>
      <c r="M477" s="8" t="n">
        <v>5</v>
      </c>
      <c r="N477" s="8" t="s">
        <v>2057</v>
      </c>
      <c r="O477" s="8" t="n">
        <v>2</v>
      </c>
      <c r="P477" s="10" t="n">
        <v>22.91</v>
      </c>
      <c r="Q477" s="8" t="n">
        <v>9963</v>
      </c>
      <c r="R477" s="8" t="n">
        <v>1206</v>
      </c>
      <c r="S477" s="8" t="s">
        <v>132</v>
      </c>
      <c r="T477" s="8" t="s">
        <v>291</v>
      </c>
      <c r="U477" s="8" t="s">
        <v>292</v>
      </c>
      <c r="V477" s="8"/>
      <c r="W477" s="8" t="s">
        <v>302</v>
      </c>
      <c r="X477" s="8" t="s">
        <v>582</v>
      </c>
      <c r="Y477" s="8" t="s">
        <v>2090</v>
      </c>
      <c r="Z477" s="8"/>
    </row>
    <row r="478" customFormat="false" ht="15" hidden="false" customHeight="false" outlineLevel="0" collapsed="false">
      <c r="A478" s="8" t="s">
        <v>301</v>
      </c>
      <c r="B478" s="8" t="s">
        <v>17</v>
      </c>
      <c r="C478" s="8" t="s">
        <v>18</v>
      </c>
      <c r="D478" s="8" t="s">
        <v>615</v>
      </c>
      <c r="E478" s="8" t="s">
        <v>40</v>
      </c>
      <c r="F478" s="8" t="s">
        <v>51</v>
      </c>
      <c r="G478" s="8" t="s">
        <v>32</v>
      </c>
      <c r="H478" s="8" t="s">
        <v>32</v>
      </c>
      <c r="I478" s="8" t="n">
        <f aca="false">IF(EXACT(G478,H478),1,0)</f>
        <v>1</v>
      </c>
      <c r="J478" s="8" t="n">
        <v>2</v>
      </c>
      <c r="K478" s="8" t="s">
        <v>92</v>
      </c>
      <c r="L478" s="8" t="n">
        <v>0</v>
      </c>
      <c r="M478" s="8" t="n">
        <v>5</v>
      </c>
      <c r="N478" s="8" t="s">
        <v>2057</v>
      </c>
      <c r="O478" s="8" t="n">
        <v>2</v>
      </c>
      <c r="P478" s="10" t="n">
        <v>22.51</v>
      </c>
      <c r="Q478" s="8" t="n">
        <v>9963</v>
      </c>
      <c r="R478" s="8" t="n">
        <v>1204</v>
      </c>
      <c r="S478" s="8" t="s">
        <v>132</v>
      </c>
      <c r="T478" s="8" t="s">
        <v>291</v>
      </c>
      <c r="U478" s="8" t="s">
        <v>292</v>
      </c>
      <c r="V478" s="8"/>
      <c r="W478" s="8" t="s">
        <v>302</v>
      </c>
      <c r="X478" s="8" t="s">
        <v>582</v>
      </c>
      <c r="Y478" s="8" t="s">
        <v>2091</v>
      </c>
      <c r="Z478" s="8"/>
    </row>
    <row r="479" customFormat="false" ht="15" hidden="false" customHeight="false" outlineLevel="0" collapsed="false">
      <c r="A479" s="8" t="s">
        <v>304</v>
      </c>
      <c r="B479" s="8" t="s">
        <v>17</v>
      </c>
      <c r="C479" s="8" t="s">
        <v>18</v>
      </c>
      <c r="D479" s="8" t="s">
        <v>615</v>
      </c>
      <c r="E479" s="8" t="s">
        <v>40</v>
      </c>
      <c r="F479" s="8" t="s">
        <v>51</v>
      </c>
      <c r="G479" s="8" t="s">
        <v>31</v>
      </c>
      <c r="H479" s="8" t="s">
        <v>31</v>
      </c>
      <c r="I479" s="8" t="n">
        <f aca="false">IF(EXACT(G479,H479),1,0)</f>
        <v>1</v>
      </c>
      <c r="J479" s="8" t="n">
        <v>0</v>
      </c>
      <c r="K479" s="8" t="s">
        <v>140</v>
      </c>
      <c r="L479" s="8" t="n">
        <v>2</v>
      </c>
      <c r="M479" s="8" t="n">
        <v>5</v>
      </c>
      <c r="N479" s="8" t="s">
        <v>2057</v>
      </c>
      <c r="O479" s="8" t="n">
        <v>2</v>
      </c>
      <c r="P479" s="10" t="n">
        <v>35.04</v>
      </c>
      <c r="Q479" s="8" t="n">
        <v>10078</v>
      </c>
      <c r="R479" s="8" t="n">
        <v>1787</v>
      </c>
      <c r="S479" s="8" t="s">
        <v>117</v>
      </c>
      <c r="T479" s="8" t="s">
        <v>291</v>
      </c>
      <c r="U479" s="8" t="s">
        <v>292</v>
      </c>
      <c r="V479" s="8"/>
      <c r="W479" s="8" t="s">
        <v>305</v>
      </c>
      <c r="X479" s="8" t="s">
        <v>583</v>
      </c>
      <c r="Y479" s="8" t="s">
        <v>2092</v>
      </c>
      <c r="Z479" s="8" t="s">
        <v>2093</v>
      </c>
    </row>
    <row r="480" customFormat="false" ht="15" hidden="false" customHeight="false" outlineLevel="0" collapsed="false">
      <c r="A480" s="8" t="s">
        <v>304</v>
      </c>
      <c r="B480" s="8" t="s">
        <v>17</v>
      </c>
      <c r="C480" s="8" t="s">
        <v>18</v>
      </c>
      <c r="D480" s="8" t="s">
        <v>615</v>
      </c>
      <c r="E480" s="8" t="s">
        <v>40</v>
      </c>
      <c r="F480" s="8" t="s">
        <v>51</v>
      </c>
      <c r="G480" s="8" t="s">
        <v>31</v>
      </c>
      <c r="H480" s="8" t="s">
        <v>31</v>
      </c>
      <c r="I480" s="8" t="n">
        <f aca="false">IF(EXACT(G480,H480),1,0)</f>
        <v>1</v>
      </c>
      <c r="J480" s="8" t="n">
        <v>1</v>
      </c>
      <c r="K480" s="8" t="s">
        <v>140</v>
      </c>
      <c r="L480" s="8" t="n">
        <v>1</v>
      </c>
      <c r="M480" s="8" t="n">
        <v>5</v>
      </c>
      <c r="N480" s="8" t="s">
        <v>2057</v>
      </c>
      <c r="O480" s="8" t="n">
        <v>2</v>
      </c>
      <c r="P480" s="10" t="n">
        <v>29.51</v>
      </c>
      <c r="Q480" s="8" t="n">
        <v>10078</v>
      </c>
      <c r="R480" s="8" t="n">
        <v>1497</v>
      </c>
      <c r="S480" s="8" t="s">
        <v>117</v>
      </c>
      <c r="T480" s="8" t="s">
        <v>291</v>
      </c>
      <c r="U480" s="8" t="s">
        <v>292</v>
      </c>
      <c r="V480" s="8"/>
      <c r="W480" s="8" t="s">
        <v>305</v>
      </c>
      <c r="X480" s="8" t="s">
        <v>583</v>
      </c>
      <c r="Y480" s="8" t="s">
        <v>2094</v>
      </c>
      <c r="Z480" s="8" t="s">
        <v>2095</v>
      </c>
    </row>
    <row r="481" customFormat="false" ht="15" hidden="false" customHeight="false" outlineLevel="0" collapsed="false">
      <c r="A481" s="8" t="s">
        <v>304</v>
      </c>
      <c r="B481" s="8" t="s">
        <v>17</v>
      </c>
      <c r="C481" s="8" t="s">
        <v>18</v>
      </c>
      <c r="D481" s="8" t="s">
        <v>615</v>
      </c>
      <c r="E481" s="8" t="s">
        <v>40</v>
      </c>
      <c r="F481" s="8" t="s">
        <v>51</v>
      </c>
      <c r="G481" s="8" t="s">
        <v>31</v>
      </c>
      <c r="H481" s="8" t="s">
        <v>31</v>
      </c>
      <c r="I481" s="8" t="n">
        <f aca="false">IF(EXACT(G481,H481),1,0)</f>
        <v>1</v>
      </c>
      <c r="J481" s="8" t="n">
        <v>2</v>
      </c>
      <c r="K481" s="8" t="s">
        <v>140</v>
      </c>
      <c r="L481" s="8" t="n">
        <v>1</v>
      </c>
      <c r="M481" s="8" t="n">
        <v>5</v>
      </c>
      <c r="N481" s="8" t="s">
        <v>2057</v>
      </c>
      <c r="O481" s="8" t="n">
        <v>2</v>
      </c>
      <c r="P481" s="10" t="n">
        <v>30.3</v>
      </c>
      <c r="Q481" s="8" t="n">
        <v>10078</v>
      </c>
      <c r="R481" s="8" t="n">
        <v>1590</v>
      </c>
      <c r="S481" s="8" t="s">
        <v>117</v>
      </c>
      <c r="T481" s="8" t="s">
        <v>291</v>
      </c>
      <c r="U481" s="8" t="s">
        <v>292</v>
      </c>
      <c r="V481" s="8"/>
      <c r="W481" s="8" t="s">
        <v>305</v>
      </c>
      <c r="X481" s="8" t="s">
        <v>583</v>
      </c>
      <c r="Y481" s="8" t="s">
        <v>2096</v>
      </c>
      <c r="Z481" s="8" t="s">
        <v>2097</v>
      </c>
    </row>
    <row r="482" customFormat="false" ht="15" hidden="false" customHeight="false" outlineLevel="0" collapsed="false">
      <c r="A482" s="8" t="s">
        <v>307</v>
      </c>
      <c r="B482" s="8" t="s">
        <v>17</v>
      </c>
      <c r="C482" s="8" t="s">
        <v>18</v>
      </c>
      <c r="D482" s="8" t="s">
        <v>615</v>
      </c>
      <c r="E482" s="8" t="s">
        <v>40</v>
      </c>
      <c r="F482" s="8" t="s">
        <v>51</v>
      </c>
      <c r="G482" s="8" t="s">
        <v>31</v>
      </c>
      <c r="H482" s="8" t="s">
        <v>31</v>
      </c>
      <c r="I482" s="8" t="n">
        <f aca="false">IF(EXACT(G482,H482),1,0)</f>
        <v>1</v>
      </c>
      <c r="J482" s="8" t="n">
        <v>0</v>
      </c>
      <c r="K482" s="8" t="s">
        <v>140</v>
      </c>
      <c r="L482" s="8" t="n">
        <v>1</v>
      </c>
      <c r="M482" s="8" t="n">
        <v>5</v>
      </c>
      <c r="N482" s="8" t="s">
        <v>2057</v>
      </c>
      <c r="O482" s="8" t="n">
        <v>2</v>
      </c>
      <c r="P482" s="10" t="n">
        <v>25.82</v>
      </c>
      <c r="Q482" s="8" t="n">
        <v>9737</v>
      </c>
      <c r="R482" s="8" t="n">
        <v>1158</v>
      </c>
      <c r="S482" s="8" t="s">
        <v>308</v>
      </c>
      <c r="T482" s="8"/>
      <c r="U482" s="8"/>
      <c r="V482" s="8" t="s">
        <v>309</v>
      </c>
      <c r="W482" s="8"/>
      <c r="X482" s="8" t="s">
        <v>584</v>
      </c>
      <c r="Y482" s="8" t="s">
        <v>2098</v>
      </c>
      <c r="Z482" s="8" t="s">
        <v>2099</v>
      </c>
    </row>
    <row r="483" customFormat="false" ht="15" hidden="false" customHeight="false" outlineLevel="0" collapsed="false">
      <c r="A483" s="8" t="s">
        <v>307</v>
      </c>
      <c r="B483" s="8" t="s">
        <v>17</v>
      </c>
      <c r="C483" s="8" t="s">
        <v>18</v>
      </c>
      <c r="D483" s="8" t="s">
        <v>615</v>
      </c>
      <c r="E483" s="8" t="s">
        <v>40</v>
      </c>
      <c r="F483" s="8" t="s">
        <v>51</v>
      </c>
      <c r="G483" s="8" t="s">
        <v>31</v>
      </c>
      <c r="H483" s="8" t="s">
        <v>31</v>
      </c>
      <c r="I483" s="8" t="n">
        <f aca="false">IF(EXACT(G483,H483),1,0)</f>
        <v>1</v>
      </c>
      <c r="J483" s="8" t="n">
        <v>1</v>
      </c>
      <c r="K483" s="8" t="s">
        <v>140</v>
      </c>
      <c r="L483" s="8" t="n">
        <v>1</v>
      </c>
      <c r="M483" s="8" t="n">
        <v>5</v>
      </c>
      <c r="N483" s="8" t="s">
        <v>2057</v>
      </c>
      <c r="O483" s="8" t="n">
        <v>2</v>
      </c>
      <c r="P483" s="10" t="n">
        <v>30.97</v>
      </c>
      <c r="Q483" s="8" t="n">
        <v>9737</v>
      </c>
      <c r="R483" s="8" t="n">
        <v>1392</v>
      </c>
      <c r="S483" s="8" t="s">
        <v>308</v>
      </c>
      <c r="T483" s="8"/>
      <c r="U483" s="8"/>
      <c r="V483" s="8" t="s">
        <v>309</v>
      </c>
      <c r="W483" s="8"/>
      <c r="X483" s="8" t="s">
        <v>584</v>
      </c>
      <c r="Y483" s="8" t="s">
        <v>2100</v>
      </c>
      <c r="Z483" s="8" t="s">
        <v>2101</v>
      </c>
    </row>
    <row r="484" customFormat="false" ht="15" hidden="false" customHeight="false" outlineLevel="0" collapsed="false">
      <c r="A484" s="8" t="s">
        <v>307</v>
      </c>
      <c r="B484" s="8" t="s">
        <v>17</v>
      </c>
      <c r="C484" s="8" t="s">
        <v>18</v>
      </c>
      <c r="D484" s="8" t="s">
        <v>615</v>
      </c>
      <c r="E484" s="8" t="s">
        <v>40</v>
      </c>
      <c r="F484" s="8" t="s">
        <v>51</v>
      </c>
      <c r="G484" s="8" t="s">
        <v>31</v>
      </c>
      <c r="H484" s="8" t="s">
        <v>31</v>
      </c>
      <c r="I484" s="8" t="n">
        <f aca="false">IF(EXACT(G484,H484),1,0)</f>
        <v>1</v>
      </c>
      <c r="J484" s="8" t="n">
        <v>2</v>
      </c>
      <c r="K484" s="8" t="s">
        <v>140</v>
      </c>
      <c r="L484" s="8" t="n">
        <v>1</v>
      </c>
      <c r="M484" s="8" t="n">
        <v>5</v>
      </c>
      <c r="N484" s="8" t="s">
        <v>2057</v>
      </c>
      <c r="O484" s="8" t="n">
        <v>2</v>
      </c>
      <c r="P484" s="10" t="n">
        <v>30.91</v>
      </c>
      <c r="Q484" s="8" t="n">
        <v>9739</v>
      </c>
      <c r="R484" s="8" t="n">
        <v>1445</v>
      </c>
      <c r="S484" s="8" t="s">
        <v>308</v>
      </c>
      <c r="T484" s="8"/>
      <c r="U484" s="8"/>
      <c r="V484" s="8" t="s">
        <v>309</v>
      </c>
      <c r="W484" s="8"/>
      <c r="X484" s="8" t="s">
        <v>584</v>
      </c>
      <c r="Y484" s="8" t="s">
        <v>2102</v>
      </c>
      <c r="Z484" s="8" t="s">
        <v>2103</v>
      </c>
    </row>
    <row r="485" customFormat="false" ht="15" hidden="false" customHeight="false" outlineLevel="0" collapsed="false">
      <c r="A485" s="8" t="s">
        <v>585</v>
      </c>
      <c r="B485" s="8" t="s">
        <v>17</v>
      </c>
      <c r="C485" s="8" t="s">
        <v>18</v>
      </c>
      <c r="D485" s="8" t="s">
        <v>615</v>
      </c>
      <c r="E485" s="8" t="s">
        <v>40</v>
      </c>
      <c r="F485" s="8" t="s">
        <v>54</v>
      </c>
      <c r="G485" s="8" t="s">
        <v>31</v>
      </c>
      <c r="H485" s="8" t="s">
        <v>31</v>
      </c>
      <c r="I485" s="8" t="n">
        <f aca="false">IF(EXACT(G485,H485),1,0)</f>
        <v>1</v>
      </c>
      <c r="J485" s="8" t="n">
        <v>0</v>
      </c>
      <c r="K485" s="8" t="s">
        <v>116</v>
      </c>
      <c r="L485" s="8" t="n">
        <v>1</v>
      </c>
      <c r="M485" s="8" t="n">
        <v>5</v>
      </c>
      <c r="N485" s="8" t="s">
        <v>2057</v>
      </c>
      <c r="O485" s="8" t="n">
        <v>2</v>
      </c>
      <c r="P485" s="10" t="n">
        <v>25.8</v>
      </c>
      <c r="Q485" s="8" t="n">
        <v>10425</v>
      </c>
      <c r="R485" s="8" t="n">
        <v>1442</v>
      </c>
      <c r="S485" s="8" t="s">
        <v>586</v>
      </c>
      <c r="T485" s="8"/>
      <c r="U485" s="8"/>
      <c r="V485" s="8" t="s">
        <v>155</v>
      </c>
      <c r="W485" s="8"/>
      <c r="X485" s="8" t="s">
        <v>587</v>
      </c>
      <c r="Y485" s="8" t="s">
        <v>2104</v>
      </c>
      <c r="Z485" s="8" t="s">
        <v>2105</v>
      </c>
    </row>
    <row r="486" customFormat="false" ht="15" hidden="false" customHeight="false" outlineLevel="0" collapsed="false">
      <c r="A486" s="8" t="s">
        <v>585</v>
      </c>
      <c r="B486" s="8" t="s">
        <v>17</v>
      </c>
      <c r="C486" s="8" t="s">
        <v>18</v>
      </c>
      <c r="D486" s="8" t="s">
        <v>615</v>
      </c>
      <c r="E486" s="8" t="s">
        <v>40</v>
      </c>
      <c r="F486" s="8" t="s">
        <v>54</v>
      </c>
      <c r="G486" s="8" t="s">
        <v>31</v>
      </c>
      <c r="H486" s="8" t="s">
        <v>31</v>
      </c>
      <c r="I486" s="8" t="n">
        <f aca="false">IF(EXACT(G486,H486),1,0)</f>
        <v>1</v>
      </c>
      <c r="J486" s="8" t="n">
        <v>1</v>
      </c>
      <c r="K486" s="8" t="s">
        <v>116</v>
      </c>
      <c r="L486" s="8" t="n">
        <v>1</v>
      </c>
      <c r="M486" s="8" t="n">
        <v>5</v>
      </c>
      <c r="N486" s="8" t="s">
        <v>2057</v>
      </c>
      <c r="O486" s="8" t="n">
        <v>2</v>
      </c>
      <c r="P486" s="10" t="n">
        <v>25.46</v>
      </c>
      <c r="Q486" s="8" t="n">
        <v>10425</v>
      </c>
      <c r="R486" s="8" t="n">
        <v>1435</v>
      </c>
      <c r="S486" s="8" t="s">
        <v>586</v>
      </c>
      <c r="T486" s="8"/>
      <c r="U486" s="8"/>
      <c r="V486" s="8" t="s">
        <v>155</v>
      </c>
      <c r="W486" s="8"/>
      <c r="X486" s="8" t="s">
        <v>587</v>
      </c>
      <c r="Y486" s="8" t="s">
        <v>2106</v>
      </c>
      <c r="Z486" s="8" t="s">
        <v>2105</v>
      </c>
    </row>
    <row r="487" customFormat="false" ht="15" hidden="false" customHeight="false" outlineLevel="0" collapsed="false">
      <c r="A487" s="8" t="s">
        <v>585</v>
      </c>
      <c r="B487" s="8" t="s">
        <v>17</v>
      </c>
      <c r="C487" s="8" t="s">
        <v>18</v>
      </c>
      <c r="D487" s="8" t="s">
        <v>615</v>
      </c>
      <c r="E487" s="8" t="s">
        <v>40</v>
      </c>
      <c r="F487" s="8" t="s">
        <v>54</v>
      </c>
      <c r="G487" s="8" t="s">
        <v>31</v>
      </c>
      <c r="H487" s="8" t="s">
        <v>31</v>
      </c>
      <c r="I487" s="8" t="n">
        <f aca="false">IF(EXACT(G487,H487),1,0)</f>
        <v>1</v>
      </c>
      <c r="J487" s="8" t="n">
        <v>2</v>
      </c>
      <c r="K487" s="8" t="s">
        <v>116</v>
      </c>
      <c r="L487" s="8" t="n">
        <v>1</v>
      </c>
      <c r="M487" s="8" t="n">
        <v>5</v>
      </c>
      <c r="N487" s="8" t="s">
        <v>2057</v>
      </c>
      <c r="O487" s="8" t="n">
        <v>2</v>
      </c>
      <c r="P487" s="10" t="n">
        <v>24.78</v>
      </c>
      <c r="Q487" s="8" t="n">
        <v>10425</v>
      </c>
      <c r="R487" s="8" t="n">
        <v>1432</v>
      </c>
      <c r="S487" s="8" t="s">
        <v>586</v>
      </c>
      <c r="T487" s="8"/>
      <c r="U487" s="8"/>
      <c r="V487" s="8" t="s">
        <v>155</v>
      </c>
      <c r="W487" s="8"/>
      <c r="X487" s="8" t="s">
        <v>587</v>
      </c>
      <c r="Y487" s="8" t="s">
        <v>2107</v>
      </c>
      <c r="Z487" s="8" t="s">
        <v>2105</v>
      </c>
    </row>
    <row r="488" customFormat="false" ht="15" hidden="false" customHeight="false" outlineLevel="0" collapsed="false">
      <c r="A488" s="8" t="s">
        <v>588</v>
      </c>
      <c r="B488" s="8" t="s">
        <v>17</v>
      </c>
      <c r="C488" s="8" t="s">
        <v>18</v>
      </c>
      <c r="D488" s="8" t="s">
        <v>615</v>
      </c>
      <c r="E488" s="8" t="s">
        <v>40</v>
      </c>
      <c r="F488" s="8" t="s">
        <v>54</v>
      </c>
      <c r="G488" s="8" t="s">
        <v>31</v>
      </c>
      <c r="H488" s="8" t="s">
        <v>30</v>
      </c>
      <c r="I488" s="8" t="n">
        <f aca="false">IF(EXACT(G488,H488),1,0)</f>
        <v>0</v>
      </c>
      <c r="J488" s="8" t="n">
        <v>0</v>
      </c>
      <c r="K488" s="8" t="s">
        <v>92</v>
      </c>
      <c r="L488" s="8" t="n">
        <v>0</v>
      </c>
      <c r="M488" s="8" t="n">
        <v>5</v>
      </c>
      <c r="N488" s="8" t="s">
        <v>2057</v>
      </c>
      <c r="O488" s="8" t="n">
        <v>2</v>
      </c>
      <c r="P488" s="10" t="n">
        <v>22.09</v>
      </c>
      <c r="Q488" s="8" t="n">
        <v>10126</v>
      </c>
      <c r="R488" s="8" t="n">
        <v>1102</v>
      </c>
      <c r="S488" s="8" t="s">
        <v>589</v>
      </c>
      <c r="T488" s="8"/>
      <c r="U488" s="8"/>
      <c r="V488" s="8" t="s">
        <v>155</v>
      </c>
      <c r="W488" s="8"/>
      <c r="X488" s="8" t="s">
        <v>590</v>
      </c>
      <c r="Y488" s="8" t="s">
        <v>2108</v>
      </c>
      <c r="Z488" s="8"/>
    </row>
    <row r="489" customFormat="false" ht="15" hidden="false" customHeight="false" outlineLevel="0" collapsed="false">
      <c r="A489" s="8" t="s">
        <v>588</v>
      </c>
      <c r="B489" s="8" t="s">
        <v>17</v>
      </c>
      <c r="C489" s="8" t="s">
        <v>18</v>
      </c>
      <c r="D489" s="8" t="s">
        <v>615</v>
      </c>
      <c r="E489" s="8" t="s">
        <v>40</v>
      </c>
      <c r="F489" s="8" t="s">
        <v>54</v>
      </c>
      <c r="G489" s="8" t="s">
        <v>31</v>
      </c>
      <c r="H489" s="8" t="s">
        <v>30</v>
      </c>
      <c r="I489" s="8" t="n">
        <f aca="false">IF(EXACT(G489,H489),1,0)</f>
        <v>0</v>
      </c>
      <c r="J489" s="8" t="n">
        <v>1</v>
      </c>
      <c r="K489" s="8" t="s">
        <v>92</v>
      </c>
      <c r="L489" s="8" t="n">
        <v>0</v>
      </c>
      <c r="M489" s="8" t="n">
        <v>5</v>
      </c>
      <c r="N489" s="8" t="s">
        <v>2057</v>
      </c>
      <c r="O489" s="8" t="n">
        <v>2</v>
      </c>
      <c r="P489" s="10" t="n">
        <v>19.12</v>
      </c>
      <c r="Q489" s="8" t="n">
        <v>10126</v>
      </c>
      <c r="R489" s="8" t="n">
        <v>1084</v>
      </c>
      <c r="S489" s="8" t="s">
        <v>589</v>
      </c>
      <c r="T489" s="8"/>
      <c r="U489" s="8"/>
      <c r="V489" s="8" t="s">
        <v>155</v>
      </c>
      <c r="W489" s="8"/>
      <c r="X489" s="8" t="s">
        <v>590</v>
      </c>
      <c r="Y489" s="8" t="s">
        <v>2109</v>
      </c>
      <c r="Z489" s="8"/>
    </row>
    <row r="490" customFormat="false" ht="15" hidden="false" customHeight="false" outlineLevel="0" collapsed="false">
      <c r="A490" s="8" t="s">
        <v>588</v>
      </c>
      <c r="B490" s="8" t="s">
        <v>17</v>
      </c>
      <c r="C490" s="8" t="s">
        <v>18</v>
      </c>
      <c r="D490" s="8" t="s">
        <v>615</v>
      </c>
      <c r="E490" s="8" t="s">
        <v>40</v>
      </c>
      <c r="F490" s="8" t="s">
        <v>54</v>
      </c>
      <c r="G490" s="8" t="s">
        <v>31</v>
      </c>
      <c r="H490" s="8" t="s">
        <v>30</v>
      </c>
      <c r="I490" s="8" t="n">
        <f aca="false">IF(EXACT(G490,H490),1,0)</f>
        <v>0</v>
      </c>
      <c r="J490" s="8" t="n">
        <v>2</v>
      </c>
      <c r="K490" s="8" t="s">
        <v>92</v>
      </c>
      <c r="L490" s="8" t="n">
        <v>0</v>
      </c>
      <c r="M490" s="8" t="n">
        <v>5</v>
      </c>
      <c r="N490" s="8" t="s">
        <v>2057</v>
      </c>
      <c r="O490" s="8" t="n">
        <v>2</v>
      </c>
      <c r="P490" s="10" t="n">
        <v>20.11</v>
      </c>
      <c r="Q490" s="8" t="n">
        <v>10126</v>
      </c>
      <c r="R490" s="8" t="n">
        <v>1107</v>
      </c>
      <c r="S490" s="8" t="s">
        <v>589</v>
      </c>
      <c r="T490" s="8"/>
      <c r="U490" s="8"/>
      <c r="V490" s="8" t="s">
        <v>155</v>
      </c>
      <c r="W490" s="8"/>
      <c r="X490" s="8" t="s">
        <v>590</v>
      </c>
      <c r="Y490" s="8" t="s">
        <v>2110</v>
      </c>
      <c r="Z490" s="8"/>
    </row>
    <row r="491" customFormat="false" ht="15" hidden="false" customHeight="false" outlineLevel="0" collapsed="false">
      <c r="A491" s="8" t="s">
        <v>591</v>
      </c>
      <c r="B491" s="8" t="s">
        <v>17</v>
      </c>
      <c r="C491" s="8" t="s">
        <v>18</v>
      </c>
      <c r="D491" s="8" t="s">
        <v>615</v>
      </c>
      <c r="E491" s="8" t="s">
        <v>40</v>
      </c>
      <c r="F491" s="8" t="s">
        <v>54</v>
      </c>
      <c r="G491" s="8" t="s">
        <v>32</v>
      </c>
      <c r="H491" s="8" t="s">
        <v>31</v>
      </c>
      <c r="I491" s="8" t="n">
        <f aca="false">IF(EXACT(G491,H491),1,0)</f>
        <v>0</v>
      </c>
      <c r="J491" s="8" t="n">
        <v>0</v>
      </c>
      <c r="K491" s="8" t="s">
        <v>116</v>
      </c>
      <c r="L491" s="8" t="n">
        <v>1</v>
      </c>
      <c r="M491" s="8" t="n">
        <v>5</v>
      </c>
      <c r="N491" s="8" t="s">
        <v>2057</v>
      </c>
      <c r="O491" s="8" t="n">
        <v>2</v>
      </c>
      <c r="P491" s="10" t="n">
        <v>25.66</v>
      </c>
      <c r="Q491" s="8" t="n">
        <v>10008</v>
      </c>
      <c r="R491" s="8" t="n">
        <v>1225</v>
      </c>
      <c r="S491" s="8" t="s">
        <v>592</v>
      </c>
      <c r="T491" s="8"/>
      <c r="U491" s="8"/>
      <c r="V491" s="8" t="s">
        <v>155</v>
      </c>
      <c r="W491" s="8"/>
      <c r="X491" s="8" t="s">
        <v>593</v>
      </c>
      <c r="Y491" s="8" t="s">
        <v>2111</v>
      </c>
      <c r="Z491" s="8" t="s">
        <v>2112</v>
      </c>
    </row>
    <row r="492" customFormat="false" ht="15" hidden="false" customHeight="false" outlineLevel="0" collapsed="false">
      <c r="A492" s="8" t="s">
        <v>591</v>
      </c>
      <c r="B492" s="8" t="s">
        <v>17</v>
      </c>
      <c r="C492" s="8" t="s">
        <v>18</v>
      </c>
      <c r="D492" s="8" t="s">
        <v>615</v>
      </c>
      <c r="E492" s="8" t="s">
        <v>40</v>
      </c>
      <c r="F492" s="8" t="s">
        <v>54</v>
      </c>
      <c r="G492" s="8" t="s">
        <v>32</v>
      </c>
      <c r="H492" s="8" t="s">
        <v>31</v>
      </c>
      <c r="I492" s="8" t="n">
        <f aca="false">IF(EXACT(G492,H492),1,0)</f>
        <v>0</v>
      </c>
      <c r="J492" s="8" t="n">
        <v>1</v>
      </c>
      <c r="K492" s="8" t="s">
        <v>116</v>
      </c>
      <c r="L492" s="8" t="n">
        <v>1</v>
      </c>
      <c r="M492" s="8" t="n">
        <v>5</v>
      </c>
      <c r="N492" s="8" t="s">
        <v>2057</v>
      </c>
      <c r="O492" s="8" t="n">
        <v>2</v>
      </c>
      <c r="P492" s="10" t="n">
        <v>29.72</v>
      </c>
      <c r="Q492" s="8" t="n">
        <v>10008</v>
      </c>
      <c r="R492" s="8" t="n">
        <v>1489</v>
      </c>
      <c r="S492" s="8" t="s">
        <v>592</v>
      </c>
      <c r="T492" s="8"/>
      <c r="U492" s="8"/>
      <c r="V492" s="8" t="s">
        <v>155</v>
      </c>
      <c r="W492" s="8"/>
      <c r="X492" s="8" t="s">
        <v>593</v>
      </c>
      <c r="Y492" s="8" t="s">
        <v>2113</v>
      </c>
      <c r="Z492" s="8" t="s">
        <v>2114</v>
      </c>
    </row>
    <row r="493" customFormat="false" ht="15" hidden="false" customHeight="false" outlineLevel="0" collapsed="false">
      <c r="A493" s="8" t="s">
        <v>591</v>
      </c>
      <c r="B493" s="8" t="s">
        <v>17</v>
      </c>
      <c r="C493" s="8" t="s">
        <v>18</v>
      </c>
      <c r="D493" s="8" t="s">
        <v>615</v>
      </c>
      <c r="E493" s="8" t="s">
        <v>40</v>
      </c>
      <c r="F493" s="8" t="s">
        <v>54</v>
      </c>
      <c r="G493" s="8" t="s">
        <v>32</v>
      </c>
      <c r="H493" s="8" t="s">
        <v>30</v>
      </c>
      <c r="I493" s="8" t="n">
        <f aca="false">IF(EXACT(G493,H493),1,0)</f>
        <v>0</v>
      </c>
      <c r="J493" s="8" t="n">
        <v>2</v>
      </c>
      <c r="K493" s="8" t="s">
        <v>92</v>
      </c>
      <c r="L493" s="8" t="n">
        <v>0</v>
      </c>
      <c r="M493" s="8" t="n">
        <v>5</v>
      </c>
      <c r="N493" s="8" t="s">
        <v>2057</v>
      </c>
      <c r="O493" s="8" t="n">
        <v>2</v>
      </c>
      <c r="P493" s="10" t="n">
        <v>26.14</v>
      </c>
      <c r="Q493" s="8" t="n">
        <v>10008</v>
      </c>
      <c r="R493" s="8" t="n">
        <v>1348</v>
      </c>
      <c r="S493" s="8" t="s">
        <v>592</v>
      </c>
      <c r="T493" s="8"/>
      <c r="U493" s="8"/>
      <c r="V493" s="8" t="s">
        <v>155</v>
      </c>
      <c r="W493" s="8"/>
      <c r="X493" s="8" t="s">
        <v>593</v>
      </c>
      <c r="Y493" s="8" t="s">
        <v>2115</v>
      </c>
      <c r="Z493" s="8"/>
    </row>
    <row r="494" customFormat="false" ht="15" hidden="false" customHeight="false" outlineLevel="0" collapsed="false">
      <c r="A494" s="8" t="s">
        <v>594</v>
      </c>
      <c r="B494" s="8" t="s">
        <v>17</v>
      </c>
      <c r="C494" s="8" t="s">
        <v>18</v>
      </c>
      <c r="D494" s="8" t="s">
        <v>615</v>
      </c>
      <c r="E494" s="8" t="s">
        <v>40</v>
      </c>
      <c r="F494" s="8" t="s">
        <v>54</v>
      </c>
      <c r="G494" s="8" t="s">
        <v>32</v>
      </c>
      <c r="H494" s="8" t="s">
        <v>30</v>
      </c>
      <c r="I494" s="8" t="n">
        <f aca="false">IF(EXACT(G494,H494),1,0)</f>
        <v>0</v>
      </c>
      <c r="J494" s="8" t="n">
        <v>0</v>
      </c>
      <c r="K494" s="8" t="s">
        <v>92</v>
      </c>
      <c r="L494" s="8" t="n">
        <v>0</v>
      </c>
      <c r="M494" s="8" t="n">
        <v>5</v>
      </c>
      <c r="N494" s="8" t="s">
        <v>2057</v>
      </c>
      <c r="O494" s="8" t="n">
        <v>2</v>
      </c>
      <c r="P494" s="10" t="n">
        <v>30.01</v>
      </c>
      <c r="Q494" s="8" t="n">
        <v>10210</v>
      </c>
      <c r="R494" s="8" t="n">
        <v>1426</v>
      </c>
      <c r="S494" s="8" t="s">
        <v>595</v>
      </c>
      <c r="T494" s="8"/>
      <c r="U494" s="8"/>
      <c r="V494" s="8" t="s">
        <v>155</v>
      </c>
      <c r="W494" s="8"/>
      <c r="X494" s="8" t="s">
        <v>596</v>
      </c>
      <c r="Y494" s="8" t="s">
        <v>2116</v>
      </c>
      <c r="Z494" s="8"/>
    </row>
    <row r="495" customFormat="false" ht="15" hidden="false" customHeight="false" outlineLevel="0" collapsed="false">
      <c r="A495" s="8" t="s">
        <v>594</v>
      </c>
      <c r="B495" s="8" t="s">
        <v>17</v>
      </c>
      <c r="C495" s="8" t="s">
        <v>18</v>
      </c>
      <c r="D495" s="8" t="s">
        <v>615</v>
      </c>
      <c r="E495" s="8" t="s">
        <v>40</v>
      </c>
      <c r="F495" s="8" t="s">
        <v>54</v>
      </c>
      <c r="G495" s="8" t="s">
        <v>32</v>
      </c>
      <c r="H495" s="8" t="s">
        <v>30</v>
      </c>
      <c r="I495" s="8" t="n">
        <f aca="false">IF(EXACT(G495,H495),1,0)</f>
        <v>0</v>
      </c>
      <c r="J495" s="8" t="n">
        <v>1</v>
      </c>
      <c r="K495" s="8" t="s">
        <v>92</v>
      </c>
      <c r="L495" s="8" t="n">
        <v>0</v>
      </c>
      <c r="M495" s="8" t="n">
        <v>5</v>
      </c>
      <c r="N495" s="8" t="s">
        <v>2057</v>
      </c>
      <c r="O495" s="8" t="n">
        <v>2</v>
      </c>
      <c r="P495" s="10" t="n">
        <v>27.1</v>
      </c>
      <c r="Q495" s="8" t="n">
        <v>10210</v>
      </c>
      <c r="R495" s="8" t="n">
        <v>1463</v>
      </c>
      <c r="S495" s="8" t="s">
        <v>595</v>
      </c>
      <c r="T495" s="8"/>
      <c r="U495" s="8"/>
      <c r="V495" s="8" t="s">
        <v>155</v>
      </c>
      <c r="W495" s="8"/>
      <c r="X495" s="8" t="s">
        <v>596</v>
      </c>
      <c r="Y495" s="8" t="s">
        <v>2117</v>
      </c>
      <c r="Z495" s="8"/>
    </row>
    <row r="496" customFormat="false" ht="15" hidden="false" customHeight="false" outlineLevel="0" collapsed="false">
      <c r="A496" s="8" t="s">
        <v>594</v>
      </c>
      <c r="B496" s="8" t="s">
        <v>17</v>
      </c>
      <c r="C496" s="8" t="s">
        <v>18</v>
      </c>
      <c r="D496" s="8" t="s">
        <v>615</v>
      </c>
      <c r="E496" s="8" t="s">
        <v>40</v>
      </c>
      <c r="F496" s="8" t="s">
        <v>54</v>
      </c>
      <c r="G496" s="8" t="s">
        <v>32</v>
      </c>
      <c r="H496" s="8" t="s">
        <v>30</v>
      </c>
      <c r="I496" s="8" t="n">
        <f aca="false">IF(EXACT(G496,H496),1,0)</f>
        <v>0</v>
      </c>
      <c r="J496" s="8" t="n">
        <v>2</v>
      </c>
      <c r="K496" s="8" t="s">
        <v>92</v>
      </c>
      <c r="L496" s="8" t="n">
        <v>0</v>
      </c>
      <c r="M496" s="8" t="n">
        <v>5</v>
      </c>
      <c r="N496" s="8" t="s">
        <v>2057</v>
      </c>
      <c r="O496" s="8" t="n">
        <v>2</v>
      </c>
      <c r="P496" s="10" t="n">
        <v>25.77</v>
      </c>
      <c r="Q496" s="8" t="n">
        <v>10210</v>
      </c>
      <c r="R496" s="8" t="n">
        <v>1427</v>
      </c>
      <c r="S496" s="8" t="s">
        <v>595</v>
      </c>
      <c r="T496" s="8"/>
      <c r="U496" s="8"/>
      <c r="V496" s="8" t="s">
        <v>155</v>
      </c>
      <c r="W496" s="8"/>
      <c r="X496" s="8" t="s">
        <v>596</v>
      </c>
      <c r="Y496" s="8" t="s">
        <v>2116</v>
      </c>
      <c r="Z496" s="8"/>
    </row>
    <row r="497" customFormat="false" ht="15" hidden="false" customHeight="false" outlineLevel="0" collapsed="false">
      <c r="A497" s="8" t="s">
        <v>597</v>
      </c>
      <c r="B497" s="8" t="s">
        <v>17</v>
      </c>
      <c r="C497" s="8" t="s">
        <v>18</v>
      </c>
      <c r="D497" s="8" t="s">
        <v>615</v>
      </c>
      <c r="E497" s="8" t="s">
        <v>40</v>
      </c>
      <c r="F497" s="8" t="s">
        <v>54</v>
      </c>
      <c r="G497" s="8" t="s">
        <v>30</v>
      </c>
      <c r="H497" s="8" t="s">
        <v>30</v>
      </c>
      <c r="I497" s="8" t="n">
        <f aca="false">IF(EXACT(G497,H497),1,0)</f>
        <v>1</v>
      </c>
      <c r="J497" s="8" t="n">
        <v>0</v>
      </c>
      <c r="K497" s="8" t="s">
        <v>92</v>
      </c>
      <c r="L497" s="8" t="n">
        <v>0</v>
      </c>
      <c r="M497" s="8" t="n">
        <v>5</v>
      </c>
      <c r="N497" s="8" t="s">
        <v>2057</v>
      </c>
      <c r="O497" s="8" t="n">
        <v>2</v>
      </c>
      <c r="P497" s="10" t="n">
        <v>33.15</v>
      </c>
      <c r="Q497" s="8" t="n">
        <v>10954</v>
      </c>
      <c r="R497" s="8" t="n">
        <v>2017</v>
      </c>
      <c r="S497" s="8" t="s">
        <v>598</v>
      </c>
      <c r="T497" s="8"/>
      <c r="U497" s="8"/>
      <c r="V497" s="8" t="s">
        <v>155</v>
      </c>
      <c r="W497" s="8"/>
      <c r="X497" s="8" t="s">
        <v>599</v>
      </c>
      <c r="Y497" s="8" t="s">
        <v>2118</v>
      </c>
      <c r="Z497" s="8"/>
    </row>
    <row r="498" customFormat="false" ht="15" hidden="false" customHeight="false" outlineLevel="0" collapsed="false">
      <c r="A498" s="8" t="s">
        <v>597</v>
      </c>
      <c r="B498" s="8" t="s">
        <v>17</v>
      </c>
      <c r="C498" s="8" t="s">
        <v>18</v>
      </c>
      <c r="D498" s="8" t="s">
        <v>615</v>
      </c>
      <c r="E498" s="8" t="s">
        <v>40</v>
      </c>
      <c r="F498" s="8" t="s">
        <v>54</v>
      </c>
      <c r="G498" s="8" t="s">
        <v>30</v>
      </c>
      <c r="H498" s="8" t="s">
        <v>30</v>
      </c>
      <c r="I498" s="8" t="n">
        <f aca="false">IF(EXACT(G498,H498),1,0)</f>
        <v>1</v>
      </c>
      <c r="J498" s="8" t="n">
        <v>1</v>
      </c>
      <c r="K498" s="8" t="s">
        <v>92</v>
      </c>
      <c r="L498" s="8" t="n">
        <v>0</v>
      </c>
      <c r="M498" s="8" t="n">
        <v>5</v>
      </c>
      <c r="N498" s="8" t="s">
        <v>2057</v>
      </c>
      <c r="O498" s="8" t="n">
        <v>2</v>
      </c>
      <c r="P498" s="10" t="n">
        <v>32.49</v>
      </c>
      <c r="Q498" s="8" t="n">
        <v>10954</v>
      </c>
      <c r="R498" s="8" t="n">
        <v>2006</v>
      </c>
      <c r="S498" s="8" t="s">
        <v>598</v>
      </c>
      <c r="T498" s="8"/>
      <c r="U498" s="8"/>
      <c r="V498" s="8" t="s">
        <v>155</v>
      </c>
      <c r="W498" s="8"/>
      <c r="X498" s="8" t="s">
        <v>599</v>
      </c>
      <c r="Y498" s="8" t="s">
        <v>2119</v>
      </c>
      <c r="Z498" s="8"/>
    </row>
    <row r="499" customFormat="false" ht="15" hidden="false" customHeight="false" outlineLevel="0" collapsed="false">
      <c r="A499" s="8" t="s">
        <v>597</v>
      </c>
      <c r="B499" s="8" t="s">
        <v>17</v>
      </c>
      <c r="C499" s="8" t="s">
        <v>18</v>
      </c>
      <c r="D499" s="8" t="s">
        <v>615</v>
      </c>
      <c r="E499" s="8" t="s">
        <v>40</v>
      </c>
      <c r="F499" s="8" t="s">
        <v>54</v>
      </c>
      <c r="G499" s="8" t="s">
        <v>30</v>
      </c>
      <c r="H499" s="8" t="s">
        <v>30</v>
      </c>
      <c r="I499" s="8" t="n">
        <f aca="false">IF(EXACT(G499,H499),1,0)</f>
        <v>1</v>
      </c>
      <c r="J499" s="8" t="n">
        <v>2</v>
      </c>
      <c r="K499" s="8" t="s">
        <v>92</v>
      </c>
      <c r="L499" s="8" t="n">
        <v>0</v>
      </c>
      <c r="M499" s="8" t="n">
        <v>5</v>
      </c>
      <c r="N499" s="8" t="s">
        <v>2057</v>
      </c>
      <c r="O499" s="8" t="n">
        <v>2</v>
      </c>
      <c r="P499" s="10" t="n">
        <v>31.82</v>
      </c>
      <c r="Q499" s="8" t="n">
        <v>10954</v>
      </c>
      <c r="R499" s="8" t="n">
        <v>1975</v>
      </c>
      <c r="S499" s="8" t="s">
        <v>598</v>
      </c>
      <c r="T499" s="8"/>
      <c r="U499" s="8"/>
      <c r="V499" s="8" t="s">
        <v>155</v>
      </c>
      <c r="W499" s="8"/>
      <c r="X499" s="8" t="s">
        <v>599</v>
      </c>
      <c r="Y499" s="8" t="s">
        <v>2120</v>
      </c>
      <c r="Z499" s="8"/>
    </row>
    <row r="500" customFormat="false" ht="15" hidden="false" customHeight="false" outlineLevel="0" collapsed="false">
      <c r="A500" s="8" t="s">
        <v>600</v>
      </c>
      <c r="B500" s="8" t="s">
        <v>17</v>
      </c>
      <c r="C500" s="8" t="s">
        <v>18</v>
      </c>
      <c r="D500" s="8" t="s">
        <v>615</v>
      </c>
      <c r="E500" s="8" t="s">
        <v>40</v>
      </c>
      <c r="F500" s="8" t="s">
        <v>54</v>
      </c>
      <c r="G500" s="8" t="s">
        <v>30</v>
      </c>
      <c r="H500" s="8" t="s">
        <v>30</v>
      </c>
      <c r="I500" s="8" t="n">
        <f aca="false">IF(EXACT(G500,H500),1,0)</f>
        <v>1</v>
      </c>
      <c r="J500" s="8" t="n">
        <v>0</v>
      </c>
      <c r="K500" s="8" t="s">
        <v>92</v>
      </c>
      <c r="L500" s="8" t="n">
        <v>0</v>
      </c>
      <c r="M500" s="8" t="n">
        <v>5</v>
      </c>
      <c r="N500" s="8" t="s">
        <v>2057</v>
      </c>
      <c r="O500" s="8" t="n">
        <v>2</v>
      </c>
      <c r="P500" s="10" t="n">
        <v>30.91</v>
      </c>
      <c r="Q500" s="8" t="n">
        <v>10827</v>
      </c>
      <c r="R500" s="8" t="n">
        <v>1879</v>
      </c>
      <c r="S500" s="8" t="s">
        <v>601</v>
      </c>
      <c r="T500" s="8"/>
      <c r="U500" s="8"/>
      <c r="V500" s="8" t="s">
        <v>155</v>
      </c>
      <c r="W500" s="8"/>
      <c r="X500" s="8" t="s">
        <v>602</v>
      </c>
      <c r="Y500" s="8" t="s">
        <v>2121</v>
      </c>
      <c r="Z500" s="8"/>
    </row>
    <row r="501" customFormat="false" ht="15" hidden="false" customHeight="false" outlineLevel="0" collapsed="false">
      <c r="A501" s="8" t="s">
        <v>600</v>
      </c>
      <c r="B501" s="8" t="s">
        <v>17</v>
      </c>
      <c r="C501" s="8" t="s">
        <v>18</v>
      </c>
      <c r="D501" s="8" t="s">
        <v>615</v>
      </c>
      <c r="E501" s="8" t="s">
        <v>40</v>
      </c>
      <c r="F501" s="8" t="s">
        <v>54</v>
      </c>
      <c r="G501" s="8" t="s">
        <v>30</v>
      </c>
      <c r="H501" s="8" t="s">
        <v>30</v>
      </c>
      <c r="I501" s="8" t="n">
        <f aca="false">IF(EXACT(G501,H501),1,0)</f>
        <v>1</v>
      </c>
      <c r="J501" s="8" t="n">
        <v>1</v>
      </c>
      <c r="K501" s="8" t="s">
        <v>92</v>
      </c>
      <c r="L501" s="8" t="n">
        <v>0</v>
      </c>
      <c r="M501" s="8" t="n">
        <v>5</v>
      </c>
      <c r="N501" s="8" t="s">
        <v>2057</v>
      </c>
      <c r="O501" s="8" t="n">
        <v>2</v>
      </c>
      <c r="P501" s="10" t="n">
        <v>30</v>
      </c>
      <c r="Q501" s="8" t="n">
        <v>10827</v>
      </c>
      <c r="R501" s="8" t="n">
        <v>1864</v>
      </c>
      <c r="S501" s="8" t="s">
        <v>601</v>
      </c>
      <c r="T501" s="8"/>
      <c r="U501" s="8"/>
      <c r="V501" s="8" t="s">
        <v>155</v>
      </c>
      <c r="W501" s="8"/>
      <c r="X501" s="8" t="s">
        <v>602</v>
      </c>
      <c r="Y501" s="8" t="s">
        <v>2121</v>
      </c>
      <c r="Z501" s="8"/>
    </row>
    <row r="502" customFormat="false" ht="15" hidden="false" customHeight="false" outlineLevel="0" collapsed="false">
      <c r="A502" s="8" t="s">
        <v>600</v>
      </c>
      <c r="B502" s="8" t="s">
        <v>17</v>
      </c>
      <c r="C502" s="8" t="s">
        <v>18</v>
      </c>
      <c r="D502" s="8" t="s">
        <v>615</v>
      </c>
      <c r="E502" s="8" t="s">
        <v>40</v>
      </c>
      <c r="F502" s="8" t="s">
        <v>54</v>
      </c>
      <c r="G502" s="8" t="s">
        <v>30</v>
      </c>
      <c r="H502" s="8" t="s">
        <v>30</v>
      </c>
      <c r="I502" s="8" t="n">
        <f aca="false">IF(EXACT(G502,H502),1,0)</f>
        <v>1</v>
      </c>
      <c r="J502" s="8" t="n">
        <v>2</v>
      </c>
      <c r="K502" s="8" t="s">
        <v>92</v>
      </c>
      <c r="L502" s="8" t="n">
        <v>0</v>
      </c>
      <c r="M502" s="8" t="n">
        <v>5</v>
      </c>
      <c r="N502" s="8" t="s">
        <v>2057</v>
      </c>
      <c r="O502" s="8" t="n">
        <v>2</v>
      </c>
      <c r="P502" s="10" t="n">
        <v>31.41</v>
      </c>
      <c r="Q502" s="8" t="n">
        <v>10827</v>
      </c>
      <c r="R502" s="8" t="n">
        <v>1917</v>
      </c>
      <c r="S502" s="8" t="s">
        <v>601</v>
      </c>
      <c r="T502" s="8"/>
      <c r="U502" s="8"/>
      <c r="V502" s="8" t="s">
        <v>155</v>
      </c>
      <c r="W502" s="8"/>
      <c r="X502" s="8" t="s">
        <v>602</v>
      </c>
      <c r="Y502" s="8" t="s">
        <v>2121</v>
      </c>
      <c r="Z502" s="8"/>
    </row>
    <row r="503" customFormat="false" ht="15" hidden="false" customHeight="false" outlineLevel="0" collapsed="false">
      <c r="A503" s="8" t="s">
        <v>365</v>
      </c>
      <c r="B503" s="8" t="s">
        <v>17</v>
      </c>
      <c r="C503" s="8" t="s">
        <v>18</v>
      </c>
      <c r="D503" s="8" t="s">
        <v>615</v>
      </c>
      <c r="E503" s="8" t="s">
        <v>40</v>
      </c>
      <c r="F503" s="8" t="s">
        <v>55</v>
      </c>
      <c r="G503" s="8" t="s">
        <v>30</v>
      </c>
      <c r="H503" s="8" t="s">
        <v>30</v>
      </c>
      <c r="I503" s="8" t="n">
        <f aca="false">IF(EXACT(G503,H503),1,0)</f>
        <v>1</v>
      </c>
      <c r="J503" s="8" t="n">
        <v>0</v>
      </c>
      <c r="K503" s="8" t="s">
        <v>92</v>
      </c>
      <c r="L503" s="8" t="n">
        <v>0</v>
      </c>
      <c r="M503" s="8" t="n">
        <v>5</v>
      </c>
      <c r="N503" s="8" t="s">
        <v>2057</v>
      </c>
      <c r="O503" s="8" t="n">
        <v>2</v>
      </c>
      <c r="P503" s="10" t="n">
        <v>18.24</v>
      </c>
      <c r="Q503" s="8" t="n">
        <v>9325</v>
      </c>
      <c r="R503" s="8" t="n">
        <v>697</v>
      </c>
      <c r="S503" s="8" t="s">
        <v>366</v>
      </c>
      <c r="T503" s="8" t="s">
        <v>367</v>
      </c>
      <c r="U503" s="8" t="s">
        <v>368</v>
      </c>
      <c r="V503" s="8"/>
      <c r="W503" s="8" t="s">
        <v>369</v>
      </c>
      <c r="X503" s="8" t="s">
        <v>603</v>
      </c>
      <c r="Y503" s="8" t="s">
        <v>2122</v>
      </c>
      <c r="Z503" s="8"/>
    </row>
    <row r="504" customFormat="false" ht="15" hidden="false" customHeight="false" outlineLevel="0" collapsed="false">
      <c r="A504" s="8" t="s">
        <v>365</v>
      </c>
      <c r="B504" s="8" t="s">
        <v>17</v>
      </c>
      <c r="C504" s="8" t="s">
        <v>18</v>
      </c>
      <c r="D504" s="8" t="s">
        <v>615</v>
      </c>
      <c r="E504" s="8" t="s">
        <v>40</v>
      </c>
      <c r="F504" s="8" t="s">
        <v>55</v>
      </c>
      <c r="G504" s="8" t="s">
        <v>30</v>
      </c>
      <c r="H504" s="8" t="s">
        <v>30</v>
      </c>
      <c r="I504" s="8" t="n">
        <f aca="false">IF(EXACT(G504,H504),1,0)</f>
        <v>1</v>
      </c>
      <c r="J504" s="8" t="n">
        <v>1</v>
      </c>
      <c r="K504" s="8" t="s">
        <v>92</v>
      </c>
      <c r="L504" s="8" t="n">
        <v>0</v>
      </c>
      <c r="M504" s="8" t="n">
        <v>5</v>
      </c>
      <c r="N504" s="8" t="s">
        <v>2057</v>
      </c>
      <c r="O504" s="8" t="n">
        <v>2</v>
      </c>
      <c r="P504" s="10" t="n">
        <v>18.02</v>
      </c>
      <c r="Q504" s="8" t="n">
        <v>9327</v>
      </c>
      <c r="R504" s="8" t="n">
        <v>709</v>
      </c>
      <c r="S504" s="8" t="s">
        <v>366</v>
      </c>
      <c r="T504" s="8" t="s">
        <v>367</v>
      </c>
      <c r="U504" s="8" t="s">
        <v>368</v>
      </c>
      <c r="V504" s="8"/>
      <c r="W504" s="8" t="s">
        <v>369</v>
      </c>
      <c r="X504" s="8" t="s">
        <v>603</v>
      </c>
      <c r="Y504" s="8" t="s">
        <v>2123</v>
      </c>
      <c r="Z504" s="8"/>
    </row>
    <row r="505" customFormat="false" ht="15" hidden="false" customHeight="false" outlineLevel="0" collapsed="false">
      <c r="A505" s="8" t="s">
        <v>365</v>
      </c>
      <c r="B505" s="8" t="s">
        <v>17</v>
      </c>
      <c r="C505" s="8" t="s">
        <v>18</v>
      </c>
      <c r="D505" s="8" t="s">
        <v>615</v>
      </c>
      <c r="E505" s="8" t="s">
        <v>40</v>
      </c>
      <c r="F505" s="8" t="s">
        <v>55</v>
      </c>
      <c r="G505" s="8" t="s">
        <v>30</v>
      </c>
      <c r="H505" s="8" t="s">
        <v>30</v>
      </c>
      <c r="I505" s="8" t="n">
        <f aca="false">IF(EXACT(G505,H505),1,0)</f>
        <v>1</v>
      </c>
      <c r="J505" s="8" t="n">
        <v>2</v>
      </c>
      <c r="K505" s="8" t="s">
        <v>92</v>
      </c>
      <c r="L505" s="8" t="n">
        <v>0</v>
      </c>
      <c r="M505" s="8" t="n">
        <v>5</v>
      </c>
      <c r="N505" s="8" t="s">
        <v>2057</v>
      </c>
      <c r="O505" s="8" t="n">
        <v>2</v>
      </c>
      <c r="P505" s="10" t="n">
        <v>18.1</v>
      </c>
      <c r="Q505" s="8" t="n">
        <v>9325</v>
      </c>
      <c r="R505" s="8" t="n">
        <v>712</v>
      </c>
      <c r="S505" s="8" t="s">
        <v>366</v>
      </c>
      <c r="T505" s="8" t="s">
        <v>367</v>
      </c>
      <c r="U505" s="8" t="s">
        <v>368</v>
      </c>
      <c r="V505" s="8"/>
      <c r="W505" s="8" t="s">
        <v>369</v>
      </c>
      <c r="X505" s="8" t="s">
        <v>603</v>
      </c>
      <c r="Y505" s="8" t="s">
        <v>2124</v>
      </c>
      <c r="Z505" s="8"/>
    </row>
    <row r="506" customFormat="false" ht="15" hidden="false" customHeight="false" outlineLevel="0" collapsed="false">
      <c r="A506" s="8" t="s">
        <v>371</v>
      </c>
      <c r="B506" s="8" t="s">
        <v>17</v>
      </c>
      <c r="C506" s="8" t="s">
        <v>18</v>
      </c>
      <c r="D506" s="8" t="s">
        <v>615</v>
      </c>
      <c r="E506" s="8" t="s">
        <v>40</v>
      </c>
      <c r="F506" s="8" t="s">
        <v>55</v>
      </c>
      <c r="G506" s="8" t="s">
        <v>30</v>
      </c>
      <c r="H506" s="8" t="s">
        <v>31</v>
      </c>
      <c r="I506" s="8" t="n">
        <f aca="false">IF(EXACT(G506,H506),1,0)</f>
        <v>0</v>
      </c>
      <c r="J506" s="8" t="n">
        <v>0</v>
      </c>
      <c r="K506" s="8" t="s">
        <v>116</v>
      </c>
      <c r="L506" s="8" t="n">
        <v>1</v>
      </c>
      <c r="M506" s="8" t="n">
        <v>5</v>
      </c>
      <c r="N506" s="8" t="s">
        <v>2057</v>
      </c>
      <c r="O506" s="8" t="n">
        <v>2</v>
      </c>
      <c r="P506" s="10" t="n">
        <v>25.54</v>
      </c>
      <c r="Q506" s="8" t="n">
        <v>9943</v>
      </c>
      <c r="R506" s="8" t="n">
        <v>1276</v>
      </c>
      <c r="S506" s="8" t="s">
        <v>180</v>
      </c>
      <c r="T506" s="8" t="s">
        <v>372</v>
      </c>
      <c r="U506" s="8" t="s">
        <v>373</v>
      </c>
      <c r="V506" s="8"/>
      <c r="W506" s="8" t="s">
        <v>374</v>
      </c>
      <c r="X506" s="8" t="s">
        <v>604</v>
      </c>
      <c r="Y506" s="8" t="s">
        <v>2125</v>
      </c>
      <c r="Z506" s="8" t="s">
        <v>2126</v>
      </c>
    </row>
    <row r="507" customFormat="false" ht="15" hidden="false" customHeight="false" outlineLevel="0" collapsed="false">
      <c r="A507" s="8" t="s">
        <v>371</v>
      </c>
      <c r="B507" s="8" t="s">
        <v>17</v>
      </c>
      <c r="C507" s="8" t="s">
        <v>18</v>
      </c>
      <c r="D507" s="8" t="s">
        <v>615</v>
      </c>
      <c r="E507" s="8" t="s">
        <v>40</v>
      </c>
      <c r="F507" s="8" t="s">
        <v>55</v>
      </c>
      <c r="G507" s="8" t="s">
        <v>30</v>
      </c>
      <c r="H507" s="8" t="s">
        <v>31</v>
      </c>
      <c r="I507" s="8" t="n">
        <f aca="false">IF(EXACT(G507,H507),1,0)</f>
        <v>0</v>
      </c>
      <c r="J507" s="8" t="n">
        <v>1</v>
      </c>
      <c r="K507" s="8" t="s">
        <v>116</v>
      </c>
      <c r="L507" s="8" t="n">
        <v>1</v>
      </c>
      <c r="M507" s="8" t="n">
        <v>5</v>
      </c>
      <c r="N507" s="8" t="s">
        <v>2057</v>
      </c>
      <c r="O507" s="8" t="n">
        <v>2</v>
      </c>
      <c r="P507" s="10" t="n">
        <v>25.71</v>
      </c>
      <c r="Q507" s="8" t="n">
        <v>9943</v>
      </c>
      <c r="R507" s="8" t="n">
        <v>1288</v>
      </c>
      <c r="S507" s="8" t="s">
        <v>180</v>
      </c>
      <c r="T507" s="8" t="s">
        <v>372</v>
      </c>
      <c r="U507" s="8" t="s">
        <v>373</v>
      </c>
      <c r="V507" s="8"/>
      <c r="W507" s="8" t="s">
        <v>374</v>
      </c>
      <c r="X507" s="8" t="s">
        <v>604</v>
      </c>
      <c r="Y507" s="8" t="s">
        <v>2127</v>
      </c>
      <c r="Z507" s="8" t="s">
        <v>2128</v>
      </c>
    </row>
    <row r="508" customFormat="false" ht="15" hidden="false" customHeight="false" outlineLevel="0" collapsed="false">
      <c r="A508" s="8" t="s">
        <v>371</v>
      </c>
      <c r="B508" s="8" t="s">
        <v>17</v>
      </c>
      <c r="C508" s="8" t="s">
        <v>18</v>
      </c>
      <c r="D508" s="8" t="s">
        <v>615</v>
      </c>
      <c r="E508" s="8" t="s">
        <v>40</v>
      </c>
      <c r="F508" s="8" t="s">
        <v>55</v>
      </c>
      <c r="G508" s="8" t="s">
        <v>30</v>
      </c>
      <c r="H508" s="8" t="s">
        <v>31</v>
      </c>
      <c r="I508" s="8" t="n">
        <f aca="false">IF(EXACT(G508,H508),1,0)</f>
        <v>0</v>
      </c>
      <c r="J508" s="8" t="n">
        <v>2</v>
      </c>
      <c r="K508" s="8" t="s">
        <v>116</v>
      </c>
      <c r="L508" s="8" t="n">
        <v>1</v>
      </c>
      <c r="M508" s="8" t="n">
        <v>5</v>
      </c>
      <c r="N508" s="8" t="s">
        <v>2057</v>
      </c>
      <c r="O508" s="8" t="n">
        <v>2</v>
      </c>
      <c r="P508" s="10" t="n">
        <v>22.81</v>
      </c>
      <c r="Q508" s="8" t="n">
        <v>9943</v>
      </c>
      <c r="R508" s="8" t="n">
        <v>1102</v>
      </c>
      <c r="S508" s="8" t="s">
        <v>180</v>
      </c>
      <c r="T508" s="8" t="s">
        <v>372</v>
      </c>
      <c r="U508" s="8" t="s">
        <v>373</v>
      </c>
      <c r="V508" s="8"/>
      <c r="W508" s="8" t="s">
        <v>374</v>
      </c>
      <c r="X508" s="8" t="s">
        <v>604</v>
      </c>
      <c r="Y508" s="8" t="s">
        <v>2129</v>
      </c>
      <c r="Z508" s="8" t="s">
        <v>2130</v>
      </c>
    </row>
    <row r="509" customFormat="false" ht="15" hidden="false" customHeight="false" outlineLevel="0" collapsed="false">
      <c r="A509" s="8" t="s">
        <v>376</v>
      </c>
      <c r="B509" s="8" t="s">
        <v>17</v>
      </c>
      <c r="C509" s="8" t="s">
        <v>18</v>
      </c>
      <c r="D509" s="8" t="s">
        <v>615</v>
      </c>
      <c r="E509" s="8" t="s">
        <v>40</v>
      </c>
      <c r="F509" s="8" t="s">
        <v>55</v>
      </c>
      <c r="G509" s="8" t="s">
        <v>32</v>
      </c>
      <c r="H509" s="8" t="s">
        <v>30</v>
      </c>
      <c r="I509" s="8" t="n">
        <f aca="false">IF(EXACT(G509,H509),1,0)</f>
        <v>0</v>
      </c>
      <c r="J509" s="8" t="n">
        <v>0</v>
      </c>
      <c r="K509" s="8" t="s">
        <v>92</v>
      </c>
      <c r="L509" s="8" t="n">
        <v>0</v>
      </c>
      <c r="M509" s="8" t="n">
        <v>5</v>
      </c>
      <c r="N509" s="8" t="s">
        <v>2057</v>
      </c>
      <c r="O509" s="8" t="n">
        <v>2</v>
      </c>
      <c r="P509" s="10" t="n">
        <v>23</v>
      </c>
      <c r="Q509" s="8" t="n">
        <v>9296</v>
      </c>
      <c r="R509" s="8" t="n">
        <v>832</v>
      </c>
      <c r="S509" s="8" t="s">
        <v>132</v>
      </c>
      <c r="T509" s="8" t="s">
        <v>367</v>
      </c>
      <c r="U509" s="8" t="s">
        <v>368</v>
      </c>
      <c r="V509" s="8"/>
      <c r="W509" s="8" t="s">
        <v>377</v>
      </c>
      <c r="X509" s="8" t="s">
        <v>605</v>
      </c>
      <c r="Y509" s="8" t="s">
        <v>2131</v>
      </c>
      <c r="Z509" s="8"/>
    </row>
    <row r="510" customFormat="false" ht="15" hidden="false" customHeight="false" outlineLevel="0" collapsed="false">
      <c r="A510" s="8" t="s">
        <v>376</v>
      </c>
      <c r="B510" s="8" t="s">
        <v>17</v>
      </c>
      <c r="C510" s="8" t="s">
        <v>18</v>
      </c>
      <c r="D510" s="8" t="s">
        <v>615</v>
      </c>
      <c r="E510" s="8" t="s">
        <v>40</v>
      </c>
      <c r="F510" s="8" t="s">
        <v>55</v>
      </c>
      <c r="G510" s="8" t="s">
        <v>32</v>
      </c>
      <c r="H510" s="8" t="s">
        <v>30</v>
      </c>
      <c r="I510" s="8" t="n">
        <f aca="false">IF(EXACT(G510,H510),1,0)</f>
        <v>0</v>
      </c>
      <c r="J510" s="8" t="n">
        <v>1</v>
      </c>
      <c r="K510" s="8" t="s">
        <v>92</v>
      </c>
      <c r="L510" s="8" t="n">
        <v>0</v>
      </c>
      <c r="M510" s="8" t="n">
        <v>5</v>
      </c>
      <c r="N510" s="8" t="s">
        <v>2057</v>
      </c>
      <c r="O510" s="8" t="n">
        <v>2</v>
      </c>
      <c r="P510" s="10" t="n">
        <v>21.94</v>
      </c>
      <c r="Q510" s="8" t="n">
        <v>9296</v>
      </c>
      <c r="R510" s="8" t="n">
        <v>846</v>
      </c>
      <c r="S510" s="8" t="s">
        <v>132</v>
      </c>
      <c r="T510" s="8" t="s">
        <v>367</v>
      </c>
      <c r="U510" s="8" t="s">
        <v>368</v>
      </c>
      <c r="V510" s="8"/>
      <c r="W510" s="8" t="s">
        <v>377</v>
      </c>
      <c r="X510" s="8" t="s">
        <v>605</v>
      </c>
      <c r="Y510" s="8" t="s">
        <v>2132</v>
      </c>
      <c r="Z510" s="8"/>
    </row>
    <row r="511" customFormat="false" ht="15" hidden="false" customHeight="false" outlineLevel="0" collapsed="false">
      <c r="A511" s="8" t="s">
        <v>376</v>
      </c>
      <c r="B511" s="8" t="s">
        <v>17</v>
      </c>
      <c r="C511" s="8" t="s">
        <v>18</v>
      </c>
      <c r="D511" s="8" t="s">
        <v>615</v>
      </c>
      <c r="E511" s="8" t="s">
        <v>40</v>
      </c>
      <c r="F511" s="8" t="s">
        <v>55</v>
      </c>
      <c r="G511" s="8" t="s">
        <v>32</v>
      </c>
      <c r="H511" s="8" t="s">
        <v>32</v>
      </c>
      <c r="I511" s="8" t="n">
        <f aca="false">IF(EXACT(G511,H511),1,0)</f>
        <v>1</v>
      </c>
      <c r="J511" s="8" t="n">
        <v>2</v>
      </c>
      <c r="K511" s="8" t="s">
        <v>92</v>
      </c>
      <c r="L511" s="8" t="n">
        <v>0</v>
      </c>
      <c r="M511" s="8" t="n">
        <v>5</v>
      </c>
      <c r="N511" s="8" t="s">
        <v>2057</v>
      </c>
      <c r="O511" s="8" t="n">
        <v>2</v>
      </c>
      <c r="P511" s="10" t="n">
        <v>19.9</v>
      </c>
      <c r="Q511" s="8" t="n">
        <v>9296</v>
      </c>
      <c r="R511" s="8" t="n">
        <v>706</v>
      </c>
      <c r="S511" s="8" t="s">
        <v>132</v>
      </c>
      <c r="T511" s="8" t="s">
        <v>367</v>
      </c>
      <c r="U511" s="8" t="s">
        <v>368</v>
      </c>
      <c r="V511" s="8"/>
      <c r="W511" s="8" t="s">
        <v>377</v>
      </c>
      <c r="X511" s="8" t="s">
        <v>605</v>
      </c>
      <c r="Y511" s="8" t="s">
        <v>2133</v>
      </c>
      <c r="Z511" s="8"/>
    </row>
    <row r="512" customFormat="false" ht="15" hidden="false" customHeight="false" outlineLevel="0" collapsed="false">
      <c r="A512" s="8" t="s">
        <v>379</v>
      </c>
      <c r="B512" s="8" t="s">
        <v>17</v>
      </c>
      <c r="C512" s="8" t="s">
        <v>18</v>
      </c>
      <c r="D512" s="8" t="s">
        <v>615</v>
      </c>
      <c r="E512" s="8" t="s">
        <v>40</v>
      </c>
      <c r="F512" s="8" t="s">
        <v>55</v>
      </c>
      <c r="G512" s="8" t="s">
        <v>31</v>
      </c>
      <c r="H512" s="8" t="s">
        <v>31</v>
      </c>
      <c r="I512" s="8" t="n">
        <f aca="false">IF(EXACT(G512,H512),1,0)</f>
        <v>1</v>
      </c>
      <c r="J512" s="8" t="n">
        <v>0</v>
      </c>
      <c r="K512" s="8" t="s">
        <v>116</v>
      </c>
      <c r="L512" s="8" t="n">
        <v>1</v>
      </c>
      <c r="M512" s="8" t="n">
        <v>5</v>
      </c>
      <c r="N512" s="8" t="s">
        <v>2057</v>
      </c>
      <c r="O512" s="8" t="n">
        <v>2</v>
      </c>
      <c r="P512" s="10" t="n">
        <v>19.49</v>
      </c>
      <c r="Q512" s="8" t="n">
        <v>9325</v>
      </c>
      <c r="R512" s="8" t="n">
        <v>684</v>
      </c>
      <c r="S512" s="8" t="s">
        <v>255</v>
      </c>
      <c r="T512" s="8" t="s">
        <v>367</v>
      </c>
      <c r="U512" s="8" t="s">
        <v>368</v>
      </c>
      <c r="V512" s="8"/>
      <c r="W512" s="8" t="s">
        <v>380</v>
      </c>
      <c r="X512" s="8" t="s">
        <v>606</v>
      </c>
      <c r="Y512" s="8" t="s">
        <v>2134</v>
      </c>
      <c r="Z512" s="8" t="s">
        <v>2135</v>
      </c>
    </row>
    <row r="513" customFormat="false" ht="15" hidden="false" customHeight="false" outlineLevel="0" collapsed="false">
      <c r="A513" s="8" t="s">
        <v>379</v>
      </c>
      <c r="B513" s="8" t="s">
        <v>17</v>
      </c>
      <c r="C513" s="8" t="s">
        <v>18</v>
      </c>
      <c r="D513" s="8" t="s">
        <v>615</v>
      </c>
      <c r="E513" s="8" t="s">
        <v>40</v>
      </c>
      <c r="F513" s="8" t="s">
        <v>55</v>
      </c>
      <c r="G513" s="8" t="s">
        <v>31</v>
      </c>
      <c r="H513" s="8" t="s">
        <v>32</v>
      </c>
      <c r="I513" s="8" t="n">
        <f aca="false">IF(EXACT(G513,H513),1,0)</f>
        <v>0</v>
      </c>
      <c r="J513" s="8" t="n">
        <v>1</v>
      </c>
      <c r="K513" s="8" t="s">
        <v>92</v>
      </c>
      <c r="L513" s="8" t="n">
        <v>0</v>
      </c>
      <c r="M513" s="8" t="n">
        <v>5</v>
      </c>
      <c r="N513" s="8" t="s">
        <v>2057</v>
      </c>
      <c r="O513" s="8" t="n">
        <v>2</v>
      </c>
      <c r="P513" s="10" t="n">
        <v>22.22</v>
      </c>
      <c r="Q513" s="8" t="n">
        <v>9337</v>
      </c>
      <c r="R513" s="8" t="n">
        <v>868</v>
      </c>
      <c r="S513" s="8" t="s">
        <v>255</v>
      </c>
      <c r="T513" s="8" t="s">
        <v>367</v>
      </c>
      <c r="U513" s="8" t="s">
        <v>368</v>
      </c>
      <c r="V513" s="8"/>
      <c r="W513" s="8" t="s">
        <v>380</v>
      </c>
      <c r="X513" s="8" t="s">
        <v>606</v>
      </c>
      <c r="Y513" s="8" t="s">
        <v>2136</v>
      </c>
      <c r="Z513" s="8"/>
    </row>
    <row r="514" customFormat="false" ht="15" hidden="false" customHeight="false" outlineLevel="0" collapsed="false">
      <c r="A514" s="8" t="s">
        <v>379</v>
      </c>
      <c r="B514" s="8" t="s">
        <v>17</v>
      </c>
      <c r="C514" s="8" t="s">
        <v>18</v>
      </c>
      <c r="D514" s="8" t="s">
        <v>615</v>
      </c>
      <c r="E514" s="8" t="s">
        <v>40</v>
      </c>
      <c r="F514" s="8" t="s">
        <v>55</v>
      </c>
      <c r="G514" s="8" t="s">
        <v>31</v>
      </c>
      <c r="H514" s="8" t="s">
        <v>32</v>
      </c>
      <c r="I514" s="8" t="n">
        <f aca="false">IF(EXACT(G514,H514),1,0)</f>
        <v>0</v>
      </c>
      <c r="J514" s="8" t="n">
        <v>2</v>
      </c>
      <c r="K514" s="8" t="s">
        <v>92</v>
      </c>
      <c r="L514" s="8" t="n">
        <v>0</v>
      </c>
      <c r="M514" s="8" t="n">
        <v>5</v>
      </c>
      <c r="N514" s="8" t="s">
        <v>2057</v>
      </c>
      <c r="O514" s="8" t="n">
        <v>2</v>
      </c>
      <c r="P514" s="10" t="n">
        <v>21.32</v>
      </c>
      <c r="Q514" s="8" t="n">
        <v>9338</v>
      </c>
      <c r="R514" s="8" t="n">
        <v>875</v>
      </c>
      <c r="S514" s="8" t="s">
        <v>255</v>
      </c>
      <c r="T514" s="8" t="s">
        <v>367</v>
      </c>
      <c r="U514" s="8" t="s">
        <v>368</v>
      </c>
      <c r="V514" s="8"/>
      <c r="W514" s="8" t="s">
        <v>380</v>
      </c>
      <c r="X514" s="8" t="s">
        <v>606</v>
      </c>
      <c r="Y514" s="8" t="s">
        <v>2137</v>
      </c>
      <c r="Z514" s="8"/>
    </row>
    <row r="515" customFormat="false" ht="15" hidden="false" customHeight="false" outlineLevel="0" collapsed="false">
      <c r="A515" s="8" t="s">
        <v>383</v>
      </c>
      <c r="B515" s="8" t="s">
        <v>17</v>
      </c>
      <c r="C515" s="8" t="s">
        <v>18</v>
      </c>
      <c r="D515" s="8" t="s">
        <v>615</v>
      </c>
      <c r="E515" s="8" t="s">
        <v>40</v>
      </c>
      <c r="F515" s="8" t="s">
        <v>55</v>
      </c>
      <c r="G515" s="8" t="s">
        <v>32</v>
      </c>
      <c r="H515" s="8" t="s">
        <v>32</v>
      </c>
      <c r="I515" s="8" t="n">
        <f aca="false">IF(EXACT(G515,H515),1,0)</f>
        <v>1</v>
      </c>
      <c r="J515" s="8" t="n">
        <v>0</v>
      </c>
      <c r="K515" s="8" t="s">
        <v>92</v>
      </c>
      <c r="L515" s="8" t="n">
        <v>0</v>
      </c>
      <c r="M515" s="8" t="n">
        <v>5</v>
      </c>
      <c r="N515" s="8" t="s">
        <v>2057</v>
      </c>
      <c r="O515" s="8" t="n">
        <v>2</v>
      </c>
      <c r="P515" s="10" t="n">
        <v>16.72</v>
      </c>
      <c r="Q515" s="8" t="n">
        <v>9256</v>
      </c>
      <c r="R515" s="8" t="n">
        <v>732</v>
      </c>
      <c r="S515" s="8" t="s">
        <v>384</v>
      </c>
      <c r="T515" s="8" t="s">
        <v>372</v>
      </c>
      <c r="U515" s="8" t="s">
        <v>373</v>
      </c>
      <c r="V515" s="8"/>
      <c r="W515" s="8" t="s">
        <v>385</v>
      </c>
      <c r="X515" s="8" t="s">
        <v>607</v>
      </c>
      <c r="Y515" s="8" t="s">
        <v>2138</v>
      </c>
      <c r="Z515" s="8"/>
    </row>
    <row r="516" customFormat="false" ht="15" hidden="false" customHeight="false" outlineLevel="0" collapsed="false">
      <c r="A516" s="8" t="s">
        <v>383</v>
      </c>
      <c r="B516" s="8" t="s">
        <v>17</v>
      </c>
      <c r="C516" s="8" t="s">
        <v>18</v>
      </c>
      <c r="D516" s="8" t="s">
        <v>615</v>
      </c>
      <c r="E516" s="8" t="s">
        <v>40</v>
      </c>
      <c r="F516" s="8" t="s">
        <v>55</v>
      </c>
      <c r="G516" s="8" t="s">
        <v>32</v>
      </c>
      <c r="H516" s="8" t="s">
        <v>31</v>
      </c>
      <c r="I516" s="8" t="n">
        <f aca="false">IF(EXACT(G516,H516),1,0)</f>
        <v>0</v>
      </c>
      <c r="J516" s="8" t="n">
        <v>1</v>
      </c>
      <c r="K516" s="8" t="s">
        <v>116</v>
      </c>
      <c r="L516" s="8" t="n">
        <v>1</v>
      </c>
      <c r="M516" s="8" t="n">
        <v>5</v>
      </c>
      <c r="N516" s="8" t="s">
        <v>2057</v>
      </c>
      <c r="O516" s="8" t="n">
        <v>2</v>
      </c>
      <c r="P516" s="10" t="n">
        <v>17.19</v>
      </c>
      <c r="Q516" s="8" t="n">
        <v>9255</v>
      </c>
      <c r="R516" s="8" t="n">
        <v>680</v>
      </c>
      <c r="S516" s="8" t="s">
        <v>384</v>
      </c>
      <c r="T516" s="8" t="s">
        <v>372</v>
      </c>
      <c r="U516" s="8" t="s">
        <v>373</v>
      </c>
      <c r="V516" s="8"/>
      <c r="W516" s="8" t="s">
        <v>385</v>
      </c>
      <c r="X516" s="8" t="s">
        <v>607</v>
      </c>
      <c r="Y516" s="8" t="s">
        <v>2139</v>
      </c>
      <c r="Z516" s="8" t="s">
        <v>2140</v>
      </c>
    </row>
    <row r="517" customFormat="false" ht="15" hidden="false" customHeight="false" outlineLevel="0" collapsed="false">
      <c r="A517" s="8" t="s">
        <v>383</v>
      </c>
      <c r="B517" s="8" t="s">
        <v>17</v>
      </c>
      <c r="C517" s="8" t="s">
        <v>18</v>
      </c>
      <c r="D517" s="8" t="s">
        <v>615</v>
      </c>
      <c r="E517" s="8" t="s">
        <v>40</v>
      </c>
      <c r="F517" s="8" t="s">
        <v>55</v>
      </c>
      <c r="G517" s="8" t="s">
        <v>32</v>
      </c>
      <c r="H517" s="8" t="s">
        <v>31</v>
      </c>
      <c r="I517" s="8" t="n">
        <f aca="false">IF(EXACT(G517,H517),1,0)</f>
        <v>0</v>
      </c>
      <c r="J517" s="8" t="n">
        <v>2</v>
      </c>
      <c r="K517" s="8" t="s">
        <v>116</v>
      </c>
      <c r="L517" s="8" t="n">
        <v>1</v>
      </c>
      <c r="M517" s="8" t="n">
        <v>5</v>
      </c>
      <c r="N517" s="8" t="s">
        <v>2057</v>
      </c>
      <c r="O517" s="8" t="n">
        <v>2</v>
      </c>
      <c r="P517" s="10" t="n">
        <v>17.51</v>
      </c>
      <c r="Q517" s="8" t="n">
        <v>9256</v>
      </c>
      <c r="R517" s="8" t="n">
        <v>663</v>
      </c>
      <c r="S517" s="8" t="s">
        <v>384</v>
      </c>
      <c r="T517" s="8" t="s">
        <v>372</v>
      </c>
      <c r="U517" s="8" t="s">
        <v>373</v>
      </c>
      <c r="V517" s="8"/>
      <c r="W517" s="8" t="s">
        <v>385</v>
      </c>
      <c r="X517" s="8" t="s">
        <v>607</v>
      </c>
      <c r="Y517" s="8" t="s">
        <v>2141</v>
      </c>
      <c r="Z517" s="8" t="s">
        <v>2142</v>
      </c>
    </row>
    <row r="518" customFormat="false" ht="15" hidden="false" customHeight="false" outlineLevel="0" collapsed="false">
      <c r="A518" s="8" t="s">
        <v>387</v>
      </c>
      <c r="B518" s="8" t="s">
        <v>17</v>
      </c>
      <c r="C518" s="8" t="s">
        <v>18</v>
      </c>
      <c r="D518" s="8" t="s">
        <v>615</v>
      </c>
      <c r="E518" s="8" t="s">
        <v>40</v>
      </c>
      <c r="F518" s="8" t="s">
        <v>55</v>
      </c>
      <c r="G518" s="8" t="s">
        <v>31</v>
      </c>
      <c r="H518" s="8" t="s">
        <v>30</v>
      </c>
      <c r="I518" s="8" t="n">
        <f aca="false">IF(EXACT(G518,H518),1,0)</f>
        <v>0</v>
      </c>
      <c r="J518" s="8" t="n">
        <v>0</v>
      </c>
      <c r="K518" s="8" t="s">
        <v>92</v>
      </c>
      <c r="L518" s="8" t="n">
        <v>0</v>
      </c>
      <c r="M518" s="8" t="n">
        <v>5</v>
      </c>
      <c r="N518" s="8" t="s">
        <v>2057</v>
      </c>
      <c r="O518" s="8" t="n">
        <v>2</v>
      </c>
      <c r="P518" s="10" t="n">
        <v>20.74</v>
      </c>
      <c r="Q518" s="8" t="n">
        <v>9507</v>
      </c>
      <c r="R518" s="8" t="n">
        <v>994</v>
      </c>
      <c r="S518" s="8" t="s">
        <v>388</v>
      </c>
      <c r="T518" s="8" t="s">
        <v>367</v>
      </c>
      <c r="U518" s="8" t="s">
        <v>368</v>
      </c>
      <c r="V518" s="8"/>
      <c r="W518" s="8" t="s">
        <v>389</v>
      </c>
      <c r="X518" s="8" t="s">
        <v>608</v>
      </c>
      <c r="Y518" s="8" t="s">
        <v>2143</v>
      </c>
      <c r="Z518" s="8"/>
    </row>
    <row r="519" customFormat="false" ht="15" hidden="false" customHeight="false" outlineLevel="0" collapsed="false">
      <c r="A519" s="8" t="s">
        <v>387</v>
      </c>
      <c r="B519" s="8" t="s">
        <v>17</v>
      </c>
      <c r="C519" s="8" t="s">
        <v>18</v>
      </c>
      <c r="D519" s="8" t="s">
        <v>615</v>
      </c>
      <c r="E519" s="8" t="s">
        <v>40</v>
      </c>
      <c r="F519" s="8" t="s">
        <v>55</v>
      </c>
      <c r="G519" s="8" t="s">
        <v>31</v>
      </c>
      <c r="H519" s="8" t="s">
        <v>30</v>
      </c>
      <c r="I519" s="8" t="n">
        <f aca="false">IF(EXACT(G519,H519),1,0)</f>
        <v>0</v>
      </c>
      <c r="J519" s="8" t="n">
        <v>1</v>
      </c>
      <c r="K519" s="8" t="s">
        <v>92</v>
      </c>
      <c r="L519" s="8" t="n">
        <v>0</v>
      </c>
      <c r="M519" s="8" t="n">
        <v>5</v>
      </c>
      <c r="N519" s="8" t="s">
        <v>2057</v>
      </c>
      <c r="O519" s="8" t="n">
        <v>2</v>
      </c>
      <c r="P519" s="10" t="n">
        <v>19.17</v>
      </c>
      <c r="Q519" s="8" t="n">
        <v>9495</v>
      </c>
      <c r="R519" s="8" t="n">
        <v>952</v>
      </c>
      <c r="S519" s="8" t="s">
        <v>388</v>
      </c>
      <c r="T519" s="8" t="s">
        <v>367</v>
      </c>
      <c r="U519" s="8" t="s">
        <v>368</v>
      </c>
      <c r="V519" s="8"/>
      <c r="W519" s="8" t="s">
        <v>389</v>
      </c>
      <c r="X519" s="8" t="s">
        <v>608</v>
      </c>
      <c r="Y519" s="8" t="s">
        <v>2144</v>
      </c>
      <c r="Z519" s="8"/>
    </row>
    <row r="520" customFormat="false" ht="15" hidden="false" customHeight="false" outlineLevel="0" collapsed="false">
      <c r="A520" s="8" t="s">
        <v>387</v>
      </c>
      <c r="B520" s="8" t="s">
        <v>17</v>
      </c>
      <c r="C520" s="8" t="s">
        <v>18</v>
      </c>
      <c r="D520" s="8" t="s">
        <v>615</v>
      </c>
      <c r="E520" s="8" t="s">
        <v>40</v>
      </c>
      <c r="F520" s="8" t="s">
        <v>55</v>
      </c>
      <c r="G520" s="8" t="s">
        <v>31</v>
      </c>
      <c r="H520" s="8" t="s">
        <v>30</v>
      </c>
      <c r="I520" s="8" t="n">
        <f aca="false">IF(EXACT(G520,H520),1,0)</f>
        <v>0</v>
      </c>
      <c r="J520" s="8" t="n">
        <v>2</v>
      </c>
      <c r="K520" s="8" t="s">
        <v>92</v>
      </c>
      <c r="L520" s="8" t="n">
        <v>0</v>
      </c>
      <c r="M520" s="8" t="n">
        <v>5</v>
      </c>
      <c r="N520" s="8" t="s">
        <v>2057</v>
      </c>
      <c r="O520" s="8" t="n">
        <v>2</v>
      </c>
      <c r="P520" s="10" t="n">
        <v>20.99</v>
      </c>
      <c r="Q520" s="8" t="n">
        <v>9510</v>
      </c>
      <c r="R520" s="8" t="n">
        <v>991</v>
      </c>
      <c r="S520" s="8" t="s">
        <v>388</v>
      </c>
      <c r="T520" s="8" t="s">
        <v>367</v>
      </c>
      <c r="U520" s="8" t="s">
        <v>368</v>
      </c>
      <c r="V520" s="8"/>
      <c r="W520" s="8" t="s">
        <v>389</v>
      </c>
      <c r="X520" s="8" t="s">
        <v>608</v>
      </c>
      <c r="Y520" s="8" t="s">
        <v>2145</v>
      </c>
      <c r="Z520" s="8"/>
    </row>
    <row r="521" customFormat="false" ht="15" hidden="false" customHeight="false" outlineLevel="0" collapsed="false">
      <c r="A521" s="8" t="s">
        <v>391</v>
      </c>
      <c r="B521" s="8" t="s">
        <v>17</v>
      </c>
      <c r="C521" s="8" t="s">
        <v>18</v>
      </c>
      <c r="D521" s="8" t="s">
        <v>615</v>
      </c>
      <c r="E521" s="8" t="s">
        <v>40</v>
      </c>
      <c r="F521" s="8" t="s">
        <v>59</v>
      </c>
      <c r="G521" s="8" t="s">
        <v>31</v>
      </c>
      <c r="H521" s="8" t="s">
        <v>31</v>
      </c>
      <c r="I521" s="8" t="n">
        <f aca="false">IF(EXACT(G521,H521),1,0)</f>
        <v>1</v>
      </c>
      <c r="J521" s="8" t="n">
        <v>0</v>
      </c>
      <c r="K521" s="8" t="s">
        <v>737</v>
      </c>
      <c r="L521" s="8" t="n">
        <v>1</v>
      </c>
      <c r="M521" s="8" t="n">
        <v>5</v>
      </c>
      <c r="N521" s="8" t="s">
        <v>2057</v>
      </c>
      <c r="O521" s="8" t="n">
        <v>2</v>
      </c>
      <c r="P521" s="10" t="n">
        <v>24.47</v>
      </c>
      <c r="Q521" s="8" t="n">
        <v>10745</v>
      </c>
      <c r="R521" s="8" t="n">
        <v>1312</v>
      </c>
      <c r="S521" s="8" t="s">
        <v>392</v>
      </c>
      <c r="T521" s="8"/>
      <c r="U521" s="8"/>
      <c r="V521" s="8" t="s">
        <v>155</v>
      </c>
      <c r="W521" s="8"/>
      <c r="X521" s="8" t="s">
        <v>609</v>
      </c>
      <c r="Y521" s="8" t="s">
        <v>2146</v>
      </c>
      <c r="Z521" s="8" t="s">
        <v>2147</v>
      </c>
    </row>
    <row r="522" customFormat="false" ht="15" hidden="false" customHeight="false" outlineLevel="0" collapsed="false">
      <c r="A522" s="8" t="s">
        <v>391</v>
      </c>
      <c r="B522" s="8" t="s">
        <v>17</v>
      </c>
      <c r="C522" s="8" t="s">
        <v>18</v>
      </c>
      <c r="D522" s="8" t="s">
        <v>615</v>
      </c>
      <c r="E522" s="8" t="s">
        <v>40</v>
      </c>
      <c r="F522" s="8" t="s">
        <v>59</v>
      </c>
      <c r="G522" s="8" t="s">
        <v>31</v>
      </c>
      <c r="H522" s="8" t="s">
        <v>31</v>
      </c>
      <c r="I522" s="8" t="n">
        <f aca="false">IF(EXACT(G522,H522),1,0)</f>
        <v>1</v>
      </c>
      <c r="J522" s="8" t="n">
        <v>1</v>
      </c>
      <c r="K522" s="8" t="s">
        <v>737</v>
      </c>
      <c r="L522" s="8" t="n">
        <v>1</v>
      </c>
      <c r="M522" s="8" t="n">
        <v>5</v>
      </c>
      <c r="N522" s="8" t="s">
        <v>2057</v>
      </c>
      <c r="O522" s="8" t="n">
        <v>2</v>
      </c>
      <c r="P522" s="10" t="n">
        <v>27.55</v>
      </c>
      <c r="Q522" s="8" t="n">
        <v>10745</v>
      </c>
      <c r="R522" s="8" t="n">
        <v>1447</v>
      </c>
      <c r="S522" s="8" t="s">
        <v>392</v>
      </c>
      <c r="T522" s="8"/>
      <c r="U522" s="8"/>
      <c r="V522" s="8" t="s">
        <v>155</v>
      </c>
      <c r="W522" s="8"/>
      <c r="X522" s="8" t="s">
        <v>609</v>
      </c>
      <c r="Y522" s="8" t="s">
        <v>2148</v>
      </c>
      <c r="Z522" s="8" t="s">
        <v>2149</v>
      </c>
    </row>
    <row r="523" customFormat="false" ht="15" hidden="false" customHeight="false" outlineLevel="0" collapsed="false">
      <c r="A523" s="8" t="s">
        <v>391</v>
      </c>
      <c r="B523" s="8" t="s">
        <v>17</v>
      </c>
      <c r="C523" s="8" t="s">
        <v>18</v>
      </c>
      <c r="D523" s="8" t="s">
        <v>615</v>
      </c>
      <c r="E523" s="8" t="s">
        <v>40</v>
      </c>
      <c r="F523" s="8" t="s">
        <v>59</v>
      </c>
      <c r="G523" s="8" t="s">
        <v>31</v>
      </c>
      <c r="H523" s="8" t="s">
        <v>31</v>
      </c>
      <c r="I523" s="8" t="n">
        <f aca="false">IF(EXACT(G523,H523),1,0)</f>
        <v>1</v>
      </c>
      <c r="J523" s="8" t="n">
        <v>2</v>
      </c>
      <c r="K523" s="8" t="s">
        <v>737</v>
      </c>
      <c r="L523" s="8" t="n">
        <v>1</v>
      </c>
      <c r="M523" s="8" t="n">
        <v>5</v>
      </c>
      <c r="N523" s="8" t="s">
        <v>2057</v>
      </c>
      <c r="O523" s="8" t="n">
        <v>2</v>
      </c>
      <c r="P523" s="10" t="n">
        <v>27.13</v>
      </c>
      <c r="Q523" s="8" t="n">
        <v>10745</v>
      </c>
      <c r="R523" s="8" t="n">
        <v>1312</v>
      </c>
      <c r="S523" s="8" t="s">
        <v>392</v>
      </c>
      <c r="T523" s="8"/>
      <c r="U523" s="8"/>
      <c r="V523" s="8" t="s">
        <v>155</v>
      </c>
      <c r="W523" s="8"/>
      <c r="X523" s="8" t="s">
        <v>609</v>
      </c>
      <c r="Y523" s="8" t="s">
        <v>2150</v>
      </c>
      <c r="Z523" s="8" t="s">
        <v>2151</v>
      </c>
    </row>
    <row r="524" customFormat="false" ht="15" hidden="false" customHeight="false" outlineLevel="0" collapsed="false">
      <c r="A524" s="8" t="s">
        <v>395</v>
      </c>
      <c r="B524" s="8" t="s">
        <v>17</v>
      </c>
      <c r="C524" s="8" t="s">
        <v>18</v>
      </c>
      <c r="D524" s="8" t="s">
        <v>615</v>
      </c>
      <c r="E524" s="8" t="s">
        <v>40</v>
      </c>
      <c r="F524" s="8" t="s">
        <v>59</v>
      </c>
      <c r="G524" s="8" t="s">
        <v>31</v>
      </c>
      <c r="H524" s="8" t="s">
        <v>31</v>
      </c>
      <c r="I524" s="8" t="n">
        <f aca="false">IF(EXACT(G524,H524),1,0)</f>
        <v>1</v>
      </c>
      <c r="J524" s="8" t="n">
        <v>0</v>
      </c>
      <c r="K524" s="8" t="s">
        <v>737</v>
      </c>
      <c r="L524" s="8" t="n">
        <v>1</v>
      </c>
      <c r="M524" s="8" t="n">
        <v>5</v>
      </c>
      <c r="N524" s="8" t="s">
        <v>2057</v>
      </c>
      <c r="O524" s="8" t="n">
        <v>2</v>
      </c>
      <c r="P524" s="10" t="n">
        <v>30.54</v>
      </c>
      <c r="Q524" s="8" t="n">
        <v>10007</v>
      </c>
      <c r="R524" s="8" t="n">
        <v>1490</v>
      </c>
      <c r="S524" s="8" t="s">
        <v>396</v>
      </c>
      <c r="T524" s="8"/>
      <c r="U524" s="8"/>
      <c r="V524" s="8" t="s">
        <v>155</v>
      </c>
      <c r="W524" s="8"/>
      <c r="X524" s="8" t="s">
        <v>610</v>
      </c>
      <c r="Y524" s="8" t="s">
        <v>2152</v>
      </c>
      <c r="Z524" s="8" t="s">
        <v>2153</v>
      </c>
    </row>
    <row r="525" customFormat="false" ht="15" hidden="false" customHeight="false" outlineLevel="0" collapsed="false">
      <c r="A525" s="8" t="s">
        <v>395</v>
      </c>
      <c r="B525" s="8" t="s">
        <v>17</v>
      </c>
      <c r="C525" s="8" t="s">
        <v>18</v>
      </c>
      <c r="D525" s="8" t="s">
        <v>615</v>
      </c>
      <c r="E525" s="8" t="s">
        <v>40</v>
      </c>
      <c r="F525" s="8" t="s">
        <v>59</v>
      </c>
      <c r="G525" s="8" t="s">
        <v>31</v>
      </c>
      <c r="H525" s="8" t="s">
        <v>31</v>
      </c>
      <c r="I525" s="8" t="n">
        <f aca="false">IF(EXACT(G525,H525),1,0)</f>
        <v>1</v>
      </c>
      <c r="J525" s="8" t="n">
        <v>1</v>
      </c>
      <c r="K525" s="8" t="s">
        <v>737</v>
      </c>
      <c r="L525" s="8" t="n">
        <v>1</v>
      </c>
      <c r="M525" s="8" t="n">
        <v>5</v>
      </c>
      <c r="N525" s="8" t="s">
        <v>2057</v>
      </c>
      <c r="O525" s="8" t="n">
        <v>2</v>
      </c>
      <c r="P525" s="10" t="n">
        <v>32.29</v>
      </c>
      <c r="Q525" s="8" t="n">
        <v>10007</v>
      </c>
      <c r="R525" s="8" t="n">
        <v>1600</v>
      </c>
      <c r="S525" s="8" t="s">
        <v>396</v>
      </c>
      <c r="T525" s="8"/>
      <c r="U525" s="8"/>
      <c r="V525" s="8" t="s">
        <v>155</v>
      </c>
      <c r="W525" s="8"/>
      <c r="X525" s="8" t="s">
        <v>610</v>
      </c>
      <c r="Y525" s="8" t="s">
        <v>2154</v>
      </c>
      <c r="Z525" s="8" t="s">
        <v>2155</v>
      </c>
    </row>
    <row r="526" customFormat="false" ht="15" hidden="false" customHeight="false" outlineLevel="0" collapsed="false">
      <c r="A526" s="8" t="s">
        <v>395</v>
      </c>
      <c r="B526" s="8" t="s">
        <v>17</v>
      </c>
      <c r="C526" s="8" t="s">
        <v>18</v>
      </c>
      <c r="D526" s="8" t="s">
        <v>615</v>
      </c>
      <c r="E526" s="8" t="s">
        <v>40</v>
      </c>
      <c r="F526" s="8" t="s">
        <v>59</v>
      </c>
      <c r="G526" s="8" t="s">
        <v>31</v>
      </c>
      <c r="H526" s="8" t="s">
        <v>31</v>
      </c>
      <c r="I526" s="8" t="n">
        <f aca="false">IF(EXACT(G526,H526),1,0)</f>
        <v>1</v>
      </c>
      <c r="J526" s="8" t="n">
        <v>2</v>
      </c>
      <c r="K526" s="8" t="s">
        <v>737</v>
      </c>
      <c r="L526" s="8" t="n">
        <v>1</v>
      </c>
      <c r="M526" s="8" t="n">
        <v>5</v>
      </c>
      <c r="N526" s="8" t="s">
        <v>2057</v>
      </c>
      <c r="O526" s="8" t="n">
        <v>2</v>
      </c>
      <c r="P526" s="10" t="n">
        <v>30.51</v>
      </c>
      <c r="Q526" s="8" t="n">
        <v>10007</v>
      </c>
      <c r="R526" s="8" t="n">
        <v>1516</v>
      </c>
      <c r="S526" s="8" t="s">
        <v>396</v>
      </c>
      <c r="T526" s="8"/>
      <c r="U526" s="8"/>
      <c r="V526" s="8" t="s">
        <v>155</v>
      </c>
      <c r="W526" s="8"/>
      <c r="X526" s="8" t="s">
        <v>610</v>
      </c>
      <c r="Y526" s="8" t="s">
        <v>2156</v>
      </c>
      <c r="Z526" s="8" t="s">
        <v>2157</v>
      </c>
    </row>
    <row r="527" customFormat="false" ht="15" hidden="false" customHeight="false" outlineLevel="0" collapsed="false">
      <c r="A527" s="8" t="s">
        <v>399</v>
      </c>
      <c r="B527" s="8" t="s">
        <v>17</v>
      </c>
      <c r="C527" s="8" t="s">
        <v>18</v>
      </c>
      <c r="D527" s="8" t="s">
        <v>615</v>
      </c>
      <c r="E527" s="8" t="s">
        <v>40</v>
      </c>
      <c r="F527" s="8" t="s">
        <v>59</v>
      </c>
      <c r="G527" s="8" t="s">
        <v>32</v>
      </c>
      <c r="H527" s="8" t="s">
        <v>30</v>
      </c>
      <c r="I527" s="8" t="n">
        <f aca="false">IF(EXACT(G527,H527),1,0)</f>
        <v>0</v>
      </c>
      <c r="J527" s="8" t="n">
        <v>0</v>
      </c>
      <c r="K527" s="8" t="s">
        <v>92</v>
      </c>
      <c r="L527" s="8" t="n">
        <v>0</v>
      </c>
      <c r="M527" s="8" t="n">
        <v>5</v>
      </c>
      <c r="N527" s="8" t="s">
        <v>2057</v>
      </c>
      <c r="O527" s="8" t="n">
        <v>2</v>
      </c>
      <c r="P527" s="10" t="n">
        <v>23.34</v>
      </c>
      <c r="Q527" s="8" t="n">
        <v>10338</v>
      </c>
      <c r="R527" s="8" t="n">
        <v>1053</v>
      </c>
      <c r="S527" s="8" t="s">
        <v>400</v>
      </c>
      <c r="T527" s="8"/>
      <c r="U527" s="8"/>
      <c r="V527" s="8" t="s">
        <v>155</v>
      </c>
      <c r="W527" s="8"/>
      <c r="X527" s="8" t="s">
        <v>611</v>
      </c>
      <c r="Y527" s="8" t="s">
        <v>2158</v>
      </c>
      <c r="Z527" s="8"/>
    </row>
    <row r="528" customFormat="false" ht="15" hidden="false" customHeight="false" outlineLevel="0" collapsed="false">
      <c r="A528" s="8" t="s">
        <v>399</v>
      </c>
      <c r="B528" s="8" t="s">
        <v>17</v>
      </c>
      <c r="C528" s="8" t="s">
        <v>18</v>
      </c>
      <c r="D528" s="8" t="s">
        <v>615</v>
      </c>
      <c r="E528" s="8" t="s">
        <v>40</v>
      </c>
      <c r="F528" s="8" t="s">
        <v>59</v>
      </c>
      <c r="G528" s="8" t="s">
        <v>32</v>
      </c>
      <c r="H528" s="8" t="s">
        <v>30</v>
      </c>
      <c r="I528" s="8" t="n">
        <f aca="false">IF(EXACT(G528,H528),1,0)</f>
        <v>0</v>
      </c>
      <c r="J528" s="8" t="n">
        <v>1</v>
      </c>
      <c r="K528" s="8" t="s">
        <v>92</v>
      </c>
      <c r="L528" s="8" t="n">
        <v>0</v>
      </c>
      <c r="M528" s="8" t="n">
        <v>5</v>
      </c>
      <c r="N528" s="8" t="s">
        <v>2057</v>
      </c>
      <c r="O528" s="8" t="n">
        <v>2</v>
      </c>
      <c r="P528" s="10" t="n">
        <v>20.68</v>
      </c>
      <c r="Q528" s="8" t="n">
        <v>10338</v>
      </c>
      <c r="R528" s="8" t="n">
        <v>1053</v>
      </c>
      <c r="S528" s="8" t="s">
        <v>400</v>
      </c>
      <c r="T528" s="8"/>
      <c r="U528" s="8"/>
      <c r="V528" s="8" t="s">
        <v>155</v>
      </c>
      <c r="W528" s="8"/>
      <c r="X528" s="8" t="s">
        <v>611</v>
      </c>
      <c r="Y528" s="8" t="s">
        <v>2158</v>
      </c>
      <c r="Z528" s="8"/>
    </row>
    <row r="529" customFormat="false" ht="15" hidden="false" customHeight="false" outlineLevel="0" collapsed="false">
      <c r="A529" s="8" t="s">
        <v>399</v>
      </c>
      <c r="B529" s="8" t="s">
        <v>17</v>
      </c>
      <c r="C529" s="8" t="s">
        <v>18</v>
      </c>
      <c r="D529" s="8" t="s">
        <v>615</v>
      </c>
      <c r="E529" s="8" t="s">
        <v>40</v>
      </c>
      <c r="F529" s="8" t="s">
        <v>59</v>
      </c>
      <c r="G529" s="8" t="s">
        <v>32</v>
      </c>
      <c r="H529" s="8" t="s">
        <v>30</v>
      </c>
      <c r="I529" s="8" t="n">
        <f aca="false">IF(EXACT(G529,H529),1,0)</f>
        <v>0</v>
      </c>
      <c r="J529" s="8" t="n">
        <v>2</v>
      </c>
      <c r="K529" s="8" t="s">
        <v>92</v>
      </c>
      <c r="L529" s="8" t="n">
        <v>0</v>
      </c>
      <c r="M529" s="8" t="n">
        <v>5</v>
      </c>
      <c r="N529" s="8" t="s">
        <v>2057</v>
      </c>
      <c r="O529" s="8" t="n">
        <v>2</v>
      </c>
      <c r="P529" s="10" t="n">
        <v>21.39</v>
      </c>
      <c r="Q529" s="8" t="n">
        <v>10338</v>
      </c>
      <c r="R529" s="8" t="n">
        <v>1053</v>
      </c>
      <c r="S529" s="8" t="s">
        <v>400</v>
      </c>
      <c r="T529" s="8"/>
      <c r="U529" s="8"/>
      <c r="V529" s="8" t="s">
        <v>155</v>
      </c>
      <c r="W529" s="8"/>
      <c r="X529" s="8" t="s">
        <v>611</v>
      </c>
      <c r="Y529" s="8" t="s">
        <v>2158</v>
      </c>
      <c r="Z529" s="8"/>
    </row>
    <row r="530" customFormat="false" ht="15" hidden="false" customHeight="false" outlineLevel="0" collapsed="false">
      <c r="A530" s="8" t="s">
        <v>402</v>
      </c>
      <c r="B530" s="8" t="s">
        <v>17</v>
      </c>
      <c r="C530" s="8" t="s">
        <v>18</v>
      </c>
      <c r="D530" s="8" t="s">
        <v>615</v>
      </c>
      <c r="E530" s="8" t="s">
        <v>40</v>
      </c>
      <c r="F530" s="8" t="s">
        <v>59</v>
      </c>
      <c r="G530" s="8" t="s">
        <v>32</v>
      </c>
      <c r="H530" s="8" t="s">
        <v>30</v>
      </c>
      <c r="I530" s="8" t="n">
        <f aca="false">IF(EXACT(G530,H530),1,0)</f>
        <v>0</v>
      </c>
      <c r="J530" s="8" t="n">
        <v>0</v>
      </c>
      <c r="K530" s="8" t="s">
        <v>92</v>
      </c>
      <c r="L530" s="8" t="n">
        <v>0</v>
      </c>
      <c r="M530" s="8" t="n">
        <v>5</v>
      </c>
      <c r="N530" s="8" t="s">
        <v>2057</v>
      </c>
      <c r="O530" s="8" t="n">
        <v>2</v>
      </c>
      <c r="P530" s="10" t="n">
        <v>25.8</v>
      </c>
      <c r="Q530" s="8" t="n">
        <v>9825</v>
      </c>
      <c r="R530" s="8" t="n">
        <v>1181</v>
      </c>
      <c r="S530" s="8" t="s">
        <v>403</v>
      </c>
      <c r="T530" s="8"/>
      <c r="U530" s="8"/>
      <c r="V530" s="8" t="s">
        <v>155</v>
      </c>
      <c r="W530" s="8"/>
      <c r="X530" s="8" t="s">
        <v>612</v>
      </c>
      <c r="Y530" s="8" t="s">
        <v>2159</v>
      </c>
      <c r="Z530" s="8"/>
    </row>
    <row r="531" customFormat="false" ht="15" hidden="false" customHeight="false" outlineLevel="0" collapsed="false">
      <c r="A531" s="8" t="s">
        <v>402</v>
      </c>
      <c r="B531" s="8" t="s">
        <v>17</v>
      </c>
      <c r="C531" s="8" t="s">
        <v>18</v>
      </c>
      <c r="D531" s="8" t="s">
        <v>615</v>
      </c>
      <c r="E531" s="8" t="s">
        <v>40</v>
      </c>
      <c r="F531" s="8" t="s">
        <v>59</v>
      </c>
      <c r="G531" s="8" t="s">
        <v>32</v>
      </c>
      <c r="H531" s="8" t="s">
        <v>30</v>
      </c>
      <c r="I531" s="8" t="n">
        <f aca="false">IF(EXACT(G531,H531),1,0)</f>
        <v>0</v>
      </c>
      <c r="J531" s="8" t="n">
        <v>1</v>
      </c>
      <c r="K531" s="8" t="s">
        <v>92</v>
      </c>
      <c r="L531" s="8" t="n">
        <v>0</v>
      </c>
      <c r="M531" s="8" t="n">
        <v>5</v>
      </c>
      <c r="N531" s="8" t="s">
        <v>2057</v>
      </c>
      <c r="O531" s="8" t="n">
        <v>2</v>
      </c>
      <c r="P531" s="10" t="n">
        <v>24.6</v>
      </c>
      <c r="Q531" s="8" t="n">
        <v>9825</v>
      </c>
      <c r="R531" s="8" t="n">
        <v>1159</v>
      </c>
      <c r="S531" s="8" t="s">
        <v>403</v>
      </c>
      <c r="T531" s="8"/>
      <c r="U531" s="8"/>
      <c r="V531" s="8" t="s">
        <v>155</v>
      </c>
      <c r="W531" s="8"/>
      <c r="X531" s="8" t="s">
        <v>612</v>
      </c>
      <c r="Y531" s="8" t="s">
        <v>2160</v>
      </c>
      <c r="Z531" s="8"/>
    </row>
    <row r="532" customFormat="false" ht="15" hidden="false" customHeight="false" outlineLevel="0" collapsed="false">
      <c r="A532" s="8" t="s">
        <v>402</v>
      </c>
      <c r="B532" s="8" t="s">
        <v>17</v>
      </c>
      <c r="C532" s="8" t="s">
        <v>18</v>
      </c>
      <c r="D532" s="8" t="s">
        <v>615</v>
      </c>
      <c r="E532" s="8" t="s">
        <v>40</v>
      </c>
      <c r="F532" s="8" t="s">
        <v>59</v>
      </c>
      <c r="G532" s="8" t="s">
        <v>32</v>
      </c>
      <c r="H532" s="8" t="s">
        <v>30</v>
      </c>
      <c r="I532" s="8" t="n">
        <f aca="false">IF(EXACT(G532,H532),1,0)</f>
        <v>0</v>
      </c>
      <c r="J532" s="8" t="n">
        <v>2</v>
      </c>
      <c r="K532" s="8" t="s">
        <v>92</v>
      </c>
      <c r="L532" s="8" t="n">
        <v>0</v>
      </c>
      <c r="M532" s="8" t="n">
        <v>5</v>
      </c>
      <c r="N532" s="8" t="s">
        <v>2057</v>
      </c>
      <c r="O532" s="8" t="n">
        <v>2</v>
      </c>
      <c r="P532" s="10" t="n">
        <v>24.72</v>
      </c>
      <c r="Q532" s="8" t="n">
        <v>9825</v>
      </c>
      <c r="R532" s="8" t="n">
        <v>1147</v>
      </c>
      <c r="S532" s="8" t="s">
        <v>403</v>
      </c>
      <c r="T532" s="8"/>
      <c r="U532" s="8"/>
      <c r="V532" s="8" t="s">
        <v>155</v>
      </c>
      <c r="W532" s="8"/>
      <c r="X532" s="8" t="s">
        <v>612</v>
      </c>
      <c r="Y532" s="8" t="s">
        <v>2161</v>
      </c>
      <c r="Z532" s="8"/>
    </row>
    <row r="533" customFormat="false" ht="15" hidden="false" customHeight="false" outlineLevel="0" collapsed="false">
      <c r="A533" s="8" t="s">
        <v>405</v>
      </c>
      <c r="B533" s="8" t="s">
        <v>17</v>
      </c>
      <c r="C533" s="8" t="s">
        <v>18</v>
      </c>
      <c r="D533" s="8" t="s">
        <v>615</v>
      </c>
      <c r="E533" s="8" t="s">
        <v>40</v>
      </c>
      <c r="F533" s="8" t="s">
        <v>59</v>
      </c>
      <c r="G533" s="8" t="s">
        <v>30</v>
      </c>
      <c r="H533" s="8" t="s">
        <v>30</v>
      </c>
      <c r="I533" s="8" t="n">
        <f aca="false">IF(EXACT(G533,H533),1,0)</f>
        <v>1</v>
      </c>
      <c r="J533" s="8" t="n">
        <v>0</v>
      </c>
      <c r="K533" s="8" t="s">
        <v>92</v>
      </c>
      <c r="L533" s="8" t="n">
        <v>0</v>
      </c>
      <c r="M533" s="8" t="n">
        <v>5</v>
      </c>
      <c r="N533" s="8" t="s">
        <v>2057</v>
      </c>
      <c r="O533" s="8" t="n">
        <v>2</v>
      </c>
      <c r="P533" s="10" t="n">
        <v>29.38</v>
      </c>
      <c r="Q533" s="8" t="n">
        <v>10248</v>
      </c>
      <c r="R533" s="8" t="n">
        <v>1569</v>
      </c>
      <c r="S533" s="8" t="s">
        <v>406</v>
      </c>
      <c r="T533" s="8"/>
      <c r="U533" s="8"/>
      <c r="V533" s="8" t="s">
        <v>155</v>
      </c>
      <c r="W533" s="8"/>
      <c r="X533" s="8" t="s">
        <v>613</v>
      </c>
      <c r="Y533" s="8" t="s">
        <v>2162</v>
      </c>
      <c r="Z533" s="8"/>
    </row>
    <row r="534" customFormat="false" ht="15" hidden="false" customHeight="false" outlineLevel="0" collapsed="false">
      <c r="A534" s="8" t="s">
        <v>405</v>
      </c>
      <c r="B534" s="8" t="s">
        <v>17</v>
      </c>
      <c r="C534" s="8" t="s">
        <v>18</v>
      </c>
      <c r="D534" s="8" t="s">
        <v>615</v>
      </c>
      <c r="E534" s="8" t="s">
        <v>40</v>
      </c>
      <c r="F534" s="8" t="s">
        <v>59</v>
      </c>
      <c r="G534" s="8" t="s">
        <v>30</v>
      </c>
      <c r="H534" s="8" t="s">
        <v>30</v>
      </c>
      <c r="I534" s="8" t="n">
        <f aca="false">IF(EXACT(G534,H534),1,0)</f>
        <v>1</v>
      </c>
      <c r="J534" s="8" t="n">
        <v>1</v>
      </c>
      <c r="K534" s="8" t="s">
        <v>92</v>
      </c>
      <c r="L534" s="8" t="n">
        <v>0</v>
      </c>
      <c r="M534" s="8" t="n">
        <v>5</v>
      </c>
      <c r="N534" s="8" t="s">
        <v>2057</v>
      </c>
      <c r="O534" s="8" t="n">
        <v>2</v>
      </c>
      <c r="P534" s="10" t="n">
        <v>28.18</v>
      </c>
      <c r="Q534" s="8" t="n">
        <v>10248</v>
      </c>
      <c r="R534" s="8" t="n">
        <v>1505</v>
      </c>
      <c r="S534" s="8" t="s">
        <v>406</v>
      </c>
      <c r="T534" s="8"/>
      <c r="U534" s="8"/>
      <c r="V534" s="8" t="s">
        <v>155</v>
      </c>
      <c r="W534" s="8"/>
      <c r="X534" s="8" t="s">
        <v>613</v>
      </c>
      <c r="Y534" s="8" t="s">
        <v>2163</v>
      </c>
      <c r="Z534" s="8"/>
    </row>
    <row r="535" customFormat="false" ht="15" hidden="false" customHeight="false" outlineLevel="0" collapsed="false">
      <c r="A535" s="8" t="s">
        <v>405</v>
      </c>
      <c r="B535" s="8" t="s">
        <v>17</v>
      </c>
      <c r="C535" s="8" t="s">
        <v>18</v>
      </c>
      <c r="D535" s="8" t="s">
        <v>615</v>
      </c>
      <c r="E535" s="8" t="s">
        <v>40</v>
      </c>
      <c r="F535" s="8" t="s">
        <v>59</v>
      </c>
      <c r="G535" s="8" t="s">
        <v>30</v>
      </c>
      <c r="H535" s="8" t="s">
        <v>30</v>
      </c>
      <c r="I535" s="8" t="n">
        <f aca="false">IF(EXACT(G535,H535),1,0)</f>
        <v>1</v>
      </c>
      <c r="J535" s="8" t="n">
        <v>2</v>
      </c>
      <c r="K535" s="8" t="s">
        <v>92</v>
      </c>
      <c r="L535" s="8" t="n">
        <v>0</v>
      </c>
      <c r="M535" s="8" t="n">
        <v>5</v>
      </c>
      <c r="N535" s="8" t="s">
        <v>2057</v>
      </c>
      <c r="O535" s="8" t="n">
        <v>2</v>
      </c>
      <c r="P535" s="10" t="n">
        <v>29.04</v>
      </c>
      <c r="Q535" s="8" t="n">
        <v>10248</v>
      </c>
      <c r="R535" s="8" t="n">
        <v>1558</v>
      </c>
      <c r="S535" s="8" t="s">
        <v>406</v>
      </c>
      <c r="T535" s="8"/>
      <c r="U535" s="8"/>
      <c r="V535" s="8" t="s">
        <v>155</v>
      </c>
      <c r="W535" s="8"/>
      <c r="X535" s="8" t="s">
        <v>613</v>
      </c>
      <c r="Y535" s="8" t="s">
        <v>2164</v>
      </c>
      <c r="Z535" s="8"/>
    </row>
    <row r="536" customFormat="false" ht="15" hidden="false" customHeight="false" outlineLevel="0" collapsed="false">
      <c r="A536" s="8" t="s">
        <v>408</v>
      </c>
      <c r="B536" s="8" t="s">
        <v>17</v>
      </c>
      <c r="C536" s="8" t="s">
        <v>18</v>
      </c>
      <c r="D536" s="8" t="s">
        <v>615</v>
      </c>
      <c r="E536" s="8" t="s">
        <v>40</v>
      </c>
      <c r="F536" s="8" t="s">
        <v>59</v>
      </c>
      <c r="G536" s="8" t="s">
        <v>30</v>
      </c>
      <c r="H536" s="8" t="s">
        <v>30</v>
      </c>
      <c r="I536" s="8" t="n">
        <f aca="false">IF(EXACT(G536,H536),1,0)</f>
        <v>1</v>
      </c>
      <c r="J536" s="8" t="n">
        <v>0</v>
      </c>
      <c r="K536" s="8" t="s">
        <v>92</v>
      </c>
      <c r="L536" s="8" t="n">
        <v>0</v>
      </c>
      <c r="M536" s="8" t="n">
        <v>5</v>
      </c>
      <c r="N536" s="8" t="s">
        <v>2057</v>
      </c>
      <c r="O536" s="8" t="n">
        <v>2</v>
      </c>
      <c r="P536" s="10" t="n">
        <v>29.79</v>
      </c>
      <c r="Q536" s="8" t="n">
        <v>10526</v>
      </c>
      <c r="R536" s="8" t="n">
        <v>1532</v>
      </c>
      <c r="S536" s="8" t="s">
        <v>409</v>
      </c>
      <c r="T536" s="8"/>
      <c r="U536" s="8"/>
      <c r="V536" s="8" t="s">
        <v>155</v>
      </c>
      <c r="W536" s="8"/>
      <c r="X536" s="8" t="s">
        <v>614</v>
      </c>
      <c r="Y536" s="8" t="s">
        <v>2165</v>
      </c>
      <c r="Z536" s="8"/>
    </row>
    <row r="537" customFormat="false" ht="15" hidden="false" customHeight="false" outlineLevel="0" collapsed="false">
      <c r="A537" s="8" t="s">
        <v>408</v>
      </c>
      <c r="B537" s="8" t="s">
        <v>17</v>
      </c>
      <c r="C537" s="8" t="s">
        <v>18</v>
      </c>
      <c r="D537" s="8" t="s">
        <v>615</v>
      </c>
      <c r="E537" s="8" t="s">
        <v>40</v>
      </c>
      <c r="F537" s="8" t="s">
        <v>59</v>
      </c>
      <c r="G537" s="8" t="s">
        <v>30</v>
      </c>
      <c r="H537" s="8" t="s">
        <v>30</v>
      </c>
      <c r="I537" s="8" t="n">
        <f aca="false">IF(EXACT(G537,H537),1,0)</f>
        <v>1</v>
      </c>
      <c r="J537" s="8" t="n">
        <v>1</v>
      </c>
      <c r="K537" s="8" t="s">
        <v>92</v>
      </c>
      <c r="L537" s="8" t="n">
        <v>0</v>
      </c>
      <c r="M537" s="8" t="n">
        <v>5</v>
      </c>
      <c r="N537" s="8" t="s">
        <v>2057</v>
      </c>
      <c r="O537" s="8" t="n">
        <v>2</v>
      </c>
      <c r="P537" s="10" t="n">
        <v>29.18</v>
      </c>
      <c r="Q537" s="8" t="n">
        <v>10526</v>
      </c>
      <c r="R537" s="8" t="n">
        <v>1463</v>
      </c>
      <c r="S537" s="8" t="s">
        <v>409</v>
      </c>
      <c r="T537" s="8"/>
      <c r="U537" s="8"/>
      <c r="V537" s="8" t="s">
        <v>155</v>
      </c>
      <c r="W537" s="8"/>
      <c r="X537" s="8" t="s">
        <v>614</v>
      </c>
      <c r="Y537" s="8" t="s">
        <v>2166</v>
      </c>
      <c r="Z537" s="8"/>
    </row>
    <row r="538" customFormat="false" ht="15" hidden="false" customHeight="false" outlineLevel="0" collapsed="false">
      <c r="A538" s="8" t="s">
        <v>408</v>
      </c>
      <c r="B538" s="8" t="s">
        <v>17</v>
      </c>
      <c r="C538" s="8" t="s">
        <v>18</v>
      </c>
      <c r="D538" s="8" t="s">
        <v>615</v>
      </c>
      <c r="E538" s="8" t="s">
        <v>40</v>
      </c>
      <c r="F538" s="8" t="s">
        <v>59</v>
      </c>
      <c r="G538" s="8" t="s">
        <v>30</v>
      </c>
      <c r="H538" s="8" t="s">
        <v>30</v>
      </c>
      <c r="I538" s="8" t="n">
        <f aca="false">IF(EXACT(G538,H538),1,0)</f>
        <v>1</v>
      </c>
      <c r="J538" s="8" t="n">
        <v>2</v>
      </c>
      <c r="K538" s="8" t="s">
        <v>92</v>
      </c>
      <c r="L538" s="8" t="n">
        <v>0</v>
      </c>
      <c r="M538" s="8" t="n">
        <v>5</v>
      </c>
      <c r="N538" s="8" t="s">
        <v>2057</v>
      </c>
      <c r="O538" s="8" t="n">
        <v>2</v>
      </c>
      <c r="P538" s="10" t="n">
        <v>31.2</v>
      </c>
      <c r="Q538" s="8" t="n">
        <v>10526</v>
      </c>
      <c r="R538" s="8" t="n">
        <v>1558</v>
      </c>
      <c r="S538" s="8" t="s">
        <v>409</v>
      </c>
      <c r="T538" s="8"/>
      <c r="U538" s="8"/>
      <c r="V538" s="8" t="s">
        <v>155</v>
      </c>
      <c r="W538" s="8"/>
      <c r="X538" s="8" t="s">
        <v>614</v>
      </c>
      <c r="Y538" s="8" t="s">
        <v>2167</v>
      </c>
      <c r="Z538" s="8"/>
    </row>
  </sheetData>
  <autoFilter ref="A1:Z5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6"/>
    <col collapsed="false" customWidth="true" hidden="false" outlineLevel="0" max="5" min="4" style="0" width="9"/>
    <col collapsed="false" customWidth="true" hidden="false" outlineLevel="0" max="6" min="6" style="0" width="10"/>
    <col collapsed="false" customWidth="true" hidden="false" outlineLevel="0" max="8" min="7" style="0" width="9"/>
    <col collapsed="false" customWidth="true" hidden="false" outlineLevel="0" max="9" min="9" style="0" width="10"/>
    <col collapsed="false" customWidth="true" hidden="false" outlineLevel="0" max="11" min="10" style="0" width="9"/>
    <col collapsed="false" customWidth="true" hidden="false" outlineLevel="0" max="12" min="12" style="0" width="10"/>
    <col collapsed="false" customWidth="true" hidden="false" outlineLevel="0" max="14" min="13" style="0" width="9"/>
    <col collapsed="false" customWidth="true" hidden="false" outlineLevel="0" max="15" min="15" style="0" width="10"/>
    <col collapsed="false" customWidth="true" hidden="false" outlineLevel="0" max="16" min="16" style="0" width="22"/>
  </cols>
  <sheetData>
    <row r="1" customFormat="false" ht="17.35" hidden="false" customHeight="false" outlineLevel="0" collapsed="false">
      <c r="A1" s="11" t="s">
        <v>2168</v>
      </c>
    </row>
    <row r="2" customFormat="false" ht="15" hidden="false" customHeight="false" outlineLevel="0" collapsed="false">
      <c r="A2" s="12" t="s">
        <v>2169</v>
      </c>
      <c r="B2" s="12"/>
      <c r="C2" s="12"/>
      <c r="D2" s="12"/>
      <c r="E2" s="12"/>
      <c r="F2" s="12"/>
      <c r="G2" s="12"/>
      <c r="H2" s="12"/>
      <c r="I2" s="12"/>
      <c r="J2" s="12"/>
      <c r="K2" s="12"/>
      <c r="L2" s="12"/>
      <c r="M2" s="12"/>
      <c r="N2" s="12"/>
      <c r="O2" s="12"/>
      <c r="P2" s="12"/>
    </row>
    <row r="4" customFormat="false" ht="15" hidden="false" customHeight="true" outlineLevel="0" collapsed="false">
      <c r="A4" s="13" t="s">
        <v>2170</v>
      </c>
      <c r="B4" s="13"/>
      <c r="C4" s="13"/>
      <c r="D4" s="13"/>
      <c r="E4" s="13"/>
      <c r="F4" s="13"/>
      <c r="G4" s="14" t="s">
        <v>2171</v>
      </c>
      <c r="H4" s="14"/>
      <c r="I4" s="14"/>
      <c r="J4" s="14" t="s">
        <v>2172</v>
      </c>
      <c r="K4" s="14"/>
      <c r="L4" s="14"/>
      <c r="M4" s="14" t="s">
        <v>2173</v>
      </c>
      <c r="N4" s="14"/>
      <c r="O4" s="14"/>
      <c r="P4" s="15"/>
    </row>
    <row r="5" customFormat="false" ht="27.75" hidden="false" customHeight="true" outlineLevel="0" collapsed="false">
      <c r="A5" s="13" t="s">
        <v>68</v>
      </c>
      <c r="B5" s="13" t="s">
        <v>42</v>
      </c>
      <c r="C5" s="13" t="s">
        <v>2174</v>
      </c>
      <c r="D5" s="13" t="s">
        <v>2175</v>
      </c>
      <c r="E5" s="13" t="s">
        <v>72</v>
      </c>
      <c r="F5" s="13" t="s">
        <v>2176</v>
      </c>
      <c r="G5" s="16" t="s">
        <v>2177</v>
      </c>
      <c r="H5" s="16" t="s">
        <v>2178</v>
      </c>
      <c r="I5" s="16" t="s">
        <v>2179</v>
      </c>
      <c r="J5" s="16" t="s">
        <v>2177</v>
      </c>
      <c r="K5" s="16" t="s">
        <v>2178</v>
      </c>
      <c r="L5" s="16" t="s">
        <v>2179</v>
      </c>
      <c r="M5" s="16" t="s">
        <v>2177</v>
      </c>
      <c r="N5" s="16" t="s">
        <v>2178</v>
      </c>
      <c r="O5" s="16" t="s">
        <v>2179</v>
      </c>
      <c r="P5" s="13" t="s">
        <v>2180</v>
      </c>
    </row>
    <row r="6" customFormat="false" ht="15" hidden="false" customHeight="false" outlineLevel="0" collapsed="false">
      <c r="A6" s="17" t="s">
        <v>36</v>
      </c>
      <c r="B6" s="17" t="s">
        <v>57</v>
      </c>
      <c r="C6" s="17" t="s">
        <v>1492</v>
      </c>
      <c r="D6" s="18" t="n">
        <f aca="false">COUNTIFS(C_persona_agent!$E:$E,"elias",C_persona_agent!$F:$F,"2.4.8")</f>
        <v>18</v>
      </c>
      <c r="E6" s="18" t="n">
        <f aca="false">SUMIFS(C_persona_agent!$I:$I,C_persona_agent!$E:$E,"elias",C_persona_agent!$F:$F,"2.4.8")</f>
        <v>6</v>
      </c>
      <c r="F6" s="19" t="n">
        <f aca="false">IFERROR(E6/D6,0)</f>
        <v>0.333333333333333</v>
      </c>
      <c r="G6" s="18" t="n">
        <f aca="false">COUNTIFS(C_persona_agent!$E:$E,"elias",C_persona_agent!$F:$F,"2.4.8",C_persona_agent!$G:$G,"passed",C_persona_agent!$H:$H,"passed")</f>
        <v>6</v>
      </c>
      <c r="H6" s="18" t="n">
        <f aca="false">COUNTIFS(C_persona_agent!$E:$E,"elias",C_persona_agent!$F:$F,"2.4.8",C_persona_agent!$G:$G,"passed",C_persona_agent!$H:$H,"failed")</f>
        <v>0</v>
      </c>
      <c r="I6" s="18" t="n">
        <f aca="false">COUNTIFS(C_persona_agent!$E:$E,"elias",C_persona_agent!$F:$F,"2.4.8",C_persona_agent!$G:$G,"passed",C_persona_agent!$H:$H,"inapplicable")</f>
        <v>0</v>
      </c>
      <c r="J6" s="18" t="n">
        <f aca="false">COUNTIFS(C_persona_agent!$E:$E,"elias",C_persona_agent!$F:$F,"2.4.8",C_persona_agent!$G:$G,"failed",C_persona_agent!$H:$H,"passed")</f>
        <v>6</v>
      </c>
      <c r="K6" s="18" t="n">
        <f aca="false">COUNTIFS(C_persona_agent!$E:$E,"elias",C_persona_agent!$F:$F,"2.4.8",C_persona_agent!$G:$G,"failed",C_persona_agent!$H:$H,"failed")</f>
        <v>0</v>
      </c>
      <c r="L6" s="18" t="n">
        <f aca="false">COUNTIFS(C_persona_agent!$E:$E,"elias",C_persona_agent!$F:$F,"2.4.8",C_persona_agent!$G:$G,"failed",C_persona_agent!$H:$H,"inapplicable")</f>
        <v>0</v>
      </c>
      <c r="M6" s="18" t="n">
        <f aca="false">COUNTIFS(C_persona_agent!$E:$E,"elias",C_persona_agent!$F:$F,"2.4.8",C_persona_agent!$G:$G,"inapplicable",C_persona_agent!$H:$H,"passed")</f>
        <v>6</v>
      </c>
      <c r="N6" s="18" t="n">
        <f aca="false">COUNTIFS(C_persona_agent!$E:$E,"elias",C_persona_agent!$F:$F,"2.4.8",C_persona_agent!$G:$G,"inapplicable",C_persona_agent!$H:$H,"failed")</f>
        <v>0</v>
      </c>
      <c r="O6" s="18" t="n">
        <f aca="false">COUNTIFS(C_persona_agent!$E:$E,"elias",C_persona_agent!$F:$F,"2.4.8",C_persona_agent!$G:$G,"inapplicable",C_persona_agent!$H:$H,"inapplicable")</f>
        <v>0</v>
      </c>
      <c r="P6" s="20" t="str">
        <f aca="false">IF(AND(COUNTIFS(C_persona_agent!$E:$E,"elias",C_persona_agent!$F:$F,"2.4.8",C_persona_agent!$H:$H,"failed")&gt;=COUNTIFS(C_persona_agent!$E:$E,"elias",C_persona_agent!$F:$F,"2.4.8",C_persona_agent!$H:$H,"passed"),COUNTIFS(C_persona_agent!$E:$E,"elias",C_persona_agent!$F:$F,"2.4.8",C_persona_agent!$H:$H,"failed")&gt;=COUNTIFS(C_persona_agent!$E:$E,"elias",C_persona_agent!$F:$F,"2.4.8",C_persona_agent!$H:$H,"inapplicable")),"failed (over-flags)",IF(AND(COUNTIFS(C_persona_agent!$E:$E,"elias",C_persona_agent!$F:$F,"2.4.8",C_persona_agent!$H:$H,"passed")&gt;=COUNTIFS(C_persona_agent!$E:$E,"elias",C_persona_agent!$F:$F,"2.4.8",C_persona_agent!$H:$H,"failed"),COUNTIFS(C_persona_agent!$E:$E,"elias",C_persona_agent!$F:$F,"2.4.8",C_persona_agent!$H:$H,"passed")&gt;=COUNTIFS(C_persona_agent!$E:$E,"elias",C_persona_agent!$F:$F,"2.4.8",C_persona_agent!$H:$H,"inapplicable")),"passed (under-flags)","inapplicable"))</f>
        <v>passed (under-flags)</v>
      </c>
    </row>
    <row r="7" customFormat="false" ht="15" hidden="false" customHeight="false" outlineLevel="0" collapsed="false">
      <c r="A7" s="21" t="s">
        <v>37</v>
      </c>
      <c r="B7" s="21" t="s">
        <v>55</v>
      </c>
      <c r="C7" s="21" t="s">
        <v>1641</v>
      </c>
      <c r="D7" s="22" t="n">
        <f aca="false">COUNTIFS(C_persona_agent!$E:$E,"ian",C_persona_agent!$F:$F,"2.4.6")</f>
        <v>18</v>
      </c>
      <c r="E7" s="22" t="n">
        <f aca="false">SUMIFS(C_persona_agent!$I:$I,C_persona_agent!$E:$E,"ian",C_persona_agent!$F:$F,"2.4.6")</f>
        <v>6</v>
      </c>
      <c r="F7" s="23" t="n">
        <f aca="false">IFERROR(E7/D7,0)</f>
        <v>0.333333333333333</v>
      </c>
      <c r="G7" s="22" t="n">
        <f aca="false">COUNTIFS(C_persona_agent!$E:$E,"ian",C_persona_agent!$F:$F,"2.4.6",C_persona_agent!$G:$G,"passed",C_persona_agent!$H:$H,"passed")</f>
        <v>0</v>
      </c>
      <c r="H7" s="22" t="n">
        <f aca="false">COUNTIFS(C_persona_agent!$E:$E,"ian",C_persona_agent!$F:$F,"2.4.6",C_persona_agent!$G:$G,"passed",C_persona_agent!$H:$H,"failed")</f>
        <v>6</v>
      </c>
      <c r="I7" s="22" t="n">
        <f aca="false">COUNTIFS(C_persona_agent!$E:$E,"ian",C_persona_agent!$F:$F,"2.4.6",C_persona_agent!$G:$G,"passed",C_persona_agent!$H:$H,"inapplicable")</f>
        <v>0</v>
      </c>
      <c r="J7" s="22" t="n">
        <f aca="false">COUNTIFS(C_persona_agent!$E:$E,"ian",C_persona_agent!$F:$F,"2.4.6",C_persona_agent!$G:$G,"failed",C_persona_agent!$H:$H,"passed")</f>
        <v>0</v>
      </c>
      <c r="K7" s="22" t="n">
        <f aca="false">COUNTIFS(C_persona_agent!$E:$E,"ian",C_persona_agent!$F:$F,"2.4.6",C_persona_agent!$G:$G,"failed",C_persona_agent!$H:$H,"failed")</f>
        <v>6</v>
      </c>
      <c r="L7" s="22" t="n">
        <f aca="false">COUNTIFS(C_persona_agent!$E:$E,"ian",C_persona_agent!$F:$F,"2.4.6",C_persona_agent!$G:$G,"failed",C_persona_agent!$H:$H,"inapplicable")</f>
        <v>0</v>
      </c>
      <c r="M7" s="22" t="n">
        <f aca="false">COUNTIFS(C_persona_agent!$E:$E,"ian",C_persona_agent!$F:$F,"2.4.6",C_persona_agent!$G:$G,"inapplicable",C_persona_agent!$H:$H,"passed")</f>
        <v>0</v>
      </c>
      <c r="N7" s="22" t="n">
        <f aca="false">COUNTIFS(C_persona_agent!$E:$E,"ian",C_persona_agent!$F:$F,"2.4.6",C_persona_agent!$G:$G,"inapplicable",C_persona_agent!$H:$H,"failed")</f>
        <v>6</v>
      </c>
      <c r="O7" s="22" t="n">
        <f aca="false">COUNTIFS(C_persona_agent!$E:$E,"ian",C_persona_agent!$F:$F,"2.4.6",C_persona_agent!$G:$G,"inapplicable",C_persona_agent!$H:$H,"inapplicable")</f>
        <v>0</v>
      </c>
      <c r="P7" s="24" t="str">
        <f aca="false">IF(AND(COUNTIFS(C_persona_agent!$E:$E,"ian",C_persona_agent!$F:$F,"2.4.6",C_persona_agent!$H:$H,"failed")&gt;=COUNTIFS(C_persona_agent!$E:$E,"ian",C_persona_agent!$F:$F,"2.4.6",C_persona_agent!$H:$H,"passed"),COUNTIFS(C_persona_agent!$E:$E,"ian",C_persona_agent!$F:$F,"2.4.6",C_persona_agent!$H:$H,"failed")&gt;=COUNTIFS(C_persona_agent!$E:$E,"ian",C_persona_agent!$F:$F,"2.4.6",C_persona_agent!$H:$H,"inapplicable")),"failed (over-flags)",IF(AND(COUNTIFS(C_persona_agent!$E:$E,"ian",C_persona_agent!$F:$F,"2.4.6",C_persona_agent!$H:$H,"passed")&gt;=COUNTIFS(C_persona_agent!$E:$E,"ian",C_persona_agent!$F:$F,"2.4.6",C_persona_agent!$H:$H,"failed"),COUNTIFS(C_persona_agent!$E:$E,"ian",C_persona_agent!$F:$F,"2.4.6",C_persona_agent!$H:$H,"passed")&gt;=COUNTIFS(C_persona_agent!$E:$E,"ian",C_persona_agent!$F:$F,"2.4.6",C_persona_agent!$H:$H,"inapplicable")),"passed (under-flags)","inapplicable"))</f>
        <v>failed (over-flags)</v>
      </c>
    </row>
    <row r="8" customFormat="false" ht="15" hidden="false" customHeight="false" outlineLevel="0" collapsed="false">
      <c r="A8" s="17" t="s">
        <v>36</v>
      </c>
      <c r="B8" s="17" t="s">
        <v>51</v>
      </c>
      <c r="C8" s="17" t="s">
        <v>1492</v>
      </c>
      <c r="D8" s="18" t="n">
        <f aca="false">COUNTIFS(C_persona_agent!$E:$E,"elias",C_persona_agent!$F:$F,"2.2.2")</f>
        <v>18</v>
      </c>
      <c r="E8" s="18" t="n">
        <f aca="false">SUMIFS(C_persona_agent!$I:$I,C_persona_agent!$E:$E,"elias",C_persona_agent!$F:$F,"2.2.2")</f>
        <v>6</v>
      </c>
      <c r="F8" s="19" t="n">
        <f aca="false">IFERROR(E8/D8,0)</f>
        <v>0.333333333333333</v>
      </c>
      <c r="G8" s="18" t="n">
        <f aca="false">COUNTIFS(C_persona_agent!$E:$E,"elias",C_persona_agent!$F:$F,"2.2.2",C_persona_agent!$G:$G,"passed",C_persona_agent!$H:$H,"passed")</f>
        <v>0</v>
      </c>
      <c r="H8" s="18" t="n">
        <f aca="false">COUNTIFS(C_persona_agent!$E:$E,"elias",C_persona_agent!$F:$F,"2.2.2",C_persona_agent!$G:$G,"passed",C_persona_agent!$H:$H,"failed")</f>
        <v>6</v>
      </c>
      <c r="I8" s="18" t="n">
        <f aca="false">COUNTIFS(C_persona_agent!$E:$E,"elias",C_persona_agent!$F:$F,"2.2.2",C_persona_agent!$G:$G,"passed",C_persona_agent!$H:$H,"inapplicable")</f>
        <v>0</v>
      </c>
      <c r="J8" s="18" t="n">
        <f aca="false">COUNTIFS(C_persona_agent!$E:$E,"elias",C_persona_agent!$F:$F,"2.2.2",C_persona_agent!$G:$G,"failed",C_persona_agent!$H:$H,"passed")</f>
        <v>0</v>
      </c>
      <c r="K8" s="18" t="n">
        <f aca="false">COUNTIFS(C_persona_agent!$E:$E,"elias",C_persona_agent!$F:$F,"2.2.2",C_persona_agent!$G:$G,"failed",C_persona_agent!$H:$H,"failed")</f>
        <v>6</v>
      </c>
      <c r="L8" s="18" t="n">
        <f aca="false">COUNTIFS(C_persona_agent!$E:$E,"elias",C_persona_agent!$F:$F,"2.2.2",C_persona_agent!$G:$G,"failed",C_persona_agent!$H:$H,"inapplicable")</f>
        <v>0</v>
      </c>
      <c r="M8" s="18" t="n">
        <f aca="false">COUNTIFS(C_persona_agent!$E:$E,"elias",C_persona_agent!$F:$F,"2.2.2",C_persona_agent!$G:$G,"inapplicable",C_persona_agent!$H:$H,"passed")</f>
        <v>2</v>
      </c>
      <c r="N8" s="18" t="n">
        <f aca="false">COUNTIFS(C_persona_agent!$E:$E,"elias",C_persona_agent!$F:$F,"2.2.2",C_persona_agent!$G:$G,"inapplicable",C_persona_agent!$H:$H,"failed")</f>
        <v>4</v>
      </c>
      <c r="O8" s="18" t="n">
        <f aca="false">COUNTIFS(C_persona_agent!$E:$E,"elias",C_persona_agent!$F:$F,"2.2.2",C_persona_agent!$G:$G,"inapplicable",C_persona_agent!$H:$H,"inapplicable")</f>
        <v>0</v>
      </c>
      <c r="P8" s="20" t="str">
        <f aca="false">IF(AND(COUNTIFS(C_persona_agent!$E:$E,"elias",C_persona_agent!$F:$F,"2.2.2",C_persona_agent!$H:$H,"failed")&gt;=COUNTIFS(C_persona_agent!$E:$E,"elias",C_persona_agent!$F:$F,"2.2.2",C_persona_agent!$H:$H,"passed"),COUNTIFS(C_persona_agent!$E:$E,"elias",C_persona_agent!$F:$F,"2.2.2",C_persona_agent!$H:$H,"failed")&gt;=COUNTIFS(C_persona_agent!$E:$E,"elias",C_persona_agent!$F:$F,"2.2.2",C_persona_agent!$H:$H,"inapplicable")),"failed (over-flags)",IF(AND(COUNTIFS(C_persona_agent!$E:$E,"elias",C_persona_agent!$F:$F,"2.2.2",C_persona_agent!$H:$H,"passed")&gt;=COUNTIFS(C_persona_agent!$E:$E,"elias",C_persona_agent!$F:$F,"2.2.2",C_persona_agent!$H:$H,"failed"),COUNTIFS(C_persona_agent!$E:$E,"elias",C_persona_agent!$F:$F,"2.2.2",C_persona_agent!$H:$H,"passed")&gt;=COUNTIFS(C_persona_agent!$E:$E,"elias",C_persona_agent!$F:$F,"2.2.2",C_persona_agent!$H:$H,"inapplicable")),"passed (under-flags)","inapplicable"))</f>
        <v>failed (over-flags)</v>
      </c>
    </row>
    <row r="9" customFormat="false" ht="15" hidden="false" customHeight="false" outlineLevel="0" collapsed="false">
      <c r="A9" s="21" t="s">
        <v>39</v>
      </c>
      <c r="B9" s="21" t="s">
        <v>57</v>
      </c>
      <c r="C9" s="21" t="s">
        <v>1926</v>
      </c>
      <c r="D9" s="22" t="n">
        <f aca="false">COUNTIFS(C_persona_agent!$E:$E,"sophie",C_persona_agent!$F:$F,"2.4.8")</f>
        <v>18</v>
      </c>
      <c r="E9" s="22" t="n">
        <f aca="false">SUMIFS(C_persona_agent!$I:$I,C_persona_agent!$E:$E,"sophie",C_persona_agent!$F:$F,"2.4.8")</f>
        <v>6</v>
      </c>
      <c r="F9" s="23" t="n">
        <f aca="false">IFERROR(E9/D9,0)</f>
        <v>0.333333333333333</v>
      </c>
      <c r="G9" s="22" t="n">
        <f aca="false">COUNTIFS(C_persona_agent!$E:$E,"sophie",C_persona_agent!$F:$F,"2.4.8",C_persona_agent!$G:$G,"passed",C_persona_agent!$H:$H,"passed")</f>
        <v>6</v>
      </c>
      <c r="H9" s="22" t="n">
        <f aca="false">COUNTIFS(C_persona_agent!$E:$E,"sophie",C_persona_agent!$F:$F,"2.4.8",C_persona_agent!$G:$G,"passed",C_persona_agent!$H:$H,"failed")</f>
        <v>0</v>
      </c>
      <c r="I9" s="22" t="n">
        <f aca="false">COUNTIFS(C_persona_agent!$E:$E,"sophie",C_persona_agent!$F:$F,"2.4.8",C_persona_agent!$G:$G,"passed",C_persona_agent!$H:$H,"inapplicable")</f>
        <v>0</v>
      </c>
      <c r="J9" s="22" t="n">
        <f aca="false">COUNTIFS(C_persona_agent!$E:$E,"sophie",C_persona_agent!$F:$F,"2.4.8",C_persona_agent!$G:$G,"failed",C_persona_agent!$H:$H,"passed")</f>
        <v>6</v>
      </c>
      <c r="K9" s="22" t="n">
        <f aca="false">COUNTIFS(C_persona_agent!$E:$E,"sophie",C_persona_agent!$F:$F,"2.4.8",C_persona_agent!$G:$G,"failed",C_persona_agent!$H:$H,"failed")</f>
        <v>0</v>
      </c>
      <c r="L9" s="22" t="n">
        <f aca="false">COUNTIFS(C_persona_agent!$E:$E,"sophie",C_persona_agent!$F:$F,"2.4.8",C_persona_agent!$G:$G,"failed",C_persona_agent!$H:$H,"inapplicable")</f>
        <v>0</v>
      </c>
      <c r="M9" s="22" t="n">
        <f aca="false">COUNTIFS(C_persona_agent!$E:$E,"sophie",C_persona_agent!$F:$F,"2.4.8",C_persona_agent!$G:$G,"inapplicable",C_persona_agent!$H:$H,"passed")</f>
        <v>6</v>
      </c>
      <c r="N9" s="22" t="n">
        <f aca="false">COUNTIFS(C_persona_agent!$E:$E,"sophie",C_persona_agent!$F:$F,"2.4.8",C_persona_agent!$G:$G,"inapplicable",C_persona_agent!$H:$H,"failed")</f>
        <v>0</v>
      </c>
      <c r="O9" s="22" t="n">
        <f aca="false">COUNTIFS(C_persona_agent!$E:$E,"sophie",C_persona_agent!$F:$F,"2.4.8",C_persona_agent!$G:$G,"inapplicable",C_persona_agent!$H:$H,"inapplicable")</f>
        <v>0</v>
      </c>
      <c r="P9" s="24" t="str">
        <f aca="false">IF(AND(COUNTIFS(C_persona_agent!$E:$E,"sophie",C_persona_agent!$F:$F,"2.4.8",C_persona_agent!$H:$H,"failed")&gt;=COUNTIFS(C_persona_agent!$E:$E,"sophie",C_persona_agent!$F:$F,"2.4.8",C_persona_agent!$H:$H,"passed"),COUNTIFS(C_persona_agent!$E:$E,"sophie",C_persona_agent!$F:$F,"2.4.8",C_persona_agent!$H:$H,"failed")&gt;=COUNTIFS(C_persona_agent!$E:$E,"sophie",C_persona_agent!$F:$F,"2.4.8",C_persona_agent!$H:$H,"inapplicable")),"failed (over-flags)",IF(AND(COUNTIFS(C_persona_agent!$E:$E,"sophie",C_persona_agent!$F:$F,"2.4.8",C_persona_agent!$H:$H,"passed")&gt;=COUNTIFS(C_persona_agent!$E:$E,"sophie",C_persona_agent!$F:$F,"2.4.8",C_persona_agent!$H:$H,"failed"),COUNTIFS(C_persona_agent!$E:$E,"sophie",C_persona_agent!$F:$F,"2.4.8",C_persona_agent!$H:$H,"passed")&gt;=COUNTIFS(C_persona_agent!$E:$E,"sophie",C_persona_agent!$F:$F,"2.4.8",C_persona_agent!$H:$H,"inapplicable")),"passed (under-flags)","inapplicable"))</f>
        <v>passed (under-flags)</v>
      </c>
    </row>
    <row r="10" customFormat="false" ht="15" hidden="false" customHeight="false" outlineLevel="0" collapsed="false">
      <c r="A10" s="17" t="s">
        <v>40</v>
      </c>
      <c r="B10" s="17" t="s">
        <v>55</v>
      </c>
      <c r="C10" s="17" t="s">
        <v>2057</v>
      </c>
      <c r="D10" s="18" t="n">
        <f aca="false">COUNTIFS(C_persona_agent!$E:$E,"stefan",C_persona_agent!$F:$F,"2.4.6")</f>
        <v>18</v>
      </c>
      <c r="E10" s="18" t="n">
        <f aca="false">SUMIFS(C_persona_agent!$I:$I,C_persona_agent!$E:$E,"stefan",C_persona_agent!$F:$F,"2.4.6")</f>
        <v>6</v>
      </c>
      <c r="F10" s="19" t="n">
        <f aca="false">IFERROR(E10/D10,0)</f>
        <v>0.333333333333333</v>
      </c>
      <c r="G10" s="18" t="n">
        <f aca="false">COUNTIFS(C_persona_agent!$E:$E,"stefan",C_persona_agent!$F:$F,"2.4.6",C_persona_agent!$G:$G,"passed",C_persona_agent!$H:$H,"passed")</f>
        <v>3</v>
      </c>
      <c r="H10" s="18" t="n">
        <f aca="false">COUNTIFS(C_persona_agent!$E:$E,"stefan",C_persona_agent!$F:$F,"2.4.6",C_persona_agent!$G:$G,"passed",C_persona_agent!$H:$H,"failed")</f>
        <v>3</v>
      </c>
      <c r="I10" s="18" t="n">
        <f aca="false">COUNTIFS(C_persona_agent!$E:$E,"stefan",C_persona_agent!$F:$F,"2.4.6",C_persona_agent!$G:$G,"passed",C_persona_agent!$H:$H,"inapplicable")</f>
        <v>0</v>
      </c>
      <c r="J10" s="18" t="n">
        <f aca="false">COUNTIFS(C_persona_agent!$E:$E,"stefan",C_persona_agent!$F:$F,"2.4.6",C_persona_agent!$G:$G,"failed",C_persona_agent!$H:$H,"passed")</f>
        <v>3</v>
      </c>
      <c r="K10" s="18" t="n">
        <f aca="false">COUNTIFS(C_persona_agent!$E:$E,"stefan",C_persona_agent!$F:$F,"2.4.6",C_persona_agent!$G:$G,"failed",C_persona_agent!$H:$H,"failed")</f>
        <v>1</v>
      </c>
      <c r="L10" s="18" t="n">
        <f aca="false">COUNTIFS(C_persona_agent!$E:$E,"stefan",C_persona_agent!$F:$F,"2.4.6",C_persona_agent!$G:$G,"failed",C_persona_agent!$H:$H,"inapplicable")</f>
        <v>2</v>
      </c>
      <c r="M10" s="18" t="n">
        <f aca="false">COUNTIFS(C_persona_agent!$E:$E,"stefan",C_persona_agent!$F:$F,"2.4.6",C_persona_agent!$G:$G,"inapplicable",C_persona_agent!$H:$H,"passed")</f>
        <v>2</v>
      </c>
      <c r="N10" s="18" t="n">
        <f aca="false">COUNTIFS(C_persona_agent!$E:$E,"stefan",C_persona_agent!$F:$F,"2.4.6",C_persona_agent!$G:$G,"inapplicable",C_persona_agent!$H:$H,"failed")</f>
        <v>2</v>
      </c>
      <c r="O10" s="18" t="n">
        <f aca="false">COUNTIFS(C_persona_agent!$E:$E,"stefan",C_persona_agent!$F:$F,"2.4.6",C_persona_agent!$G:$G,"inapplicable",C_persona_agent!$H:$H,"inapplicable")</f>
        <v>2</v>
      </c>
      <c r="P10" s="20" t="str">
        <f aca="false">IF(AND(COUNTIFS(C_persona_agent!$E:$E,"stefan",C_persona_agent!$F:$F,"2.4.6",C_persona_agent!$H:$H,"failed")&gt;=COUNTIFS(C_persona_agent!$E:$E,"stefan",C_persona_agent!$F:$F,"2.4.6",C_persona_agent!$H:$H,"passed"),COUNTIFS(C_persona_agent!$E:$E,"stefan",C_persona_agent!$F:$F,"2.4.6",C_persona_agent!$H:$H,"failed")&gt;=COUNTIFS(C_persona_agent!$E:$E,"stefan",C_persona_agent!$F:$F,"2.4.6",C_persona_agent!$H:$H,"inapplicable")),"failed (over-flags)",IF(AND(COUNTIFS(C_persona_agent!$E:$E,"stefan",C_persona_agent!$F:$F,"2.4.6",C_persona_agent!$H:$H,"passed")&gt;=COUNTIFS(C_persona_agent!$E:$E,"stefan",C_persona_agent!$F:$F,"2.4.6",C_persona_agent!$H:$H,"failed"),COUNTIFS(C_persona_agent!$E:$E,"stefan",C_persona_agent!$F:$F,"2.4.6",C_persona_agent!$H:$H,"passed")&gt;=COUNTIFS(C_persona_agent!$E:$E,"stefan",C_persona_agent!$F:$F,"2.4.6",C_persona_agent!$H:$H,"inapplicable")),"passed (under-flags)","inapplicable"))</f>
        <v>passed (under-flags)</v>
      </c>
    </row>
    <row r="11" customFormat="false" ht="15" hidden="false" customHeight="false" outlineLevel="0" collapsed="false">
      <c r="A11" s="21" t="s">
        <v>39</v>
      </c>
      <c r="B11" s="21" t="s">
        <v>50</v>
      </c>
      <c r="C11" s="21" t="s">
        <v>1926</v>
      </c>
      <c r="D11" s="22" t="n">
        <f aca="false">COUNTIFS(C_persona_agent!$E:$E,"sophie",C_persona_agent!$F:$F,"2.2.1")</f>
        <v>18</v>
      </c>
      <c r="E11" s="22" t="n">
        <f aca="false">SUMIFS(C_persona_agent!$I:$I,C_persona_agent!$E:$E,"sophie",C_persona_agent!$F:$F,"2.2.1")</f>
        <v>6</v>
      </c>
      <c r="F11" s="23" t="n">
        <f aca="false">IFERROR(E11/D11,0)</f>
        <v>0.333333333333333</v>
      </c>
      <c r="G11" s="22" t="n">
        <f aca="false">COUNTIFS(C_persona_agent!$E:$E,"sophie",C_persona_agent!$F:$F,"2.2.1",C_persona_agent!$G:$G,"passed",C_persona_agent!$H:$H,"passed")</f>
        <v>0</v>
      </c>
      <c r="H11" s="22" t="n">
        <f aca="false">COUNTIFS(C_persona_agent!$E:$E,"sophie",C_persona_agent!$F:$F,"2.2.1",C_persona_agent!$G:$G,"passed",C_persona_agent!$H:$H,"failed")</f>
        <v>6</v>
      </c>
      <c r="I11" s="22" t="n">
        <f aca="false">COUNTIFS(C_persona_agent!$E:$E,"sophie",C_persona_agent!$F:$F,"2.2.1",C_persona_agent!$G:$G,"passed",C_persona_agent!$H:$H,"inapplicable")</f>
        <v>0</v>
      </c>
      <c r="J11" s="22" t="n">
        <f aca="false">COUNTIFS(C_persona_agent!$E:$E,"sophie",C_persona_agent!$F:$F,"2.2.1",C_persona_agent!$G:$G,"failed",C_persona_agent!$H:$H,"passed")</f>
        <v>0</v>
      </c>
      <c r="K11" s="22" t="n">
        <f aca="false">COUNTIFS(C_persona_agent!$E:$E,"sophie",C_persona_agent!$F:$F,"2.2.1",C_persona_agent!$G:$G,"failed",C_persona_agent!$H:$H,"failed")</f>
        <v>6</v>
      </c>
      <c r="L11" s="22" t="n">
        <f aca="false">COUNTIFS(C_persona_agent!$E:$E,"sophie",C_persona_agent!$F:$F,"2.2.1",C_persona_agent!$G:$G,"failed",C_persona_agent!$H:$H,"inapplicable")</f>
        <v>0</v>
      </c>
      <c r="M11" s="22" t="n">
        <f aca="false">COUNTIFS(C_persona_agent!$E:$E,"sophie",C_persona_agent!$F:$F,"2.2.1",C_persona_agent!$G:$G,"inapplicable",C_persona_agent!$H:$H,"passed")</f>
        <v>0</v>
      </c>
      <c r="N11" s="22" t="n">
        <f aca="false">COUNTIFS(C_persona_agent!$E:$E,"sophie",C_persona_agent!$F:$F,"2.2.1",C_persona_agent!$G:$G,"inapplicable",C_persona_agent!$H:$H,"failed")</f>
        <v>6</v>
      </c>
      <c r="O11" s="22" t="n">
        <f aca="false">COUNTIFS(C_persona_agent!$E:$E,"sophie",C_persona_agent!$F:$F,"2.2.1",C_persona_agent!$G:$G,"inapplicable",C_persona_agent!$H:$H,"inapplicable")</f>
        <v>0</v>
      </c>
      <c r="P11" s="24" t="str">
        <f aca="false">IF(AND(COUNTIFS(C_persona_agent!$E:$E,"sophie",C_persona_agent!$F:$F,"2.2.1",C_persona_agent!$H:$H,"failed")&gt;=COUNTIFS(C_persona_agent!$E:$E,"sophie",C_persona_agent!$F:$F,"2.2.1",C_persona_agent!$H:$H,"passed"),COUNTIFS(C_persona_agent!$E:$E,"sophie",C_persona_agent!$F:$F,"2.2.1",C_persona_agent!$H:$H,"failed")&gt;=COUNTIFS(C_persona_agent!$E:$E,"sophie",C_persona_agent!$F:$F,"2.2.1",C_persona_agent!$H:$H,"inapplicable")),"failed (over-flags)",IF(AND(COUNTIFS(C_persona_agent!$E:$E,"sophie",C_persona_agent!$F:$F,"2.2.1",C_persona_agent!$H:$H,"passed")&gt;=COUNTIFS(C_persona_agent!$E:$E,"sophie",C_persona_agent!$F:$F,"2.2.1",C_persona_agent!$H:$H,"failed"),COUNTIFS(C_persona_agent!$E:$E,"sophie",C_persona_agent!$F:$F,"2.2.1",C_persona_agent!$H:$H,"passed")&gt;=COUNTIFS(C_persona_agent!$E:$E,"sophie",C_persona_agent!$F:$F,"2.2.1",C_persona_agent!$H:$H,"inapplicable")),"passed (under-flags)","inapplicable"))</f>
        <v>failed (over-flags)</v>
      </c>
    </row>
    <row r="12" customFormat="false" ht="15" hidden="false" customHeight="false" outlineLevel="0" collapsed="false">
      <c r="A12" s="17" t="s">
        <v>39</v>
      </c>
      <c r="B12" s="17" t="s">
        <v>61</v>
      </c>
      <c r="C12" s="17" t="s">
        <v>1926</v>
      </c>
      <c r="D12" s="18" t="n">
        <f aca="false">COUNTIFS(C_persona_agent!$E:$E,"sophie",C_persona_agent!$F:$F,"3.3.1")</f>
        <v>18</v>
      </c>
      <c r="E12" s="18" t="n">
        <f aca="false">SUMIFS(C_persona_agent!$I:$I,C_persona_agent!$E:$E,"sophie",C_persona_agent!$F:$F,"3.3.1")</f>
        <v>6</v>
      </c>
      <c r="F12" s="19" t="n">
        <f aca="false">IFERROR(E12/D12,0)</f>
        <v>0.333333333333333</v>
      </c>
      <c r="G12" s="18" t="n">
        <f aca="false">COUNTIFS(C_persona_agent!$E:$E,"sophie",C_persona_agent!$F:$F,"3.3.1",C_persona_agent!$G:$G,"passed",C_persona_agent!$H:$H,"passed")</f>
        <v>0</v>
      </c>
      <c r="H12" s="18" t="n">
        <f aca="false">COUNTIFS(C_persona_agent!$E:$E,"sophie",C_persona_agent!$F:$F,"3.3.1",C_persona_agent!$G:$G,"passed",C_persona_agent!$H:$H,"failed")</f>
        <v>6</v>
      </c>
      <c r="I12" s="18" t="n">
        <f aca="false">COUNTIFS(C_persona_agent!$E:$E,"sophie",C_persona_agent!$F:$F,"3.3.1",C_persona_agent!$G:$G,"passed",C_persona_agent!$H:$H,"inapplicable")</f>
        <v>0</v>
      </c>
      <c r="J12" s="18" t="n">
        <f aca="false">COUNTIFS(C_persona_agent!$E:$E,"sophie",C_persona_agent!$F:$F,"3.3.1",C_persona_agent!$G:$G,"failed",C_persona_agent!$H:$H,"passed")</f>
        <v>0</v>
      </c>
      <c r="K12" s="18" t="n">
        <f aca="false">COUNTIFS(C_persona_agent!$E:$E,"sophie",C_persona_agent!$F:$F,"3.3.1",C_persona_agent!$G:$G,"failed",C_persona_agent!$H:$H,"failed")</f>
        <v>6</v>
      </c>
      <c r="L12" s="18" t="n">
        <f aca="false">COUNTIFS(C_persona_agent!$E:$E,"sophie",C_persona_agent!$F:$F,"3.3.1",C_persona_agent!$G:$G,"failed",C_persona_agent!$H:$H,"inapplicable")</f>
        <v>0</v>
      </c>
      <c r="M12" s="18" t="n">
        <f aca="false">COUNTIFS(C_persona_agent!$E:$E,"sophie",C_persona_agent!$F:$F,"3.3.1",C_persona_agent!$G:$G,"inapplicable",C_persona_agent!$H:$H,"passed")</f>
        <v>3</v>
      </c>
      <c r="N12" s="18" t="n">
        <f aca="false">COUNTIFS(C_persona_agent!$E:$E,"sophie",C_persona_agent!$F:$F,"3.3.1",C_persona_agent!$G:$G,"inapplicable",C_persona_agent!$H:$H,"failed")</f>
        <v>3</v>
      </c>
      <c r="O12" s="18" t="n">
        <f aca="false">COUNTIFS(C_persona_agent!$E:$E,"sophie",C_persona_agent!$F:$F,"3.3.1",C_persona_agent!$G:$G,"inapplicable",C_persona_agent!$H:$H,"inapplicable")</f>
        <v>0</v>
      </c>
      <c r="P12" s="20" t="str">
        <f aca="false">IF(AND(COUNTIFS(C_persona_agent!$E:$E,"sophie",C_persona_agent!$F:$F,"3.3.1",C_persona_agent!$H:$H,"failed")&gt;=COUNTIFS(C_persona_agent!$E:$E,"sophie",C_persona_agent!$F:$F,"3.3.1",C_persona_agent!$H:$H,"passed"),COUNTIFS(C_persona_agent!$E:$E,"sophie",C_persona_agent!$F:$F,"3.3.1",C_persona_agent!$H:$H,"failed")&gt;=COUNTIFS(C_persona_agent!$E:$E,"sophie",C_persona_agent!$F:$F,"3.3.1",C_persona_agent!$H:$H,"inapplicable")),"failed (over-flags)",IF(AND(COUNTIFS(C_persona_agent!$E:$E,"sophie",C_persona_agent!$F:$F,"3.3.1",C_persona_agent!$H:$H,"passed")&gt;=COUNTIFS(C_persona_agent!$E:$E,"sophie",C_persona_agent!$F:$F,"3.3.1",C_persona_agent!$H:$H,"failed"),COUNTIFS(C_persona_agent!$E:$E,"sophie",C_persona_agent!$F:$F,"3.3.1",C_persona_agent!$H:$H,"passed")&gt;=COUNTIFS(C_persona_agent!$E:$E,"sophie",C_persona_agent!$F:$F,"3.3.1",C_persona_agent!$H:$H,"inapplicable")),"passed (under-flags)","inapplicable"))</f>
        <v>failed (over-flags)</v>
      </c>
    </row>
    <row r="13" customFormat="false" ht="15" hidden="false" customHeight="false" outlineLevel="0" collapsed="false">
      <c r="A13" s="21" t="s">
        <v>36</v>
      </c>
      <c r="B13" s="21" t="s">
        <v>48</v>
      </c>
      <c r="C13" s="21" t="s">
        <v>1492</v>
      </c>
      <c r="D13" s="22" t="n">
        <f aca="false">COUNTIFS(C_persona_agent!$E:$E,"elias",C_persona_agent!$F:$F,"1.4.12")</f>
        <v>18</v>
      </c>
      <c r="E13" s="22" t="n">
        <f aca="false">SUMIFS(C_persona_agent!$I:$I,C_persona_agent!$E:$E,"elias",C_persona_agent!$F:$F,"1.4.12")</f>
        <v>7</v>
      </c>
      <c r="F13" s="23" t="n">
        <f aca="false">IFERROR(E13/D13,0)</f>
        <v>0.388888888888889</v>
      </c>
      <c r="G13" s="22" t="n">
        <f aca="false">COUNTIFS(C_persona_agent!$E:$E,"elias",C_persona_agent!$F:$F,"1.4.12",C_persona_agent!$G:$G,"passed",C_persona_agent!$H:$H,"passed")</f>
        <v>3</v>
      </c>
      <c r="H13" s="22" t="n">
        <f aca="false">COUNTIFS(C_persona_agent!$E:$E,"elias",C_persona_agent!$F:$F,"1.4.12",C_persona_agent!$G:$G,"passed",C_persona_agent!$H:$H,"failed")</f>
        <v>3</v>
      </c>
      <c r="I13" s="22" t="n">
        <f aca="false">COUNTIFS(C_persona_agent!$E:$E,"elias",C_persona_agent!$F:$F,"1.4.12",C_persona_agent!$G:$G,"passed",C_persona_agent!$H:$H,"inapplicable")</f>
        <v>0</v>
      </c>
      <c r="J13" s="22" t="n">
        <f aca="false">COUNTIFS(C_persona_agent!$E:$E,"elias",C_persona_agent!$F:$F,"1.4.12",C_persona_agent!$G:$G,"failed",C_persona_agent!$H:$H,"passed")</f>
        <v>2</v>
      </c>
      <c r="K13" s="22" t="n">
        <f aca="false">COUNTIFS(C_persona_agent!$E:$E,"elias",C_persona_agent!$F:$F,"1.4.12",C_persona_agent!$G:$G,"failed",C_persona_agent!$H:$H,"failed")</f>
        <v>4</v>
      </c>
      <c r="L13" s="22" t="n">
        <f aca="false">COUNTIFS(C_persona_agent!$E:$E,"elias",C_persona_agent!$F:$F,"1.4.12",C_persona_agent!$G:$G,"failed",C_persona_agent!$H:$H,"inapplicable")</f>
        <v>0</v>
      </c>
      <c r="M13" s="22" t="n">
        <f aca="false">COUNTIFS(C_persona_agent!$E:$E,"elias",C_persona_agent!$F:$F,"1.4.12",C_persona_agent!$G:$G,"inapplicable",C_persona_agent!$H:$H,"passed")</f>
        <v>2</v>
      </c>
      <c r="N13" s="22" t="n">
        <f aca="false">COUNTIFS(C_persona_agent!$E:$E,"elias",C_persona_agent!$F:$F,"1.4.12",C_persona_agent!$G:$G,"inapplicable",C_persona_agent!$H:$H,"failed")</f>
        <v>4</v>
      </c>
      <c r="O13" s="22" t="n">
        <f aca="false">COUNTIFS(C_persona_agent!$E:$E,"elias",C_persona_agent!$F:$F,"1.4.12",C_persona_agent!$G:$G,"inapplicable",C_persona_agent!$H:$H,"inapplicable")</f>
        <v>0</v>
      </c>
      <c r="P13" s="24" t="str">
        <f aca="false">IF(AND(COUNTIFS(C_persona_agent!$E:$E,"elias",C_persona_agent!$F:$F,"1.4.12",C_persona_agent!$H:$H,"failed")&gt;=COUNTIFS(C_persona_agent!$E:$E,"elias",C_persona_agent!$F:$F,"1.4.12",C_persona_agent!$H:$H,"passed"),COUNTIFS(C_persona_agent!$E:$E,"elias",C_persona_agent!$F:$F,"1.4.12",C_persona_agent!$H:$H,"failed")&gt;=COUNTIFS(C_persona_agent!$E:$E,"elias",C_persona_agent!$F:$F,"1.4.12",C_persona_agent!$H:$H,"inapplicable")),"failed (over-flags)",IF(AND(COUNTIFS(C_persona_agent!$E:$E,"elias",C_persona_agent!$F:$F,"1.4.12",C_persona_agent!$H:$H,"passed")&gt;=COUNTIFS(C_persona_agent!$E:$E,"elias",C_persona_agent!$F:$F,"1.4.12",C_persona_agent!$H:$H,"failed"),COUNTIFS(C_persona_agent!$E:$E,"elias",C_persona_agent!$F:$F,"1.4.12",C_persona_agent!$H:$H,"passed")&gt;=COUNTIFS(C_persona_agent!$E:$E,"elias",C_persona_agent!$F:$F,"1.4.12",C_persona_agent!$H:$H,"inapplicable")),"passed (under-flags)","inapplicable"))</f>
        <v>failed (over-flags)</v>
      </c>
    </row>
    <row r="14" customFormat="false" ht="15" hidden="false" customHeight="false" outlineLevel="0" collapsed="false">
      <c r="A14" s="17" t="s">
        <v>36</v>
      </c>
      <c r="B14" s="17" t="s">
        <v>46</v>
      </c>
      <c r="C14" s="17" t="s">
        <v>1492</v>
      </c>
      <c r="D14" s="18" t="n">
        <f aca="false">COUNTIFS(C_persona_agent!$E:$E,"elias",C_persona_agent!$F:$F,"1.3.5")</f>
        <v>18</v>
      </c>
      <c r="E14" s="18" t="n">
        <f aca="false">SUMIFS(C_persona_agent!$I:$I,C_persona_agent!$E:$E,"elias",C_persona_agent!$F:$F,"1.3.5")</f>
        <v>7</v>
      </c>
      <c r="F14" s="19" t="n">
        <f aca="false">IFERROR(E14/D14,0)</f>
        <v>0.388888888888889</v>
      </c>
      <c r="G14" s="18" t="n">
        <f aca="false">COUNTIFS(C_persona_agent!$E:$E,"elias",C_persona_agent!$F:$F,"1.3.5",C_persona_agent!$G:$G,"passed",C_persona_agent!$H:$H,"passed")</f>
        <v>1</v>
      </c>
      <c r="H14" s="18" t="n">
        <f aca="false">COUNTIFS(C_persona_agent!$E:$E,"elias",C_persona_agent!$F:$F,"1.3.5",C_persona_agent!$G:$G,"passed",C_persona_agent!$H:$H,"failed")</f>
        <v>5</v>
      </c>
      <c r="I14" s="18" t="n">
        <f aca="false">COUNTIFS(C_persona_agent!$E:$E,"elias",C_persona_agent!$F:$F,"1.3.5",C_persona_agent!$G:$G,"passed",C_persona_agent!$H:$H,"inapplicable")</f>
        <v>0</v>
      </c>
      <c r="J14" s="18" t="n">
        <f aca="false">COUNTIFS(C_persona_agent!$E:$E,"elias",C_persona_agent!$F:$F,"1.3.5",C_persona_agent!$G:$G,"failed",C_persona_agent!$H:$H,"passed")</f>
        <v>0</v>
      </c>
      <c r="K14" s="18" t="n">
        <f aca="false">COUNTIFS(C_persona_agent!$E:$E,"elias",C_persona_agent!$F:$F,"1.3.5",C_persona_agent!$G:$G,"failed",C_persona_agent!$H:$H,"failed")</f>
        <v>6</v>
      </c>
      <c r="L14" s="18" t="n">
        <f aca="false">COUNTIFS(C_persona_agent!$E:$E,"elias",C_persona_agent!$F:$F,"1.3.5",C_persona_agent!$G:$G,"failed",C_persona_agent!$H:$H,"inapplicable")</f>
        <v>0</v>
      </c>
      <c r="M14" s="18" t="n">
        <f aca="false">COUNTIFS(C_persona_agent!$E:$E,"elias",C_persona_agent!$F:$F,"1.3.5",C_persona_agent!$G:$G,"inapplicable",C_persona_agent!$H:$H,"passed")</f>
        <v>0</v>
      </c>
      <c r="N14" s="18" t="n">
        <f aca="false">COUNTIFS(C_persona_agent!$E:$E,"elias",C_persona_agent!$F:$F,"1.3.5",C_persona_agent!$G:$G,"inapplicable",C_persona_agent!$H:$H,"failed")</f>
        <v>6</v>
      </c>
      <c r="O14" s="18" t="n">
        <f aca="false">COUNTIFS(C_persona_agent!$E:$E,"elias",C_persona_agent!$F:$F,"1.3.5",C_persona_agent!$G:$G,"inapplicable",C_persona_agent!$H:$H,"inapplicable")</f>
        <v>0</v>
      </c>
      <c r="P14" s="20" t="str">
        <f aca="false">IF(AND(COUNTIFS(C_persona_agent!$E:$E,"elias",C_persona_agent!$F:$F,"1.3.5",C_persona_agent!$H:$H,"failed")&gt;=COUNTIFS(C_persona_agent!$E:$E,"elias",C_persona_agent!$F:$F,"1.3.5",C_persona_agent!$H:$H,"passed"),COUNTIFS(C_persona_agent!$E:$E,"elias",C_persona_agent!$F:$F,"1.3.5",C_persona_agent!$H:$H,"failed")&gt;=COUNTIFS(C_persona_agent!$E:$E,"elias",C_persona_agent!$F:$F,"1.3.5",C_persona_agent!$H:$H,"inapplicable")),"failed (over-flags)",IF(AND(COUNTIFS(C_persona_agent!$E:$E,"elias",C_persona_agent!$F:$F,"1.3.5",C_persona_agent!$H:$H,"passed")&gt;=COUNTIFS(C_persona_agent!$E:$E,"elias",C_persona_agent!$F:$F,"1.3.5",C_persona_agent!$H:$H,"failed"),COUNTIFS(C_persona_agent!$E:$E,"elias",C_persona_agent!$F:$F,"1.3.5",C_persona_agent!$H:$H,"passed")&gt;=COUNTIFS(C_persona_agent!$E:$E,"elias",C_persona_agent!$F:$F,"1.3.5",C_persona_agent!$H:$H,"inapplicable")),"passed (under-flags)","inapplicable"))</f>
        <v>failed (over-flags)</v>
      </c>
    </row>
    <row r="15" customFormat="false" ht="15" hidden="false" customHeight="false" outlineLevel="0" collapsed="false">
      <c r="A15" s="21" t="s">
        <v>38</v>
      </c>
      <c r="B15" s="21" t="s">
        <v>63</v>
      </c>
      <c r="C15" s="21" t="s">
        <v>1784</v>
      </c>
      <c r="D15" s="22" t="n">
        <f aca="false">COUNTIFS(C_persona_agent!$E:$E,"lakshmi",C_persona_agent!$F:$F,"4.1.2")</f>
        <v>15</v>
      </c>
      <c r="E15" s="22" t="n">
        <f aca="false">SUMIFS(C_persona_agent!$I:$I,C_persona_agent!$E:$E,"lakshmi",C_persona_agent!$F:$F,"4.1.2")</f>
        <v>6</v>
      </c>
      <c r="F15" s="23" t="n">
        <f aca="false">IFERROR(E15/D15,0)</f>
        <v>0.4</v>
      </c>
      <c r="G15" s="22" t="n">
        <f aca="false">COUNTIFS(C_persona_agent!$E:$E,"lakshmi",C_persona_agent!$F:$F,"4.1.2",C_persona_agent!$G:$G,"passed",C_persona_agent!$H:$H,"passed")</f>
        <v>0</v>
      </c>
      <c r="H15" s="22" t="n">
        <f aca="false">COUNTIFS(C_persona_agent!$E:$E,"lakshmi",C_persona_agent!$F:$F,"4.1.2",C_persona_agent!$G:$G,"passed",C_persona_agent!$H:$H,"failed")</f>
        <v>6</v>
      </c>
      <c r="I15" s="22" t="n">
        <f aca="false">COUNTIFS(C_persona_agent!$E:$E,"lakshmi",C_persona_agent!$F:$F,"4.1.2",C_persona_agent!$G:$G,"passed",C_persona_agent!$H:$H,"inapplicable")</f>
        <v>0</v>
      </c>
      <c r="J15" s="22" t="n">
        <f aca="false">COUNTIFS(C_persona_agent!$E:$E,"lakshmi",C_persona_agent!$F:$F,"4.1.2",C_persona_agent!$G:$G,"failed",C_persona_agent!$H:$H,"passed")</f>
        <v>0</v>
      </c>
      <c r="K15" s="22" t="n">
        <f aca="false">COUNTIFS(C_persona_agent!$E:$E,"lakshmi",C_persona_agent!$F:$F,"4.1.2",C_persona_agent!$G:$G,"failed",C_persona_agent!$H:$H,"failed")</f>
        <v>3</v>
      </c>
      <c r="L15" s="22" t="n">
        <f aca="false">COUNTIFS(C_persona_agent!$E:$E,"lakshmi",C_persona_agent!$F:$F,"4.1.2",C_persona_agent!$G:$G,"failed",C_persona_agent!$H:$H,"inapplicable")</f>
        <v>0</v>
      </c>
      <c r="M15" s="22" t="n">
        <f aca="false">COUNTIFS(C_persona_agent!$E:$E,"lakshmi",C_persona_agent!$F:$F,"4.1.2",C_persona_agent!$G:$G,"inapplicable",C_persona_agent!$H:$H,"passed")</f>
        <v>0</v>
      </c>
      <c r="N15" s="22" t="n">
        <f aca="false">COUNTIFS(C_persona_agent!$E:$E,"lakshmi",C_persona_agent!$F:$F,"4.1.2",C_persona_agent!$G:$G,"inapplicable",C_persona_agent!$H:$H,"failed")</f>
        <v>3</v>
      </c>
      <c r="O15" s="22" t="n">
        <f aca="false">COUNTIFS(C_persona_agent!$E:$E,"lakshmi",C_persona_agent!$F:$F,"4.1.2",C_persona_agent!$G:$G,"inapplicable",C_persona_agent!$H:$H,"inapplicable")</f>
        <v>3</v>
      </c>
      <c r="P15" s="24" t="str">
        <f aca="false">IF(AND(COUNTIFS(C_persona_agent!$E:$E,"lakshmi",C_persona_agent!$F:$F,"4.1.2",C_persona_agent!$H:$H,"failed")&gt;=COUNTIFS(C_persona_agent!$E:$E,"lakshmi",C_persona_agent!$F:$F,"4.1.2",C_persona_agent!$H:$H,"passed"),COUNTIFS(C_persona_agent!$E:$E,"lakshmi",C_persona_agent!$F:$F,"4.1.2",C_persona_agent!$H:$H,"failed")&gt;=COUNTIFS(C_persona_agent!$E:$E,"lakshmi",C_persona_agent!$F:$F,"4.1.2",C_persona_agent!$H:$H,"inapplicable")),"failed (over-flags)",IF(AND(COUNTIFS(C_persona_agent!$E:$E,"lakshmi",C_persona_agent!$F:$F,"4.1.2",C_persona_agent!$H:$H,"passed")&gt;=COUNTIFS(C_persona_agent!$E:$E,"lakshmi",C_persona_agent!$F:$F,"4.1.2",C_persona_agent!$H:$H,"failed"),COUNTIFS(C_persona_agent!$E:$E,"lakshmi",C_persona_agent!$F:$F,"4.1.2",C_persona_agent!$H:$H,"passed")&gt;=COUNTIFS(C_persona_agent!$E:$E,"lakshmi",C_persona_agent!$F:$F,"4.1.2",C_persona_agent!$H:$H,"inapplicable")),"passed (under-flags)","inapplicable"))</f>
        <v>failed (over-flags)</v>
      </c>
    </row>
    <row r="16" customFormat="false" ht="15" hidden="false" customHeight="false" outlineLevel="0" collapsed="false">
      <c r="A16" s="17" t="s">
        <v>36</v>
      </c>
      <c r="B16" s="17" t="s">
        <v>47</v>
      </c>
      <c r="C16" s="17" t="s">
        <v>1492</v>
      </c>
      <c r="D16" s="18" t="n">
        <f aca="false">COUNTIFS(C_persona_agent!$E:$E,"elias",C_persona_agent!$F:$F,"1.4.3")</f>
        <v>18</v>
      </c>
      <c r="E16" s="18" t="n">
        <f aca="false">SUMIFS(C_persona_agent!$I:$I,C_persona_agent!$E:$E,"elias",C_persona_agent!$F:$F,"1.4.3")</f>
        <v>8</v>
      </c>
      <c r="F16" s="19" t="n">
        <f aca="false">IFERROR(E16/D16,0)</f>
        <v>0.444444444444444</v>
      </c>
      <c r="G16" s="18" t="n">
        <f aca="false">COUNTIFS(C_persona_agent!$E:$E,"elias",C_persona_agent!$F:$F,"1.4.3",C_persona_agent!$G:$G,"passed",C_persona_agent!$H:$H,"passed")</f>
        <v>0</v>
      </c>
      <c r="H16" s="18" t="n">
        <f aca="false">COUNTIFS(C_persona_agent!$E:$E,"elias",C_persona_agent!$F:$F,"1.4.3",C_persona_agent!$G:$G,"passed",C_persona_agent!$H:$H,"failed")</f>
        <v>6</v>
      </c>
      <c r="I16" s="18" t="n">
        <f aca="false">COUNTIFS(C_persona_agent!$E:$E,"elias",C_persona_agent!$F:$F,"1.4.3",C_persona_agent!$G:$G,"passed",C_persona_agent!$H:$H,"inapplicable")</f>
        <v>0</v>
      </c>
      <c r="J16" s="18" t="n">
        <f aca="false">COUNTIFS(C_persona_agent!$E:$E,"elias",C_persona_agent!$F:$F,"1.4.3",C_persona_agent!$G:$G,"failed",C_persona_agent!$H:$H,"passed")</f>
        <v>0</v>
      </c>
      <c r="K16" s="18" t="n">
        <f aca="false">COUNTIFS(C_persona_agent!$E:$E,"elias",C_persona_agent!$F:$F,"1.4.3",C_persona_agent!$G:$G,"failed",C_persona_agent!$H:$H,"failed")</f>
        <v>6</v>
      </c>
      <c r="L16" s="18" t="n">
        <f aca="false">COUNTIFS(C_persona_agent!$E:$E,"elias",C_persona_agent!$F:$F,"1.4.3",C_persona_agent!$G:$G,"failed",C_persona_agent!$H:$H,"inapplicable")</f>
        <v>0</v>
      </c>
      <c r="M16" s="18" t="n">
        <f aca="false">COUNTIFS(C_persona_agent!$E:$E,"elias",C_persona_agent!$F:$F,"1.4.3",C_persona_agent!$G:$G,"inapplicable",C_persona_agent!$H:$H,"passed")</f>
        <v>1</v>
      </c>
      <c r="N16" s="18" t="n">
        <f aca="false">COUNTIFS(C_persona_agent!$E:$E,"elias",C_persona_agent!$F:$F,"1.4.3",C_persona_agent!$G:$G,"inapplicable",C_persona_agent!$H:$H,"failed")</f>
        <v>3</v>
      </c>
      <c r="O16" s="18" t="n">
        <f aca="false">COUNTIFS(C_persona_agent!$E:$E,"elias",C_persona_agent!$F:$F,"1.4.3",C_persona_agent!$G:$G,"inapplicable",C_persona_agent!$H:$H,"inapplicable")</f>
        <v>2</v>
      </c>
      <c r="P16" s="20" t="str">
        <f aca="false">IF(AND(COUNTIFS(C_persona_agent!$E:$E,"elias",C_persona_agent!$F:$F,"1.4.3",C_persona_agent!$H:$H,"failed")&gt;=COUNTIFS(C_persona_agent!$E:$E,"elias",C_persona_agent!$F:$F,"1.4.3",C_persona_agent!$H:$H,"passed"),COUNTIFS(C_persona_agent!$E:$E,"elias",C_persona_agent!$F:$F,"1.4.3",C_persona_agent!$H:$H,"failed")&gt;=COUNTIFS(C_persona_agent!$E:$E,"elias",C_persona_agent!$F:$F,"1.4.3",C_persona_agent!$H:$H,"inapplicable")),"failed (over-flags)",IF(AND(COUNTIFS(C_persona_agent!$E:$E,"elias",C_persona_agent!$F:$F,"1.4.3",C_persona_agent!$H:$H,"passed")&gt;=COUNTIFS(C_persona_agent!$E:$E,"elias",C_persona_agent!$F:$F,"1.4.3",C_persona_agent!$H:$H,"failed"),COUNTIFS(C_persona_agent!$E:$E,"elias",C_persona_agent!$F:$F,"1.4.3",C_persona_agent!$H:$H,"passed")&gt;=COUNTIFS(C_persona_agent!$E:$E,"elias",C_persona_agent!$F:$F,"1.4.3",C_persona_agent!$H:$H,"inapplicable")),"passed (under-flags)","inapplicable"))</f>
        <v>failed (over-flags)</v>
      </c>
    </row>
    <row r="17" customFormat="false" ht="15" hidden="false" customHeight="false" outlineLevel="0" collapsed="false">
      <c r="A17" s="21" t="s">
        <v>35</v>
      </c>
      <c r="B17" s="21" t="s">
        <v>50</v>
      </c>
      <c r="C17" s="21" t="s">
        <v>1337</v>
      </c>
      <c r="D17" s="22" t="n">
        <f aca="false">COUNTIFS(C_persona_agent!$E:$E,"ade",C_persona_agent!$F:$F,"2.2.1")</f>
        <v>18</v>
      </c>
      <c r="E17" s="22" t="n">
        <f aca="false">SUMIFS(C_persona_agent!$I:$I,C_persona_agent!$E:$E,"ade",C_persona_agent!$F:$F,"2.2.1")</f>
        <v>8</v>
      </c>
      <c r="F17" s="23" t="n">
        <f aca="false">IFERROR(E17/D17,0)</f>
        <v>0.444444444444444</v>
      </c>
      <c r="G17" s="22" t="n">
        <f aca="false">COUNTIFS(C_persona_agent!$E:$E,"ade",C_persona_agent!$F:$F,"2.2.1",C_persona_agent!$G:$G,"passed",C_persona_agent!$H:$H,"passed")</f>
        <v>0</v>
      </c>
      <c r="H17" s="22" t="n">
        <f aca="false">COUNTIFS(C_persona_agent!$E:$E,"ade",C_persona_agent!$F:$F,"2.2.1",C_persona_agent!$G:$G,"passed",C_persona_agent!$H:$H,"failed")</f>
        <v>6</v>
      </c>
      <c r="I17" s="22" t="n">
        <f aca="false">COUNTIFS(C_persona_agent!$E:$E,"ade",C_persona_agent!$F:$F,"2.2.1",C_persona_agent!$G:$G,"passed",C_persona_agent!$H:$H,"inapplicable")</f>
        <v>0</v>
      </c>
      <c r="J17" s="22" t="n">
        <f aca="false">COUNTIFS(C_persona_agent!$E:$E,"ade",C_persona_agent!$F:$F,"2.2.1",C_persona_agent!$G:$G,"failed",C_persona_agent!$H:$H,"passed")</f>
        <v>0</v>
      </c>
      <c r="K17" s="22" t="n">
        <f aca="false">COUNTIFS(C_persona_agent!$E:$E,"ade",C_persona_agent!$F:$F,"2.2.1",C_persona_agent!$G:$G,"failed",C_persona_agent!$H:$H,"failed")</f>
        <v>6</v>
      </c>
      <c r="L17" s="22" t="n">
        <f aca="false">COUNTIFS(C_persona_agent!$E:$E,"ade",C_persona_agent!$F:$F,"2.2.1",C_persona_agent!$G:$G,"failed",C_persona_agent!$H:$H,"inapplicable")</f>
        <v>0</v>
      </c>
      <c r="M17" s="22" t="n">
        <f aca="false">COUNTIFS(C_persona_agent!$E:$E,"ade",C_persona_agent!$F:$F,"2.2.1",C_persona_agent!$G:$G,"inapplicable",C_persona_agent!$H:$H,"passed")</f>
        <v>1</v>
      </c>
      <c r="N17" s="22" t="n">
        <f aca="false">COUNTIFS(C_persona_agent!$E:$E,"ade",C_persona_agent!$F:$F,"2.2.1",C_persona_agent!$G:$G,"inapplicable",C_persona_agent!$H:$H,"failed")</f>
        <v>3</v>
      </c>
      <c r="O17" s="22" t="n">
        <f aca="false">COUNTIFS(C_persona_agent!$E:$E,"ade",C_persona_agent!$F:$F,"2.2.1",C_persona_agent!$G:$G,"inapplicable",C_persona_agent!$H:$H,"inapplicable")</f>
        <v>2</v>
      </c>
      <c r="P17" s="24" t="str">
        <f aca="false">IF(AND(COUNTIFS(C_persona_agent!$E:$E,"ade",C_persona_agent!$F:$F,"2.2.1",C_persona_agent!$H:$H,"failed")&gt;=COUNTIFS(C_persona_agent!$E:$E,"ade",C_persona_agent!$F:$F,"2.2.1",C_persona_agent!$H:$H,"passed"),COUNTIFS(C_persona_agent!$E:$E,"ade",C_persona_agent!$F:$F,"2.2.1",C_persona_agent!$H:$H,"failed")&gt;=COUNTIFS(C_persona_agent!$E:$E,"ade",C_persona_agent!$F:$F,"2.2.1",C_persona_agent!$H:$H,"inapplicable")),"failed (over-flags)",IF(AND(COUNTIFS(C_persona_agent!$E:$E,"ade",C_persona_agent!$F:$F,"2.2.1",C_persona_agent!$H:$H,"passed")&gt;=COUNTIFS(C_persona_agent!$E:$E,"ade",C_persona_agent!$F:$F,"2.2.1",C_persona_agent!$H:$H,"failed"),COUNTIFS(C_persona_agent!$E:$E,"ade",C_persona_agent!$F:$F,"2.2.1",C_persona_agent!$H:$H,"passed")&gt;=COUNTIFS(C_persona_agent!$E:$E,"ade",C_persona_agent!$F:$F,"2.2.1",C_persona_agent!$H:$H,"inapplicable")),"passed (under-flags)","inapplicable"))</f>
        <v>failed (over-flags)</v>
      </c>
    </row>
    <row r="18" customFormat="false" ht="15" hidden="false" customHeight="false" outlineLevel="0" collapsed="false">
      <c r="A18" s="17" t="s">
        <v>37</v>
      </c>
      <c r="B18" s="17" t="s">
        <v>60</v>
      </c>
      <c r="C18" s="17" t="s">
        <v>1641</v>
      </c>
      <c r="D18" s="18" t="n">
        <f aca="false">COUNTIFS(C_persona_agent!$E:$E,"ian",C_persona_agent!$F:$F,"3.1.5")</f>
        <v>18</v>
      </c>
      <c r="E18" s="18" t="n">
        <f aca="false">SUMIFS(C_persona_agent!$I:$I,C_persona_agent!$E:$E,"ian",C_persona_agent!$F:$F,"3.1.5")</f>
        <v>9</v>
      </c>
      <c r="F18" s="19" t="n">
        <f aca="false">IFERROR(E18/D18,0)</f>
        <v>0.5</v>
      </c>
      <c r="G18" s="18" t="n">
        <f aca="false">COUNTIFS(C_persona_agent!$E:$E,"ian",C_persona_agent!$F:$F,"3.1.5",C_persona_agent!$G:$G,"passed",C_persona_agent!$H:$H,"passed")</f>
        <v>3</v>
      </c>
      <c r="H18" s="18" t="n">
        <f aca="false">COUNTIFS(C_persona_agent!$E:$E,"ian",C_persona_agent!$F:$F,"3.1.5",C_persona_agent!$G:$G,"passed",C_persona_agent!$H:$H,"failed")</f>
        <v>3</v>
      </c>
      <c r="I18" s="18" t="n">
        <f aca="false">COUNTIFS(C_persona_agent!$E:$E,"ian",C_persona_agent!$F:$F,"3.1.5",C_persona_agent!$G:$G,"passed",C_persona_agent!$H:$H,"inapplicable")</f>
        <v>0</v>
      </c>
      <c r="J18" s="18" t="n">
        <f aca="false">COUNTIFS(C_persona_agent!$E:$E,"ian",C_persona_agent!$F:$F,"3.1.5",C_persona_agent!$G:$G,"failed",C_persona_agent!$H:$H,"passed")</f>
        <v>0</v>
      </c>
      <c r="K18" s="18" t="n">
        <f aca="false">COUNTIFS(C_persona_agent!$E:$E,"ian",C_persona_agent!$F:$F,"3.1.5",C_persona_agent!$G:$G,"failed",C_persona_agent!$H:$H,"failed")</f>
        <v>6</v>
      </c>
      <c r="L18" s="18" t="n">
        <f aca="false">COUNTIFS(C_persona_agent!$E:$E,"ian",C_persona_agent!$F:$F,"3.1.5",C_persona_agent!$G:$G,"failed",C_persona_agent!$H:$H,"inapplicable")</f>
        <v>0</v>
      </c>
      <c r="M18" s="18" t="n">
        <f aca="false">COUNTIFS(C_persona_agent!$E:$E,"ian",C_persona_agent!$F:$F,"3.1.5",C_persona_agent!$G:$G,"inapplicable",C_persona_agent!$H:$H,"passed")</f>
        <v>6</v>
      </c>
      <c r="N18" s="18" t="n">
        <f aca="false">COUNTIFS(C_persona_agent!$E:$E,"ian",C_persona_agent!$F:$F,"3.1.5",C_persona_agent!$G:$G,"inapplicable",C_persona_agent!$H:$H,"failed")</f>
        <v>0</v>
      </c>
      <c r="O18" s="18" t="n">
        <f aca="false">COUNTIFS(C_persona_agent!$E:$E,"ian",C_persona_agent!$F:$F,"3.1.5",C_persona_agent!$G:$G,"inapplicable",C_persona_agent!$H:$H,"inapplicable")</f>
        <v>0</v>
      </c>
      <c r="P18" s="20" t="str">
        <f aca="false">IF(AND(COUNTIFS(C_persona_agent!$E:$E,"ian",C_persona_agent!$F:$F,"3.1.5",C_persona_agent!$H:$H,"failed")&gt;=COUNTIFS(C_persona_agent!$E:$E,"ian",C_persona_agent!$F:$F,"3.1.5",C_persona_agent!$H:$H,"passed"),COUNTIFS(C_persona_agent!$E:$E,"ian",C_persona_agent!$F:$F,"3.1.5",C_persona_agent!$H:$H,"failed")&gt;=COUNTIFS(C_persona_agent!$E:$E,"ian",C_persona_agent!$F:$F,"3.1.5",C_persona_agent!$H:$H,"inapplicable")),"failed (over-flags)",IF(AND(COUNTIFS(C_persona_agent!$E:$E,"ian",C_persona_agent!$F:$F,"3.1.5",C_persona_agent!$H:$H,"passed")&gt;=COUNTIFS(C_persona_agent!$E:$E,"ian",C_persona_agent!$F:$F,"3.1.5",C_persona_agent!$H:$H,"failed"),COUNTIFS(C_persona_agent!$E:$E,"ian",C_persona_agent!$F:$F,"3.1.5",C_persona_agent!$H:$H,"passed")&gt;=COUNTIFS(C_persona_agent!$E:$E,"ian",C_persona_agent!$F:$F,"3.1.5",C_persona_agent!$H:$H,"inapplicable")),"passed (under-flags)","inapplicable"))</f>
        <v>failed (over-flags)</v>
      </c>
    </row>
    <row r="19" customFormat="false" ht="15" hidden="false" customHeight="false" outlineLevel="0" collapsed="false">
      <c r="A19" s="21" t="s">
        <v>37</v>
      </c>
      <c r="B19" s="21" t="s">
        <v>59</v>
      </c>
      <c r="C19" s="21" t="s">
        <v>1641</v>
      </c>
      <c r="D19" s="22" t="n">
        <f aca="false">COUNTIFS(C_persona_agent!$E:$E,"ian",C_persona_agent!$F:$F,"3.1.4")</f>
        <v>18</v>
      </c>
      <c r="E19" s="22" t="n">
        <f aca="false">SUMIFS(C_persona_agent!$I:$I,C_persona_agent!$E:$E,"ian",C_persona_agent!$F:$F,"3.1.4")</f>
        <v>9</v>
      </c>
      <c r="F19" s="23" t="n">
        <f aca="false">IFERROR(E19/D19,0)</f>
        <v>0.5</v>
      </c>
      <c r="G19" s="22" t="n">
        <f aca="false">COUNTIFS(C_persona_agent!$E:$E,"ian",C_persona_agent!$F:$F,"3.1.4",C_persona_agent!$G:$G,"passed",C_persona_agent!$H:$H,"passed")</f>
        <v>3</v>
      </c>
      <c r="H19" s="22" t="n">
        <f aca="false">COUNTIFS(C_persona_agent!$E:$E,"ian",C_persona_agent!$F:$F,"3.1.4",C_persona_agent!$G:$G,"passed",C_persona_agent!$H:$H,"failed")</f>
        <v>3</v>
      </c>
      <c r="I19" s="22" t="n">
        <f aca="false">COUNTIFS(C_persona_agent!$E:$E,"ian",C_persona_agent!$F:$F,"3.1.4",C_persona_agent!$G:$G,"passed",C_persona_agent!$H:$H,"inapplicable")</f>
        <v>0</v>
      </c>
      <c r="J19" s="22" t="n">
        <f aca="false">COUNTIFS(C_persona_agent!$E:$E,"ian",C_persona_agent!$F:$F,"3.1.4",C_persona_agent!$G:$G,"failed",C_persona_agent!$H:$H,"passed")</f>
        <v>0</v>
      </c>
      <c r="K19" s="22" t="n">
        <f aca="false">COUNTIFS(C_persona_agent!$E:$E,"ian",C_persona_agent!$F:$F,"3.1.4",C_persona_agent!$G:$G,"failed",C_persona_agent!$H:$H,"failed")</f>
        <v>6</v>
      </c>
      <c r="L19" s="22" t="n">
        <f aca="false">COUNTIFS(C_persona_agent!$E:$E,"ian",C_persona_agent!$F:$F,"3.1.4",C_persona_agent!$G:$G,"failed",C_persona_agent!$H:$H,"inapplicable")</f>
        <v>0</v>
      </c>
      <c r="M19" s="22" t="n">
        <f aca="false">COUNTIFS(C_persona_agent!$E:$E,"ian",C_persona_agent!$F:$F,"3.1.4",C_persona_agent!$G:$G,"inapplicable",C_persona_agent!$H:$H,"passed")</f>
        <v>6</v>
      </c>
      <c r="N19" s="22" t="n">
        <f aca="false">COUNTIFS(C_persona_agent!$E:$E,"ian",C_persona_agent!$F:$F,"3.1.4",C_persona_agent!$G:$G,"inapplicable",C_persona_agent!$H:$H,"failed")</f>
        <v>0</v>
      </c>
      <c r="O19" s="22" t="n">
        <f aca="false">COUNTIFS(C_persona_agent!$E:$E,"ian",C_persona_agent!$F:$F,"3.1.4",C_persona_agent!$G:$G,"inapplicable",C_persona_agent!$H:$H,"inapplicable")</f>
        <v>0</v>
      </c>
      <c r="P19" s="24" t="str">
        <f aca="false">IF(AND(COUNTIFS(C_persona_agent!$E:$E,"ian",C_persona_agent!$F:$F,"3.1.4",C_persona_agent!$H:$H,"failed")&gt;=COUNTIFS(C_persona_agent!$E:$E,"ian",C_persona_agent!$F:$F,"3.1.4",C_persona_agent!$H:$H,"passed"),COUNTIFS(C_persona_agent!$E:$E,"ian",C_persona_agent!$F:$F,"3.1.4",C_persona_agent!$H:$H,"failed")&gt;=COUNTIFS(C_persona_agent!$E:$E,"ian",C_persona_agent!$F:$F,"3.1.4",C_persona_agent!$H:$H,"inapplicable")),"failed (over-flags)",IF(AND(COUNTIFS(C_persona_agent!$E:$E,"ian",C_persona_agent!$F:$F,"3.1.4",C_persona_agent!$H:$H,"passed")&gt;=COUNTIFS(C_persona_agent!$E:$E,"ian",C_persona_agent!$F:$F,"3.1.4",C_persona_agent!$H:$H,"failed"),COUNTIFS(C_persona_agent!$E:$E,"ian",C_persona_agent!$F:$F,"3.1.4",C_persona_agent!$H:$H,"passed")&gt;=COUNTIFS(C_persona_agent!$E:$E,"ian",C_persona_agent!$F:$F,"3.1.4",C_persona_agent!$H:$H,"inapplicable")),"passed (under-flags)","inapplicable"))</f>
        <v>failed (over-flags)</v>
      </c>
    </row>
    <row r="20" customFormat="false" ht="15" hidden="false" customHeight="false" outlineLevel="0" collapsed="false">
      <c r="A20" s="17" t="s">
        <v>35</v>
      </c>
      <c r="B20" s="17" t="s">
        <v>56</v>
      </c>
      <c r="C20" s="17" t="s">
        <v>1337</v>
      </c>
      <c r="D20" s="18" t="n">
        <f aca="false">COUNTIFS(C_persona_agent!$E:$E,"ade",C_persona_agent!$F:$F,"2.4.7")</f>
        <v>18</v>
      </c>
      <c r="E20" s="18" t="n">
        <f aca="false">SUMIFS(C_persona_agent!$I:$I,C_persona_agent!$E:$E,"ade",C_persona_agent!$F:$F,"2.4.7")</f>
        <v>9</v>
      </c>
      <c r="F20" s="19" t="n">
        <f aca="false">IFERROR(E20/D20,0)</f>
        <v>0.5</v>
      </c>
      <c r="G20" s="18" t="n">
        <f aca="false">COUNTIFS(C_persona_agent!$E:$E,"ade",C_persona_agent!$F:$F,"2.4.7",C_persona_agent!$G:$G,"passed",C_persona_agent!$H:$H,"passed")</f>
        <v>0</v>
      </c>
      <c r="H20" s="18" t="n">
        <f aca="false">COUNTIFS(C_persona_agent!$E:$E,"ade",C_persona_agent!$F:$F,"2.4.7",C_persona_agent!$G:$G,"passed",C_persona_agent!$H:$H,"failed")</f>
        <v>6</v>
      </c>
      <c r="I20" s="18" t="n">
        <f aca="false">COUNTIFS(C_persona_agent!$E:$E,"ade",C_persona_agent!$F:$F,"2.4.7",C_persona_agent!$G:$G,"passed",C_persona_agent!$H:$H,"inapplicable")</f>
        <v>0</v>
      </c>
      <c r="J20" s="18" t="n">
        <f aca="false">COUNTIFS(C_persona_agent!$E:$E,"ade",C_persona_agent!$F:$F,"2.4.7",C_persona_agent!$G:$G,"failed",C_persona_agent!$H:$H,"passed")</f>
        <v>0</v>
      </c>
      <c r="K20" s="18" t="n">
        <f aca="false">COUNTIFS(C_persona_agent!$E:$E,"ade",C_persona_agent!$F:$F,"2.4.7",C_persona_agent!$G:$G,"failed",C_persona_agent!$H:$H,"failed")</f>
        <v>6</v>
      </c>
      <c r="L20" s="18" t="n">
        <f aca="false">COUNTIFS(C_persona_agent!$E:$E,"ade",C_persona_agent!$F:$F,"2.4.7",C_persona_agent!$G:$G,"failed",C_persona_agent!$H:$H,"inapplicable")</f>
        <v>0</v>
      </c>
      <c r="M20" s="18" t="n">
        <f aca="false">COUNTIFS(C_persona_agent!$E:$E,"ade",C_persona_agent!$F:$F,"2.4.7",C_persona_agent!$G:$G,"inapplicable",C_persona_agent!$H:$H,"passed")</f>
        <v>0</v>
      </c>
      <c r="N20" s="18" t="n">
        <f aca="false">COUNTIFS(C_persona_agent!$E:$E,"ade",C_persona_agent!$F:$F,"2.4.7",C_persona_agent!$G:$G,"inapplicable",C_persona_agent!$H:$H,"failed")</f>
        <v>3</v>
      </c>
      <c r="O20" s="18" t="n">
        <f aca="false">COUNTIFS(C_persona_agent!$E:$E,"ade",C_persona_agent!$F:$F,"2.4.7",C_persona_agent!$G:$G,"inapplicable",C_persona_agent!$H:$H,"inapplicable")</f>
        <v>3</v>
      </c>
      <c r="P20" s="20" t="str">
        <f aca="false">IF(AND(COUNTIFS(C_persona_agent!$E:$E,"ade",C_persona_agent!$F:$F,"2.4.7",C_persona_agent!$H:$H,"failed")&gt;=COUNTIFS(C_persona_agent!$E:$E,"ade",C_persona_agent!$F:$F,"2.4.7",C_persona_agent!$H:$H,"passed"),COUNTIFS(C_persona_agent!$E:$E,"ade",C_persona_agent!$F:$F,"2.4.7",C_persona_agent!$H:$H,"failed")&gt;=COUNTIFS(C_persona_agent!$E:$E,"ade",C_persona_agent!$F:$F,"2.4.7",C_persona_agent!$H:$H,"inapplicable")),"failed (over-flags)",IF(AND(COUNTIFS(C_persona_agent!$E:$E,"ade",C_persona_agent!$F:$F,"2.4.7",C_persona_agent!$H:$H,"passed")&gt;=COUNTIFS(C_persona_agent!$E:$E,"ade",C_persona_agent!$F:$F,"2.4.7",C_persona_agent!$H:$H,"failed"),COUNTIFS(C_persona_agent!$E:$E,"ade",C_persona_agent!$F:$F,"2.4.7",C_persona_agent!$H:$H,"passed")&gt;=COUNTIFS(C_persona_agent!$E:$E,"ade",C_persona_agent!$F:$F,"2.4.7",C_persona_agent!$H:$H,"inapplicable")),"passed (under-flags)","inapplicable"))</f>
        <v>failed (over-flags)</v>
      </c>
    </row>
    <row r="21" customFormat="false" ht="15" hidden="false" customHeight="false" outlineLevel="0" collapsed="false">
      <c r="A21" s="21" t="s">
        <v>35</v>
      </c>
      <c r="B21" s="21" t="s">
        <v>53</v>
      </c>
      <c r="C21" s="21" t="s">
        <v>1337</v>
      </c>
      <c r="D21" s="22" t="n">
        <f aca="false">COUNTIFS(C_persona_agent!$E:$E,"ade",C_persona_agent!$F:$F,"2.4.3")</f>
        <v>18</v>
      </c>
      <c r="E21" s="22" t="n">
        <f aca="false">SUMIFS(C_persona_agent!$I:$I,C_persona_agent!$E:$E,"ade",C_persona_agent!$F:$F,"2.4.3")</f>
        <v>9</v>
      </c>
      <c r="F21" s="23" t="n">
        <f aca="false">IFERROR(E21/D21,0)</f>
        <v>0.5</v>
      </c>
      <c r="G21" s="22" t="n">
        <f aca="false">COUNTIFS(C_persona_agent!$E:$E,"ade",C_persona_agent!$F:$F,"2.4.3",C_persona_agent!$G:$G,"passed",C_persona_agent!$H:$H,"passed")</f>
        <v>0</v>
      </c>
      <c r="H21" s="22" t="n">
        <f aca="false">COUNTIFS(C_persona_agent!$E:$E,"ade",C_persona_agent!$F:$F,"2.4.3",C_persona_agent!$G:$G,"passed",C_persona_agent!$H:$H,"failed")</f>
        <v>6</v>
      </c>
      <c r="I21" s="22" t="n">
        <f aca="false">COUNTIFS(C_persona_agent!$E:$E,"ade",C_persona_agent!$F:$F,"2.4.3",C_persona_agent!$G:$G,"passed",C_persona_agent!$H:$H,"inapplicable")</f>
        <v>0</v>
      </c>
      <c r="J21" s="22" t="n">
        <f aca="false">COUNTIFS(C_persona_agent!$E:$E,"ade",C_persona_agent!$F:$F,"2.4.3",C_persona_agent!$G:$G,"failed",C_persona_agent!$H:$H,"passed")</f>
        <v>0</v>
      </c>
      <c r="K21" s="22" t="n">
        <f aca="false">COUNTIFS(C_persona_agent!$E:$E,"ade",C_persona_agent!$F:$F,"2.4.3",C_persona_agent!$G:$G,"failed",C_persona_agent!$H:$H,"failed")</f>
        <v>6</v>
      </c>
      <c r="L21" s="22" t="n">
        <f aca="false">COUNTIFS(C_persona_agent!$E:$E,"ade",C_persona_agent!$F:$F,"2.4.3",C_persona_agent!$G:$G,"failed",C_persona_agent!$H:$H,"inapplicable")</f>
        <v>0</v>
      </c>
      <c r="M21" s="22" t="n">
        <f aca="false">COUNTIFS(C_persona_agent!$E:$E,"ade",C_persona_agent!$F:$F,"2.4.3",C_persona_agent!$G:$G,"inapplicable",C_persona_agent!$H:$H,"passed")</f>
        <v>0</v>
      </c>
      <c r="N21" s="22" t="n">
        <f aca="false">COUNTIFS(C_persona_agent!$E:$E,"ade",C_persona_agent!$F:$F,"2.4.3",C_persona_agent!$G:$G,"inapplicable",C_persona_agent!$H:$H,"failed")</f>
        <v>3</v>
      </c>
      <c r="O21" s="22" t="n">
        <f aca="false">COUNTIFS(C_persona_agent!$E:$E,"ade",C_persona_agent!$F:$F,"2.4.3",C_persona_agent!$G:$G,"inapplicable",C_persona_agent!$H:$H,"inapplicable")</f>
        <v>3</v>
      </c>
      <c r="P21" s="24" t="str">
        <f aca="false">IF(AND(COUNTIFS(C_persona_agent!$E:$E,"ade",C_persona_agent!$F:$F,"2.4.3",C_persona_agent!$H:$H,"failed")&gt;=COUNTIFS(C_persona_agent!$E:$E,"ade",C_persona_agent!$F:$F,"2.4.3",C_persona_agent!$H:$H,"passed"),COUNTIFS(C_persona_agent!$E:$E,"ade",C_persona_agent!$F:$F,"2.4.3",C_persona_agent!$H:$H,"failed")&gt;=COUNTIFS(C_persona_agent!$E:$E,"ade",C_persona_agent!$F:$F,"2.4.3",C_persona_agent!$H:$H,"inapplicable")),"failed (over-flags)",IF(AND(COUNTIFS(C_persona_agent!$E:$E,"ade",C_persona_agent!$F:$F,"2.4.3",C_persona_agent!$H:$H,"passed")&gt;=COUNTIFS(C_persona_agent!$E:$E,"ade",C_persona_agent!$F:$F,"2.4.3",C_persona_agent!$H:$H,"failed"),COUNTIFS(C_persona_agent!$E:$E,"ade",C_persona_agent!$F:$F,"2.4.3",C_persona_agent!$H:$H,"passed")&gt;=COUNTIFS(C_persona_agent!$E:$E,"ade",C_persona_agent!$F:$F,"2.4.3",C_persona_agent!$H:$H,"inapplicable")),"passed (under-flags)","inapplicable"))</f>
        <v>failed (over-flags)</v>
      </c>
    </row>
    <row r="22" customFormat="false" ht="15" hidden="false" customHeight="false" outlineLevel="0" collapsed="false">
      <c r="A22" s="17" t="s">
        <v>37</v>
      </c>
      <c r="B22" s="17" t="s">
        <v>51</v>
      </c>
      <c r="C22" s="17" t="s">
        <v>1641</v>
      </c>
      <c r="D22" s="18" t="n">
        <f aca="false">COUNTIFS(C_persona_agent!$E:$E,"ian",C_persona_agent!$F:$F,"2.2.2")</f>
        <v>18</v>
      </c>
      <c r="E22" s="18" t="n">
        <f aca="false">SUMIFS(C_persona_agent!$I:$I,C_persona_agent!$E:$E,"ian",C_persona_agent!$F:$F,"2.2.2")</f>
        <v>9</v>
      </c>
      <c r="F22" s="19" t="n">
        <f aca="false">IFERROR(E22/D22,0)</f>
        <v>0.5</v>
      </c>
      <c r="G22" s="18" t="n">
        <f aca="false">COUNTIFS(C_persona_agent!$E:$E,"ian",C_persona_agent!$F:$F,"2.2.2",C_persona_agent!$G:$G,"passed",C_persona_agent!$H:$H,"passed")</f>
        <v>0</v>
      </c>
      <c r="H22" s="18" t="n">
        <f aca="false">COUNTIFS(C_persona_agent!$E:$E,"ian",C_persona_agent!$F:$F,"2.2.2",C_persona_agent!$G:$G,"passed",C_persona_agent!$H:$H,"failed")</f>
        <v>6</v>
      </c>
      <c r="I22" s="18" t="n">
        <f aca="false">COUNTIFS(C_persona_agent!$E:$E,"ian",C_persona_agent!$F:$F,"2.2.2",C_persona_agent!$G:$G,"passed",C_persona_agent!$H:$H,"inapplicable")</f>
        <v>0</v>
      </c>
      <c r="J22" s="18" t="n">
        <f aca="false">COUNTIFS(C_persona_agent!$E:$E,"ian",C_persona_agent!$F:$F,"2.2.2",C_persona_agent!$G:$G,"failed",C_persona_agent!$H:$H,"passed")</f>
        <v>0</v>
      </c>
      <c r="K22" s="18" t="n">
        <f aca="false">COUNTIFS(C_persona_agent!$E:$E,"ian",C_persona_agent!$F:$F,"2.2.2",C_persona_agent!$G:$G,"failed",C_persona_agent!$H:$H,"failed")</f>
        <v>6</v>
      </c>
      <c r="L22" s="18" t="n">
        <f aca="false">COUNTIFS(C_persona_agent!$E:$E,"ian",C_persona_agent!$F:$F,"2.2.2",C_persona_agent!$G:$G,"failed",C_persona_agent!$H:$H,"inapplicable")</f>
        <v>0</v>
      </c>
      <c r="M22" s="18" t="n">
        <f aca="false">COUNTIFS(C_persona_agent!$E:$E,"ian",C_persona_agent!$F:$F,"2.2.2",C_persona_agent!$G:$G,"inapplicable",C_persona_agent!$H:$H,"passed")</f>
        <v>0</v>
      </c>
      <c r="N22" s="18" t="n">
        <f aca="false">COUNTIFS(C_persona_agent!$E:$E,"ian",C_persona_agent!$F:$F,"2.2.2",C_persona_agent!$G:$G,"inapplicable",C_persona_agent!$H:$H,"failed")</f>
        <v>3</v>
      </c>
      <c r="O22" s="18" t="n">
        <f aca="false">COUNTIFS(C_persona_agent!$E:$E,"ian",C_persona_agent!$F:$F,"2.2.2",C_persona_agent!$G:$G,"inapplicable",C_persona_agent!$H:$H,"inapplicable")</f>
        <v>3</v>
      </c>
      <c r="P22" s="20" t="str">
        <f aca="false">IF(AND(COUNTIFS(C_persona_agent!$E:$E,"ian",C_persona_agent!$F:$F,"2.2.2",C_persona_agent!$H:$H,"failed")&gt;=COUNTIFS(C_persona_agent!$E:$E,"ian",C_persona_agent!$F:$F,"2.2.2",C_persona_agent!$H:$H,"passed"),COUNTIFS(C_persona_agent!$E:$E,"ian",C_persona_agent!$F:$F,"2.2.2",C_persona_agent!$H:$H,"failed")&gt;=COUNTIFS(C_persona_agent!$E:$E,"ian",C_persona_agent!$F:$F,"2.2.2",C_persona_agent!$H:$H,"inapplicable")),"failed (over-flags)",IF(AND(COUNTIFS(C_persona_agent!$E:$E,"ian",C_persona_agent!$F:$F,"2.2.2",C_persona_agent!$H:$H,"passed")&gt;=COUNTIFS(C_persona_agent!$E:$E,"ian",C_persona_agent!$F:$F,"2.2.2",C_persona_agent!$H:$H,"failed"),COUNTIFS(C_persona_agent!$E:$E,"ian",C_persona_agent!$F:$F,"2.2.2",C_persona_agent!$H:$H,"passed")&gt;=COUNTIFS(C_persona_agent!$E:$E,"ian",C_persona_agent!$F:$F,"2.2.2",C_persona_agent!$H:$H,"inapplicable")),"passed (under-flags)","inapplicable"))</f>
        <v>failed (over-flags)</v>
      </c>
    </row>
    <row r="23" customFormat="false" ht="15" hidden="false" customHeight="false" outlineLevel="0" collapsed="false">
      <c r="A23" s="21" t="s">
        <v>38</v>
      </c>
      <c r="B23" s="21" t="s">
        <v>52</v>
      </c>
      <c r="C23" s="21" t="s">
        <v>1784</v>
      </c>
      <c r="D23" s="22" t="n">
        <f aca="false">COUNTIFS(C_persona_agent!$E:$E,"lakshmi",C_persona_agent!$F:$F,"2.4.1")</f>
        <v>18</v>
      </c>
      <c r="E23" s="22" t="n">
        <f aca="false">SUMIFS(C_persona_agent!$I:$I,C_persona_agent!$E:$E,"lakshmi",C_persona_agent!$F:$F,"2.4.1")</f>
        <v>9</v>
      </c>
      <c r="F23" s="23" t="n">
        <f aca="false">IFERROR(E23/D23,0)</f>
        <v>0.5</v>
      </c>
      <c r="G23" s="22" t="n">
        <f aca="false">COUNTIFS(C_persona_agent!$E:$E,"lakshmi",C_persona_agent!$F:$F,"2.4.1",C_persona_agent!$G:$G,"passed",C_persona_agent!$H:$H,"passed")</f>
        <v>0</v>
      </c>
      <c r="H23" s="22" t="n">
        <f aca="false">COUNTIFS(C_persona_agent!$E:$E,"lakshmi",C_persona_agent!$F:$F,"2.4.1",C_persona_agent!$G:$G,"passed",C_persona_agent!$H:$H,"failed")</f>
        <v>6</v>
      </c>
      <c r="I23" s="22" t="n">
        <f aca="false">COUNTIFS(C_persona_agent!$E:$E,"lakshmi",C_persona_agent!$F:$F,"2.4.1",C_persona_agent!$G:$G,"passed",C_persona_agent!$H:$H,"inapplicable")</f>
        <v>0</v>
      </c>
      <c r="J23" s="22" t="n">
        <f aca="false">COUNTIFS(C_persona_agent!$E:$E,"lakshmi",C_persona_agent!$F:$F,"2.4.1",C_persona_agent!$G:$G,"failed",C_persona_agent!$H:$H,"passed")</f>
        <v>0</v>
      </c>
      <c r="K23" s="22" t="n">
        <f aca="false">COUNTIFS(C_persona_agent!$E:$E,"lakshmi",C_persona_agent!$F:$F,"2.4.1",C_persona_agent!$G:$G,"failed",C_persona_agent!$H:$H,"failed")</f>
        <v>6</v>
      </c>
      <c r="L23" s="22" t="n">
        <f aca="false">COUNTIFS(C_persona_agent!$E:$E,"lakshmi",C_persona_agent!$F:$F,"2.4.1",C_persona_agent!$G:$G,"failed",C_persona_agent!$H:$H,"inapplicable")</f>
        <v>0</v>
      </c>
      <c r="M23" s="22" t="n">
        <f aca="false">COUNTIFS(C_persona_agent!$E:$E,"lakshmi",C_persona_agent!$F:$F,"2.4.1",C_persona_agent!$G:$G,"inapplicable",C_persona_agent!$H:$H,"passed")</f>
        <v>2</v>
      </c>
      <c r="N23" s="22" t="n">
        <f aca="false">COUNTIFS(C_persona_agent!$E:$E,"lakshmi",C_persona_agent!$F:$F,"2.4.1",C_persona_agent!$G:$G,"inapplicable",C_persona_agent!$H:$H,"failed")</f>
        <v>1</v>
      </c>
      <c r="O23" s="22" t="n">
        <f aca="false">COUNTIFS(C_persona_agent!$E:$E,"lakshmi",C_persona_agent!$F:$F,"2.4.1",C_persona_agent!$G:$G,"inapplicable",C_persona_agent!$H:$H,"inapplicable")</f>
        <v>3</v>
      </c>
      <c r="P23" s="24" t="str">
        <f aca="false">IF(AND(COUNTIFS(C_persona_agent!$E:$E,"lakshmi",C_persona_agent!$F:$F,"2.4.1",C_persona_agent!$H:$H,"failed")&gt;=COUNTIFS(C_persona_agent!$E:$E,"lakshmi",C_persona_agent!$F:$F,"2.4.1",C_persona_agent!$H:$H,"passed"),COUNTIFS(C_persona_agent!$E:$E,"lakshmi",C_persona_agent!$F:$F,"2.4.1",C_persona_agent!$H:$H,"failed")&gt;=COUNTIFS(C_persona_agent!$E:$E,"lakshmi",C_persona_agent!$F:$F,"2.4.1",C_persona_agent!$H:$H,"inapplicable")),"failed (over-flags)",IF(AND(COUNTIFS(C_persona_agent!$E:$E,"lakshmi",C_persona_agent!$F:$F,"2.4.1",C_persona_agent!$H:$H,"passed")&gt;=COUNTIFS(C_persona_agent!$E:$E,"lakshmi",C_persona_agent!$F:$F,"2.4.1",C_persona_agent!$H:$H,"failed"),COUNTIFS(C_persona_agent!$E:$E,"lakshmi",C_persona_agent!$F:$F,"2.4.1",C_persona_agent!$H:$H,"passed")&gt;=COUNTIFS(C_persona_agent!$E:$E,"lakshmi",C_persona_agent!$F:$F,"2.4.1",C_persona_agent!$H:$H,"inapplicable")),"passed (under-flags)","inapplicable"))</f>
        <v>failed (over-flags)</v>
      </c>
    </row>
    <row r="24" customFormat="false" ht="15" hidden="false" customHeight="false" outlineLevel="0" collapsed="false">
      <c r="A24" s="17" t="s">
        <v>40</v>
      </c>
      <c r="B24" s="17" t="s">
        <v>54</v>
      </c>
      <c r="C24" s="17" t="s">
        <v>2057</v>
      </c>
      <c r="D24" s="18" t="n">
        <f aca="false">COUNTIFS(C_persona_agent!$E:$E,"stefan",C_persona_agent!$F:$F,"2.4.5")</f>
        <v>18</v>
      </c>
      <c r="E24" s="18" t="n">
        <f aca="false">SUMIFS(C_persona_agent!$I:$I,C_persona_agent!$E:$E,"stefan",C_persona_agent!$F:$F,"2.4.5")</f>
        <v>9</v>
      </c>
      <c r="F24" s="19" t="n">
        <f aca="false">IFERROR(E24/D24,0)</f>
        <v>0.5</v>
      </c>
      <c r="G24" s="18" t="n">
        <f aca="false">COUNTIFS(C_persona_agent!$E:$E,"stefan",C_persona_agent!$F:$F,"2.4.5",C_persona_agent!$G:$G,"passed",C_persona_agent!$H:$H,"passed")</f>
        <v>6</v>
      </c>
      <c r="H24" s="18" t="n">
        <f aca="false">COUNTIFS(C_persona_agent!$E:$E,"stefan",C_persona_agent!$F:$F,"2.4.5",C_persona_agent!$G:$G,"passed",C_persona_agent!$H:$H,"failed")</f>
        <v>0</v>
      </c>
      <c r="I24" s="18" t="n">
        <f aca="false">COUNTIFS(C_persona_agent!$E:$E,"stefan",C_persona_agent!$F:$F,"2.4.5",C_persona_agent!$G:$G,"passed",C_persona_agent!$H:$H,"inapplicable")</f>
        <v>0</v>
      </c>
      <c r="J24" s="18" t="n">
        <f aca="false">COUNTIFS(C_persona_agent!$E:$E,"stefan",C_persona_agent!$F:$F,"2.4.5",C_persona_agent!$G:$G,"failed",C_persona_agent!$H:$H,"passed")</f>
        <v>3</v>
      </c>
      <c r="K24" s="18" t="n">
        <f aca="false">COUNTIFS(C_persona_agent!$E:$E,"stefan",C_persona_agent!$F:$F,"2.4.5",C_persona_agent!$G:$G,"failed",C_persona_agent!$H:$H,"failed")</f>
        <v>3</v>
      </c>
      <c r="L24" s="18" t="n">
        <f aca="false">COUNTIFS(C_persona_agent!$E:$E,"stefan",C_persona_agent!$F:$F,"2.4.5",C_persona_agent!$G:$G,"failed",C_persona_agent!$H:$H,"inapplicable")</f>
        <v>0</v>
      </c>
      <c r="M24" s="18" t="n">
        <f aca="false">COUNTIFS(C_persona_agent!$E:$E,"stefan",C_persona_agent!$F:$F,"2.4.5",C_persona_agent!$G:$G,"inapplicable",C_persona_agent!$H:$H,"passed")</f>
        <v>4</v>
      </c>
      <c r="N24" s="18" t="n">
        <f aca="false">COUNTIFS(C_persona_agent!$E:$E,"stefan",C_persona_agent!$F:$F,"2.4.5",C_persona_agent!$G:$G,"inapplicable",C_persona_agent!$H:$H,"failed")</f>
        <v>2</v>
      </c>
      <c r="O24" s="18" t="n">
        <f aca="false">COUNTIFS(C_persona_agent!$E:$E,"stefan",C_persona_agent!$F:$F,"2.4.5",C_persona_agent!$G:$G,"inapplicable",C_persona_agent!$H:$H,"inapplicable")</f>
        <v>0</v>
      </c>
      <c r="P24" s="20" t="str">
        <f aca="false">IF(AND(COUNTIFS(C_persona_agent!$E:$E,"stefan",C_persona_agent!$F:$F,"2.4.5",C_persona_agent!$H:$H,"failed")&gt;=COUNTIFS(C_persona_agent!$E:$E,"stefan",C_persona_agent!$F:$F,"2.4.5",C_persona_agent!$H:$H,"passed"),COUNTIFS(C_persona_agent!$E:$E,"stefan",C_persona_agent!$F:$F,"2.4.5",C_persona_agent!$H:$H,"failed")&gt;=COUNTIFS(C_persona_agent!$E:$E,"stefan",C_persona_agent!$F:$F,"2.4.5",C_persona_agent!$H:$H,"inapplicable")),"failed (over-flags)",IF(AND(COUNTIFS(C_persona_agent!$E:$E,"stefan",C_persona_agent!$F:$F,"2.4.5",C_persona_agent!$H:$H,"passed")&gt;=COUNTIFS(C_persona_agent!$E:$E,"stefan",C_persona_agent!$F:$F,"2.4.5",C_persona_agent!$H:$H,"failed"),COUNTIFS(C_persona_agent!$E:$E,"stefan",C_persona_agent!$F:$F,"2.4.5",C_persona_agent!$H:$H,"passed")&gt;=COUNTIFS(C_persona_agent!$E:$E,"stefan",C_persona_agent!$F:$F,"2.4.5",C_persona_agent!$H:$H,"inapplicable")),"passed (under-flags)","inapplicable"))</f>
        <v>passed (under-flags)</v>
      </c>
    </row>
    <row r="25" customFormat="false" ht="15" hidden="false" customHeight="false" outlineLevel="0" collapsed="false">
      <c r="A25" s="21" t="s">
        <v>35</v>
      </c>
      <c r="B25" s="21" t="s">
        <v>58</v>
      </c>
      <c r="C25" s="21" t="s">
        <v>1337</v>
      </c>
      <c r="D25" s="22" t="n">
        <f aca="false">COUNTIFS(C_persona_agent!$E:$E,"ade",C_persona_agent!$F:$F,"2.5.5")</f>
        <v>18</v>
      </c>
      <c r="E25" s="22" t="n">
        <f aca="false">SUMIFS(C_persona_agent!$I:$I,C_persona_agent!$E:$E,"ade",C_persona_agent!$F:$F,"2.5.5")</f>
        <v>10</v>
      </c>
      <c r="F25" s="23" t="n">
        <f aca="false">IFERROR(E25/D25,0)</f>
        <v>0.555555555555556</v>
      </c>
      <c r="G25" s="22" t="n">
        <f aca="false">COUNTIFS(C_persona_agent!$E:$E,"ade",C_persona_agent!$F:$F,"2.5.5",C_persona_agent!$G:$G,"passed",C_persona_agent!$H:$H,"passed")</f>
        <v>1</v>
      </c>
      <c r="H25" s="22" t="n">
        <f aca="false">COUNTIFS(C_persona_agent!$E:$E,"ade",C_persona_agent!$F:$F,"2.5.5",C_persona_agent!$G:$G,"passed",C_persona_agent!$H:$H,"failed")</f>
        <v>5</v>
      </c>
      <c r="I25" s="22" t="n">
        <f aca="false">COUNTIFS(C_persona_agent!$E:$E,"ade",C_persona_agent!$F:$F,"2.5.5",C_persona_agent!$G:$G,"passed",C_persona_agent!$H:$H,"inapplicable")</f>
        <v>0</v>
      </c>
      <c r="J25" s="22" t="n">
        <f aca="false">COUNTIFS(C_persona_agent!$E:$E,"ade",C_persona_agent!$F:$F,"2.5.5",C_persona_agent!$G:$G,"failed",C_persona_agent!$H:$H,"passed")</f>
        <v>0</v>
      </c>
      <c r="K25" s="22" t="n">
        <f aca="false">COUNTIFS(C_persona_agent!$E:$E,"ade",C_persona_agent!$F:$F,"2.5.5",C_persona_agent!$G:$G,"failed",C_persona_agent!$H:$H,"failed")</f>
        <v>6</v>
      </c>
      <c r="L25" s="22" t="n">
        <f aca="false">COUNTIFS(C_persona_agent!$E:$E,"ade",C_persona_agent!$F:$F,"2.5.5",C_persona_agent!$G:$G,"failed",C_persona_agent!$H:$H,"inapplicable")</f>
        <v>0</v>
      </c>
      <c r="M25" s="22" t="n">
        <f aca="false">COUNTIFS(C_persona_agent!$E:$E,"ade",C_persona_agent!$F:$F,"2.5.5",C_persona_agent!$G:$G,"inapplicable",C_persona_agent!$H:$H,"passed")</f>
        <v>3</v>
      </c>
      <c r="N25" s="22" t="n">
        <f aca="false">COUNTIFS(C_persona_agent!$E:$E,"ade",C_persona_agent!$F:$F,"2.5.5",C_persona_agent!$G:$G,"inapplicable",C_persona_agent!$H:$H,"failed")</f>
        <v>0</v>
      </c>
      <c r="O25" s="22" t="n">
        <f aca="false">COUNTIFS(C_persona_agent!$E:$E,"ade",C_persona_agent!$F:$F,"2.5.5",C_persona_agent!$G:$G,"inapplicable",C_persona_agent!$H:$H,"inapplicable")</f>
        <v>3</v>
      </c>
      <c r="P25" s="24" t="str">
        <f aca="false">IF(AND(COUNTIFS(C_persona_agent!$E:$E,"ade",C_persona_agent!$F:$F,"2.5.5",C_persona_agent!$H:$H,"failed")&gt;=COUNTIFS(C_persona_agent!$E:$E,"ade",C_persona_agent!$F:$F,"2.5.5",C_persona_agent!$H:$H,"passed"),COUNTIFS(C_persona_agent!$E:$E,"ade",C_persona_agent!$F:$F,"2.5.5",C_persona_agent!$H:$H,"failed")&gt;=COUNTIFS(C_persona_agent!$E:$E,"ade",C_persona_agent!$F:$F,"2.5.5",C_persona_agent!$H:$H,"inapplicable")),"failed (over-flags)",IF(AND(COUNTIFS(C_persona_agent!$E:$E,"ade",C_persona_agent!$F:$F,"2.5.5",C_persona_agent!$H:$H,"passed")&gt;=COUNTIFS(C_persona_agent!$E:$E,"ade",C_persona_agent!$F:$F,"2.5.5",C_persona_agent!$H:$H,"failed"),COUNTIFS(C_persona_agent!$E:$E,"ade",C_persona_agent!$F:$F,"2.5.5",C_persona_agent!$H:$H,"passed")&gt;=COUNTIFS(C_persona_agent!$E:$E,"ade",C_persona_agent!$F:$F,"2.5.5",C_persona_agent!$H:$H,"inapplicable")),"passed (under-flags)","inapplicable"))</f>
        <v>failed (over-flags)</v>
      </c>
    </row>
    <row r="26" customFormat="false" ht="15" hidden="false" customHeight="false" outlineLevel="0" collapsed="false">
      <c r="A26" s="17" t="s">
        <v>39</v>
      </c>
      <c r="B26" s="17" t="s">
        <v>62</v>
      </c>
      <c r="C26" s="17" t="s">
        <v>1926</v>
      </c>
      <c r="D26" s="18" t="n">
        <f aca="false">COUNTIFS(C_persona_agent!$E:$E,"sophie",C_persona_agent!$F:$F,"3.3.2")</f>
        <v>18</v>
      </c>
      <c r="E26" s="18" t="n">
        <f aca="false">SUMIFS(C_persona_agent!$I:$I,C_persona_agent!$E:$E,"sophie",C_persona_agent!$F:$F,"3.3.2")</f>
        <v>11</v>
      </c>
      <c r="F26" s="19" t="n">
        <f aca="false">IFERROR(E26/D26,0)</f>
        <v>0.611111111111111</v>
      </c>
      <c r="G26" s="18" t="n">
        <f aca="false">COUNTIFS(C_persona_agent!$E:$E,"sophie",C_persona_agent!$F:$F,"3.3.2",C_persona_agent!$G:$G,"passed",C_persona_agent!$H:$H,"passed")</f>
        <v>5</v>
      </c>
      <c r="H26" s="18" t="n">
        <f aca="false">COUNTIFS(C_persona_agent!$E:$E,"sophie",C_persona_agent!$F:$F,"3.3.2",C_persona_agent!$G:$G,"passed",C_persona_agent!$H:$H,"failed")</f>
        <v>1</v>
      </c>
      <c r="I26" s="18" t="n">
        <f aca="false">COUNTIFS(C_persona_agent!$E:$E,"sophie",C_persona_agent!$F:$F,"3.3.2",C_persona_agent!$G:$G,"passed",C_persona_agent!$H:$H,"inapplicable")</f>
        <v>0</v>
      </c>
      <c r="J26" s="18" t="n">
        <f aca="false">COUNTIFS(C_persona_agent!$E:$E,"sophie",C_persona_agent!$F:$F,"3.3.2",C_persona_agent!$G:$G,"failed",C_persona_agent!$H:$H,"passed")</f>
        <v>0</v>
      </c>
      <c r="K26" s="18" t="n">
        <f aca="false">COUNTIFS(C_persona_agent!$E:$E,"sophie",C_persona_agent!$F:$F,"3.3.2",C_persona_agent!$G:$G,"failed",C_persona_agent!$H:$H,"failed")</f>
        <v>6</v>
      </c>
      <c r="L26" s="18" t="n">
        <f aca="false">COUNTIFS(C_persona_agent!$E:$E,"sophie",C_persona_agent!$F:$F,"3.3.2",C_persona_agent!$G:$G,"failed",C_persona_agent!$H:$H,"inapplicable")</f>
        <v>0</v>
      </c>
      <c r="M26" s="18" t="n">
        <f aca="false">COUNTIFS(C_persona_agent!$E:$E,"sophie",C_persona_agent!$F:$F,"3.3.2",C_persona_agent!$G:$G,"inapplicable",C_persona_agent!$H:$H,"passed")</f>
        <v>6</v>
      </c>
      <c r="N26" s="18" t="n">
        <f aca="false">COUNTIFS(C_persona_agent!$E:$E,"sophie",C_persona_agent!$F:$F,"3.3.2",C_persona_agent!$G:$G,"inapplicable",C_persona_agent!$H:$H,"failed")</f>
        <v>0</v>
      </c>
      <c r="O26" s="18" t="n">
        <f aca="false">COUNTIFS(C_persona_agent!$E:$E,"sophie",C_persona_agent!$F:$F,"3.3.2",C_persona_agent!$G:$G,"inapplicable",C_persona_agent!$H:$H,"inapplicable")</f>
        <v>0</v>
      </c>
      <c r="P26" s="20" t="str">
        <f aca="false">IF(AND(COUNTIFS(C_persona_agent!$E:$E,"sophie",C_persona_agent!$F:$F,"3.3.2",C_persona_agent!$H:$H,"failed")&gt;=COUNTIFS(C_persona_agent!$E:$E,"sophie",C_persona_agent!$F:$F,"3.3.2",C_persona_agent!$H:$H,"passed"),COUNTIFS(C_persona_agent!$E:$E,"sophie",C_persona_agent!$F:$F,"3.3.2",C_persona_agent!$H:$H,"failed")&gt;=COUNTIFS(C_persona_agent!$E:$E,"sophie",C_persona_agent!$F:$F,"3.3.2",C_persona_agent!$H:$H,"inapplicable")),"failed (over-flags)",IF(AND(COUNTIFS(C_persona_agent!$E:$E,"sophie",C_persona_agent!$F:$F,"3.3.2",C_persona_agent!$H:$H,"passed")&gt;=COUNTIFS(C_persona_agent!$E:$E,"sophie",C_persona_agent!$F:$F,"3.3.2",C_persona_agent!$H:$H,"failed"),COUNTIFS(C_persona_agent!$E:$E,"sophie",C_persona_agent!$F:$F,"3.3.2",C_persona_agent!$H:$H,"passed")&gt;=COUNTIFS(C_persona_agent!$E:$E,"sophie",C_persona_agent!$F:$F,"3.3.2",C_persona_agent!$H:$H,"inapplicable")),"passed (under-flags)","inapplicable"))</f>
        <v>passed (under-flags)</v>
      </c>
    </row>
    <row r="27" customFormat="false" ht="15" hidden="false" customHeight="false" outlineLevel="0" collapsed="false">
      <c r="A27" s="21" t="s">
        <v>38</v>
      </c>
      <c r="B27" s="21" t="s">
        <v>44</v>
      </c>
      <c r="C27" s="21" t="s">
        <v>1784</v>
      </c>
      <c r="D27" s="22" t="n">
        <f aca="false">COUNTIFS(C_persona_agent!$E:$E,"lakshmi",C_persona_agent!$F:$F,"1.1.1")</f>
        <v>18</v>
      </c>
      <c r="E27" s="22" t="n">
        <f aca="false">SUMIFS(C_persona_agent!$I:$I,C_persona_agent!$E:$E,"lakshmi",C_persona_agent!$F:$F,"1.1.1")</f>
        <v>12</v>
      </c>
      <c r="F27" s="23" t="n">
        <f aca="false">IFERROR(E27/D27,0)</f>
        <v>0.666666666666667</v>
      </c>
      <c r="G27" s="22" t="n">
        <f aca="false">COUNTIFS(C_persona_agent!$E:$E,"lakshmi",C_persona_agent!$F:$F,"1.1.1",C_persona_agent!$G:$G,"passed",C_persona_agent!$H:$H,"passed")</f>
        <v>3</v>
      </c>
      <c r="H27" s="22" t="n">
        <f aca="false">COUNTIFS(C_persona_agent!$E:$E,"lakshmi",C_persona_agent!$F:$F,"1.1.1",C_persona_agent!$G:$G,"passed",C_persona_agent!$H:$H,"failed")</f>
        <v>3</v>
      </c>
      <c r="I27" s="22" t="n">
        <f aca="false">COUNTIFS(C_persona_agent!$E:$E,"lakshmi",C_persona_agent!$F:$F,"1.1.1",C_persona_agent!$G:$G,"passed",C_persona_agent!$H:$H,"inapplicable")</f>
        <v>0</v>
      </c>
      <c r="J27" s="22" t="n">
        <f aca="false">COUNTIFS(C_persona_agent!$E:$E,"lakshmi",C_persona_agent!$F:$F,"1.1.1",C_persona_agent!$G:$G,"failed",C_persona_agent!$H:$H,"passed")</f>
        <v>0</v>
      </c>
      <c r="K27" s="22" t="n">
        <f aca="false">COUNTIFS(C_persona_agent!$E:$E,"lakshmi",C_persona_agent!$F:$F,"1.1.1",C_persona_agent!$G:$G,"failed",C_persona_agent!$H:$H,"failed")</f>
        <v>6</v>
      </c>
      <c r="L27" s="22" t="n">
        <f aca="false">COUNTIFS(C_persona_agent!$E:$E,"lakshmi",C_persona_agent!$F:$F,"1.1.1",C_persona_agent!$G:$G,"failed",C_persona_agent!$H:$H,"inapplicable")</f>
        <v>0</v>
      </c>
      <c r="M27" s="22" t="n">
        <f aca="false">COUNTIFS(C_persona_agent!$E:$E,"lakshmi",C_persona_agent!$F:$F,"1.1.1",C_persona_agent!$G:$G,"inapplicable",C_persona_agent!$H:$H,"passed")</f>
        <v>1</v>
      </c>
      <c r="N27" s="22" t="n">
        <f aca="false">COUNTIFS(C_persona_agent!$E:$E,"lakshmi",C_persona_agent!$F:$F,"1.1.1",C_persona_agent!$G:$G,"inapplicable",C_persona_agent!$H:$H,"failed")</f>
        <v>2</v>
      </c>
      <c r="O27" s="22" t="n">
        <f aca="false">COUNTIFS(C_persona_agent!$E:$E,"lakshmi",C_persona_agent!$F:$F,"1.1.1",C_persona_agent!$G:$G,"inapplicable",C_persona_agent!$H:$H,"inapplicable")</f>
        <v>3</v>
      </c>
      <c r="P27" s="24" t="str">
        <f aca="false">IF(AND(COUNTIFS(C_persona_agent!$E:$E,"lakshmi",C_persona_agent!$F:$F,"1.1.1",C_persona_agent!$H:$H,"failed")&gt;=COUNTIFS(C_persona_agent!$E:$E,"lakshmi",C_persona_agent!$F:$F,"1.1.1",C_persona_agent!$H:$H,"passed"),COUNTIFS(C_persona_agent!$E:$E,"lakshmi",C_persona_agent!$F:$F,"1.1.1",C_persona_agent!$H:$H,"failed")&gt;=COUNTIFS(C_persona_agent!$E:$E,"lakshmi",C_persona_agent!$F:$F,"1.1.1",C_persona_agent!$H:$H,"inapplicable")),"failed (over-flags)",IF(AND(COUNTIFS(C_persona_agent!$E:$E,"lakshmi",C_persona_agent!$F:$F,"1.1.1",C_persona_agent!$H:$H,"passed")&gt;=COUNTIFS(C_persona_agent!$E:$E,"lakshmi",C_persona_agent!$F:$F,"1.1.1",C_persona_agent!$H:$H,"failed"),COUNTIFS(C_persona_agent!$E:$E,"lakshmi",C_persona_agent!$F:$F,"1.1.1",C_persona_agent!$H:$H,"passed")&gt;=COUNTIFS(C_persona_agent!$E:$E,"lakshmi",C_persona_agent!$F:$F,"1.1.1",C_persona_agent!$H:$H,"inapplicable")),"passed (under-flags)","inapplicable"))</f>
        <v>failed (over-flags)</v>
      </c>
    </row>
    <row r="28" customFormat="false" ht="15" hidden="false" customHeight="false" outlineLevel="0" collapsed="false">
      <c r="A28" s="17" t="s">
        <v>35</v>
      </c>
      <c r="B28" s="17" t="s">
        <v>49</v>
      </c>
      <c r="C28" s="17" t="s">
        <v>1337</v>
      </c>
      <c r="D28" s="18" t="n">
        <f aca="false">COUNTIFS(C_persona_agent!$E:$E,"ade",C_persona_agent!$F:$F,"2.1.1")</f>
        <v>18</v>
      </c>
      <c r="E28" s="18" t="n">
        <f aca="false">SUMIFS(C_persona_agent!$I:$I,C_persona_agent!$E:$E,"ade",C_persona_agent!$F:$F,"2.1.1")</f>
        <v>12</v>
      </c>
      <c r="F28" s="19" t="n">
        <f aca="false">IFERROR(E28/D28,0)</f>
        <v>0.666666666666667</v>
      </c>
      <c r="G28" s="18" t="n">
        <f aca="false">COUNTIFS(C_persona_agent!$E:$E,"ade",C_persona_agent!$F:$F,"2.1.1",C_persona_agent!$G:$G,"passed",C_persona_agent!$H:$H,"passed")</f>
        <v>0</v>
      </c>
      <c r="H28" s="18" t="n">
        <f aca="false">COUNTIFS(C_persona_agent!$E:$E,"ade",C_persona_agent!$F:$F,"2.1.1",C_persona_agent!$G:$G,"passed",C_persona_agent!$H:$H,"failed")</f>
        <v>3</v>
      </c>
      <c r="I28" s="18" t="n">
        <f aca="false">COUNTIFS(C_persona_agent!$E:$E,"ade",C_persona_agent!$F:$F,"2.1.1",C_persona_agent!$G:$G,"passed",C_persona_agent!$H:$H,"inapplicable")</f>
        <v>3</v>
      </c>
      <c r="J28" s="18" t="n">
        <f aca="false">COUNTIFS(C_persona_agent!$E:$E,"ade",C_persona_agent!$F:$F,"2.1.1",C_persona_agent!$G:$G,"failed",C_persona_agent!$H:$H,"passed")</f>
        <v>0</v>
      </c>
      <c r="K28" s="18" t="n">
        <f aca="false">COUNTIFS(C_persona_agent!$E:$E,"ade",C_persona_agent!$F:$F,"2.1.1",C_persona_agent!$G:$G,"failed",C_persona_agent!$H:$H,"failed")</f>
        <v>6</v>
      </c>
      <c r="L28" s="18" t="n">
        <f aca="false">COUNTIFS(C_persona_agent!$E:$E,"ade",C_persona_agent!$F:$F,"2.1.1",C_persona_agent!$G:$G,"failed",C_persona_agent!$H:$H,"inapplicable")</f>
        <v>0</v>
      </c>
      <c r="M28" s="18" t="n">
        <f aca="false">COUNTIFS(C_persona_agent!$E:$E,"ade",C_persona_agent!$F:$F,"2.1.1",C_persona_agent!$G:$G,"inapplicable",C_persona_agent!$H:$H,"passed")</f>
        <v>0</v>
      </c>
      <c r="N28" s="18" t="n">
        <f aca="false">COUNTIFS(C_persona_agent!$E:$E,"ade",C_persona_agent!$F:$F,"2.1.1",C_persona_agent!$G:$G,"inapplicable",C_persona_agent!$H:$H,"failed")</f>
        <v>0</v>
      </c>
      <c r="O28" s="18" t="n">
        <f aca="false">COUNTIFS(C_persona_agent!$E:$E,"ade",C_persona_agent!$F:$F,"2.1.1",C_persona_agent!$G:$G,"inapplicable",C_persona_agent!$H:$H,"inapplicable")</f>
        <v>6</v>
      </c>
      <c r="P28" s="20" t="str">
        <f aca="false">IF(AND(COUNTIFS(C_persona_agent!$E:$E,"ade",C_persona_agent!$F:$F,"2.1.1",C_persona_agent!$H:$H,"failed")&gt;=COUNTIFS(C_persona_agent!$E:$E,"ade",C_persona_agent!$F:$F,"2.1.1",C_persona_agent!$H:$H,"passed"),COUNTIFS(C_persona_agent!$E:$E,"ade",C_persona_agent!$F:$F,"2.1.1",C_persona_agent!$H:$H,"failed")&gt;=COUNTIFS(C_persona_agent!$E:$E,"ade",C_persona_agent!$F:$F,"2.1.1",C_persona_agent!$H:$H,"inapplicable")),"failed (over-flags)",IF(AND(COUNTIFS(C_persona_agent!$E:$E,"ade",C_persona_agent!$F:$F,"2.1.1",C_persona_agent!$H:$H,"passed")&gt;=COUNTIFS(C_persona_agent!$E:$E,"ade",C_persona_agent!$F:$F,"2.1.1",C_persona_agent!$H:$H,"failed"),COUNTIFS(C_persona_agent!$E:$E,"ade",C_persona_agent!$F:$F,"2.1.1",C_persona_agent!$H:$H,"passed")&gt;=COUNTIFS(C_persona_agent!$E:$E,"ade",C_persona_agent!$F:$F,"2.1.1",C_persona_agent!$H:$H,"inapplicable")),"passed (under-flags)","inapplicable"))</f>
        <v>failed (over-flags)</v>
      </c>
    </row>
    <row r="29" customFormat="false" ht="15" hidden="false" customHeight="false" outlineLevel="0" collapsed="false">
      <c r="A29" s="21" t="s">
        <v>37</v>
      </c>
      <c r="B29" s="21" t="s">
        <v>45</v>
      </c>
      <c r="C29" s="21" t="s">
        <v>1641</v>
      </c>
      <c r="D29" s="22" t="n">
        <f aca="false">COUNTIFS(C_persona_agent!$E:$E,"ian",C_persona_agent!$F:$F,"1.3.1")</f>
        <v>18</v>
      </c>
      <c r="E29" s="22" t="n">
        <f aca="false">SUMIFS(C_persona_agent!$I:$I,C_persona_agent!$E:$E,"ian",C_persona_agent!$F:$F,"1.3.1")</f>
        <v>12</v>
      </c>
      <c r="F29" s="23" t="n">
        <f aca="false">IFERROR(E29/D29,0)</f>
        <v>0.666666666666667</v>
      </c>
      <c r="G29" s="22" t="n">
        <f aca="false">COUNTIFS(C_persona_agent!$E:$E,"ian",C_persona_agent!$F:$F,"1.3.1",C_persona_agent!$G:$G,"passed",C_persona_agent!$H:$H,"passed")</f>
        <v>0</v>
      </c>
      <c r="H29" s="22" t="n">
        <f aca="false">COUNTIFS(C_persona_agent!$E:$E,"ian",C_persona_agent!$F:$F,"1.3.1",C_persona_agent!$G:$G,"passed",C_persona_agent!$H:$H,"failed")</f>
        <v>5</v>
      </c>
      <c r="I29" s="22" t="n">
        <f aca="false">COUNTIFS(C_persona_agent!$E:$E,"ian",C_persona_agent!$F:$F,"1.3.1",C_persona_agent!$G:$G,"passed",C_persona_agent!$H:$H,"inapplicable")</f>
        <v>1</v>
      </c>
      <c r="J29" s="22" t="n">
        <f aca="false">COUNTIFS(C_persona_agent!$E:$E,"ian",C_persona_agent!$F:$F,"1.3.1",C_persona_agent!$G:$G,"failed",C_persona_agent!$H:$H,"passed")</f>
        <v>0</v>
      </c>
      <c r="K29" s="22" t="n">
        <f aca="false">COUNTIFS(C_persona_agent!$E:$E,"ian",C_persona_agent!$F:$F,"1.3.1",C_persona_agent!$G:$G,"failed",C_persona_agent!$H:$H,"failed")</f>
        <v>6</v>
      </c>
      <c r="L29" s="22" t="n">
        <f aca="false">COUNTIFS(C_persona_agent!$E:$E,"ian",C_persona_agent!$F:$F,"1.3.1",C_persona_agent!$G:$G,"failed",C_persona_agent!$H:$H,"inapplicable")</f>
        <v>0</v>
      </c>
      <c r="M29" s="22" t="n">
        <f aca="false">COUNTIFS(C_persona_agent!$E:$E,"ian",C_persona_agent!$F:$F,"1.3.1",C_persona_agent!$G:$G,"inapplicable",C_persona_agent!$H:$H,"passed")</f>
        <v>0</v>
      </c>
      <c r="N29" s="22" t="n">
        <f aca="false">COUNTIFS(C_persona_agent!$E:$E,"ian",C_persona_agent!$F:$F,"1.3.1",C_persona_agent!$G:$G,"inapplicable",C_persona_agent!$H:$H,"failed")</f>
        <v>0</v>
      </c>
      <c r="O29" s="22" t="n">
        <f aca="false">COUNTIFS(C_persona_agent!$E:$E,"ian",C_persona_agent!$F:$F,"1.3.1",C_persona_agent!$G:$G,"inapplicable",C_persona_agent!$H:$H,"inapplicable")</f>
        <v>6</v>
      </c>
      <c r="P29" s="24" t="str">
        <f aca="false">IF(AND(COUNTIFS(C_persona_agent!$E:$E,"ian",C_persona_agent!$F:$F,"1.3.1",C_persona_agent!$H:$H,"failed")&gt;=COUNTIFS(C_persona_agent!$E:$E,"ian",C_persona_agent!$F:$F,"1.3.1",C_persona_agent!$H:$H,"passed"),COUNTIFS(C_persona_agent!$E:$E,"ian",C_persona_agent!$F:$F,"1.3.1",C_persona_agent!$H:$H,"failed")&gt;=COUNTIFS(C_persona_agent!$E:$E,"ian",C_persona_agent!$F:$F,"1.3.1",C_persona_agent!$H:$H,"inapplicable")),"failed (over-flags)",IF(AND(COUNTIFS(C_persona_agent!$E:$E,"ian",C_persona_agent!$F:$F,"1.3.1",C_persona_agent!$H:$H,"passed")&gt;=COUNTIFS(C_persona_agent!$E:$E,"ian",C_persona_agent!$F:$F,"1.3.1",C_persona_agent!$H:$H,"failed"),COUNTIFS(C_persona_agent!$E:$E,"ian",C_persona_agent!$F:$F,"1.3.1",C_persona_agent!$H:$H,"passed")&gt;=COUNTIFS(C_persona_agent!$E:$E,"ian",C_persona_agent!$F:$F,"1.3.1",C_persona_agent!$H:$H,"inapplicable")),"passed (under-flags)","inapplicable"))</f>
        <v>failed (over-flags)</v>
      </c>
    </row>
    <row r="30" customFormat="false" ht="15" hidden="false" customHeight="false" outlineLevel="0" collapsed="false">
      <c r="A30" s="17" t="s">
        <v>39</v>
      </c>
      <c r="B30" s="17" t="s">
        <v>59</v>
      </c>
      <c r="C30" s="17" t="s">
        <v>1926</v>
      </c>
      <c r="D30" s="18" t="n">
        <f aca="false">COUNTIFS(C_persona_agent!$E:$E,"sophie",C_persona_agent!$F:$F,"3.1.4")</f>
        <v>18</v>
      </c>
      <c r="E30" s="18" t="n">
        <f aca="false">SUMIFS(C_persona_agent!$I:$I,C_persona_agent!$E:$E,"sophie",C_persona_agent!$F:$F,"3.1.4")</f>
        <v>12</v>
      </c>
      <c r="F30" s="19" t="n">
        <f aca="false">IFERROR(E30/D30,0)</f>
        <v>0.666666666666667</v>
      </c>
      <c r="G30" s="18" t="n">
        <f aca="false">COUNTIFS(C_persona_agent!$E:$E,"sophie",C_persona_agent!$F:$F,"3.1.4",C_persona_agent!$G:$G,"passed",C_persona_agent!$H:$H,"passed")</f>
        <v>6</v>
      </c>
      <c r="H30" s="18" t="n">
        <f aca="false">COUNTIFS(C_persona_agent!$E:$E,"sophie",C_persona_agent!$F:$F,"3.1.4",C_persona_agent!$G:$G,"passed",C_persona_agent!$H:$H,"failed")</f>
        <v>0</v>
      </c>
      <c r="I30" s="18" t="n">
        <f aca="false">COUNTIFS(C_persona_agent!$E:$E,"sophie",C_persona_agent!$F:$F,"3.1.4",C_persona_agent!$G:$G,"passed",C_persona_agent!$H:$H,"inapplicable")</f>
        <v>0</v>
      </c>
      <c r="J30" s="18" t="n">
        <f aca="false">COUNTIFS(C_persona_agent!$E:$E,"sophie",C_persona_agent!$F:$F,"3.1.4",C_persona_agent!$G:$G,"failed",C_persona_agent!$H:$H,"passed")</f>
        <v>0</v>
      </c>
      <c r="K30" s="18" t="n">
        <f aca="false">COUNTIFS(C_persona_agent!$E:$E,"sophie",C_persona_agent!$F:$F,"3.1.4",C_persona_agent!$G:$G,"failed",C_persona_agent!$H:$H,"failed")</f>
        <v>6</v>
      </c>
      <c r="L30" s="18" t="n">
        <f aca="false">COUNTIFS(C_persona_agent!$E:$E,"sophie",C_persona_agent!$F:$F,"3.1.4",C_persona_agent!$G:$G,"failed",C_persona_agent!$H:$H,"inapplicable")</f>
        <v>0</v>
      </c>
      <c r="M30" s="18" t="n">
        <f aca="false">COUNTIFS(C_persona_agent!$E:$E,"sophie",C_persona_agent!$F:$F,"3.1.4",C_persona_agent!$G:$G,"inapplicable",C_persona_agent!$H:$H,"passed")</f>
        <v>6</v>
      </c>
      <c r="N30" s="18" t="n">
        <f aca="false">COUNTIFS(C_persona_agent!$E:$E,"sophie",C_persona_agent!$F:$F,"3.1.4",C_persona_agent!$G:$G,"inapplicable",C_persona_agent!$H:$H,"failed")</f>
        <v>0</v>
      </c>
      <c r="O30" s="18" t="n">
        <f aca="false">COUNTIFS(C_persona_agent!$E:$E,"sophie",C_persona_agent!$F:$F,"3.1.4",C_persona_agent!$G:$G,"inapplicable",C_persona_agent!$H:$H,"inapplicable")</f>
        <v>0</v>
      </c>
      <c r="P30" s="20" t="str">
        <f aca="false">IF(AND(COUNTIFS(C_persona_agent!$E:$E,"sophie",C_persona_agent!$F:$F,"3.1.4",C_persona_agent!$H:$H,"failed")&gt;=COUNTIFS(C_persona_agent!$E:$E,"sophie",C_persona_agent!$F:$F,"3.1.4",C_persona_agent!$H:$H,"passed"),COUNTIFS(C_persona_agent!$E:$E,"sophie",C_persona_agent!$F:$F,"3.1.4",C_persona_agent!$H:$H,"failed")&gt;=COUNTIFS(C_persona_agent!$E:$E,"sophie",C_persona_agent!$F:$F,"3.1.4",C_persona_agent!$H:$H,"inapplicable")),"failed (over-flags)",IF(AND(COUNTIFS(C_persona_agent!$E:$E,"sophie",C_persona_agent!$F:$F,"3.1.4",C_persona_agent!$H:$H,"passed")&gt;=COUNTIFS(C_persona_agent!$E:$E,"sophie",C_persona_agent!$F:$F,"3.1.4",C_persona_agent!$H:$H,"failed"),COUNTIFS(C_persona_agent!$E:$E,"sophie",C_persona_agent!$F:$F,"3.1.4",C_persona_agent!$H:$H,"passed")&gt;=COUNTIFS(C_persona_agent!$E:$E,"sophie",C_persona_agent!$F:$F,"3.1.4",C_persona_agent!$H:$H,"inapplicable")),"passed (under-flags)","inapplicable"))</f>
        <v>passed (under-flags)</v>
      </c>
    </row>
    <row r="31" customFormat="false" ht="15" hidden="false" customHeight="false" outlineLevel="0" collapsed="false">
      <c r="A31" s="21" t="s">
        <v>40</v>
      </c>
      <c r="B31" s="21" t="s">
        <v>59</v>
      </c>
      <c r="C31" s="21" t="s">
        <v>2057</v>
      </c>
      <c r="D31" s="22" t="n">
        <f aca="false">COUNTIFS(C_persona_agent!$E:$E,"stefan",C_persona_agent!$F:$F,"3.1.4")</f>
        <v>18</v>
      </c>
      <c r="E31" s="22" t="n">
        <f aca="false">SUMIFS(C_persona_agent!$I:$I,C_persona_agent!$E:$E,"stefan",C_persona_agent!$F:$F,"3.1.4")</f>
        <v>12</v>
      </c>
      <c r="F31" s="23" t="n">
        <f aca="false">IFERROR(E31/D31,0)</f>
        <v>0.666666666666667</v>
      </c>
      <c r="G31" s="22" t="n">
        <f aca="false">COUNTIFS(C_persona_agent!$E:$E,"stefan",C_persona_agent!$F:$F,"3.1.4",C_persona_agent!$G:$G,"passed",C_persona_agent!$H:$H,"passed")</f>
        <v>6</v>
      </c>
      <c r="H31" s="22" t="n">
        <f aca="false">COUNTIFS(C_persona_agent!$E:$E,"stefan",C_persona_agent!$F:$F,"3.1.4",C_persona_agent!$G:$G,"passed",C_persona_agent!$H:$H,"failed")</f>
        <v>0</v>
      </c>
      <c r="I31" s="22" t="n">
        <f aca="false">COUNTIFS(C_persona_agent!$E:$E,"stefan",C_persona_agent!$F:$F,"3.1.4",C_persona_agent!$G:$G,"passed",C_persona_agent!$H:$H,"inapplicable")</f>
        <v>0</v>
      </c>
      <c r="J31" s="22" t="n">
        <f aca="false">COUNTIFS(C_persona_agent!$E:$E,"stefan",C_persona_agent!$F:$F,"3.1.4",C_persona_agent!$G:$G,"failed",C_persona_agent!$H:$H,"passed")</f>
        <v>0</v>
      </c>
      <c r="K31" s="22" t="n">
        <f aca="false">COUNTIFS(C_persona_agent!$E:$E,"stefan",C_persona_agent!$F:$F,"3.1.4",C_persona_agent!$G:$G,"failed",C_persona_agent!$H:$H,"failed")</f>
        <v>6</v>
      </c>
      <c r="L31" s="22" t="n">
        <f aca="false">COUNTIFS(C_persona_agent!$E:$E,"stefan",C_persona_agent!$F:$F,"3.1.4",C_persona_agent!$G:$G,"failed",C_persona_agent!$H:$H,"inapplicable")</f>
        <v>0</v>
      </c>
      <c r="M31" s="22" t="n">
        <f aca="false">COUNTIFS(C_persona_agent!$E:$E,"stefan",C_persona_agent!$F:$F,"3.1.4",C_persona_agent!$G:$G,"inapplicable",C_persona_agent!$H:$H,"passed")</f>
        <v>6</v>
      </c>
      <c r="N31" s="22" t="n">
        <f aca="false">COUNTIFS(C_persona_agent!$E:$E,"stefan",C_persona_agent!$F:$F,"3.1.4",C_persona_agent!$G:$G,"inapplicable",C_persona_agent!$H:$H,"failed")</f>
        <v>0</v>
      </c>
      <c r="O31" s="22" t="n">
        <f aca="false">COUNTIFS(C_persona_agent!$E:$E,"stefan",C_persona_agent!$F:$F,"3.1.4",C_persona_agent!$G:$G,"inapplicable",C_persona_agent!$H:$H,"inapplicable")</f>
        <v>0</v>
      </c>
      <c r="P31" s="24" t="str">
        <f aca="false">IF(AND(COUNTIFS(C_persona_agent!$E:$E,"stefan",C_persona_agent!$F:$F,"3.1.4",C_persona_agent!$H:$H,"failed")&gt;=COUNTIFS(C_persona_agent!$E:$E,"stefan",C_persona_agent!$F:$F,"3.1.4",C_persona_agent!$H:$H,"passed"),COUNTIFS(C_persona_agent!$E:$E,"stefan",C_persona_agent!$F:$F,"3.1.4",C_persona_agent!$H:$H,"failed")&gt;=COUNTIFS(C_persona_agent!$E:$E,"stefan",C_persona_agent!$F:$F,"3.1.4",C_persona_agent!$H:$H,"inapplicable")),"failed (over-flags)",IF(AND(COUNTIFS(C_persona_agent!$E:$E,"stefan",C_persona_agent!$F:$F,"3.1.4",C_persona_agent!$H:$H,"passed")&gt;=COUNTIFS(C_persona_agent!$E:$E,"stefan",C_persona_agent!$F:$F,"3.1.4",C_persona_agent!$H:$H,"failed"),COUNTIFS(C_persona_agent!$E:$E,"stefan",C_persona_agent!$F:$F,"3.1.4",C_persona_agent!$H:$H,"passed")&gt;=COUNTIFS(C_persona_agent!$E:$E,"stefan",C_persona_agent!$F:$F,"3.1.4",C_persona_agent!$H:$H,"inapplicable")),"passed (under-flags)","inapplicable"))</f>
        <v>passed (under-flags)</v>
      </c>
    </row>
    <row r="32" customFormat="false" ht="15" hidden="false" customHeight="false" outlineLevel="0" collapsed="false">
      <c r="A32" s="17" t="s">
        <v>40</v>
      </c>
      <c r="B32" s="17" t="s">
        <v>48</v>
      </c>
      <c r="C32" s="17" t="s">
        <v>2057</v>
      </c>
      <c r="D32" s="18" t="n">
        <f aca="false">COUNTIFS(C_persona_agent!$E:$E,"stefan",C_persona_agent!$F:$F,"1.4.12")</f>
        <v>18</v>
      </c>
      <c r="E32" s="18" t="n">
        <f aca="false">SUMIFS(C_persona_agent!$I:$I,C_persona_agent!$E:$E,"stefan",C_persona_agent!$F:$F,"1.4.12")</f>
        <v>13</v>
      </c>
      <c r="F32" s="19" t="n">
        <f aca="false">IFERROR(E32/D32,0)</f>
        <v>0.722222222222222</v>
      </c>
      <c r="G32" s="18" t="n">
        <f aca="false">COUNTIFS(C_persona_agent!$E:$E,"stefan",C_persona_agent!$F:$F,"1.4.12",C_persona_agent!$G:$G,"passed",C_persona_agent!$H:$H,"passed")</f>
        <v>6</v>
      </c>
      <c r="H32" s="18" t="n">
        <f aca="false">COUNTIFS(C_persona_agent!$E:$E,"stefan",C_persona_agent!$F:$F,"1.4.12",C_persona_agent!$G:$G,"passed",C_persona_agent!$H:$H,"failed")</f>
        <v>0</v>
      </c>
      <c r="I32" s="18" t="n">
        <f aca="false">COUNTIFS(C_persona_agent!$E:$E,"stefan",C_persona_agent!$F:$F,"1.4.12",C_persona_agent!$G:$G,"passed",C_persona_agent!$H:$H,"inapplicable")</f>
        <v>0</v>
      </c>
      <c r="J32" s="18" t="n">
        <f aca="false">COUNTIFS(C_persona_agent!$E:$E,"stefan",C_persona_agent!$F:$F,"1.4.12",C_persona_agent!$G:$G,"failed",C_persona_agent!$H:$H,"passed")</f>
        <v>2</v>
      </c>
      <c r="K32" s="18" t="n">
        <f aca="false">COUNTIFS(C_persona_agent!$E:$E,"stefan",C_persona_agent!$F:$F,"1.4.12",C_persona_agent!$G:$G,"failed",C_persona_agent!$H:$H,"failed")</f>
        <v>4</v>
      </c>
      <c r="L32" s="18" t="n">
        <f aca="false">COUNTIFS(C_persona_agent!$E:$E,"stefan",C_persona_agent!$F:$F,"1.4.12",C_persona_agent!$G:$G,"failed",C_persona_agent!$H:$H,"inapplicable")</f>
        <v>0</v>
      </c>
      <c r="M32" s="18" t="n">
        <f aca="false">COUNTIFS(C_persona_agent!$E:$E,"stefan",C_persona_agent!$F:$F,"1.4.12",C_persona_agent!$G:$G,"inapplicable",C_persona_agent!$H:$H,"passed")</f>
        <v>3</v>
      </c>
      <c r="N32" s="18" t="n">
        <f aca="false">COUNTIFS(C_persona_agent!$E:$E,"stefan",C_persona_agent!$F:$F,"1.4.12",C_persona_agent!$G:$G,"inapplicable",C_persona_agent!$H:$H,"failed")</f>
        <v>0</v>
      </c>
      <c r="O32" s="18" t="n">
        <f aca="false">COUNTIFS(C_persona_agent!$E:$E,"stefan",C_persona_agent!$F:$F,"1.4.12",C_persona_agent!$G:$G,"inapplicable",C_persona_agent!$H:$H,"inapplicable")</f>
        <v>3</v>
      </c>
      <c r="P32" s="20" t="str">
        <f aca="false">IF(AND(COUNTIFS(C_persona_agent!$E:$E,"stefan",C_persona_agent!$F:$F,"1.4.12",C_persona_agent!$H:$H,"failed")&gt;=COUNTIFS(C_persona_agent!$E:$E,"stefan",C_persona_agent!$F:$F,"1.4.12",C_persona_agent!$H:$H,"passed"),COUNTIFS(C_persona_agent!$E:$E,"stefan",C_persona_agent!$F:$F,"1.4.12",C_persona_agent!$H:$H,"failed")&gt;=COUNTIFS(C_persona_agent!$E:$E,"stefan",C_persona_agent!$F:$F,"1.4.12",C_persona_agent!$H:$H,"inapplicable")),"failed (over-flags)",IF(AND(COUNTIFS(C_persona_agent!$E:$E,"stefan",C_persona_agent!$F:$F,"1.4.12",C_persona_agent!$H:$H,"passed")&gt;=COUNTIFS(C_persona_agent!$E:$E,"stefan",C_persona_agent!$F:$F,"1.4.12",C_persona_agent!$H:$H,"failed"),COUNTIFS(C_persona_agent!$E:$E,"stefan",C_persona_agent!$F:$F,"1.4.12",C_persona_agent!$H:$H,"passed")&gt;=COUNTIFS(C_persona_agent!$E:$E,"stefan",C_persona_agent!$F:$F,"1.4.12",C_persona_agent!$H:$H,"inapplicable")),"passed (under-flags)","inapplicable"))</f>
        <v>passed (under-flags)</v>
      </c>
    </row>
    <row r="33" customFormat="false" ht="15" hidden="false" customHeight="false" outlineLevel="0" collapsed="false">
      <c r="A33" s="21" t="s">
        <v>38</v>
      </c>
      <c r="B33" s="21" t="s">
        <v>45</v>
      </c>
      <c r="C33" s="21" t="s">
        <v>1784</v>
      </c>
      <c r="D33" s="22" t="n">
        <f aca="false">COUNTIFS(C_persona_agent!$E:$E,"lakshmi",C_persona_agent!$F:$F,"1.3.1")</f>
        <v>18</v>
      </c>
      <c r="E33" s="22" t="n">
        <f aca="false">SUMIFS(C_persona_agent!$I:$I,C_persona_agent!$E:$E,"lakshmi",C_persona_agent!$F:$F,"1.3.1")</f>
        <v>15</v>
      </c>
      <c r="F33" s="23" t="n">
        <f aca="false">IFERROR(E33/D33,0)</f>
        <v>0.833333333333333</v>
      </c>
      <c r="G33" s="22" t="n">
        <f aca="false">COUNTIFS(C_persona_agent!$E:$E,"lakshmi",C_persona_agent!$F:$F,"1.3.1",C_persona_agent!$G:$G,"passed",C_persona_agent!$H:$H,"passed")</f>
        <v>3</v>
      </c>
      <c r="H33" s="22" t="n">
        <f aca="false">COUNTIFS(C_persona_agent!$E:$E,"lakshmi",C_persona_agent!$F:$F,"1.3.1",C_persona_agent!$G:$G,"passed",C_persona_agent!$H:$H,"failed")</f>
        <v>3</v>
      </c>
      <c r="I33" s="22" t="n">
        <f aca="false">COUNTIFS(C_persona_agent!$E:$E,"lakshmi",C_persona_agent!$F:$F,"1.3.1",C_persona_agent!$G:$G,"passed",C_persona_agent!$H:$H,"inapplicable")</f>
        <v>0</v>
      </c>
      <c r="J33" s="22" t="n">
        <f aca="false">COUNTIFS(C_persona_agent!$E:$E,"lakshmi",C_persona_agent!$F:$F,"1.3.1",C_persona_agent!$G:$G,"failed",C_persona_agent!$H:$H,"passed")</f>
        <v>0</v>
      </c>
      <c r="K33" s="22" t="n">
        <f aca="false">COUNTIFS(C_persona_agent!$E:$E,"lakshmi",C_persona_agent!$F:$F,"1.3.1",C_persona_agent!$G:$G,"failed",C_persona_agent!$H:$H,"failed")</f>
        <v>6</v>
      </c>
      <c r="L33" s="22" t="n">
        <f aca="false">COUNTIFS(C_persona_agent!$E:$E,"lakshmi",C_persona_agent!$F:$F,"1.3.1",C_persona_agent!$G:$G,"failed",C_persona_agent!$H:$H,"inapplicable")</f>
        <v>0</v>
      </c>
      <c r="M33" s="22" t="n">
        <f aca="false">COUNTIFS(C_persona_agent!$E:$E,"lakshmi",C_persona_agent!$F:$F,"1.3.1",C_persona_agent!$G:$G,"inapplicable",C_persona_agent!$H:$H,"passed")</f>
        <v>0</v>
      </c>
      <c r="N33" s="22" t="n">
        <f aca="false">COUNTIFS(C_persona_agent!$E:$E,"lakshmi",C_persona_agent!$F:$F,"1.3.1",C_persona_agent!$G:$G,"inapplicable",C_persona_agent!$H:$H,"failed")</f>
        <v>0</v>
      </c>
      <c r="O33" s="22" t="n">
        <f aca="false">COUNTIFS(C_persona_agent!$E:$E,"lakshmi",C_persona_agent!$F:$F,"1.3.1",C_persona_agent!$G:$G,"inapplicable",C_persona_agent!$H:$H,"inapplicable")</f>
        <v>6</v>
      </c>
      <c r="P33" s="24" t="str">
        <f aca="false">IF(AND(COUNTIFS(C_persona_agent!$E:$E,"lakshmi",C_persona_agent!$F:$F,"1.3.1",C_persona_agent!$H:$H,"failed")&gt;=COUNTIFS(C_persona_agent!$E:$E,"lakshmi",C_persona_agent!$F:$F,"1.3.1",C_persona_agent!$H:$H,"passed"),COUNTIFS(C_persona_agent!$E:$E,"lakshmi",C_persona_agent!$F:$F,"1.3.1",C_persona_agent!$H:$H,"failed")&gt;=COUNTIFS(C_persona_agent!$E:$E,"lakshmi",C_persona_agent!$F:$F,"1.3.1",C_persona_agent!$H:$H,"inapplicable")),"failed (over-flags)",IF(AND(COUNTIFS(C_persona_agent!$E:$E,"lakshmi",C_persona_agent!$F:$F,"1.3.1",C_persona_agent!$H:$H,"passed")&gt;=COUNTIFS(C_persona_agent!$E:$E,"lakshmi",C_persona_agent!$F:$F,"1.3.1",C_persona_agent!$H:$H,"failed"),COUNTIFS(C_persona_agent!$E:$E,"lakshmi",C_persona_agent!$F:$F,"1.3.1",C_persona_agent!$H:$H,"passed")&gt;=COUNTIFS(C_persona_agent!$E:$E,"lakshmi",C_persona_agent!$F:$F,"1.3.1",C_persona_agent!$H:$H,"inapplicable")),"passed (under-flags)","inapplicable"))</f>
        <v>failed (over-flags)</v>
      </c>
    </row>
    <row r="34" customFormat="false" ht="15" hidden="false" customHeight="false" outlineLevel="0" collapsed="false">
      <c r="A34" s="17" t="s">
        <v>38</v>
      </c>
      <c r="B34" s="17" t="s">
        <v>49</v>
      </c>
      <c r="C34" s="17" t="s">
        <v>1784</v>
      </c>
      <c r="D34" s="18" t="n">
        <f aca="false">COUNTIFS(C_persona_agent!$E:$E,"lakshmi",C_persona_agent!$F:$F,"2.1.1")</f>
        <v>18</v>
      </c>
      <c r="E34" s="18" t="n">
        <f aca="false">SUMIFS(C_persona_agent!$I:$I,C_persona_agent!$E:$E,"lakshmi",C_persona_agent!$F:$F,"2.1.1")</f>
        <v>16</v>
      </c>
      <c r="F34" s="19" t="n">
        <f aca="false">IFERROR(E34/D34,0)</f>
        <v>0.888888888888889</v>
      </c>
      <c r="G34" s="18" t="n">
        <f aca="false">COUNTIFS(C_persona_agent!$E:$E,"lakshmi",C_persona_agent!$F:$F,"2.1.1",C_persona_agent!$G:$G,"passed",C_persona_agent!$H:$H,"passed")</f>
        <v>4</v>
      </c>
      <c r="H34" s="18" t="n">
        <f aca="false">COUNTIFS(C_persona_agent!$E:$E,"lakshmi",C_persona_agent!$F:$F,"2.1.1",C_persona_agent!$G:$G,"passed",C_persona_agent!$H:$H,"failed")</f>
        <v>2</v>
      </c>
      <c r="I34" s="18" t="n">
        <f aca="false">COUNTIFS(C_persona_agent!$E:$E,"lakshmi",C_persona_agent!$F:$F,"2.1.1",C_persona_agent!$G:$G,"passed",C_persona_agent!$H:$H,"inapplicable")</f>
        <v>0</v>
      </c>
      <c r="J34" s="18" t="n">
        <f aca="false">COUNTIFS(C_persona_agent!$E:$E,"lakshmi",C_persona_agent!$F:$F,"2.1.1",C_persona_agent!$G:$G,"failed",C_persona_agent!$H:$H,"passed")</f>
        <v>0</v>
      </c>
      <c r="K34" s="18" t="n">
        <f aca="false">COUNTIFS(C_persona_agent!$E:$E,"lakshmi",C_persona_agent!$F:$F,"2.1.1",C_persona_agent!$G:$G,"failed",C_persona_agent!$H:$H,"failed")</f>
        <v>6</v>
      </c>
      <c r="L34" s="18" t="n">
        <f aca="false">COUNTIFS(C_persona_agent!$E:$E,"lakshmi",C_persona_agent!$F:$F,"2.1.1",C_persona_agent!$G:$G,"failed",C_persona_agent!$H:$H,"inapplicable")</f>
        <v>0</v>
      </c>
      <c r="M34" s="18" t="n">
        <f aca="false">COUNTIFS(C_persona_agent!$E:$E,"lakshmi",C_persona_agent!$F:$F,"2.1.1",C_persona_agent!$G:$G,"inapplicable",C_persona_agent!$H:$H,"passed")</f>
        <v>0</v>
      </c>
      <c r="N34" s="18" t="n">
        <f aca="false">COUNTIFS(C_persona_agent!$E:$E,"lakshmi",C_persona_agent!$F:$F,"2.1.1",C_persona_agent!$G:$G,"inapplicable",C_persona_agent!$H:$H,"failed")</f>
        <v>0</v>
      </c>
      <c r="O34" s="18" t="n">
        <f aca="false">COUNTIFS(C_persona_agent!$E:$E,"lakshmi",C_persona_agent!$F:$F,"2.1.1",C_persona_agent!$G:$G,"inapplicable",C_persona_agent!$H:$H,"inapplicable")</f>
        <v>6</v>
      </c>
      <c r="P34" s="20" t="str">
        <f aca="false">IF(AND(COUNTIFS(C_persona_agent!$E:$E,"lakshmi",C_persona_agent!$F:$F,"2.1.1",C_persona_agent!$H:$H,"failed")&gt;=COUNTIFS(C_persona_agent!$E:$E,"lakshmi",C_persona_agent!$F:$F,"2.1.1",C_persona_agent!$H:$H,"passed"),COUNTIFS(C_persona_agent!$E:$E,"lakshmi",C_persona_agent!$F:$F,"2.1.1",C_persona_agent!$H:$H,"failed")&gt;=COUNTIFS(C_persona_agent!$E:$E,"lakshmi",C_persona_agent!$F:$F,"2.1.1",C_persona_agent!$H:$H,"inapplicable")),"failed (over-flags)",IF(AND(COUNTIFS(C_persona_agent!$E:$E,"lakshmi",C_persona_agent!$F:$F,"2.1.1",C_persona_agent!$H:$H,"passed")&gt;=COUNTIFS(C_persona_agent!$E:$E,"lakshmi",C_persona_agent!$F:$F,"2.1.1",C_persona_agent!$H:$H,"failed"),COUNTIFS(C_persona_agent!$E:$E,"lakshmi",C_persona_agent!$F:$F,"2.1.1",C_persona_agent!$H:$H,"passed")&gt;=COUNTIFS(C_persona_agent!$E:$E,"lakshmi",C_persona_agent!$F:$F,"2.1.1",C_persona_agent!$H:$H,"inapplicable")),"passed (under-flags)","inapplicable"))</f>
        <v>failed (over-flags)</v>
      </c>
    </row>
    <row r="35" customFormat="false" ht="15" hidden="false" customHeight="false" outlineLevel="0" collapsed="false">
      <c r="A35" s="21" t="s">
        <v>40</v>
      </c>
      <c r="B35" s="21" t="s">
        <v>51</v>
      </c>
      <c r="C35" s="21" t="s">
        <v>2057</v>
      </c>
      <c r="D35" s="22" t="n">
        <f aca="false">COUNTIFS(C_persona_agent!$E:$E,"stefan",C_persona_agent!$F:$F,"2.2.2")</f>
        <v>18</v>
      </c>
      <c r="E35" s="22" t="n">
        <f aca="false">SUMIFS(C_persona_agent!$I:$I,C_persona_agent!$E:$E,"stefan",C_persona_agent!$F:$F,"2.2.2")</f>
        <v>18</v>
      </c>
      <c r="F35" s="23" t="n">
        <f aca="false">IFERROR(E35/D35,0)</f>
        <v>1</v>
      </c>
      <c r="G35" s="22" t="n">
        <f aca="false">COUNTIFS(C_persona_agent!$E:$E,"stefan",C_persona_agent!$F:$F,"2.2.2",C_persona_agent!$G:$G,"passed",C_persona_agent!$H:$H,"passed")</f>
        <v>6</v>
      </c>
      <c r="H35" s="22" t="n">
        <f aca="false">COUNTIFS(C_persona_agent!$E:$E,"stefan",C_persona_agent!$F:$F,"2.2.2",C_persona_agent!$G:$G,"passed",C_persona_agent!$H:$H,"failed")</f>
        <v>0</v>
      </c>
      <c r="I35" s="22" t="n">
        <f aca="false">COUNTIFS(C_persona_agent!$E:$E,"stefan",C_persona_agent!$F:$F,"2.2.2",C_persona_agent!$G:$G,"passed",C_persona_agent!$H:$H,"inapplicable")</f>
        <v>0</v>
      </c>
      <c r="J35" s="22" t="n">
        <f aca="false">COUNTIFS(C_persona_agent!$E:$E,"stefan",C_persona_agent!$F:$F,"2.2.2",C_persona_agent!$G:$G,"failed",C_persona_agent!$H:$H,"passed")</f>
        <v>0</v>
      </c>
      <c r="K35" s="22" t="n">
        <f aca="false">COUNTIFS(C_persona_agent!$E:$E,"stefan",C_persona_agent!$F:$F,"2.2.2",C_persona_agent!$G:$G,"failed",C_persona_agent!$H:$H,"failed")</f>
        <v>6</v>
      </c>
      <c r="L35" s="22" t="n">
        <f aca="false">COUNTIFS(C_persona_agent!$E:$E,"stefan",C_persona_agent!$F:$F,"2.2.2",C_persona_agent!$G:$G,"failed",C_persona_agent!$H:$H,"inapplicable")</f>
        <v>0</v>
      </c>
      <c r="M35" s="22" t="n">
        <f aca="false">COUNTIFS(C_persona_agent!$E:$E,"stefan",C_persona_agent!$F:$F,"2.2.2",C_persona_agent!$G:$G,"inapplicable",C_persona_agent!$H:$H,"passed")</f>
        <v>0</v>
      </c>
      <c r="N35" s="22" t="n">
        <f aca="false">COUNTIFS(C_persona_agent!$E:$E,"stefan",C_persona_agent!$F:$F,"2.2.2",C_persona_agent!$G:$G,"inapplicable",C_persona_agent!$H:$H,"failed")</f>
        <v>0</v>
      </c>
      <c r="O35" s="22" t="n">
        <f aca="false">COUNTIFS(C_persona_agent!$E:$E,"stefan",C_persona_agent!$F:$F,"2.2.2",C_persona_agent!$G:$G,"inapplicable",C_persona_agent!$H:$H,"inapplicable")</f>
        <v>6</v>
      </c>
      <c r="P35" s="24" t="str">
        <f aca="false">IF(AND(COUNTIFS(C_persona_agent!$E:$E,"stefan",C_persona_agent!$F:$F,"2.2.2",C_persona_agent!$H:$H,"failed")&gt;=COUNTIFS(C_persona_agent!$E:$E,"stefan",C_persona_agent!$F:$F,"2.2.2",C_persona_agent!$H:$H,"passed"),COUNTIFS(C_persona_agent!$E:$E,"stefan",C_persona_agent!$F:$F,"2.2.2",C_persona_agent!$H:$H,"failed")&gt;=COUNTIFS(C_persona_agent!$E:$E,"stefan",C_persona_agent!$F:$F,"2.2.2",C_persona_agent!$H:$H,"inapplicable")),"failed (over-flags)",IF(AND(COUNTIFS(C_persona_agent!$E:$E,"stefan",C_persona_agent!$F:$F,"2.2.2",C_persona_agent!$H:$H,"passed")&gt;=COUNTIFS(C_persona_agent!$E:$E,"stefan",C_persona_agent!$F:$F,"2.2.2",C_persona_agent!$H:$H,"failed"),COUNTIFS(C_persona_agent!$E:$E,"stefan",C_persona_agent!$F:$F,"2.2.2",C_persona_agent!$H:$H,"passed")&gt;=COUNTIFS(C_persona_agent!$E:$E,"stefan",C_persona_agent!$F:$F,"2.2.2",C_persona_agent!$H:$H,"inapplicable")),"passed (under-flags)","inapplicable"))</f>
        <v>failed (over-flags)</v>
      </c>
    </row>
    <row r="37" customFormat="false" ht="15" hidden="false" customHeight="true" outlineLevel="0" collapsed="false">
      <c r="A37" s="25" t="s">
        <v>2181</v>
      </c>
      <c r="B37" s="25"/>
      <c r="C37" s="25"/>
      <c r="D37" s="25"/>
      <c r="E37" s="25"/>
      <c r="F37" s="25"/>
      <c r="G37" s="25"/>
      <c r="H37" s="25"/>
      <c r="I37" s="25"/>
      <c r="J37" s="25"/>
      <c r="K37" s="25"/>
      <c r="L37" s="25"/>
      <c r="M37" s="25"/>
      <c r="N37" s="25"/>
      <c r="O37" s="25"/>
      <c r="P37" s="25"/>
    </row>
  </sheetData>
  <mergeCells count="6">
    <mergeCell ref="A2:P2"/>
    <mergeCell ref="A4:F4"/>
    <mergeCell ref="G4:I4"/>
    <mergeCell ref="J4:L4"/>
    <mergeCell ref="M4:O4"/>
    <mergeCell ref="A37:P37"/>
  </mergeCells>
  <conditionalFormatting sqref="F6:F35">
    <cfRule type="colorScale" priority="2">
      <colorScale>
        <cfvo type="num" val="0.33"/>
        <cfvo type="num" val="0.55"/>
        <cfvo type="num" val="0.9"/>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0"/>
    <col collapsed="false" customWidth="true" hidden="false" outlineLevel="0" max="6" min="4" style="0" width="12"/>
    <col collapsed="false" customWidth="true" hidden="false" outlineLevel="0" max="7" min="7" style="0" width="22"/>
    <col collapsed="false" customWidth="true" hidden="false" outlineLevel="0" max="8" min="8" style="0" width="30"/>
  </cols>
  <sheetData>
    <row r="1" customFormat="false" ht="17.35" hidden="false" customHeight="false" outlineLevel="0" collapsed="false">
      <c r="A1" s="11" t="s">
        <v>2182</v>
      </c>
    </row>
    <row r="2" customFormat="false" ht="15" hidden="false" customHeight="false" outlineLevel="0" collapsed="false">
      <c r="A2" s="12" t="s">
        <v>2183</v>
      </c>
      <c r="B2" s="12"/>
      <c r="C2" s="12"/>
      <c r="D2" s="12"/>
      <c r="E2" s="12"/>
      <c r="F2" s="12"/>
      <c r="G2" s="12"/>
      <c r="H2" s="12"/>
    </row>
    <row r="4" customFormat="false" ht="15" hidden="false" customHeight="false" outlineLevel="0" collapsed="false">
      <c r="A4" s="13" t="s">
        <v>2184</v>
      </c>
      <c r="B4" s="13" t="s">
        <v>2176</v>
      </c>
      <c r="C4" s="13" t="s">
        <v>2175</v>
      </c>
      <c r="D4" s="13" t="s">
        <v>2185</v>
      </c>
      <c r="E4" s="13" t="s">
        <v>2186</v>
      </c>
      <c r="F4" s="13" t="s">
        <v>2187</v>
      </c>
      <c r="G4" s="13" t="s">
        <v>2180</v>
      </c>
      <c r="H4" s="13" t="s">
        <v>2188</v>
      </c>
    </row>
    <row r="5" customFormat="false" ht="15" hidden="false" customHeight="false" outlineLevel="0" collapsed="false">
      <c r="A5" s="20" t="s">
        <v>2189</v>
      </c>
      <c r="B5" s="26" t="n">
        <v>0.3778</v>
      </c>
      <c r="C5" s="18" t="n">
        <v>90</v>
      </c>
      <c r="D5" s="18" t="n">
        <v>29</v>
      </c>
      <c r="E5" s="18" t="n">
        <v>59</v>
      </c>
      <c r="F5" s="18" t="n">
        <v>2</v>
      </c>
      <c r="G5" s="20" t="s">
        <v>2190</v>
      </c>
      <c r="H5" s="20" t="s">
        <v>2191</v>
      </c>
    </row>
    <row r="6" customFormat="false" ht="15" hidden="false" customHeight="false" outlineLevel="0" collapsed="false">
      <c r="A6" s="24" t="s">
        <v>2192</v>
      </c>
      <c r="B6" s="27" t="n">
        <v>0.3778</v>
      </c>
      <c r="C6" s="22" t="n">
        <v>90</v>
      </c>
      <c r="D6" s="22" t="n">
        <v>29</v>
      </c>
      <c r="E6" s="22" t="n">
        <v>59</v>
      </c>
      <c r="F6" s="22" t="n">
        <v>2</v>
      </c>
      <c r="G6" s="24" t="s">
        <v>2190</v>
      </c>
      <c r="H6" s="24" t="s">
        <v>2191</v>
      </c>
    </row>
    <row r="7" customFormat="false" ht="23.85" hidden="false" customHeight="false" outlineLevel="0" collapsed="false">
      <c r="A7" s="20" t="s">
        <v>2193</v>
      </c>
      <c r="B7" s="26" t="n">
        <v>0.4167</v>
      </c>
      <c r="C7" s="18" t="n">
        <v>180</v>
      </c>
      <c r="D7" s="18" t="n">
        <v>73</v>
      </c>
      <c r="E7" s="18" t="n">
        <v>105</v>
      </c>
      <c r="F7" s="18" t="n">
        <v>2</v>
      </c>
      <c r="G7" s="20" t="s">
        <v>2190</v>
      </c>
      <c r="H7" s="20" t="s">
        <v>2194</v>
      </c>
    </row>
    <row r="8" customFormat="false" ht="15" hidden="false" customHeight="false" outlineLevel="0" collapsed="false">
      <c r="A8" s="24" t="s">
        <v>2195</v>
      </c>
      <c r="B8" s="27" t="n">
        <v>0.4556</v>
      </c>
      <c r="C8" s="22" t="n">
        <v>90</v>
      </c>
      <c r="D8" s="22" t="n">
        <v>44</v>
      </c>
      <c r="E8" s="22" t="n">
        <v>46</v>
      </c>
      <c r="F8" s="22" t="n">
        <v>0</v>
      </c>
      <c r="G8" s="24" t="s">
        <v>2190</v>
      </c>
      <c r="H8" s="24" t="s">
        <v>2196</v>
      </c>
    </row>
    <row r="9" customFormat="false" ht="23.85" hidden="false" customHeight="false" outlineLevel="0" collapsed="false">
      <c r="A9" s="20" t="s">
        <v>2197</v>
      </c>
      <c r="B9" s="26" t="n">
        <v>0.4944</v>
      </c>
      <c r="C9" s="18" t="n">
        <v>180</v>
      </c>
      <c r="D9" s="18" t="n">
        <v>49</v>
      </c>
      <c r="E9" s="18" t="n">
        <v>111</v>
      </c>
      <c r="F9" s="18" t="n">
        <v>20</v>
      </c>
      <c r="G9" s="20" t="s">
        <v>2190</v>
      </c>
      <c r="H9" s="20" t="s">
        <v>2198</v>
      </c>
    </row>
    <row r="10" customFormat="false" ht="15" hidden="false" customHeight="false" outlineLevel="0" collapsed="false">
      <c r="A10" s="24" t="s">
        <v>2199</v>
      </c>
      <c r="B10" s="27" t="n">
        <v>0.5</v>
      </c>
      <c r="C10" s="22" t="n">
        <v>90</v>
      </c>
      <c r="D10" s="22" t="n">
        <v>18</v>
      </c>
      <c r="E10" s="22" t="n">
        <v>62</v>
      </c>
      <c r="F10" s="22" t="n">
        <v>10</v>
      </c>
      <c r="G10" s="24" t="s">
        <v>2190</v>
      </c>
      <c r="H10" s="24" t="s">
        <v>2200</v>
      </c>
    </row>
    <row r="11" customFormat="false" ht="23.85" hidden="false" customHeight="false" outlineLevel="0" collapsed="false">
      <c r="A11" s="20" t="s">
        <v>2201</v>
      </c>
      <c r="B11" s="26" t="n">
        <v>0.5074</v>
      </c>
      <c r="C11" s="18" t="n">
        <v>270</v>
      </c>
      <c r="D11" s="18" t="n">
        <v>97</v>
      </c>
      <c r="E11" s="18" t="n">
        <v>148</v>
      </c>
      <c r="F11" s="18" t="n">
        <v>25</v>
      </c>
      <c r="G11" s="20" t="s">
        <v>2190</v>
      </c>
      <c r="H11" s="20" t="s">
        <v>2202</v>
      </c>
    </row>
    <row r="12" customFormat="false" ht="23.85" hidden="false" customHeight="false" outlineLevel="0" collapsed="false">
      <c r="A12" s="24" t="s">
        <v>2203</v>
      </c>
      <c r="B12" s="27" t="n">
        <v>0.5111</v>
      </c>
      <c r="C12" s="22" t="n">
        <v>180</v>
      </c>
      <c r="D12" s="22" t="n">
        <v>79</v>
      </c>
      <c r="E12" s="22" t="n">
        <v>86</v>
      </c>
      <c r="F12" s="22" t="n">
        <v>15</v>
      </c>
      <c r="G12" s="24" t="s">
        <v>2190</v>
      </c>
      <c r="H12" s="24" t="s">
        <v>2204</v>
      </c>
    </row>
    <row r="13" customFormat="false" ht="15" hidden="false" customHeight="false" outlineLevel="0" collapsed="false">
      <c r="A13" s="20" t="s">
        <v>2205</v>
      </c>
      <c r="B13" s="26" t="n">
        <v>0.5333</v>
      </c>
      <c r="C13" s="18" t="n">
        <v>90</v>
      </c>
      <c r="D13" s="18" t="n">
        <v>5</v>
      </c>
      <c r="E13" s="18" t="n">
        <v>65</v>
      </c>
      <c r="F13" s="18" t="n">
        <v>20</v>
      </c>
      <c r="G13" s="20" t="s">
        <v>2190</v>
      </c>
      <c r="H13" s="20" t="s">
        <v>2206</v>
      </c>
    </row>
    <row r="14" customFormat="false" ht="15" hidden="false" customHeight="false" outlineLevel="0" collapsed="false">
      <c r="A14" s="24" t="s">
        <v>2207</v>
      </c>
      <c r="B14" s="27" t="n">
        <v>0.5333</v>
      </c>
      <c r="C14" s="22" t="n">
        <v>90</v>
      </c>
      <c r="D14" s="22" t="n">
        <v>5</v>
      </c>
      <c r="E14" s="22" t="n">
        <v>65</v>
      </c>
      <c r="F14" s="22" t="n">
        <v>20</v>
      </c>
      <c r="G14" s="24" t="s">
        <v>2190</v>
      </c>
      <c r="H14" s="24" t="s">
        <v>2206</v>
      </c>
    </row>
    <row r="15" customFormat="false" ht="15" hidden="false" customHeight="false" outlineLevel="0" collapsed="false">
      <c r="A15" s="20" t="s">
        <v>2208</v>
      </c>
      <c r="B15" s="26" t="n">
        <v>0.5333</v>
      </c>
      <c r="C15" s="18" t="n">
        <v>90</v>
      </c>
      <c r="D15" s="18" t="n">
        <v>5</v>
      </c>
      <c r="E15" s="18" t="n">
        <v>65</v>
      </c>
      <c r="F15" s="18" t="n">
        <v>20</v>
      </c>
      <c r="G15" s="20" t="s">
        <v>2190</v>
      </c>
      <c r="H15" s="20" t="s">
        <v>2206</v>
      </c>
    </row>
    <row r="16" customFormat="false" ht="15" hidden="false" customHeight="false" outlineLevel="0" collapsed="false">
      <c r="A16" s="24" t="s">
        <v>2209</v>
      </c>
      <c r="B16" s="27" t="n">
        <v>0.5333</v>
      </c>
      <c r="C16" s="22" t="n">
        <v>90</v>
      </c>
      <c r="D16" s="22" t="n">
        <v>5</v>
      </c>
      <c r="E16" s="22" t="n">
        <v>65</v>
      </c>
      <c r="F16" s="22" t="n">
        <v>20</v>
      </c>
      <c r="G16" s="24" t="s">
        <v>2190</v>
      </c>
      <c r="H16" s="24" t="s">
        <v>2206</v>
      </c>
    </row>
    <row r="17" customFormat="false" ht="15" hidden="false" customHeight="false" outlineLevel="0" collapsed="false">
      <c r="A17" s="20" t="s">
        <v>2210</v>
      </c>
      <c r="B17" s="26" t="n">
        <v>0.5333</v>
      </c>
      <c r="C17" s="18" t="n">
        <v>90</v>
      </c>
      <c r="D17" s="18" t="n">
        <v>5</v>
      </c>
      <c r="E17" s="18" t="n">
        <v>65</v>
      </c>
      <c r="F17" s="18" t="n">
        <v>20</v>
      </c>
      <c r="G17" s="20" t="s">
        <v>2190</v>
      </c>
      <c r="H17" s="20" t="s">
        <v>2206</v>
      </c>
    </row>
    <row r="18" customFormat="false" ht="23.85" hidden="false" customHeight="false" outlineLevel="0" collapsed="false">
      <c r="A18" s="24" t="s">
        <v>2211</v>
      </c>
      <c r="B18" s="27" t="n">
        <v>0.55</v>
      </c>
      <c r="C18" s="22" t="n">
        <v>180</v>
      </c>
      <c r="D18" s="22" t="n">
        <v>94</v>
      </c>
      <c r="E18" s="22" t="n">
        <v>73</v>
      </c>
      <c r="F18" s="22" t="n">
        <v>13</v>
      </c>
      <c r="G18" s="24" t="s">
        <v>2212</v>
      </c>
      <c r="H18" s="24" t="s">
        <v>2213</v>
      </c>
    </row>
    <row r="19" customFormat="false" ht="23.85" hidden="false" customHeight="false" outlineLevel="0" collapsed="false">
      <c r="A19" s="20" t="s">
        <v>2214</v>
      </c>
      <c r="B19" s="26" t="n">
        <v>0.603</v>
      </c>
      <c r="C19" s="18" t="n">
        <v>267</v>
      </c>
      <c r="D19" s="18" t="n">
        <v>81</v>
      </c>
      <c r="E19" s="18" t="n">
        <v>142</v>
      </c>
      <c r="F19" s="18" t="n">
        <v>44</v>
      </c>
      <c r="G19" s="20" t="s">
        <v>2190</v>
      </c>
      <c r="H19" s="20" t="s">
        <v>2215</v>
      </c>
    </row>
    <row r="20" customFormat="false" ht="15" hidden="false" customHeight="false" outlineLevel="0" collapsed="false">
      <c r="A20" s="24" t="s">
        <v>2216</v>
      </c>
      <c r="B20" s="27" t="n">
        <v>0.6444</v>
      </c>
      <c r="C20" s="22" t="n">
        <v>90</v>
      </c>
      <c r="D20" s="22" t="n">
        <v>50</v>
      </c>
      <c r="E20" s="22" t="n">
        <v>27</v>
      </c>
      <c r="F20" s="22" t="n">
        <v>13</v>
      </c>
      <c r="G20" s="24" t="s">
        <v>2212</v>
      </c>
      <c r="H20" s="24" t="s">
        <v>2217</v>
      </c>
    </row>
    <row r="21" customFormat="false" ht="15" hidden="false" customHeight="false" outlineLevel="0" collapsed="false">
      <c r="A21" s="20" t="s">
        <v>2218</v>
      </c>
      <c r="B21" s="26" t="n">
        <v>0.6628</v>
      </c>
      <c r="C21" s="18" t="n">
        <v>86</v>
      </c>
      <c r="D21" s="18" t="n">
        <v>13</v>
      </c>
      <c r="E21" s="18" t="n">
        <v>53</v>
      </c>
      <c r="F21" s="18" t="n">
        <v>20</v>
      </c>
      <c r="G21" s="20" t="s">
        <v>2190</v>
      </c>
      <c r="H21" s="20" t="s">
        <v>2219</v>
      </c>
    </row>
    <row r="22" customFormat="false" ht="15" hidden="false" customHeight="false" outlineLevel="0" collapsed="false">
      <c r="A22" s="24" t="s">
        <v>2220</v>
      </c>
      <c r="B22" s="27" t="n">
        <v>0.6667</v>
      </c>
      <c r="C22" s="22" t="n">
        <v>87</v>
      </c>
      <c r="D22" s="22" t="n">
        <v>13</v>
      </c>
      <c r="E22" s="22" t="n">
        <v>53</v>
      </c>
      <c r="F22" s="22" t="n">
        <v>21</v>
      </c>
      <c r="G22" s="24" t="s">
        <v>2190</v>
      </c>
      <c r="H22" s="24" t="s">
        <v>2219</v>
      </c>
    </row>
  </sheetData>
  <mergeCells count="1">
    <mergeCell ref="A2:H2"/>
  </mergeCells>
  <conditionalFormatting sqref="B5:B22">
    <cfRule type="colorScale" priority="2">
      <colorScale>
        <cfvo type="num" val="0.33"/>
        <cfvo type="num" val="0.55"/>
        <cfvo type="num" val="0.9"/>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6"/>
    <col collapsed="false" customWidth="true" hidden="false" outlineLevel="0" max="4" min="4" style="0" width="18"/>
    <col collapsed="false" customWidth="true" hidden="false" outlineLevel="0" max="5" min="5" style="0" width="10"/>
    <col collapsed="false" customWidth="true" hidden="false" outlineLevel="0" max="6" min="6" style="0" width="9"/>
    <col collapsed="false" customWidth="true" hidden="false" outlineLevel="0" max="8" min="7" style="0" width="13"/>
    <col collapsed="false" customWidth="true" hidden="false" outlineLevel="0" max="9" min="9" style="0" width="8"/>
    <col collapsed="false" customWidth="true" hidden="false" outlineLevel="0" max="10" min="10" style="0" width="6"/>
    <col collapsed="false" customWidth="true" hidden="false" outlineLevel="0" max="11" min="11" style="0" width="10"/>
    <col collapsed="false" customWidth="true" hidden="false" outlineLevel="0" max="12" min="12" style="0" width="7"/>
    <col collapsed="false" customWidth="true" hidden="false" outlineLevel="0" max="13" min="13" style="0" width="8"/>
    <col collapsed="false" customWidth="true" hidden="false" outlineLevel="0" max="14" min="14" style="0" width="34"/>
    <col collapsed="false" customWidth="true" hidden="false" outlineLevel="0" max="15" min="15" style="0" width="8"/>
    <col collapsed="false" customWidth="true" hidden="false" outlineLevel="0" max="16" min="16" style="0" width="10"/>
    <col collapsed="false" customWidth="true" hidden="false" outlineLevel="0" max="17" min="17" style="0" width="8"/>
    <col collapsed="false" customWidth="true" hidden="false" outlineLevel="0" max="18" min="18" style="0" width="9"/>
    <col collapsed="false" customWidth="true" hidden="false" outlineLevel="0" max="19" min="19" style="0" width="24"/>
    <col collapsed="false" customWidth="true" hidden="false" outlineLevel="0" max="20" min="20" style="0" width="10"/>
    <col collapsed="false" customWidth="true" hidden="false" outlineLevel="0" max="21" min="21" style="0" width="34"/>
    <col collapsed="false" customWidth="true" hidden="false" outlineLevel="0" max="22" min="22" style="0" width="12"/>
    <col collapsed="false" customWidth="true" hidden="false" outlineLevel="0" max="23" min="23" style="0" width="32"/>
    <col collapsed="false" customWidth="true" hidden="false" outlineLevel="0" max="24" min="24" style="0" width="40"/>
    <col collapsed="false" customWidth="true" hidden="false" outlineLevel="0" max="26" min="25" style="0" width="60"/>
  </cols>
  <sheetData>
    <row r="1" customFormat="false" ht="45" hidden="false" customHeight="true" outlineLevel="0" collapsed="false">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customFormat="false" ht="15" hidden="false" customHeight="false" outlineLevel="0" collapsed="false">
      <c r="A2" s="8" t="s">
        <v>90</v>
      </c>
      <c r="B2" s="8" t="s">
        <v>19</v>
      </c>
      <c r="C2" s="8" t="s">
        <v>20</v>
      </c>
      <c r="D2" s="8" t="s">
        <v>615</v>
      </c>
      <c r="E2" s="8" t="s">
        <v>35</v>
      </c>
      <c r="F2" s="8" t="s">
        <v>49</v>
      </c>
      <c r="G2" s="8" t="s">
        <v>32</v>
      </c>
      <c r="H2" s="8" t="s">
        <v>32</v>
      </c>
      <c r="I2" s="8" t="n">
        <f aca="false">IF(EXACT(G2,H2),1,0)</f>
        <v>1</v>
      </c>
      <c r="J2" s="8" t="n">
        <v>0</v>
      </c>
      <c r="K2" s="8" t="s">
        <v>92</v>
      </c>
      <c r="L2" s="8" t="n">
        <v>0</v>
      </c>
      <c r="M2" s="8" t="n">
        <v>0</v>
      </c>
      <c r="N2" s="8"/>
      <c r="O2" s="8" t="n">
        <v>1</v>
      </c>
      <c r="P2" s="10" t="n">
        <v>4.56</v>
      </c>
      <c r="Q2" s="8" t="n">
        <v>608</v>
      </c>
      <c r="R2" s="8" t="n">
        <v>193</v>
      </c>
      <c r="S2" s="8" t="s">
        <v>94</v>
      </c>
      <c r="T2" s="8" t="s">
        <v>95</v>
      </c>
      <c r="U2" s="8" t="s">
        <v>96</v>
      </c>
      <c r="V2" s="8"/>
      <c r="W2" s="8" t="s">
        <v>97</v>
      </c>
      <c r="X2" s="8" t="s">
        <v>98</v>
      </c>
      <c r="Y2" s="8" t="s">
        <v>2221</v>
      </c>
      <c r="Z2" s="8"/>
    </row>
    <row r="3" customFormat="false" ht="15" hidden="false" customHeight="false" outlineLevel="0" collapsed="false">
      <c r="A3" s="8" t="s">
        <v>90</v>
      </c>
      <c r="B3" s="8" t="s">
        <v>19</v>
      </c>
      <c r="C3" s="8" t="s">
        <v>20</v>
      </c>
      <c r="D3" s="8" t="s">
        <v>615</v>
      </c>
      <c r="E3" s="8" t="s">
        <v>35</v>
      </c>
      <c r="F3" s="8" t="s">
        <v>49</v>
      </c>
      <c r="G3" s="8" t="s">
        <v>32</v>
      </c>
      <c r="H3" s="8" t="s">
        <v>32</v>
      </c>
      <c r="I3" s="8" t="n">
        <f aca="false">IF(EXACT(G3,H3),1,0)</f>
        <v>1</v>
      </c>
      <c r="J3" s="8" t="n">
        <v>1</v>
      </c>
      <c r="K3" s="8" t="s">
        <v>92</v>
      </c>
      <c r="L3" s="8" t="n">
        <v>0</v>
      </c>
      <c r="M3" s="8" t="n">
        <v>0</v>
      </c>
      <c r="N3" s="8"/>
      <c r="O3" s="8" t="n">
        <v>1</v>
      </c>
      <c r="P3" s="10" t="n">
        <v>4.65</v>
      </c>
      <c r="Q3" s="8" t="n">
        <v>608</v>
      </c>
      <c r="R3" s="8" t="n">
        <v>193</v>
      </c>
      <c r="S3" s="8" t="s">
        <v>94</v>
      </c>
      <c r="T3" s="8" t="s">
        <v>95</v>
      </c>
      <c r="U3" s="8" t="s">
        <v>96</v>
      </c>
      <c r="V3" s="8"/>
      <c r="W3" s="8" t="s">
        <v>97</v>
      </c>
      <c r="X3" s="8" t="s">
        <v>98</v>
      </c>
      <c r="Y3" s="8" t="s">
        <v>2221</v>
      </c>
      <c r="Z3" s="8"/>
    </row>
    <row r="4" customFormat="false" ht="15" hidden="false" customHeight="false" outlineLevel="0" collapsed="false">
      <c r="A4" s="8" t="s">
        <v>90</v>
      </c>
      <c r="B4" s="8" t="s">
        <v>19</v>
      </c>
      <c r="C4" s="8" t="s">
        <v>20</v>
      </c>
      <c r="D4" s="8" t="s">
        <v>615</v>
      </c>
      <c r="E4" s="8" t="s">
        <v>35</v>
      </c>
      <c r="F4" s="8" t="s">
        <v>49</v>
      </c>
      <c r="G4" s="8" t="s">
        <v>32</v>
      </c>
      <c r="H4" s="8" t="s">
        <v>32</v>
      </c>
      <c r="I4" s="8" t="n">
        <f aca="false">IF(EXACT(G4,H4),1,0)</f>
        <v>1</v>
      </c>
      <c r="J4" s="8" t="n">
        <v>2</v>
      </c>
      <c r="K4" s="8" t="s">
        <v>92</v>
      </c>
      <c r="L4" s="8" t="n">
        <v>0</v>
      </c>
      <c r="M4" s="8" t="n">
        <v>0</v>
      </c>
      <c r="N4" s="8"/>
      <c r="O4" s="8" t="n">
        <v>1</v>
      </c>
      <c r="P4" s="10" t="n">
        <v>4.5</v>
      </c>
      <c r="Q4" s="8" t="n">
        <v>608</v>
      </c>
      <c r="R4" s="8" t="n">
        <v>207</v>
      </c>
      <c r="S4" s="8" t="s">
        <v>94</v>
      </c>
      <c r="T4" s="8" t="s">
        <v>95</v>
      </c>
      <c r="U4" s="8" t="s">
        <v>96</v>
      </c>
      <c r="V4" s="8"/>
      <c r="W4" s="8" t="s">
        <v>97</v>
      </c>
      <c r="X4" s="8" t="s">
        <v>98</v>
      </c>
      <c r="Y4" s="8" t="s">
        <v>2222</v>
      </c>
      <c r="Z4" s="8"/>
    </row>
    <row r="5" customFormat="false" ht="15" hidden="false" customHeight="false" outlineLevel="0" collapsed="false">
      <c r="A5" s="8" t="s">
        <v>100</v>
      </c>
      <c r="B5" s="8" t="s">
        <v>19</v>
      </c>
      <c r="C5" s="8" t="s">
        <v>20</v>
      </c>
      <c r="D5" s="8" t="s">
        <v>615</v>
      </c>
      <c r="E5" s="8" t="s">
        <v>35</v>
      </c>
      <c r="F5" s="8" t="s">
        <v>49</v>
      </c>
      <c r="G5" s="8" t="s">
        <v>32</v>
      </c>
      <c r="H5" s="8" t="s">
        <v>30</v>
      </c>
      <c r="I5" s="8" t="n">
        <f aca="false">IF(EXACT(G5,H5),1,0)</f>
        <v>0</v>
      </c>
      <c r="J5" s="8" t="n">
        <v>0</v>
      </c>
      <c r="K5" s="8" t="s">
        <v>92</v>
      </c>
      <c r="L5" s="8" t="n">
        <v>0</v>
      </c>
      <c r="M5" s="8" t="n">
        <v>0</v>
      </c>
      <c r="N5" s="8"/>
      <c r="O5" s="8" t="n">
        <v>1</v>
      </c>
      <c r="P5" s="10" t="n">
        <v>5.42</v>
      </c>
      <c r="Q5" s="8" t="n">
        <v>609</v>
      </c>
      <c r="R5" s="8" t="n">
        <v>261</v>
      </c>
      <c r="S5" s="8" t="s">
        <v>101</v>
      </c>
      <c r="T5" s="8" t="s">
        <v>95</v>
      </c>
      <c r="U5" s="8" t="s">
        <v>96</v>
      </c>
      <c r="V5" s="8"/>
      <c r="W5" s="8" t="s">
        <v>102</v>
      </c>
      <c r="X5" s="8" t="s">
        <v>103</v>
      </c>
      <c r="Y5" s="8" t="s">
        <v>2223</v>
      </c>
      <c r="Z5" s="8"/>
    </row>
    <row r="6" customFormat="false" ht="15" hidden="false" customHeight="false" outlineLevel="0" collapsed="false">
      <c r="A6" s="8" t="s">
        <v>100</v>
      </c>
      <c r="B6" s="8" t="s">
        <v>19</v>
      </c>
      <c r="C6" s="8" t="s">
        <v>20</v>
      </c>
      <c r="D6" s="8" t="s">
        <v>615</v>
      </c>
      <c r="E6" s="8" t="s">
        <v>35</v>
      </c>
      <c r="F6" s="8" t="s">
        <v>49</v>
      </c>
      <c r="G6" s="8" t="s">
        <v>32</v>
      </c>
      <c r="H6" s="8" t="s">
        <v>30</v>
      </c>
      <c r="I6" s="8" t="n">
        <f aca="false">IF(EXACT(G6,H6),1,0)</f>
        <v>0</v>
      </c>
      <c r="J6" s="8" t="n">
        <v>1</v>
      </c>
      <c r="K6" s="8" t="s">
        <v>92</v>
      </c>
      <c r="L6" s="8" t="n">
        <v>0</v>
      </c>
      <c r="M6" s="8" t="n">
        <v>0</v>
      </c>
      <c r="N6" s="8"/>
      <c r="O6" s="8" t="n">
        <v>1</v>
      </c>
      <c r="P6" s="10" t="n">
        <v>5.64</v>
      </c>
      <c r="Q6" s="8" t="n">
        <v>609</v>
      </c>
      <c r="R6" s="8" t="n">
        <v>250</v>
      </c>
      <c r="S6" s="8" t="s">
        <v>101</v>
      </c>
      <c r="T6" s="8" t="s">
        <v>95</v>
      </c>
      <c r="U6" s="8" t="s">
        <v>96</v>
      </c>
      <c r="V6" s="8"/>
      <c r="W6" s="8" t="s">
        <v>102</v>
      </c>
      <c r="X6" s="8" t="s">
        <v>103</v>
      </c>
      <c r="Y6" s="8" t="s">
        <v>2224</v>
      </c>
      <c r="Z6" s="8"/>
    </row>
    <row r="7" customFormat="false" ht="15" hidden="false" customHeight="false" outlineLevel="0" collapsed="false">
      <c r="A7" s="8" t="s">
        <v>100</v>
      </c>
      <c r="B7" s="8" t="s">
        <v>19</v>
      </c>
      <c r="C7" s="8" t="s">
        <v>20</v>
      </c>
      <c r="D7" s="8" t="s">
        <v>615</v>
      </c>
      <c r="E7" s="8" t="s">
        <v>35</v>
      </c>
      <c r="F7" s="8" t="s">
        <v>49</v>
      </c>
      <c r="G7" s="8" t="s">
        <v>32</v>
      </c>
      <c r="H7" s="8" t="s">
        <v>30</v>
      </c>
      <c r="I7" s="8" t="n">
        <f aca="false">IF(EXACT(G7,H7),1,0)</f>
        <v>0</v>
      </c>
      <c r="J7" s="8" t="n">
        <v>2</v>
      </c>
      <c r="K7" s="8" t="s">
        <v>92</v>
      </c>
      <c r="L7" s="8" t="n">
        <v>0</v>
      </c>
      <c r="M7" s="8" t="n">
        <v>0</v>
      </c>
      <c r="N7" s="8"/>
      <c r="O7" s="8" t="n">
        <v>1</v>
      </c>
      <c r="P7" s="10" t="n">
        <v>5.48</v>
      </c>
      <c r="Q7" s="8" t="n">
        <v>609</v>
      </c>
      <c r="R7" s="8" t="n">
        <v>228</v>
      </c>
      <c r="S7" s="8" t="s">
        <v>101</v>
      </c>
      <c r="T7" s="8" t="s">
        <v>95</v>
      </c>
      <c r="U7" s="8" t="s">
        <v>96</v>
      </c>
      <c r="V7" s="8"/>
      <c r="W7" s="8" t="s">
        <v>102</v>
      </c>
      <c r="X7" s="8" t="s">
        <v>103</v>
      </c>
      <c r="Y7" s="8" t="s">
        <v>2225</v>
      </c>
      <c r="Z7" s="8"/>
    </row>
    <row r="8" customFormat="false" ht="15" hidden="false" customHeight="false" outlineLevel="0" collapsed="false">
      <c r="A8" s="8" t="s">
        <v>104</v>
      </c>
      <c r="B8" s="8" t="s">
        <v>19</v>
      </c>
      <c r="C8" s="8" t="s">
        <v>20</v>
      </c>
      <c r="D8" s="8" t="s">
        <v>615</v>
      </c>
      <c r="E8" s="8" t="s">
        <v>35</v>
      </c>
      <c r="F8" s="8" t="s">
        <v>49</v>
      </c>
      <c r="G8" s="8" t="s">
        <v>30</v>
      </c>
      <c r="H8" s="8" t="s">
        <v>30</v>
      </c>
      <c r="I8" s="8" t="n">
        <f aca="false">IF(EXACT(G8,H8),1,0)</f>
        <v>1</v>
      </c>
      <c r="J8" s="8" t="n">
        <v>0</v>
      </c>
      <c r="K8" s="8" t="s">
        <v>92</v>
      </c>
      <c r="L8" s="8" t="n">
        <v>0</v>
      </c>
      <c r="M8" s="8" t="n">
        <v>0</v>
      </c>
      <c r="N8" s="8"/>
      <c r="O8" s="8" t="n">
        <v>1</v>
      </c>
      <c r="P8" s="10" t="n">
        <v>5.62</v>
      </c>
      <c r="Q8" s="8" t="n">
        <v>598</v>
      </c>
      <c r="R8" s="8" t="n">
        <v>222</v>
      </c>
      <c r="S8" s="8" t="s">
        <v>105</v>
      </c>
      <c r="T8" s="8" t="s">
        <v>95</v>
      </c>
      <c r="U8" s="8" t="s">
        <v>96</v>
      </c>
      <c r="V8" s="8"/>
      <c r="W8" s="8" t="s">
        <v>106</v>
      </c>
      <c r="X8" s="8" t="s">
        <v>107</v>
      </c>
      <c r="Y8" s="8" t="s">
        <v>2226</v>
      </c>
      <c r="Z8" s="8"/>
    </row>
    <row r="9" customFormat="false" ht="15" hidden="false" customHeight="false" outlineLevel="0" collapsed="false">
      <c r="A9" s="8" t="s">
        <v>104</v>
      </c>
      <c r="B9" s="8" t="s">
        <v>19</v>
      </c>
      <c r="C9" s="8" t="s">
        <v>20</v>
      </c>
      <c r="D9" s="8" t="s">
        <v>615</v>
      </c>
      <c r="E9" s="8" t="s">
        <v>35</v>
      </c>
      <c r="F9" s="8" t="s">
        <v>49</v>
      </c>
      <c r="G9" s="8" t="s">
        <v>30</v>
      </c>
      <c r="H9" s="8" t="s">
        <v>30</v>
      </c>
      <c r="I9" s="8" t="n">
        <f aca="false">IF(EXACT(G9,H9),1,0)</f>
        <v>1</v>
      </c>
      <c r="J9" s="8" t="n">
        <v>1</v>
      </c>
      <c r="K9" s="8" t="s">
        <v>92</v>
      </c>
      <c r="L9" s="8" t="n">
        <v>0</v>
      </c>
      <c r="M9" s="8" t="n">
        <v>0</v>
      </c>
      <c r="N9" s="8"/>
      <c r="O9" s="8" t="n">
        <v>1</v>
      </c>
      <c r="P9" s="10" t="n">
        <v>5.53</v>
      </c>
      <c r="Q9" s="8" t="n">
        <v>598</v>
      </c>
      <c r="R9" s="8" t="n">
        <v>241</v>
      </c>
      <c r="S9" s="8" t="s">
        <v>105</v>
      </c>
      <c r="T9" s="8" t="s">
        <v>95</v>
      </c>
      <c r="U9" s="8" t="s">
        <v>96</v>
      </c>
      <c r="V9" s="8"/>
      <c r="W9" s="8" t="s">
        <v>106</v>
      </c>
      <c r="X9" s="8" t="s">
        <v>107</v>
      </c>
      <c r="Y9" s="8" t="s">
        <v>2227</v>
      </c>
      <c r="Z9" s="8"/>
    </row>
    <row r="10" customFormat="false" ht="15" hidden="false" customHeight="false" outlineLevel="0" collapsed="false">
      <c r="A10" s="8" t="s">
        <v>104</v>
      </c>
      <c r="B10" s="8" t="s">
        <v>19</v>
      </c>
      <c r="C10" s="8" t="s">
        <v>20</v>
      </c>
      <c r="D10" s="8" t="s">
        <v>615</v>
      </c>
      <c r="E10" s="8" t="s">
        <v>35</v>
      </c>
      <c r="F10" s="8" t="s">
        <v>49</v>
      </c>
      <c r="G10" s="8" t="s">
        <v>30</v>
      </c>
      <c r="H10" s="8" t="s">
        <v>30</v>
      </c>
      <c r="I10" s="8" t="n">
        <f aca="false">IF(EXACT(G10,H10),1,0)</f>
        <v>1</v>
      </c>
      <c r="J10" s="8" t="n">
        <v>2</v>
      </c>
      <c r="K10" s="8" t="s">
        <v>92</v>
      </c>
      <c r="L10" s="8" t="n">
        <v>0</v>
      </c>
      <c r="M10" s="8" t="n">
        <v>0</v>
      </c>
      <c r="N10" s="8"/>
      <c r="O10" s="8" t="n">
        <v>1</v>
      </c>
      <c r="P10" s="10" t="n">
        <v>5.42</v>
      </c>
      <c r="Q10" s="8" t="n">
        <v>598</v>
      </c>
      <c r="R10" s="8" t="n">
        <v>224</v>
      </c>
      <c r="S10" s="8" t="s">
        <v>105</v>
      </c>
      <c r="T10" s="8" t="s">
        <v>95</v>
      </c>
      <c r="U10" s="8" t="s">
        <v>96</v>
      </c>
      <c r="V10" s="8"/>
      <c r="W10" s="8" t="s">
        <v>106</v>
      </c>
      <c r="X10" s="8" t="s">
        <v>107</v>
      </c>
      <c r="Y10" s="8" t="s">
        <v>2228</v>
      </c>
      <c r="Z10" s="8"/>
    </row>
    <row r="11" customFormat="false" ht="15" hidden="false" customHeight="false" outlineLevel="0" collapsed="false">
      <c r="A11" s="8" t="s">
        <v>109</v>
      </c>
      <c r="B11" s="8" t="s">
        <v>19</v>
      </c>
      <c r="C11" s="8" t="s">
        <v>20</v>
      </c>
      <c r="D11" s="8" t="s">
        <v>615</v>
      </c>
      <c r="E11" s="8" t="s">
        <v>35</v>
      </c>
      <c r="F11" s="8" t="s">
        <v>49</v>
      </c>
      <c r="G11" s="8" t="s">
        <v>30</v>
      </c>
      <c r="H11" s="8" t="s">
        <v>30</v>
      </c>
      <c r="I11" s="8" t="n">
        <f aca="false">IF(EXACT(G11,H11),1,0)</f>
        <v>1</v>
      </c>
      <c r="J11" s="8" t="n">
        <v>0</v>
      </c>
      <c r="K11" s="8" t="s">
        <v>92</v>
      </c>
      <c r="L11" s="8" t="n">
        <v>0</v>
      </c>
      <c r="M11" s="8" t="n">
        <v>0</v>
      </c>
      <c r="N11" s="8"/>
      <c r="O11" s="8" t="n">
        <v>1</v>
      </c>
      <c r="P11" s="10" t="n">
        <v>9.12</v>
      </c>
      <c r="Q11" s="8" t="n">
        <v>821</v>
      </c>
      <c r="R11" s="8" t="n">
        <v>351</v>
      </c>
      <c r="S11" s="8" t="s">
        <v>110</v>
      </c>
      <c r="T11" s="8" t="s">
        <v>111</v>
      </c>
      <c r="U11" s="8" t="s">
        <v>112</v>
      </c>
      <c r="V11" s="8"/>
      <c r="W11" s="8" t="s">
        <v>113</v>
      </c>
      <c r="X11" s="8" t="s">
        <v>114</v>
      </c>
      <c r="Y11" s="8" t="s">
        <v>2229</v>
      </c>
      <c r="Z11" s="8"/>
    </row>
    <row r="12" customFormat="false" ht="15" hidden="false" customHeight="false" outlineLevel="0" collapsed="false">
      <c r="A12" s="8" t="s">
        <v>109</v>
      </c>
      <c r="B12" s="8" t="s">
        <v>19</v>
      </c>
      <c r="C12" s="8" t="s">
        <v>20</v>
      </c>
      <c r="D12" s="8" t="s">
        <v>615</v>
      </c>
      <c r="E12" s="8" t="s">
        <v>35</v>
      </c>
      <c r="F12" s="8" t="s">
        <v>49</v>
      </c>
      <c r="G12" s="8" t="s">
        <v>30</v>
      </c>
      <c r="H12" s="8" t="s">
        <v>30</v>
      </c>
      <c r="I12" s="8" t="n">
        <f aca="false">IF(EXACT(G12,H12),1,0)</f>
        <v>1</v>
      </c>
      <c r="J12" s="8" t="n">
        <v>1</v>
      </c>
      <c r="K12" s="8" t="s">
        <v>92</v>
      </c>
      <c r="L12" s="8" t="n">
        <v>0</v>
      </c>
      <c r="M12" s="8" t="n">
        <v>0</v>
      </c>
      <c r="N12" s="8"/>
      <c r="O12" s="8" t="n">
        <v>1</v>
      </c>
      <c r="P12" s="10" t="n">
        <v>9.44</v>
      </c>
      <c r="Q12" s="8" t="n">
        <v>821</v>
      </c>
      <c r="R12" s="8" t="n">
        <v>374</v>
      </c>
      <c r="S12" s="8" t="s">
        <v>110</v>
      </c>
      <c r="T12" s="8" t="s">
        <v>111</v>
      </c>
      <c r="U12" s="8" t="s">
        <v>112</v>
      </c>
      <c r="V12" s="8"/>
      <c r="W12" s="8" t="s">
        <v>113</v>
      </c>
      <c r="X12" s="8" t="s">
        <v>114</v>
      </c>
      <c r="Y12" s="8" t="s">
        <v>2230</v>
      </c>
      <c r="Z12" s="8"/>
    </row>
    <row r="13" customFormat="false" ht="15" hidden="false" customHeight="false" outlineLevel="0" collapsed="false">
      <c r="A13" s="8" t="s">
        <v>109</v>
      </c>
      <c r="B13" s="8" t="s">
        <v>19</v>
      </c>
      <c r="C13" s="8" t="s">
        <v>20</v>
      </c>
      <c r="D13" s="8" t="s">
        <v>615</v>
      </c>
      <c r="E13" s="8" t="s">
        <v>35</v>
      </c>
      <c r="F13" s="8" t="s">
        <v>49</v>
      </c>
      <c r="G13" s="8" t="s">
        <v>30</v>
      </c>
      <c r="H13" s="8" t="s">
        <v>30</v>
      </c>
      <c r="I13" s="8" t="n">
        <f aca="false">IF(EXACT(G13,H13),1,0)</f>
        <v>1</v>
      </c>
      <c r="J13" s="8" t="n">
        <v>2</v>
      </c>
      <c r="K13" s="8" t="s">
        <v>92</v>
      </c>
      <c r="L13" s="8" t="n">
        <v>0</v>
      </c>
      <c r="M13" s="8" t="n">
        <v>0</v>
      </c>
      <c r="N13" s="8"/>
      <c r="O13" s="8" t="n">
        <v>1</v>
      </c>
      <c r="P13" s="10" t="n">
        <v>9.3</v>
      </c>
      <c r="Q13" s="8" t="n">
        <v>821</v>
      </c>
      <c r="R13" s="8" t="n">
        <v>359</v>
      </c>
      <c r="S13" s="8" t="s">
        <v>110</v>
      </c>
      <c r="T13" s="8" t="s">
        <v>111</v>
      </c>
      <c r="U13" s="8" t="s">
        <v>112</v>
      </c>
      <c r="V13" s="8"/>
      <c r="W13" s="8" t="s">
        <v>113</v>
      </c>
      <c r="X13" s="8" t="s">
        <v>114</v>
      </c>
      <c r="Y13" s="8" t="s">
        <v>2231</v>
      </c>
      <c r="Z13" s="8"/>
    </row>
    <row r="14" customFormat="false" ht="15" hidden="false" customHeight="false" outlineLevel="0" collapsed="false">
      <c r="A14" s="8" t="s">
        <v>115</v>
      </c>
      <c r="B14" s="8" t="s">
        <v>19</v>
      </c>
      <c r="C14" s="8" t="s">
        <v>20</v>
      </c>
      <c r="D14" s="8" t="s">
        <v>615</v>
      </c>
      <c r="E14" s="8" t="s">
        <v>35</v>
      </c>
      <c r="F14" s="8" t="s">
        <v>49</v>
      </c>
      <c r="G14" s="8" t="s">
        <v>31</v>
      </c>
      <c r="H14" s="8" t="s">
        <v>31</v>
      </c>
      <c r="I14" s="8" t="n">
        <f aca="false">IF(EXACT(G14,H14),1,0)</f>
        <v>1</v>
      </c>
      <c r="J14" s="8" t="n">
        <v>0</v>
      </c>
      <c r="K14" s="8" t="s">
        <v>116</v>
      </c>
      <c r="L14" s="8" t="n">
        <v>1</v>
      </c>
      <c r="M14" s="8" t="n">
        <v>0</v>
      </c>
      <c r="N14" s="8"/>
      <c r="O14" s="8" t="n">
        <v>1</v>
      </c>
      <c r="P14" s="10" t="n">
        <v>8.03</v>
      </c>
      <c r="Q14" s="8" t="n">
        <v>789</v>
      </c>
      <c r="R14" s="8" t="n">
        <v>373</v>
      </c>
      <c r="S14" s="8" t="s">
        <v>117</v>
      </c>
      <c r="T14" s="8" t="s">
        <v>111</v>
      </c>
      <c r="U14" s="8" t="s">
        <v>112</v>
      </c>
      <c r="V14" s="8"/>
      <c r="W14" s="8" t="s">
        <v>118</v>
      </c>
      <c r="X14" s="8" t="s">
        <v>119</v>
      </c>
      <c r="Y14" s="8" t="s">
        <v>2232</v>
      </c>
      <c r="Z14" s="8" t="s">
        <v>2233</v>
      </c>
    </row>
    <row r="15" customFormat="false" ht="15" hidden="false" customHeight="false" outlineLevel="0" collapsed="false">
      <c r="A15" s="8" t="s">
        <v>115</v>
      </c>
      <c r="B15" s="8" t="s">
        <v>19</v>
      </c>
      <c r="C15" s="8" t="s">
        <v>20</v>
      </c>
      <c r="D15" s="8" t="s">
        <v>615</v>
      </c>
      <c r="E15" s="8" t="s">
        <v>35</v>
      </c>
      <c r="F15" s="8" t="s">
        <v>49</v>
      </c>
      <c r="G15" s="8" t="s">
        <v>31</v>
      </c>
      <c r="H15" s="8" t="s">
        <v>31</v>
      </c>
      <c r="I15" s="8" t="n">
        <f aca="false">IF(EXACT(G15,H15),1,0)</f>
        <v>1</v>
      </c>
      <c r="J15" s="8" t="n">
        <v>1</v>
      </c>
      <c r="K15" s="8" t="s">
        <v>116</v>
      </c>
      <c r="L15" s="8" t="n">
        <v>1</v>
      </c>
      <c r="M15" s="8" t="n">
        <v>0</v>
      </c>
      <c r="N15" s="8"/>
      <c r="O15" s="8" t="n">
        <v>1</v>
      </c>
      <c r="P15" s="10" t="n">
        <v>8.9</v>
      </c>
      <c r="Q15" s="8" t="n">
        <v>789</v>
      </c>
      <c r="R15" s="8" t="n">
        <v>433</v>
      </c>
      <c r="S15" s="8" t="s">
        <v>117</v>
      </c>
      <c r="T15" s="8" t="s">
        <v>111</v>
      </c>
      <c r="U15" s="8" t="s">
        <v>112</v>
      </c>
      <c r="V15" s="8"/>
      <c r="W15" s="8" t="s">
        <v>118</v>
      </c>
      <c r="X15" s="8" t="s">
        <v>119</v>
      </c>
      <c r="Y15" s="8" t="s">
        <v>2234</v>
      </c>
      <c r="Z15" s="8" t="s">
        <v>2235</v>
      </c>
    </row>
    <row r="16" customFormat="false" ht="15" hidden="false" customHeight="false" outlineLevel="0" collapsed="false">
      <c r="A16" s="8" t="s">
        <v>115</v>
      </c>
      <c r="B16" s="8" t="s">
        <v>19</v>
      </c>
      <c r="C16" s="8" t="s">
        <v>20</v>
      </c>
      <c r="D16" s="8" t="s">
        <v>615</v>
      </c>
      <c r="E16" s="8" t="s">
        <v>35</v>
      </c>
      <c r="F16" s="8" t="s">
        <v>49</v>
      </c>
      <c r="G16" s="8" t="s">
        <v>31</v>
      </c>
      <c r="H16" s="8" t="s">
        <v>31</v>
      </c>
      <c r="I16" s="8" t="n">
        <f aca="false">IF(EXACT(G16,H16),1,0)</f>
        <v>1</v>
      </c>
      <c r="J16" s="8" t="n">
        <v>2</v>
      </c>
      <c r="K16" s="8" t="s">
        <v>116</v>
      </c>
      <c r="L16" s="8" t="n">
        <v>1</v>
      </c>
      <c r="M16" s="8" t="n">
        <v>0</v>
      </c>
      <c r="N16" s="8"/>
      <c r="O16" s="8" t="n">
        <v>1</v>
      </c>
      <c r="P16" s="10" t="n">
        <v>7.93</v>
      </c>
      <c r="Q16" s="8" t="n">
        <v>789</v>
      </c>
      <c r="R16" s="8" t="n">
        <v>380</v>
      </c>
      <c r="S16" s="8" t="s">
        <v>117</v>
      </c>
      <c r="T16" s="8" t="s">
        <v>111</v>
      </c>
      <c r="U16" s="8" t="s">
        <v>112</v>
      </c>
      <c r="V16" s="8"/>
      <c r="W16" s="8" t="s">
        <v>118</v>
      </c>
      <c r="X16" s="8" t="s">
        <v>119</v>
      </c>
      <c r="Y16" s="8" t="s">
        <v>2236</v>
      </c>
      <c r="Z16" s="8" t="s">
        <v>2237</v>
      </c>
    </row>
    <row r="17" customFormat="false" ht="15" hidden="false" customHeight="false" outlineLevel="0" collapsed="false">
      <c r="A17" s="8" t="s">
        <v>121</v>
      </c>
      <c r="B17" s="8" t="s">
        <v>19</v>
      </c>
      <c r="C17" s="8" t="s">
        <v>20</v>
      </c>
      <c r="D17" s="8" t="s">
        <v>615</v>
      </c>
      <c r="E17" s="8" t="s">
        <v>35</v>
      </c>
      <c r="F17" s="8" t="s">
        <v>49</v>
      </c>
      <c r="G17" s="8" t="s">
        <v>31</v>
      </c>
      <c r="H17" s="8" t="s">
        <v>31</v>
      </c>
      <c r="I17" s="8" t="n">
        <f aca="false">IF(EXACT(G17,H17),1,0)</f>
        <v>1</v>
      </c>
      <c r="J17" s="8" t="n">
        <v>0</v>
      </c>
      <c r="K17" s="8" t="s">
        <v>116</v>
      </c>
      <c r="L17" s="8" t="n">
        <v>1</v>
      </c>
      <c r="M17" s="8" t="n">
        <v>0</v>
      </c>
      <c r="N17" s="8"/>
      <c r="O17" s="8" t="n">
        <v>1</v>
      </c>
      <c r="P17" s="10" t="n">
        <v>7.37</v>
      </c>
      <c r="Q17" s="8" t="n">
        <v>603</v>
      </c>
      <c r="R17" s="8" t="n">
        <v>347</v>
      </c>
      <c r="S17" s="8" t="s">
        <v>117</v>
      </c>
      <c r="T17" s="8" t="s">
        <v>95</v>
      </c>
      <c r="U17" s="8" t="s">
        <v>96</v>
      </c>
      <c r="V17" s="8"/>
      <c r="W17" s="8" t="s">
        <v>122</v>
      </c>
      <c r="X17" s="8" t="s">
        <v>123</v>
      </c>
      <c r="Y17" s="8" t="s">
        <v>2238</v>
      </c>
      <c r="Z17" s="8" t="s">
        <v>2239</v>
      </c>
    </row>
    <row r="18" customFormat="false" ht="15" hidden="false" customHeight="false" outlineLevel="0" collapsed="false">
      <c r="A18" s="8" t="s">
        <v>121</v>
      </c>
      <c r="B18" s="8" t="s">
        <v>19</v>
      </c>
      <c r="C18" s="8" t="s">
        <v>20</v>
      </c>
      <c r="D18" s="8" t="s">
        <v>615</v>
      </c>
      <c r="E18" s="8" t="s">
        <v>35</v>
      </c>
      <c r="F18" s="8" t="s">
        <v>49</v>
      </c>
      <c r="G18" s="8" t="s">
        <v>31</v>
      </c>
      <c r="H18" s="8" t="s">
        <v>31</v>
      </c>
      <c r="I18" s="8" t="n">
        <f aca="false">IF(EXACT(G18,H18),1,0)</f>
        <v>1</v>
      </c>
      <c r="J18" s="8" t="n">
        <v>1</v>
      </c>
      <c r="K18" s="8" t="s">
        <v>116</v>
      </c>
      <c r="L18" s="8" t="n">
        <v>1</v>
      </c>
      <c r="M18" s="8" t="n">
        <v>0</v>
      </c>
      <c r="N18" s="8"/>
      <c r="O18" s="8" t="n">
        <v>1</v>
      </c>
      <c r="P18" s="10" t="n">
        <v>6.73</v>
      </c>
      <c r="Q18" s="8" t="n">
        <v>603</v>
      </c>
      <c r="R18" s="8" t="n">
        <v>333</v>
      </c>
      <c r="S18" s="8" t="s">
        <v>117</v>
      </c>
      <c r="T18" s="8" t="s">
        <v>95</v>
      </c>
      <c r="U18" s="8" t="s">
        <v>96</v>
      </c>
      <c r="V18" s="8"/>
      <c r="W18" s="8" t="s">
        <v>122</v>
      </c>
      <c r="X18" s="8" t="s">
        <v>123</v>
      </c>
      <c r="Y18" s="8" t="s">
        <v>2240</v>
      </c>
      <c r="Z18" s="8" t="s">
        <v>2241</v>
      </c>
    </row>
    <row r="19" customFormat="false" ht="15" hidden="false" customHeight="false" outlineLevel="0" collapsed="false">
      <c r="A19" s="8" t="s">
        <v>121</v>
      </c>
      <c r="B19" s="8" t="s">
        <v>19</v>
      </c>
      <c r="C19" s="8" t="s">
        <v>20</v>
      </c>
      <c r="D19" s="8" t="s">
        <v>615</v>
      </c>
      <c r="E19" s="8" t="s">
        <v>35</v>
      </c>
      <c r="F19" s="8" t="s">
        <v>49</v>
      </c>
      <c r="G19" s="8" t="s">
        <v>31</v>
      </c>
      <c r="H19" s="8" t="s">
        <v>31</v>
      </c>
      <c r="I19" s="8" t="n">
        <f aca="false">IF(EXACT(G19,H19),1,0)</f>
        <v>1</v>
      </c>
      <c r="J19" s="8" t="n">
        <v>2</v>
      </c>
      <c r="K19" s="8" t="s">
        <v>116</v>
      </c>
      <c r="L19" s="8" t="n">
        <v>1</v>
      </c>
      <c r="M19" s="8" t="n">
        <v>0</v>
      </c>
      <c r="N19" s="8"/>
      <c r="O19" s="8" t="n">
        <v>1</v>
      </c>
      <c r="P19" s="10" t="n">
        <v>7.06</v>
      </c>
      <c r="Q19" s="8" t="n">
        <v>603</v>
      </c>
      <c r="R19" s="8" t="n">
        <v>336</v>
      </c>
      <c r="S19" s="8" t="s">
        <v>117</v>
      </c>
      <c r="T19" s="8" t="s">
        <v>95</v>
      </c>
      <c r="U19" s="8" t="s">
        <v>96</v>
      </c>
      <c r="V19" s="8"/>
      <c r="W19" s="8" t="s">
        <v>122</v>
      </c>
      <c r="X19" s="8" t="s">
        <v>123</v>
      </c>
      <c r="Y19" s="8" t="s">
        <v>2242</v>
      </c>
      <c r="Z19" s="8" t="s">
        <v>2243</v>
      </c>
    </row>
    <row r="20" customFormat="false" ht="15" hidden="false" customHeight="false" outlineLevel="0" collapsed="false">
      <c r="A20" s="8" t="s">
        <v>124</v>
      </c>
      <c r="B20" s="8" t="s">
        <v>19</v>
      </c>
      <c r="C20" s="8" t="s">
        <v>20</v>
      </c>
      <c r="D20" s="8" t="s">
        <v>615</v>
      </c>
      <c r="E20" s="8" t="s">
        <v>35</v>
      </c>
      <c r="F20" s="8" t="s">
        <v>50</v>
      </c>
      <c r="G20" s="8" t="s">
        <v>32</v>
      </c>
      <c r="H20" s="8" t="s">
        <v>31</v>
      </c>
      <c r="I20" s="8" t="n">
        <f aca="false">IF(EXACT(G20,H20),1,0)</f>
        <v>0</v>
      </c>
      <c r="J20" s="8" t="n">
        <v>0</v>
      </c>
      <c r="K20" s="8" t="s">
        <v>116</v>
      </c>
      <c r="L20" s="8" t="n">
        <v>1</v>
      </c>
      <c r="M20" s="8" t="n">
        <v>0</v>
      </c>
      <c r="N20" s="8"/>
      <c r="O20" s="8" t="n">
        <v>1</v>
      </c>
      <c r="P20" s="10" t="n">
        <v>8.03</v>
      </c>
      <c r="Q20" s="8" t="n">
        <v>601</v>
      </c>
      <c r="R20" s="8" t="n">
        <v>357</v>
      </c>
      <c r="S20" s="8" t="s">
        <v>125</v>
      </c>
      <c r="T20" s="8" t="s">
        <v>126</v>
      </c>
      <c r="U20" s="8" t="s">
        <v>127</v>
      </c>
      <c r="V20" s="8"/>
      <c r="W20" s="8" t="s">
        <v>128</v>
      </c>
      <c r="X20" s="8" t="s">
        <v>129</v>
      </c>
      <c r="Y20" s="8" t="s">
        <v>2244</v>
      </c>
      <c r="Z20" s="8" t="s">
        <v>2245</v>
      </c>
    </row>
    <row r="21" customFormat="false" ht="15" hidden="false" customHeight="false" outlineLevel="0" collapsed="false">
      <c r="A21" s="8" t="s">
        <v>124</v>
      </c>
      <c r="B21" s="8" t="s">
        <v>19</v>
      </c>
      <c r="C21" s="8" t="s">
        <v>20</v>
      </c>
      <c r="D21" s="8" t="s">
        <v>615</v>
      </c>
      <c r="E21" s="8" t="s">
        <v>35</v>
      </c>
      <c r="F21" s="8" t="s">
        <v>50</v>
      </c>
      <c r="G21" s="8" t="s">
        <v>32</v>
      </c>
      <c r="H21" s="8" t="s">
        <v>31</v>
      </c>
      <c r="I21" s="8" t="n">
        <f aca="false">IF(EXACT(G21,H21),1,0)</f>
        <v>0</v>
      </c>
      <c r="J21" s="8" t="n">
        <v>1</v>
      </c>
      <c r="K21" s="8" t="s">
        <v>116</v>
      </c>
      <c r="L21" s="8" t="n">
        <v>1</v>
      </c>
      <c r="M21" s="8" t="n">
        <v>0</v>
      </c>
      <c r="N21" s="8"/>
      <c r="O21" s="8" t="n">
        <v>1</v>
      </c>
      <c r="P21" s="10" t="n">
        <v>8.66</v>
      </c>
      <c r="Q21" s="8" t="n">
        <v>601</v>
      </c>
      <c r="R21" s="8" t="n">
        <v>419</v>
      </c>
      <c r="S21" s="8" t="s">
        <v>125</v>
      </c>
      <c r="T21" s="8" t="s">
        <v>126</v>
      </c>
      <c r="U21" s="8" t="s">
        <v>127</v>
      </c>
      <c r="V21" s="8"/>
      <c r="W21" s="8" t="s">
        <v>128</v>
      </c>
      <c r="X21" s="8" t="s">
        <v>129</v>
      </c>
      <c r="Y21" s="8" t="s">
        <v>2246</v>
      </c>
      <c r="Z21" s="8" t="s">
        <v>2247</v>
      </c>
    </row>
    <row r="22" customFormat="false" ht="15" hidden="false" customHeight="false" outlineLevel="0" collapsed="false">
      <c r="A22" s="8" t="s">
        <v>124</v>
      </c>
      <c r="B22" s="8" t="s">
        <v>19</v>
      </c>
      <c r="C22" s="8" t="s">
        <v>20</v>
      </c>
      <c r="D22" s="8" t="s">
        <v>615</v>
      </c>
      <c r="E22" s="8" t="s">
        <v>35</v>
      </c>
      <c r="F22" s="8" t="s">
        <v>50</v>
      </c>
      <c r="G22" s="8" t="s">
        <v>32</v>
      </c>
      <c r="H22" s="8" t="s">
        <v>31</v>
      </c>
      <c r="I22" s="8" t="n">
        <f aca="false">IF(EXACT(G22,H22),1,0)</f>
        <v>0</v>
      </c>
      <c r="J22" s="8" t="n">
        <v>2</v>
      </c>
      <c r="K22" s="8" t="s">
        <v>116</v>
      </c>
      <c r="L22" s="8" t="n">
        <v>1</v>
      </c>
      <c r="M22" s="8" t="n">
        <v>0</v>
      </c>
      <c r="N22" s="8"/>
      <c r="O22" s="8" t="n">
        <v>1</v>
      </c>
      <c r="P22" s="10" t="n">
        <v>8.05</v>
      </c>
      <c r="Q22" s="8" t="n">
        <v>601</v>
      </c>
      <c r="R22" s="8" t="n">
        <v>376</v>
      </c>
      <c r="S22" s="8" t="s">
        <v>125</v>
      </c>
      <c r="T22" s="8" t="s">
        <v>126</v>
      </c>
      <c r="U22" s="8" t="s">
        <v>127</v>
      </c>
      <c r="V22" s="8"/>
      <c r="W22" s="8" t="s">
        <v>128</v>
      </c>
      <c r="X22" s="8" t="s">
        <v>129</v>
      </c>
      <c r="Y22" s="8" t="s">
        <v>2248</v>
      </c>
      <c r="Z22" s="8" t="s">
        <v>2249</v>
      </c>
    </row>
    <row r="23" customFormat="false" ht="15" hidden="false" customHeight="false" outlineLevel="0" collapsed="false">
      <c r="A23" s="8" t="s">
        <v>131</v>
      </c>
      <c r="B23" s="8" t="s">
        <v>19</v>
      </c>
      <c r="C23" s="8" t="s">
        <v>20</v>
      </c>
      <c r="D23" s="8" t="s">
        <v>615</v>
      </c>
      <c r="E23" s="8" t="s">
        <v>35</v>
      </c>
      <c r="F23" s="8" t="s">
        <v>50</v>
      </c>
      <c r="G23" s="8" t="s">
        <v>32</v>
      </c>
      <c r="H23" s="8" t="s">
        <v>32</v>
      </c>
      <c r="I23" s="8" t="n">
        <f aca="false">IF(EXACT(G23,H23),1,0)</f>
        <v>1</v>
      </c>
      <c r="J23" s="8" t="n">
        <v>0</v>
      </c>
      <c r="K23" s="8" t="s">
        <v>92</v>
      </c>
      <c r="L23" s="8" t="n">
        <v>0</v>
      </c>
      <c r="M23" s="8" t="n">
        <v>0</v>
      </c>
      <c r="N23" s="8"/>
      <c r="O23" s="8" t="n">
        <v>1</v>
      </c>
      <c r="P23" s="10" t="n">
        <v>4.71</v>
      </c>
      <c r="Q23" s="8" t="n">
        <v>589</v>
      </c>
      <c r="R23" s="8" t="n">
        <v>149</v>
      </c>
      <c r="S23" s="8" t="s">
        <v>132</v>
      </c>
      <c r="T23" s="8" t="s">
        <v>126</v>
      </c>
      <c r="U23" s="8" t="s">
        <v>127</v>
      </c>
      <c r="V23" s="8"/>
      <c r="W23" s="8" t="s">
        <v>133</v>
      </c>
      <c r="X23" s="8" t="s">
        <v>134</v>
      </c>
      <c r="Y23" s="8" t="s">
        <v>2250</v>
      </c>
      <c r="Z23" s="8"/>
    </row>
    <row r="24" customFormat="false" ht="15" hidden="false" customHeight="false" outlineLevel="0" collapsed="false">
      <c r="A24" s="8" t="s">
        <v>131</v>
      </c>
      <c r="B24" s="8" t="s">
        <v>19</v>
      </c>
      <c r="C24" s="8" t="s">
        <v>20</v>
      </c>
      <c r="D24" s="8" t="s">
        <v>615</v>
      </c>
      <c r="E24" s="8" t="s">
        <v>35</v>
      </c>
      <c r="F24" s="8" t="s">
        <v>50</v>
      </c>
      <c r="G24" s="8" t="s">
        <v>32</v>
      </c>
      <c r="H24" s="8" t="s">
        <v>32</v>
      </c>
      <c r="I24" s="8" t="n">
        <f aca="false">IF(EXACT(G24,H24),1,0)</f>
        <v>1</v>
      </c>
      <c r="J24" s="8" t="n">
        <v>1</v>
      </c>
      <c r="K24" s="8" t="s">
        <v>92</v>
      </c>
      <c r="L24" s="8" t="n">
        <v>0</v>
      </c>
      <c r="M24" s="8" t="n">
        <v>0</v>
      </c>
      <c r="N24" s="8"/>
      <c r="O24" s="8" t="n">
        <v>1</v>
      </c>
      <c r="P24" s="10" t="n">
        <v>4.88</v>
      </c>
      <c r="Q24" s="8" t="n">
        <v>589</v>
      </c>
      <c r="R24" s="8" t="n">
        <v>147</v>
      </c>
      <c r="S24" s="8" t="s">
        <v>132</v>
      </c>
      <c r="T24" s="8" t="s">
        <v>126</v>
      </c>
      <c r="U24" s="8" t="s">
        <v>127</v>
      </c>
      <c r="V24" s="8"/>
      <c r="W24" s="8" t="s">
        <v>133</v>
      </c>
      <c r="X24" s="8" t="s">
        <v>134</v>
      </c>
      <c r="Y24" s="8" t="s">
        <v>2251</v>
      </c>
      <c r="Z24" s="8"/>
    </row>
    <row r="25" customFormat="false" ht="15" hidden="false" customHeight="false" outlineLevel="0" collapsed="false">
      <c r="A25" s="8" t="s">
        <v>131</v>
      </c>
      <c r="B25" s="8" t="s">
        <v>19</v>
      </c>
      <c r="C25" s="8" t="s">
        <v>20</v>
      </c>
      <c r="D25" s="8" t="s">
        <v>615</v>
      </c>
      <c r="E25" s="8" t="s">
        <v>35</v>
      </c>
      <c r="F25" s="8" t="s">
        <v>50</v>
      </c>
      <c r="G25" s="8" t="s">
        <v>32</v>
      </c>
      <c r="H25" s="8" t="s">
        <v>32</v>
      </c>
      <c r="I25" s="8" t="n">
        <f aca="false">IF(EXACT(G25,H25),1,0)</f>
        <v>1</v>
      </c>
      <c r="J25" s="8" t="n">
        <v>2</v>
      </c>
      <c r="K25" s="8" t="s">
        <v>92</v>
      </c>
      <c r="L25" s="8" t="n">
        <v>0</v>
      </c>
      <c r="M25" s="8" t="n">
        <v>0</v>
      </c>
      <c r="N25" s="8"/>
      <c r="O25" s="8" t="n">
        <v>1</v>
      </c>
      <c r="P25" s="10" t="n">
        <v>4.62</v>
      </c>
      <c r="Q25" s="8" t="n">
        <v>589</v>
      </c>
      <c r="R25" s="8" t="n">
        <v>193</v>
      </c>
      <c r="S25" s="8" t="s">
        <v>132</v>
      </c>
      <c r="T25" s="8" t="s">
        <v>126</v>
      </c>
      <c r="U25" s="8" t="s">
        <v>127</v>
      </c>
      <c r="V25" s="8"/>
      <c r="W25" s="8" t="s">
        <v>133</v>
      </c>
      <c r="X25" s="8" t="s">
        <v>134</v>
      </c>
      <c r="Y25" s="8" t="s">
        <v>2252</v>
      </c>
      <c r="Z25" s="8"/>
    </row>
    <row r="26" customFormat="false" ht="15" hidden="false" customHeight="false" outlineLevel="0" collapsed="false">
      <c r="A26" s="8" t="s">
        <v>135</v>
      </c>
      <c r="B26" s="8" t="s">
        <v>19</v>
      </c>
      <c r="C26" s="8" t="s">
        <v>20</v>
      </c>
      <c r="D26" s="8" t="s">
        <v>615</v>
      </c>
      <c r="E26" s="8" t="s">
        <v>35</v>
      </c>
      <c r="F26" s="8" t="s">
        <v>50</v>
      </c>
      <c r="G26" s="8" t="s">
        <v>30</v>
      </c>
      <c r="H26" s="8" t="s">
        <v>31</v>
      </c>
      <c r="I26" s="8" t="n">
        <f aca="false">IF(EXACT(G26,H26),1,0)</f>
        <v>0</v>
      </c>
      <c r="J26" s="8" t="n">
        <v>0</v>
      </c>
      <c r="K26" s="8" t="s">
        <v>116</v>
      </c>
      <c r="L26" s="8" t="n">
        <v>3</v>
      </c>
      <c r="M26" s="8" t="n">
        <v>0</v>
      </c>
      <c r="N26" s="8"/>
      <c r="O26" s="8" t="n">
        <v>1</v>
      </c>
      <c r="P26" s="10" t="n">
        <v>11.98</v>
      </c>
      <c r="Q26" s="8" t="n">
        <v>580</v>
      </c>
      <c r="R26" s="8" t="n">
        <v>626</v>
      </c>
      <c r="S26" s="8" t="s">
        <v>105</v>
      </c>
      <c r="T26" s="8" t="s">
        <v>126</v>
      </c>
      <c r="U26" s="8" t="s">
        <v>127</v>
      </c>
      <c r="V26" s="8"/>
      <c r="W26" s="8" t="s">
        <v>136</v>
      </c>
      <c r="X26" s="8" t="s">
        <v>137</v>
      </c>
      <c r="Y26" s="8" t="s">
        <v>2253</v>
      </c>
      <c r="Z26" s="8" t="s">
        <v>2254</v>
      </c>
    </row>
    <row r="27" customFormat="false" ht="15" hidden="false" customHeight="false" outlineLevel="0" collapsed="false">
      <c r="A27" s="8" t="s">
        <v>135</v>
      </c>
      <c r="B27" s="8" t="s">
        <v>19</v>
      </c>
      <c r="C27" s="8" t="s">
        <v>20</v>
      </c>
      <c r="D27" s="8" t="s">
        <v>615</v>
      </c>
      <c r="E27" s="8" t="s">
        <v>35</v>
      </c>
      <c r="F27" s="8" t="s">
        <v>50</v>
      </c>
      <c r="G27" s="8" t="s">
        <v>30</v>
      </c>
      <c r="H27" s="8" t="s">
        <v>31</v>
      </c>
      <c r="I27" s="8" t="n">
        <f aca="false">IF(EXACT(G27,H27),1,0)</f>
        <v>0</v>
      </c>
      <c r="J27" s="8" t="n">
        <v>1</v>
      </c>
      <c r="K27" s="8" t="s">
        <v>116</v>
      </c>
      <c r="L27" s="8" t="n">
        <v>1</v>
      </c>
      <c r="M27" s="8" t="n">
        <v>0</v>
      </c>
      <c r="N27" s="8"/>
      <c r="O27" s="8" t="n">
        <v>1</v>
      </c>
      <c r="P27" s="10" t="n">
        <v>8.49</v>
      </c>
      <c r="Q27" s="8" t="n">
        <v>580</v>
      </c>
      <c r="R27" s="8" t="n">
        <v>407</v>
      </c>
      <c r="S27" s="8" t="s">
        <v>105</v>
      </c>
      <c r="T27" s="8" t="s">
        <v>126</v>
      </c>
      <c r="U27" s="8" t="s">
        <v>127</v>
      </c>
      <c r="V27" s="8"/>
      <c r="W27" s="8" t="s">
        <v>136</v>
      </c>
      <c r="X27" s="8" t="s">
        <v>137</v>
      </c>
      <c r="Y27" s="8" t="s">
        <v>2255</v>
      </c>
      <c r="Z27" s="8" t="s">
        <v>2256</v>
      </c>
    </row>
    <row r="28" customFormat="false" ht="15" hidden="false" customHeight="false" outlineLevel="0" collapsed="false">
      <c r="A28" s="8" t="s">
        <v>135</v>
      </c>
      <c r="B28" s="8" t="s">
        <v>19</v>
      </c>
      <c r="C28" s="8" t="s">
        <v>20</v>
      </c>
      <c r="D28" s="8" t="s">
        <v>615</v>
      </c>
      <c r="E28" s="8" t="s">
        <v>35</v>
      </c>
      <c r="F28" s="8" t="s">
        <v>50</v>
      </c>
      <c r="G28" s="8" t="s">
        <v>30</v>
      </c>
      <c r="H28" s="8" t="s">
        <v>31</v>
      </c>
      <c r="I28" s="8" t="n">
        <f aca="false">IF(EXACT(G28,H28),1,0)</f>
        <v>0</v>
      </c>
      <c r="J28" s="8" t="n">
        <v>2</v>
      </c>
      <c r="K28" s="8" t="s">
        <v>116</v>
      </c>
      <c r="L28" s="8" t="n">
        <v>4</v>
      </c>
      <c r="M28" s="8" t="n">
        <v>0</v>
      </c>
      <c r="N28" s="8"/>
      <c r="O28" s="8" t="n">
        <v>1</v>
      </c>
      <c r="P28" s="10" t="n">
        <v>13.97</v>
      </c>
      <c r="Q28" s="8" t="n">
        <v>580</v>
      </c>
      <c r="R28" s="8" t="n">
        <v>763</v>
      </c>
      <c r="S28" s="8" t="s">
        <v>105</v>
      </c>
      <c r="T28" s="8" t="s">
        <v>126</v>
      </c>
      <c r="U28" s="8" t="s">
        <v>127</v>
      </c>
      <c r="V28" s="8"/>
      <c r="W28" s="8" t="s">
        <v>136</v>
      </c>
      <c r="X28" s="8" t="s">
        <v>137</v>
      </c>
      <c r="Y28" s="8" t="s">
        <v>2257</v>
      </c>
      <c r="Z28" s="8" t="s">
        <v>2258</v>
      </c>
    </row>
    <row r="29" customFormat="false" ht="15" hidden="false" customHeight="false" outlineLevel="0" collapsed="false">
      <c r="A29" s="8" t="s">
        <v>139</v>
      </c>
      <c r="B29" s="8" t="s">
        <v>19</v>
      </c>
      <c r="C29" s="8" t="s">
        <v>20</v>
      </c>
      <c r="D29" s="8" t="s">
        <v>615</v>
      </c>
      <c r="E29" s="8" t="s">
        <v>35</v>
      </c>
      <c r="F29" s="8" t="s">
        <v>50</v>
      </c>
      <c r="G29" s="8" t="s">
        <v>31</v>
      </c>
      <c r="H29" s="8" t="s">
        <v>31</v>
      </c>
      <c r="I29" s="8" t="n">
        <f aca="false">IF(EXACT(G29,H29),1,0)</f>
        <v>1</v>
      </c>
      <c r="J29" s="8" t="n">
        <v>0</v>
      </c>
      <c r="K29" s="8" t="s">
        <v>116</v>
      </c>
      <c r="L29" s="8" t="n">
        <v>1</v>
      </c>
      <c r="M29" s="8" t="n">
        <v>0</v>
      </c>
      <c r="N29" s="8"/>
      <c r="O29" s="8" t="n">
        <v>1</v>
      </c>
      <c r="P29" s="10" t="n">
        <v>7.85</v>
      </c>
      <c r="Q29" s="8" t="n">
        <v>597</v>
      </c>
      <c r="R29" s="8" t="n">
        <v>341</v>
      </c>
      <c r="S29" s="8" t="s">
        <v>117</v>
      </c>
      <c r="T29" s="8" t="s">
        <v>126</v>
      </c>
      <c r="U29" s="8" t="s">
        <v>127</v>
      </c>
      <c r="V29" s="8"/>
      <c r="W29" s="8" t="s">
        <v>141</v>
      </c>
      <c r="X29" s="8" t="s">
        <v>142</v>
      </c>
      <c r="Y29" s="8" t="s">
        <v>2259</v>
      </c>
      <c r="Z29" s="8" t="s">
        <v>2260</v>
      </c>
    </row>
    <row r="30" customFormat="false" ht="15" hidden="false" customHeight="false" outlineLevel="0" collapsed="false">
      <c r="A30" s="8" t="s">
        <v>139</v>
      </c>
      <c r="B30" s="8" t="s">
        <v>19</v>
      </c>
      <c r="C30" s="8" t="s">
        <v>20</v>
      </c>
      <c r="D30" s="8" t="s">
        <v>615</v>
      </c>
      <c r="E30" s="8" t="s">
        <v>35</v>
      </c>
      <c r="F30" s="8" t="s">
        <v>50</v>
      </c>
      <c r="G30" s="8" t="s">
        <v>31</v>
      </c>
      <c r="H30" s="8" t="s">
        <v>31</v>
      </c>
      <c r="I30" s="8" t="n">
        <f aca="false">IF(EXACT(G30,H30),1,0)</f>
        <v>1</v>
      </c>
      <c r="J30" s="8" t="n">
        <v>1</v>
      </c>
      <c r="K30" s="8" t="s">
        <v>116</v>
      </c>
      <c r="L30" s="8" t="n">
        <v>1</v>
      </c>
      <c r="M30" s="8" t="n">
        <v>0</v>
      </c>
      <c r="N30" s="8"/>
      <c r="O30" s="8" t="n">
        <v>1</v>
      </c>
      <c r="P30" s="10" t="n">
        <v>8.08</v>
      </c>
      <c r="Q30" s="8" t="n">
        <v>597</v>
      </c>
      <c r="R30" s="8" t="n">
        <v>387</v>
      </c>
      <c r="S30" s="8" t="s">
        <v>117</v>
      </c>
      <c r="T30" s="8" t="s">
        <v>126</v>
      </c>
      <c r="U30" s="8" t="s">
        <v>127</v>
      </c>
      <c r="V30" s="8"/>
      <c r="W30" s="8" t="s">
        <v>141</v>
      </c>
      <c r="X30" s="8" t="s">
        <v>142</v>
      </c>
      <c r="Y30" s="8" t="s">
        <v>2261</v>
      </c>
      <c r="Z30" s="8" t="s">
        <v>2262</v>
      </c>
    </row>
    <row r="31" customFormat="false" ht="15" hidden="false" customHeight="false" outlineLevel="0" collapsed="false">
      <c r="A31" s="8" t="s">
        <v>139</v>
      </c>
      <c r="B31" s="8" t="s">
        <v>19</v>
      </c>
      <c r="C31" s="8" t="s">
        <v>20</v>
      </c>
      <c r="D31" s="8" t="s">
        <v>615</v>
      </c>
      <c r="E31" s="8" t="s">
        <v>35</v>
      </c>
      <c r="F31" s="8" t="s">
        <v>50</v>
      </c>
      <c r="G31" s="8" t="s">
        <v>31</v>
      </c>
      <c r="H31" s="8" t="s">
        <v>31</v>
      </c>
      <c r="I31" s="8" t="n">
        <f aca="false">IF(EXACT(G31,H31),1,0)</f>
        <v>1</v>
      </c>
      <c r="J31" s="8" t="n">
        <v>2</v>
      </c>
      <c r="K31" s="8" t="s">
        <v>116</v>
      </c>
      <c r="L31" s="8" t="n">
        <v>1</v>
      </c>
      <c r="M31" s="8" t="n">
        <v>0</v>
      </c>
      <c r="N31" s="8"/>
      <c r="O31" s="8" t="n">
        <v>1</v>
      </c>
      <c r="P31" s="10" t="n">
        <v>8.43</v>
      </c>
      <c r="Q31" s="8" t="n">
        <v>597</v>
      </c>
      <c r="R31" s="8" t="n">
        <v>376</v>
      </c>
      <c r="S31" s="8" t="s">
        <v>117</v>
      </c>
      <c r="T31" s="8" t="s">
        <v>126</v>
      </c>
      <c r="U31" s="8" t="s">
        <v>127</v>
      </c>
      <c r="V31" s="8"/>
      <c r="W31" s="8" t="s">
        <v>141</v>
      </c>
      <c r="X31" s="8" t="s">
        <v>142</v>
      </c>
      <c r="Y31" s="8" t="s">
        <v>2263</v>
      </c>
      <c r="Z31" s="8" t="s">
        <v>2264</v>
      </c>
    </row>
    <row r="32" customFormat="false" ht="15" hidden="false" customHeight="false" outlineLevel="0" collapsed="false">
      <c r="A32" s="8" t="s">
        <v>145</v>
      </c>
      <c r="B32" s="8" t="s">
        <v>19</v>
      </c>
      <c r="C32" s="8" t="s">
        <v>20</v>
      </c>
      <c r="D32" s="8" t="s">
        <v>615</v>
      </c>
      <c r="E32" s="8" t="s">
        <v>35</v>
      </c>
      <c r="F32" s="8" t="s">
        <v>50</v>
      </c>
      <c r="G32" s="8" t="s">
        <v>31</v>
      </c>
      <c r="H32" s="8" t="s">
        <v>31</v>
      </c>
      <c r="I32" s="8" t="n">
        <f aca="false">IF(EXACT(G32,H32),1,0)</f>
        <v>1</v>
      </c>
      <c r="J32" s="8" t="n">
        <v>0</v>
      </c>
      <c r="K32" s="8" t="s">
        <v>116</v>
      </c>
      <c r="L32" s="8" t="n">
        <v>1</v>
      </c>
      <c r="M32" s="8" t="n">
        <v>0</v>
      </c>
      <c r="N32" s="8"/>
      <c r="O32" s="8" t="n">
        <v>1</v>
      </c>
      <c r="P32" s="10" t="n">
        <v>8.7</v>
      </c>
      <c r="Q32" s="8" t="n">
        <v>606</v>
      </c>
      <c r="R32" s="8" t="n">
        <v>415</v>
      </c>
      <c r="S32" s="8" t="s">
        <v>146</v>
      </c>
      <c r="T32" s="8" t="s">
        <v>126</v>
      </c>
      <c r="U32" s="8" t="s">
        <v>127</v>
      </c>
      <c r="V32" s="8"/>
      <c r="W32" s="8" t="s">
        <v>147</v>
      </c>
      <c r="X32" s="8" t="s">
        <v>148</v>
      </c>
      <c r="Y32" s="8" t="s">
        <v>2265</v>
      </c>
      <c r="Z32" s="8" t="s">
        <v>2266</v>
      </c>
    </row>
    <row r="33" customFormat="false" ht="15" hidden="false" customHeight="false" outlineLevel="0" collapsed="false">
      <c r="A33" s="8" t="s">
        <v>145</v>
      </c>
      <c r="B33" s="8" t="s">
        <v>19</v>
      </c>
      <c r="C33" s="8" t="s">
        <v>20</v>
      </c>
      <c r="D33" s="8" t="s">
        <v>615</v>
      </c>
      <c r="E33" s="8" t="s">
        <v>35</v>
      </c>
      <c r="F33" s="8" t="s">
        <v>50</v>
      </c>
      <c r="G33" s="8" t="s">
        <v>31</v>
      </c>
      <c r="H33" s="8" t="s">
        <v>31</v>
      </c>
      <c r="I33" s="8" t="n">
        <f aca="false">IF(EXACT(G33,H33),1,0)</f>
        <v>1</v>
      </c>
      <c r="J33" s="8" t="n">
        <v>1</v>
      </c>
      <c r="K33" s="8" t="s">
        <v>116</v>
      </c>
      <c r="L33" s="8" t="n">
        <v>1</v>
      </c>
      <c r="M33" s="8" t="n">
        <v>0</v>
      </c>
      <c r="N33" s="8"/>
      <c r="O33" s="8" t="n">
        <v>1</v>
      </c>
      <c r="P33" s="10" t="n">
        <v>9.11</v>
      </c>
      <c r="Q33" s="8" t="n">
        <v>606</v>
      </c>
      <c r="R33" s="8" t="n">
        <v>432</v>
      </c>
      <c r="S33" s="8" t="s">
        <v>146</v>
      </c>
      <c r="T33" s="8" t="s">
        <v>126</v>
      </c>
      <c r="U33" s="8" t="s">
        <v>127</v>
      </c>
      <c r="V33" s="8"/>
      <c r="W33" s="8" t="s">
        <v>147</v>
      </c>
      <c r="X33" s="8" t="s">
        <v>148</v>
      </c>
      <c r="Y33" s="8" t="s">
        <v>2267</v>
      </c>
      <c r="Z33" s="8" t="s">
        <v>2268</v>
      </c>
    </row>
    <row r="34" customFormat="false" ht="15" hidden="false" customHeight="false" outlineLevel="0" collapsed="false">
      <c r="A34" s="8" t="s">
        <v>145</v>
      </c>
      <c r="B34" s="8" t="s">
        <v>19</v>
      </c>
      <c r="C34" s="8" t="s">
        <v>20</v>
      </c>
      <c r="D34" s="8" t="s">
        <v>615</v>
      </c>
      <c r="E34" s="8" t="s">
        <v>35</v>
      </c>
      <c r="F34" s="8" t="s">
        <v>50</v>
      </c>
      <c r="G34" s="8" t="s">
        <v>31</v>
      </c>
      <c r="H34" s="8" t="s">
        <v>31</v>
      </c>
      <c r="I34" s="8" t="n">
        <f aca="false">IF(EXACT(G34,H34),1,0)</f>
        <v>1</v>
      </c>
      <c r="J34" s="8" t="n">
        <v>2</v>
      </c>
      <c r="K34" s="8" t="s">
        <v>116</v>
      </c>
      <c r="L34" s="8" t="n">
        <v>1</v>
      </c>
      <c r="M34" s="8" t="n">
        <v>0</v>
      </c>
      <c r="N34" s="8"/>
      <c r="O34" s="8" t="n">
        <v>1</v>
      </c>
      <c r="P34" s="10" t="n">
        <v>9.59</v>
      </c>
      <c r="Q34" s="8" t="n">
        <v>606</v>
      </c>
      <c r="R34" s="8" t="n">
        <v>442</v>
      </c>
      <c r="S34" s="8" t="s">
        <v>146</v>
      </c>
      <c r="T34" s="8" t="s">
        <v>126</v>
      </c>
      <c r="U34" s="8" t="s">
        <v>127</v>
      </c>
      <c r="V34" s="8"/>
      <c r="W34" s="8" t="s">
        <v>147</v>
      </c>
      <c r="X34" s="8" t="s">
        <v>148</v>
      </c>
      <c r="Y34" s="8" t="s">
        <v>2269</v>
      </c>
      <c r="Z34" s="8" t="s">
        <v>2270</v>
      </c>
    </row>
    <row r="35" customFormat="false" ht="15" hidden="false" customHeight="false" outlineLevel="0" collapsed="false">
      <c r="A35" s="8" t="s">
        <v>149</v>
      </c>
      <c r="B35" s="8" t="s">
        <v>19</v>
      </c>
      <c r="C35" s="8" t="s">
        <v>20</v>
      </c>
      <c r="D35" s="8" t="s">
        <v>615</v>
      </c>
      <c r="E35" s="8" t="s">
        <v>35</v>
      </c>
      <c r="F35" s="8" t="s">
        <v>50</v>
      </c>
      <c r="G35" s="8" t="s">
        <v>30</v>
      </c>
      <c r="H35" s="8" t="s">
        <v>30</v>
      </c>
      <c r="I35" s="8" t="n">
        <f aca="false">IF(EXACT(G35,H35),1,0)</f>
        <v>1</v>
      </c>
      <c r="J35" s="8" t="n">
        <v>0</v>
      </c>
      <c r="K35" s="8" t="s">
        <v>92</v>
      </c>
      <c r="L35" s="8" t="n">
        <v>0</v>
      </c>
      <c r="M35" s="8" t="n">
        <v>0</v>
      </c>
      <c r="N35" s="8"/>
      <c r="O35" s="8" t="n">
        <v>1</v>
      </c>
      <c r="P35" s="10" t="n">
        <v>4.93</v>
      </c>
      <c r="Q35" s="8" t="n">
        <v>580</v>
      </c>
      <c r="R35" s="8" t="n">
        <v>209</v>
      </c>
      <c r="S35" s="8" t="s">
        <v>150</v>
      </c>
      <c r="T35" s="8" t="s">
        <v>126</v>
      </c>
      <c r="U35" s="8" t="s">
        <v>127</v>
      </c>
      <c r="V35" s="8"/>
      <c r="W35" s="8" t="s">
        <v>151</v>
      </c>
      <c r="X35" s="8" t="s">
        <v>152</v>
      </c>
      <c r="Y35" s="8" t="s">
        <v>2271</v>
      </c>
      <c r="Z35" s="8"/>
    </row>
    <row r="36" customFormat="false" ht="15" hidden="false" customHeight="false" outlineLevel="0" collapsed="false">
      <c r="A36" s="8" t="s">
        <v>149</v>
      </c>
      <c r="B36" s="8" t="s">
        <v>19</v>
      </c>
      <c r="C36" s="8" t="s">
        <v>20</v>
      </c>
      <c r="D36" s="8" t="s">
        <v>615</v>
      </c>
      <c r="E36" s="8" t="s">
        <v>35</v>
      </c>
      <c r="F36" s="8" t="s">
        <v>50</v>
      </c>
      <c r="G36" s="8" t="s">
        <v>30</v>
      </c>
      <c r="H36" s="8" t="s">
        <v>30</v>
      </c>
      <c r="I36" s="8" t="n">
        <f aca="false">IF(EXACT(G36,H36),1,0)</f>
        <v>1</v>
      </c>
      <c r="J36" s="8" t="n">
        <v>1</v>
      </c>
      <c r="K36" s="8" t="s">
        <v>92</v>
      </c>
      <c r="L36" s="8" t="n">
        <v>0</v>
      </c>
      <c r="M36" s="8" t="n">
        <v>0</v>
      </c>
      <c r="N36" s="8"/>
      <c r="O36" s="8" t="n">
        <v>1</v>
      </c>
      <c r="P36" s="10" t="n">
        <v>5.3</v>
      </c>
      <c r="Q36" s="8" t="n">
        <v>580</v>
      </c>
      <c r="R36" s="8" t="n">
        <v>225</v>
      </c>
      <c r="S36" s="8" t="s">
        <v>150</v>
      </c>
      <c r="T36" s="8" t="s">
        <v>126</v>
      </c>
      <c r="U36" s="8" t="s">
        <v>127</v>
      </c>
      <c r="V36" s="8"/>
      <c r="W36" s="8" t="s">
        <v>151</v>
      </c>
      <c r="X36" s="8" t="s">
        <v>152</v>
      </c>
      <c r="Y36" s="8" t="s">
        <v>2272</v>
      </c>
      <c r="Z36" s="8"/>
    </row>
    <row r="37" customFormat="false" ht="15" hidden="false" customHeight="false" outlineLevel="0" collapsed="false">
      <c r="A37" s="8" t="s">
        <v>149</v>
      </c>
      <c r="B37" s="8" t="s">
        <v>19</v>
      </c>
      <c r="C37" s="8" t="s">
        <v>20</v>
      </c>
      <c r="D37" s="8" t="s">
        <v>615</v>
      </c>
      <c r="E37" s="8" t="s">
        <v>35</v>
      </c>
      <c r="F37" s="8" t="s">
        <v>50</v>
      </c>
      <c r="G37" s="8" t="s">
        <v>30</v>
      </c>
      <c r="H37" s="8" t="s">
        <v>30</v>
      </c>
      <c r="I37" s="8" t="n">
        <f aca="false">IF(EXACT(G37,H37),1,0)</f>
        <v>1</v>
      </c>
      <c r="J37" s="8" t="n">
        <v>2</v>
      </c>
      <c r="K37" s="8" t="s">
        <v>92</v>
      </c>
      <c r="L37" s="8" t="n">
        <v>0</v>
      </c>
      <c r="M37" s="8" t="n">
        <v>0</v>
      </c>
      <c r="N37" s="8"/>
      <c r="O37" s="8" t="n">
        <v>1</v>
      </c>
      <c r="P37" s="10" t="n">
        <v>5.14</v>
      </c>
      <c r="Q37" s="8" t="n">
        <v>580</v>
      </c>
      <c r="R37" s="8" t="n">
        <v>238</v>
      </c>
      <c r="S37" s="8" t="s">
        <v>150</v>
      </c>
      <c r="T37" s="8" t="s">
        <v>126</v>
      </c>
      <c r="U37" s="8" t="s">
        <v>127</v>
      </c>
      <c r="V37" s="8"/>
      <c r="W37" s="8" t="s">
        <v>151</v>
      </c>
      <c r="X37" s="8" t="s">
        <v>152</v>
      </c>
      <c r="Y37" s="8" t="s">
        <v>2273</v>
      </c>
      <c r="Z37" s="8"/>
    </row>
    <row r="38" customFormat="false" ht="15" hidden="false" customHeight="false" outlineLevel="0" collapsed="false">
      <c r="A38" s="8" t="s">
        <v>153</v>
      </c>
      <c r="B38" s="8" t="s">
        <v>19</v>
      </c>
      <c r="C38" s="8" t="s">
        <v>20</v>
      </c>
      <c r="D38" s="8" t="s">
        <v>615</v>
      </c>
      <c r="E38" s="8" t="s">
        <v>35</v>
      </c>
      <c r="F38" s="8" t="s">
        <v>53</v>
      </c>
      <c r="G38" s="8" t="s">
        <v>31</v>
      </c>
      <c r="H38" s="8" t="s">
        <v>31</v>
      </c>
      <c r="I38" s="8" t="n">
        <f aca="false">IF(EXACT(G38,H38),1,0)</f>
        <v>1</v>
      </c>
      <c r="J38" s="8" t="n">
        <v>0</v>
      </c>
      <c r="K38" s="8" t="s">
        <v>737</v>
      </c>
      <c r="L38" s="8" t="n">
        <v>1</v>
      </c>
      <c r="M38" s="8" t="n">
        <v>0</v>
      </c>
      <c r="N38" s="8"/>
      <c r="O38" s="8" t="n">
        <v>1</v>
      </c>
      <c r="P38" s="10" t="n">
        <v>12.59</v>
      </c>
      <c r="Q38" s="8" t="n">
        <v>751</v>
      </c>
      <c r="R38" s="8" t="n">
        <v>520</v>
      </c>
      <c r="S38" s="8" t="s">
        <v>154</v>
      </c>
      <c r="T38" s="8"/>
      <c r="U38" s="8"/>
      <c r="V38" s="8" t="s">
        <v>155</v>
      </c>
      <c r="W38" s="8"/>
      <c r="X38" s="8" t="s">
        <v>156</v>
      </c>
      <c r="Y38" s="8" t="s">
        <v>2274</v>
      </c>
      <c r="Z38" s="8" t="s">
        <v>2275</v>
      </c>
    </row>
    <row r="39" customFormat="false" ht="15" hidden="false" customHeight="false" outlineLevel="0" collapsed="false">
      <c r="A39" s="8" t="s">
        <v>153</v>
      </c>
      <c r="B39" s="8" t="s">
        <v>19</v>
      </c>
      <c r="C39" s="8" t="s">
        <v>20</v>
      </c>
      <c r="D39" s="8" t="s">
        <v>615</v>
      </c>
      <c r="E39" s="8" t="s">
        <v>35</v>
      </c>
      <c r="F39" s="8" t="s">
        <v>53</v>
      </c>
      <c r="G39" s="8" t="s">
        <v>31</v>
      </c>
      <c r="H39" s="8" t="s">
        <v>31</v>
      </c>
      <c r="I39" s="8" t="n">
        <f aca="false">IF(EXACT(G39,H39),1,0)</f>
        <v>1</v>
      </c>
      <c r="J39" s="8" t="n">
        <v>1</v>
      </c>
      <c r="K39" s="8" t="s">
        <v>737</v>
      </c>
      <c r="L39" s="8" t="n">
        <v>1</v>
      </c>
      <c r="M39" s="8" t="n">
        <v>0</v>
      </c>
      <c r="N39" s="8"/>
      <c r="O39" s="8" t="n">
        <v>1</v>
      </c>
      <c r="P39" s="10" t="n">
        <v>10.13</v>
      </c>
      <c r="Q39" s="8" t="n">
        <v>751</v>
      </c>
      <c r="R39" s="8" t="n">
        <v>512</v>
      </c>
      <c r="S39" s="8" t="s">
        <v>154</v>
      </c>
      <c r="T39" s="8"/>
      <c r="U39" s="8"/>
      <c r="V39" s="8" t="s">
        <v>155</v>
      </c>
      <c r="W39" s="8"/>
      <c r="X39" s="8" t="s">
        <v>156</v>
      </c>
      <c r="Y39" s="8" t="s">
        <v>2276</v>
      </c>
      <c r="Z39" s="8" t="s">
        <v>2277</v>
      </c>
    </row>
    <row r="40" customFormat="false" ht="15" hidden="false" customHeight="false" outlineLevel="0" collapsed="false">
      <c r="A40" s="8" t="s">
        <v>153</v>
      </c>
      <c r="B40" s="8" t="s">
        <v>19</v>
      </c>
      <c r="C40" s="8" t="s">
        <v>20</v>
      </c>
      <c r="D40" s="8" t="s">
        <v>615</v>
      </c>
      <c r="E40" s="8" t="s">
        <v>35</v>
      </c>
      <c r="F40" s="8" t="s">
        <v>53</v>
      </c>
      <c r="G40" s="8" t="s">
        <v>31</v>
      </c>
      <c r="H40" s="8" t="s">
        <v>31</v>
      </c>
      <c r="I40" s="8" t="n">
        <f aca="false">IF(EXACT(G40,H40),1,0)</f>
        <v>1</v>
      </c>
      <c r="J40" s="8" t="n">
        <v>2</v>
      </c>
      <c r="K40" s="8" t="s">
        <v>737</v>
      </c>
      <c r="L40" s="8" t="n">
        <v>1</v>
      </c>
      <c r="M40" s="8" t="n">
        <v>0</v>
      </c>
      <c r="N40" s="8"/>
      <c r="O40" s="8" t="n">
        <v>1</v>
      </c>
      <c r="P40" s="10" t="n">
        <v>9.83</v>
      </c>
      <c r="Q40" s="8" t="n">
        <v>751</v>
      </c>
      <c r="R40" s="8" t="n">
        <v>479</v>
      </c>
      <c r="S40" s="8" t="s">
        <v>154</v>
      </c>
      <c r="T40" s="8"/>
      <c r="U40" s="8"/>
      <c r="V40" s="8" t="s">
        <v>155</v>
      </c>
      <c r="W40" s="8"/>
      <c r="X40" s="8" t="s">
        <v>156</v>
      </c>
      <c r="Y40" s="8" t="s">
        <v>2278</v>
      </c>
      <c r="Z40" s="8" t="s">
        <v>2279</v>
      </c>
    </row>
    <row r="41" customFormat="false" ht="15" hidden="false" customHeight="false" outlineLevel="0" collapsed="false">
      <c r="A41" s="8" t="s">
        <v>158</v>
      </c>
      <c r="B41" s="8" t="s">
        <v>19</v>
      </c>
      <c r="C41" s="8" t="s">
        <v>20</v>
      </c>
      <c r="D41" s="8" t="s">
        <v>615</v>
      </c>
      <c r="E41" s="8" t="s">
        <v>35</v>
      </c>
      <c r="F41" s="8" t="s">
        <v>53</v>
      </c>
      <c r="G41" s="8" t="s">
        <v>31</v>
      </c>
      <c r="H41" s="8" t="s">
        <v>31</v>
      </c>
      <c r="I41" s="8" t="n">
        <f aca="false">IF(EXACT(G41,H41),1,0)</f>
        <v>1</v>
      </c>
      <c r="J41" s="8" t="n">
        <v>0</v>
      </c>
      <c r="K41" s="8" t="s">
        <v>737</v>
      </c>
      <c r="L41" s="8" t="n">
        <v>1</v>
      </c>
      <c r="M41" s="8" t="n">
        <v>0</v>
      </c>
      <c r="N41" s="8"/>
      <c r="O41" s="8" t="n">
        <v>1</v>
      </c>
      <c r="P41" s="10" t="n">
        <v>11.36</v>
      </c>
      <c r="Q41" s="8" t="n">
        <v>752</v>
      </c>
      <c r="R41" s="8" t="n">
        <v>521</v>
      </c>
      <c r="S41" s="8" t="s">
        <v>159</v>
      </c>
      <c r="T41" s="8"/>
      <c r="U41" s="8"/>
      <c r="V41" s="8" t="s">
        <v>155</v>
      </c>
      <c r="W41" s="8"/>
      <c r="X41" s="8" t="s">
        <v>160</v>
      </c>
      <c r="Y41" s="8" t="s">
        <v>2280</v>
      </c>
      <c r="Z41" s="8" t="s">
        <v>2281</v>
      </c>
    </row>
    <row r="42" customFormat="false" ht="15" hidden="false" customHeight="false" outlineLevel="0" collapsed="false">
      <c r="A42" s="8" t="s">
        <v>158</v>
      </c>
      <c r="B42" s="8" t="s">
        <v>19</v>
      </c>
      <c r="C42" s="8" t="s">
        <v>20</v>
      </c>
      <c r="D42" s="8" t="s">
        <v>615</v>
      </c>
      <c r="E42" s="8" t="s">
        <v>35</v>
      </c>
      <c r="F42" s="8" t="s">
        <v>53</v>
      </c>
      <c r="G42" s="8" t="s">
        <v>31</v>
      </c>
      <c r="H42" s="8" t="s">
        <v>31</v>
      </c>
      <c r="I42" s="8" t="n">
        <f aca="false">IF(EXACT(G42,H42),1,0)</f>
        <v>1</v>
      </c>
      <c r="J42" s="8" t="n">
        <v>1</v>
      </c>
      <c r="K42" s="8" t="s">
        <v>737</v>
      </c>
      <c r="L42" s="8" t="n">
        <v>1</v>
      </c>
      <c r="M42" s="8" t="n">
        <v>0</v>
      </c>
      <c r="N42" s="8"/>
      <c r="O42" s="8" t="n">
        <v>1</v>
      </c>
      <c r="P42" s="10" t="n">
        <v>11.98</v>
      </c>
      <c r="Q42" s="8" t="n">
        <v>752</v>
      </c>
      <c r="R42" s="8" t="n">
        <v>509</v>
      </c>
      <c r="S42" s="8" t="s">
        <v>159</v>
      </c>
      <c r="T42" s="8"/>
      <c r="U42" s="8"/>
      <c r="V42" s="8" t="s">
        <v>155</v>
      </c>
      <c r="W42" s="8"/>
      <c r="X42" s="8" t="s">
        <v>160</v>
      </c>
      <c r="Y42" s="8" t="s">
        <v>2282</v>
      </c>
      <c r="Z42" s="8" t="s">
        <v>2283</v>
      </c>
    </row>
    <row r="43" customFormat="false" ht="15" hidden="false" customHeight="false" outlineLevel="0" collapsed="false">
      <c r="A43" s="8" t="s">
        <v>158</v>
      </c>
      <c r="B43" s="8" t="s">
        <v>19</v>
      </c>
      <c r="C43" s="8" t="s">
        <v>20</v>
      </c>
      <c r="D43" s="8" t="s">
        <v>615</v>
      </c>
      <c r="E43" s="8" t="s">
        <v>35</v>
      </c>
      <c r="F43" s="8" t="s">
        <v>53</v>
      </c>
      <c r="G43" s="8" t="s">
        <v>31</v>
      </c>
      <c r="H43" s="8" t="s">
        <v>31</v>
      </c>
      <c r="I43" s="8" t="n">
        <f aca="false">IF(EXACT(G43,H43),1,0)</f>
        <v>1</v>
      </c>
      <c r="J43" s="8" t="n">
        <v>2</v>
      </c>
      <c r="K43" s="8" t="s">
        <v>737</v>
      </c>
      <c r="L43" s="8" t="n">
        <v>1</v>
      </c>
      <c r="M43" s="8" t="n">
        <v>0</v>
      </c>
      <c r="N43" s="8"/>
      <c r="O43" s="8" t="n">
        <v>1</v>
      </c>
      <c r="P43" s="10" t="n">
        <v>11.7</v>
      </c>
      <c r="Q43" s="8" t="n">
        <v>752</v>
      </c>
      <c r="R43" s="8" t="n">
        <v>519</v>
      </c>
      <c r="S43" s="8" t="s">
        <v>159</v>
      </c>
      <c r="T43" s="8"/>
      <c r="U43" s="8"/>
      <c r="V43" s="8" t="s">
        <v>155</v>
      </c>
      <c r="W43" s="8"/>
      <c r="X43" s="8" t="s">
        <v>160</v>
      </c>
      <c r="Y43" s="8" t="s">
        <v>2284</v>
      </c>
      <c r="Z43" s="8" t="s">
        <v>2285</v>
      </c>
    </row>
    <row r="44" customFormat="false" ht="15" hidden="false" customHeight="false" outlineLevel="0" collapsed="false">
      <c r="A44" s="8" t="s">
        <v>162</v>
      </c>
      <c r="B44" s="8" t="s">
        <v>19</v>
      </c>
      <c r="C44" s="8" t="s">
        <v>20</v>
      </c>
      <c r="D44" s="8" t="s">
        <v>615</v>
      </c>
      <c r="E44" s="8" t="s">
        <v>35</v>
      </c>
      <c r="F44" s="8" t="s">
        <v>53</v>
      </c>
      <c r="G44" s="8" t="s">
        <v>32</v>
      </c>
      <c r="H44" s="8" t="s">
        <v>32</v>
      </c>
      <c r="I44" s="8" t="n">
        <f aca="false">IF(EXACT(G44,H44),1,0)</f>
        <v>1</v>
      </c>
      <c r="J44" s="8" t="n">
        <v>0</v>
      </c>
      <c r="K44" s="8" t="s">
        <v>92</v>
      </c>
      <c r="L44" s="8" t="n">
        <v>0</v>
      </c>
      <c r="M44" s="8" t="n">
        <v>0</v>
      </c>
      <c r="N44" s="8"/>
      <c r="O44" s="8" t="n">
        <v>1</v>
      </c>
      <c r="P44" s="10" t="n">
        <v>4.81</v>
      </c>
      <c r="Q44" s="8" t="n">
        <v>646</v>
      </c>
      <c r="R44" s="8" t="n">
        <v>207</v>
      </c>
      <c r="S44" s="8" t="s">
        <v>163</v>
      </c>
      <c r="T44" s="8"/>
      <c r="U44" s="8"/>
      <c r="V44" s="8" t="s">
        <v>155</v>
      </c>
      <c r="W44" s="8"/>
      <c r="X44" s="8" t="s">
        <v>164</v>
      </c>
      <c r="Y44" s="8" t="s">
        <v>2286</v>
      </c>
      <c r="Z44" s="8"/>
    </row>
    <row r="45" customFormat="false" ht="15" hidden="false" customHeight="false" outlineLevel="0" collapsed="false">
      <c r="A45" s="8" t="s">
        <v>162</v>
      </c>
      <c r="B45" s="8" t="s">
        <v>19</v>
      </c>
      <c r="C45" s="8" t="s">
        <v>20</v>
      </c>
      <c r="D45" s="8" t="s">
        <v>615</v>
      </c>
      <c r="E45" s="8" t="s">
        <v>35</v>
      </c>
      <c r="F45" s="8" t="s">
        <v>53</v>
      </c>
      <c r="G45" s="8" t="s">
        <v>32</v>
      </c>
      <c r="H45" s="8" t="s">
        <v>32</v>
      </c>
      <c r="I45" s="8" t="n">
        <f aca="false">IF(EXACT(G45,H45),1,0)</f>
        <v>1</v>
      </c>
      <c r="J45" s="8" t="n">
        <v>1</v>
      </c>
      <c r="K45" s="8" t="s">
        <v>92</v>
      </c>
      <c r="L45" s="8" t="n">
        <v>0</v>
      </c>
      <c r="M45" s="8" t="n">
        <v>0</v>
      </c>
      <c r="N45" s="8"/>
      <c r="O45" s="8" t="n">
        <v>1</v>
      </c>
      <c r="P45" s="10" t="n">
        <v>4.5</v>
      </c>
      <c r="Q45" s="8" t="n">
        <v>646</v>
      </c>
      <c r="R45" s="8" t="n">
        <v>218</v>
      </c>
      <c r="S45" s="8" t="s">
        <v>163</v>
      </c>
      <c r="T45" s="8"/>
      <c r="U45" s="8"/>
      <c r="V45" s="8" t="s">
        <v>155</v>
      </c>
      <c r="W45" s="8"/>
      <c r="X45" s="8" t="s">
        <v>164</v>
      </c>
      <c r="Y45" s="8" t="s">
        <v>2287</v>
      </c>
      <c r="Z45" s="8"/>
    </row>
    <row r="46" customFormat="false" ht="15" hidden="false" customHeight="false" outlineLevel="0" collapsed="false">
      <c r="A46" s="8" t="s">
        <v>162</v>
      </c>
      <c r="B46" s="8" t="s">
        <v>19</v>
      </c>
      <c r="C46" s="8" t="s">
        <v>20</v>
      </c>
      <c r="D46" s="8" t="s">
        <v>615</v>
      </c>
      <c r="E46" s="8" t="s">
        <v>35</v>
      </c>
      <c r="F46" s="8" t="s">
        <v>53</v>
      </c>
      <c r="G46" s="8" t="s">
        <v>32</v>
      </c>
      <c r="H46" s="8" t="s">
        <v>32</v>
      </c>
      <c r="I46" s="8" t="n">
        <f aca="false">IF(EXACT(G46,H46),1,0)</f>
        <v>1</v>
      </c>
      <c r="J46" s="8" t="n">
        <v>2</v>
      </c>
      <c r="K46" s="8" t="s">
        <v>92</v>
      </c>
      <c r="L46" s="8" t="n">
        <v>0</v>
      </c>
      <c r="M46" s="8" t="n">
        <v>0</v>
      </c>
      <c r="N46" s="8"/>
      <c r="O46" s="8" t="n">
        <v>1</v>
      </c>
      <c r="P46" s="10" t="n">
        <v>4.25</v>
      </c>
      <c r="Q46" s="8" t="n">
        <v>646</v>
      </c>
      <c r="R46" s="8" t="n">
        <v>203</v>
      </c>
      <c r="S46" s="8" t="s">
        <v>163</v>
      </c>
      <c r="T46" s="8"/>
      <c r="U46" s="8"/>
      <c r="V46" s="8" t="s">
        <v>155</v>
      </c>
      <c r="W46" s="8"/>
      <c r="X46" s="8" t="s">
        <v>164</v>
      </c>
      <c r="Y46" s="8" t="s">
        <v>2288</v>
      </c>
      <c r="Z46" s="8"/>
    </row>
    <row r="47" customFormat="false" ht="15" hidden="false" customHeight="false" outlineLevel="0" collapsed="false">
      <c r="A47" s="8" t="s">
        <v>165</v>
      </c>
      <c r="B47" s="8" t="s">
        <v>19</v>
      </c>
      <c r="C47" s="8" t="s">
        <v>20</v>
      </c>
      <c r="D47" s="8" t="s">
        <v>615</v>
      </c>
      <c r="E47" s="8" t="s">
        <v>35</v>
      </c>
      <c r="F47" s="8" t="s">
        <v>53</v>
      </c>
      <c r="G47" s="8" t="s">
        <v>32</v>
      </c>
      <c r="H47" s="8" t="s">
        <v>30</v>
      </c>
      <c r="I47" s="8" t="n">
        <f aca="false">IF(EXACT(G47,H47),1,0)</f>
        <v>0</v>
      </c>
      <c r="J47" s="8" t="n">
        <v>0</v>
      </c>
      <c r="K47" s="8" t="s">
        <v>92</v>
      </c>
      <c r="L47" s="8" t="n">
        <v>0</v>
      </c>
      <c r="M47" s="8" t="n">
        <v>0</v>
      </c>
      <c r="N47" s="8"/>
      <c r="O47" s="8" t="n">
        <v>1</v>
      </c>
      <c r="P47" s="10" t="n">
        <v>8.3</v>
      </c>
      <c r="Q47" s="8" t="n">
        <v>641</v>
      </c>
      <c r="R47" s="8" t="n">
        <v>337</v>
      </c>
      <c r="S47" s="8" t="s">
        <v>166</v>
      </c>
      <c r="T47" s="8"/>
      <c r="U47" s="8"/>
      <c r="V47" s="8" t="s">
        <v>155</v>
      </c>
      <c r="W47" s="8"/>
      <c r="X47" s="8" t="s">
        <v>167</v>
      </c>
      <c r="Y47" s="8" t="s">
        <v>2289</v>
      </c>
      <c r="Z47" s="8"/>
    </row>
    <row r="48" customFormat="false" ht="15" hidden="false" customHeight="false" outlineLevel="0" collapsed="false">
      <c r="A48" s="8" t="s">
        <v>165</v>
      </c>
      <c r="B48" s="8" t="s">
        <v>19</v>
      </c>
      <c r="C48" s="8" t="s">
        <v>20</v>
      </c>
      <c r="D48" s="8" t="s">
        <v>615</v>
      </c>
      <c r="E48" s="8" t="s">
        <v>35</v>
      </c>
      <c r="F48" s="8" t="s">
        <v>53</v>
      </c>
      <c r="G48" s="8" t="s">
        <v>32</v>
      </c>
      <c r="H48" s="8" t="s">
        <v>30</v>
      </c>
      <c r="I48" s="8" t="n">
        <f aca="false">IF(EXACT(G48,H48),1,0)</f>
        <v>0</v>
      </c>
      <c r="J48" s="8" t="n">
        <v>1</v>
      </c>
      <c r="K48" s="8" t="s">
        <v>92</v>
      </c>
      <c r="L48" s="8" t="n">
        <v>0</v>
      </c>
      <c r="M48" s="8" t="n">
        <v>0</v>
      </c>
      <c r="N48" s="8"/>
      <c r="O48" s="8" t="n">
        <v>1</v>
      </c>
      <c r="P48" s="10" t="n">
        <v>5.19</v>
      </c>
      <c r="Q48" s="8" t="n">
        <v>641</v>
      </c>
      <c r="R48" s="8" t="n">
        <v>205</v>
      </c>
      <c r="S48" s="8" t="s">
        <v>166</v>
      </c>
      <c r="T48" s="8"/>
      <c r="U48" s="8"/>
      <c r="V48" s="8" t="s">
        <v>155</v>
      </c>
      <c r="W48" s="8"/>
      <c r="X48" s="8" t="s">
        <v>167</v>
      </c>
      <c r="Y48" s="8" t="s">
        <v>2290</v>
      </c>
      <c r="Z48" s="8"/>
    </row>
    <row r="49" customFormat="false" ht="15" hidden="false" customHeight="false" outlineLevel="0" collapsed="false">
      <c r="A49" s="8" t="s">
        <v>165</v>
      </c>
      <c r="B49" s="8" t="s">
        <v>19</v>
      </c>
      <c r="C49" s="8" t="s">
        <v>20</v>
      </c>
      <c r="D49" s="8" t="s">
        <v>615</v>
      </c>
      <c r="E49" s="8" t="s">
        <v>35</v>
      </c>
      <c r="F49" s="8" t="s">
        <v>53</v>
      </c>
      <c r="G49" s="8" t="s">
        <v>32</v>
      </c>
      <c r="H49" s="8" t="s">
        <v>30</v>
      </c>
      <c r="I49" s="8" t="n">
        <f aca="false">IF(EXACT(G49,H49),1,0)</f>
        <v>0</v>
      </c>
      <c r="J49" s="8" t="n">
        <v>2</v>
      </c>
      <c r="K49" s="8" t="s">
        <v>92</v>
      </c>
      <c r="L49" s="8" t="n">
        <v>0</v>
      </c>
      <c r="M49" s="8" t="n">
        <v>0</v>
      </c>
      <c r="N49" s="8"/>
      <c r="O49" s="8" t="n">
        <v>1</v>
      </c>
      <c r="P49" s="10" t="n">
        <v>5.23</v>
      </c>
      <c r="Q49" s="8" t="n">
        <v>641</v>
      </c>
      <c r="R49" s="8" t="n">
        <v>212</v>
      </c>
      <c r="S49" s="8" t="s">
        <v>166</v>
      </c>
      <c r="T49" s="8"/>
      <c r="U49" s="8"/>
      <c r="V49" s="8" t="s">
        <v>155</v>
      </c>
      <c r="W49" s="8"/>
      <c r="X49" s="8" t="s">
        <v>167</v>
      </c>
      <c r="Y49" s="8" t="s">
        <v>2291</v>
      </c>
      <c r="Z49" s="8"/>
    </row>
    <row r="50" customFormat="false" ht="15" hidden="false" customHeight="false" outlineLevel="0" collapsed="false">
      <c r="A50" s="8" t="s">
        <v>168</v>
      </c>
      <c r="B50" s="8" t="s">
        <v>19</v>
      </c>
      <c r="C50" s="8" t="s">
        <v>20</v>
      </c>
      <c r="D50" s="8" t="s">
        <v>615</v>
      </c>
      <c r="E50" s="8" t="s">
        <v>35</v>
      </c>
      <c r="F50" s="8" t="s">
        <v>53</v>
      </c>
      <c r="G50" s="8" t="s">
        <v>30</v>
      </c>
      <c r="H50" s="8" t="s">
        <v>30</v>
      </c>
      <c r="I50" s="8" t="n">
        <f aca="false">IF(EXACT(G50,H50),1,0)</f>
        <v>1</v>
      </c>
      <c r="J50" s="8" t="n">
        <v>0</v>
      </c>
      <c r="K50" s="8" t="s">
        <v>92</v>
      </c>
      <c r="L50" s="8" t="n">
        <v>0</v>
      </c>
      <c r="M50" s="8" t="n">
        <v>0</v>
      </c>
      <c r="N50" s="8"/>
      <c r="O50" s="8" t="n">
        <v>1</v>
      </c>
      <c r="P50" s="10" t="n">
        <v>8.24</v>
      </c>
      <c r="Q50" s="8" t="n">
        <v>763</v>
      </c>
      <c r="R50" s="8" t="n">
        <v>276</v>
      </c>
      <c r="S50" s="8" t="s">
        <v>169</v>
      </c>
      <c r="T50" s="8"/>
      <c r="U50" s="8"/>
      <c r="V50" s="8" t="s">
        <v>155</v>
      </c>
      <c r="W50" s="8"/>
      <c r="X50" s="8" t="s">
        <v>170</v>
      </c>
      <c r="Y50" s="8" t="s">
        <v>2292</v>
      </c>
      <c r="Z50" s="8"/>
    </row>
    <row r="51" customFormat="false" ht="15" hidden="false" customHeight="false" outlineLevel="0" collapsed="false">
      <c r="A51" s="8" t="s">
        <v>168</v>
      </c>
      <c r="B51" s="8" t="s">
        <v>19</v>
      </c>
      <c r="C51" s="8" t="s">
        <v>20</v>
      </c>
      <c r="D51" s="8" t="s">
        <v>615</v>
      </c>
      <c r="E51" s="8" t="s">
        <v>35</v>
      </c>
      <c r="F51" s="8" t="s">
        <v>53</v>
      </c>
      <c r="G51" s="8" t="s">
        <v>30</v>
      </c>
      <c r="H51" s="8" t="s">
        <v>30</v>
      </c>
      <c r="I51" s="8" t="n">
        <f aca="false">IF(EXACT(G51,H51),1,0)</f>
        <v>1</v>
      </c>
      <c r="J51" s="8" t="n">
        <v>1</v>
      </c>
      <c r="K51" s="8" t="s">
        <v>92</v>
      </c>
      <c r="L51" s="8" t="n">
        <v>0</v>
      </c>
      <c r="M51" s="8" t="n">
        <v>0</v>
      </c>
      <c r="N51" s="8"/>
      <c r="O51" s="8" t="n">
        <v>1</v>
      </c>
      <c r="P51" s="10" t="n">
        <v>7.58</v>
      </c>
      <c r="Q51" s="8" t="n">
        <v>763</v>
      </c>
      <c r="R51" s="8" t="n">
        <v>291</v>
      </c>
      <c r="S51" s="8" t="s">
        <v>169</v>
      </c>
      <c r="T51" s="8"/>
      <c r="U51" s="8"/>
      <c r="V51" s="8" t="s">
        <v>155</v>
      </c>
      <c r="W51" s="8"/>
      <c r="X51" s="8" t="s">
        <v>170</v>
      </c>
      <c r="Y51" s="8" t="s">
        <v>2293</v>
      </c>
      <c r="Z51" s="8"/>
    </row>
    <row r="52" customFormat="false" ht="15" hidden="false" customHeight="false" outlineLevel="0" collapsed="false">
      <c r="A52" s="8" t="s">
        <v>168</v>
      </c>
      <c r="B52" s="8" t="s">
        <v>19</v>
      </c>
      <c r="C52" s="8" t="s">
        <v>20</v>
      </c>
      <c r="D52" s="8" t="s">
        <v>615</v>
      </c>
      <c r="E52" s="8" t="s">
        <v>35</v>
      </c>
      <c r="F52" s="8" t="s">
        <v>53</v>
      </c>
      <c r="G52" s="8" t="s">
        <v>30</v>
      </c>
      <c r="H52" s="8" t="s">
        <v>30</v>
      </c>
      <c r="I52" s="8" t="n">
        <f aca="false">IF(EXACT(G52,H52),1,0)</f>
        <v>1</v>
      </c>
      <c r="J52" s="8" t="n">
        <v>2</v>
      </c>
      <c r="K52" s="8" t="s">
        <v>92</v>
      </c>
      <c r="L52" s="8" t="n">
        <v>0</v>
      </c>
      <c r="M52" s="8" t="n">
        <v>0</v>
      </c>
      <c r="N52" s="8"/>
      <c r="O52" s="8" t="n">
        <v>1</v>
      </c>
      <c r="P52" s="10" t="n">
        <v>7.52</v>
      </c>
      <c r="Q52" s="8" t="n">
        <v>763</v>
      </c>
      <c r="R52" s="8" t="n">
        <v>285</v>
      </c>
      <c r="S52" s="8" t="s">
        <v>169</v>
      </c>
      <c r="T52" s="8"/>
      <c r="U52" s="8"/>
      <c r="V52" s="8" t="s">
        <v>155</v>
      </c>
      <c r="W52" s="8"/>
      <c r="X52" s="8" t="s">
        <v>170</v>
      </c>
      <c r="Y52" s="8" t="s">
        <v>2294</v>
      </c>
      <c r="Z52" s="8"/>
    </row>
    <row r="53" customFormat="false" ht="15" hidden="false" customHeight="false" outlineLevel="0" collapsed="false">
      <c r="A53" s="8" t="s">
        <v>171</v>
      </c>
      <c r="B53" s="8" t="s">
        <v>19</v>
      </c>
      <c r="C53" s="8" t="s">
        <v>20</v>
      </c>
      <c r="D53" s="8" t="s">
        <v>615</v>
      </c>
      <c r="E53" s="8" t="s">
        <v>35</v>
      </c>
      <c r="F53" s="8" t="s">
        <v>53</v>
      </c>
      <c r="G53" s="8" t="s">
        <v>30</v>
      </c>
      <c r="H53" s="8" t="s">
        <v>30</v>
      </c>
      <c r="I53" s="8" t="n">
        <f aca="false">IF(EXACT(G53,H53),1,0)</f>
        <v>1</v>
      </c>
      <c r="J53" s="8" t="n">
        <v>0</v>
      </c>
      <c r="K53" s="8" t="s">
        <v>92</v>
      </c>
      <c r="L53" s="8" t="n">
        <v>0</v>
      </c>
      <c r="M53" s="8" t="n">
        <v>0</v>
      </c>
      <c r="N53" s="8"/>
      <c r="O53" s="8" t="n">
        <v>1</v>
      </c>
      <c r="P53" s="10" t="n">
        <v>6.51</v>
      </c>
      <c r="Q53" s="8" t="n">
        <v>715</v>
      </c>
      <c r="R53" s="8" t="n">
        <v>253</v>
      </c>
      <c r="S53" s="8" t="s">
        <v>172</v>
      </c>
      <c r="T53" s="8"/>
      <c r="U53" s="8"/>
      <c r="V53" s="8" t="s">
        <v>155</v>
      </c>
      <c r="W53" s="8"/>
      <c r="X53" s="8" t="s">
        <v>173</v>
      </c>
      <c r="Y53" s="8" t="s">
        <v>2295</v>
      </c>
      <c r="Z53" s="8"/>
    </row>
    <row r="54" customFormat="false" ht="15" hidden="false" customHeight="false" outlineLevel="0" collapsed="false">
      <c r="A54" s="8" t="s">
        <v>171</v>
      </c>
      <c r="B54" s="8" t="s">
        <v>19</v>
      </c>
      <c r="C54" s="8" t="s">
        <v>20</v>
      </c>
      <c r="D54" s="8" t="s">
        <v>615</v>
      </c>
      <c r="E54" s="8" t="s">
        <v>35</v>
      </c>
      <c r="F54" s="8" t="s">
        <v>53</v>
      </c>
      <c r="G54" s="8" t="s">
        <v>30</v>
      </c>
      <c r="H54" s="8" t="s">
        <v>30</v>
      </c>
      <c r="I54" s="8" t="n">
        <f aca="false">IF(EXACT(G54,H54),1,0)</f>
        <v>1</v>
      </c>
      <c r="J54" s="8" t="n">
        <v>1</v>
      </c>
      <c r="K54" s="8" t="s">
        <v>92</v>
      </c>
      <c r="L54" s="8" t="n">
        <v>0</v>
      </c>
      <c r="M54" s="8" t="n">
        <v>0</v>
      </c>
      <c r="N54" s="8"/>
      <c r="O54" s="8" t="n">
        <v>1</v>
      </c>
      <c r="P54" s="10" t="n">
        <v>8.63</v>
      </c>
      <c r="Q54" s="8" t="n">
        <v>715</v>
      </c>
      <c r="R54" s="8" t="n">
        <v>347</v>
      </c>
      <c r="S54" s="8" t="s">
        <v>172</v>
      </c>
      <c r="T54" s="8"/>
      <c r="U54" s="8"/>
      <c r="V54" s="8" t="s">
        <v>155</v>
      </c>
      <c r="W54" s="8"/>
      <c r="X54" s="8" t="s">
        <v>173</v>
      </c>
      <c r="Y54" s="8" t="s">
        <v>2296</v>
      </c>
      <c r="Z54" s="8"/>
    </row>
    <row r="55" customFormat="false" ht="15" hidden="false" customHeight="false" outlineLevel="0" collapsed="false">
      <c r="A55" s="8" t="s">
        <v>171</v>
      </c>
      <c r="B55" s="8" t="s">
        <v>19</v>
      </c>
      <c r="C55" s="8" t="s">
        <v>20</v>
      </c>
      <c r="D55" s="8" t="s">
        <v>615</v>
      </c>
      <c r="E55" s="8" t="s">
        <v>35</v>
      </c>
      <c r="F55" s="8" t="s">
        <v>53</v>
      </c>
      <c r="G55" s="8" t="s">
        <v>30</v>
      </c>
      <c r="H55" s="8" t="s">
        <v>30</v>
      </c>
      <c r="I55" s="8" t="n">
        <f aca="false">IF(EXACT(G55,H55),1,0)</f>
        <v>1</v>
      </c>
      <c r="J55" s="8" t="n">
        <v>2</v>
      </c>
      <c r="K55" s="8" t="s">
        <v>92</v>
      </c>
      <c r="L55" s="8" t="n">
        <v>0</v>
      </c>
      <c r="M55" s="8" t="n">
        <v>0</v>
      </c>
      <c r="N55" s="8"/>
      <c r="O55" s="8" t="n">
        <v>1</v>
      </c>
      <c r="P55" s="10" t="n">
        <v>5.81</v>
      </c>
      <c r="Q55" s="8" t="n">
        <v>715</v>
      </c>
      <c r="R55" s="8" t="n">
        <v>236</v>
      </c>
      <c r="S55" s="8" t="s">
        <v>172</v>
      </c>
      <c r="T55" s="8"/>
      <c r="U55" s="8"/>
      <c r="V55" s="8" t="s">
        <v>155</v>
      </c>
      <c r="W55" s="8"/>
      <c r="X55" s="8" t="s">
        <v>173</v>
      </c>
      <c r="Y55" s="8" t="s">
        <v>2297</v>
      </c>
      <c r="Z55" s="8"/>
    </row>
    <row r="56" customFormat="false" ht="15" hidden="false" customHeight="false" outlineLevel="0" collapsed="false">
      <c r="A56" s="8" t="s">
        <v>174</v>
      </c>
      <c r="B56" s="8" t="s">
        <v>19</v>
      </c>
      <c r="C56" s="8" t="s">
        <v>20</v>
      </c>
      <c r="D56" s="8" t="s">
        <v>615</v>
      </c>
      <c r="E56" s="8" t="s">
        <v>35</v>
      </c>
      <c r="F56" s="8" t="s">
        <v>56</v>
      </c>
      <c r="G56" s="8" t="s">
        <v>30</v>
      </c>
      <c r="H56" s="8" t="s">
        <v>30</v>
      </c>
      <c r="I56" s="8" t="n">
        <f aca="false">IF(EXACT(G56,H56),1,0)</f>
        <v>1</v>
      </c>
      <c r="J56" s="8" t="n">
        <v>0</v>
      </c>
      <c r="K56" s="8" t="s">
        <v>92</v>
      </c>
      <c r="L56" s="8" t="n">
        <v>0</v>
      </c>
      <c r="M56" s="8" t="n">
        <v>0</v>
      </c>
      <c r="N56" s="8"/>
      <c r="O56" s="8" t="n">
        <v>1</v>
      </c>
      <c r="P56" s="10" t="n">
        <v>6.45</v>
      </c>
      <c r="Q56" s="8" t="n">
        <v>600</v>
      </c>
      <c r="R56" s="8" t="n">
        <v>225</v>
      </c>
      <c r="S56" s="8" t="s">
        <v>105</v>
      </c>
      <c r="T56" s="8" t="s">
        <v>175</v>
      </c>
      <c r="U56" s="8" t="s">
        <v>176</v>
      </c>
      <c r="V56" s="8"/>
      <c r="W56" s="8" t="s">
        <v>177</v>
      </c>
      <c r="X56" s="8" t="s">
        <v>178</v>
      </c>
      <c r="Y56" s="8" t="s">
        <v>2298</v>
      </c>
      <c r="Z56" s="8"/>
    </row>
    <row r="57" customFormat="false" ht="15" hidden="false" customHeight="false" outlineLevel="0" collapsed="false">
      <c r="A57" s="8" t="s">
        <v>174</v>
      </c>
      <c r="B57" s="8" t="s">
        <v>19</v>
      </c>
      <c r="C57" s="8" t="s">
        <v>20</v>
      </c>
      <c r="D57" s="8" t="s">
        <v>615</v>
      </c>
      <c r="E57" s="8" t="s">
        <v>35</v>
      </c>
      <c r="F57" s="8" t="s">
        <v>56</v>
      </c>
      <c r="G57" s="8" t="s">
        <v>30</v>
      </c>
      <c r="H57" s="8" t="s">
        <v>30</v>
      </c>
      <c r="I57" s="8" t="n">
        <f aca="false">IF(EXACT(G57,H57),1,0)</f>
        <v>1</v>
      </c>
      <c r="J57" s="8" t="n">
        <v>1</v>
      </c>
      <c r="K57" s="8" t="s">
        <v>92</v>
      </c>
      <c r="L57" s="8" t="n">
        <v>0</v>
      </c>
      <c r="M57" s="8" t="n">
        <v>0</v>
      </c>
      <c r="N57" s="8"/>
      <c r="O57" s="8" t="n">
        <v>1</v>
      </c>
      <c r="P57" s="10" t="n">
        <v>4.76</v>
      </c>
      <c r="Q57" s="8" t="n">
        <v>600</v>
      </c>
      <c r="R57" s="8" t="n">
        <v>191</v>
      </c>
      <c r="S57" s="8" t="s">
        <v>105</v>
      </c>
      <c r="T57" s="8" t="s">
        <v>175</v>
      </c>
      <c r="U57" s="8" t="s">
        <v>176</v>
      </c>
      <c r="V57" s="8"/>
      <c r="W57" s="8" t="s">
        <v>177</v>
      </c>
      <c r="X57" s="8" t="s">
        <v>178</v>
      </c>
      <c r="Y57" s="8" t="s">
        <v>2299</v>
      </c>
      <c r="Z57" s="8"/>
    </row>
    <row r="58" customFormat="false" ht="15" hidden="false" customHeight="false" outlineLevel="0" collapsed="false">
      <c r="A58" s="8" t="s">
        <v>174</v>
      </c>
      <c r="B58" s="8" t="s">
        <v>19</v>
      </c>
      <c r="C58" s="8" t="s">
        <v>20</v>
      </c>
      <c r="D58" s="8" t="s">
        <v>615</v>
      </c>
      <c r="E58" s="8" t="s">
        <v>35</v>
      </c>
      <c r="F58" s="8" t="s">
        <v>56</v>
      </c>
      <c r="G58" s="8" t="s">
        <v>30</v>
      </c>
      <c r="H58" s="8" t="s">
        <v>30</v>
      </c>
      <c r="I58" s="8" t="n">
        <f aca="false">IF(EXACT(G58,H58),1,0)</f>
        <v>1</v>
      </c>
      <c r="J58" s="8" t="n">
        <v>2</v>
      </c>
      <c r="K58" s="8" t="s">
        <v>92</v>
      </c>
      <c r="L58" s="8" t="n">
        <v>0</v>
      </c>
      <c r="M58" s="8" t="n">
        <v>0</v>
      </c>
      <c r="N58" s="8"/>
      <c r="O58" s="8" t="n">
        <v>1</v>
      </c>
      <c r="P58" s="10" t="n">
        <v>25.8</v>
      </c>
      <c r="Q58" s="8" t="n">
        <v>600</v>
      </c>
      <c r="R58" s="8" t="n">
        <v>228</v>
      </c>
      <c r="S58" s="8" t="s">
        <v>105</v>
      </c>
      <c r="T58" s="8" t="s">
        <v>175</v>
      </c>
      <c r="U58" s="8" t="s">
        <v>176</v>
      </c>
      <c r="V58" s="8"/>
      <c r="W58" s="8" t="s">
        <v>177</v>
      </c>
      <c r="X58" s="8" t="s">
        <v>178</v>
      </c>
      <c r="Y58" s="8" t="s">
        <v>2300</v>
      </c>
      <c r="Z58" s="8"/>
    </row>
    <row r="59" customFormat="false" ht="15" hidden="false" customHeight="false" outlineLevel="0" collapsed="false">
      <c r="A59" s="8" t="s">
        <v>179</v>
      </c>
      <c r="B59" s="8" t="s">
        <v>19</v>
      </c>
      <c r="C59" s="8" t="s">
        <v>20</v>
      </c>
      <c r="D59" s="8" t="s">
        <v>615</v>
      </c>
      <c r="E59" s="8" t="s">
        <v>35</v>
      </c>
      <c r="F59" s="8" t="s">
        <v>56</v>
      </c>
      <c r="G59" s="8" t="s">
        <v>30</v>
      </c>
      <c r="H59" s="8" t="s">
        <v>31</v>
      </c>
      <c r="I59" s="8" t="n">
        <f aca="false">IF(EXACT(G59,H59),1,0)</f>
        <v>0</v>
      </c>
      <c r="J59" s="8" t="n">
        <v>0</v>
      </c>
      <c r="K59" s="8" t="s">
        <v>116</v>
      </c>
      <c r="L59" s="8" t="n">
        <v>1</v>
      </c>
      <c r="M59" s="8" t="n">
        <v>0</v>
      </c>
      <c r="N59" s="8"/>
      <c r="O59" s="8" t="n">
        <v>1</v>
      </c>
      <c r="P59" s="10" t="n">
        <v>11.06</v>
      </c>
      <c r="Q59" s="8" t="n">
        <v>1025</v>
      </c>
      <c r="R59" s="8" t="n">
        <v>483</v>
      </c>
      <c r="S59" s="8" t="s">
        <v>180</v>
      </c>
      <c r="T59" s="8" t="s">
        <v>175</v>
      </c>
      <c r="U59" s="8" t="s">
        <v>176</v>
      </c>
      <c r="V59" s="8"/>
      <c r="W59" s="8" t="s">
        <v>181</v>
      </c>
      <c r="X59" s="8" t="s">
        <v>182</v>
      </c>
      <c r="Y59" s="8" t="s">
        <v>2301</v>
      </c>
      <c r="Z59" s="8" t="s">
        <v>2302</v>
      </c>
    </row>
    <row r="60" customFormat="false" ht="15" hidden="false" customHeight="false" outlineLevel="0" collapsed="false">
      <c r="A60" s="8" t="s">
        <v>179</v>
      </c>
      <c r="B60" s="8" t="s">
        <v>19</v>
      </c>
      <c r="C60" s="8" t="s">
        <v>20</v>
      </c>
      <c r="D60" s="8" t="s">
        <v>615</v>
      </c>
      <c r="E60" s="8" t="s">
        <v>35</v>
      </c>
      <c r="F60" s="8" t="s">
        <v>56</v>
      </c>
      <c r="G60" s="8" t="s">
        <v>30</v>
      </c>
      <c r="H60" s="8" t="s">
        <v>31</v>
      </c>
      <c r="I60" s="8" t="n">
        <f aca="false">IF(EXACT(G60,H60),1,0)</f>
        <v>0</v>
      </c>
      <c r="J60" s="8" t="n">
        <v>1</v>
      </c>
      <c r="K60" s="8" t="s">
        <v>116</v>
      </c>
      <c r="L60" s="8" t="n">
        <v>1</v>
      </c>
      <c r="M60" s="8" t="n">
        <v>0</v>
      </c>
      <c r="N60" s="8"/>
      <c r="O60" s="8" t="n">
        <v>1</v>
      </c>
      <c r="P60" s="10" t="n">
        <v>12.59</v>
      </c>
      <c r="Q60" s="8" t="n">
        <v>1025</v>
      </c>
      <c r="R60" s="8" t="n">
        <v>599</v>
      </c>
      <c r="S60" s="8" t="s">
        <v>180</v>
      </c>
      <c r="T60" s="8" t="s">
        <v>175</v>
      </c>
      <c r="U60" s="8" t="s">
        <v>176</v>
      </c>
      <c r="V60" s="8"/>
      <c r="W60" s="8" t="s">
        <v>181</v>
      </c>
      <c r="X60" s="8" t="s">
        <v>182</v>
      </c>
      <c r="Y60" s="8" t="s">
        <v>2303</v>
      </c>
      <c r="Z60" s="8" t="s">
        <v>2304</v>
      </c>
    </row>
    <row r="61" customFormat="false" ht="15" hidden="false" customHeight="false" outlineLevel="0" collapsed="false">
      <c r="A61" s="8" t="s">
        <v>179</v>
      </c>
      <c r="B61" s="8" t="s">
        <v>19</v>
      </c>
      <c r="C61" s="8" t="s">
        <v>20</v>
      </c>
      <c r="D61" s="8" t="s">
        <v>615</v>
      </c>
      <c r="E61" s="8" t="s">
        <v>35</v>
      </c>
      <c r="F61" s="8" t="s">
        <v>56</v>
      </c>
      <c r="G61" s="8" t="s">
        <v>30</v>
      </c>
      <c r="H61" s="8" t="s">
        <v>31</v>
      </c>
      <c r="I61" s="8" t="n">
        <f aca="false">IF(EXACT(G61,H61),1,0)</f>
        <v>0</v>
      </c>
      <c r="J61" s="8" t="n">
        <v>2</v>
      </c>
      <c r="K61" s="8" t="s">
        <v>116</v>
      </c>
      <c r="L61" s="8" t="n">
        <v>1</v>
      </c>
      <c r="M61" s="8" t="n">
        <v>0</v>
      </c>
      <c r="N61" s="8"/>
      <c r="O61" s="8" t="n">
        <v>1</v>
      </c>
      <c r="P61" s="10" t="n">
        <v>11.06</v>
      </c>
      <c r="Q61" s="8" t="n">
        <v>1025</v>
      </c>
      <c r="R61" s="8" t="n">
        <v>484</v>
      </c>
      <c r="S61" s="8" t="s">
        <v>180</v>
      </c>
      <c r="T61" s="8" t="s">
        <v>175</v>
      </c>
      <c r="U61" s="8" t="s">
        <v>176</v>
      </c>
      <c r="V61" s="8"/>
      <c r="W61" s="8" t="s">
        <v>181</v>
      </c>
      <c r="X61" s="8" t="s">
        <v>182</v>
      </c>
      <c r="Y61" s="8" t="s">
        <v>2305</v>
      </c>
      <c r="Z61" s="8" t="s">
        <v>2306</v>
      </c>
    </row>
    <row r="62" customFormat="false" ht="15" hidden="false" customHeight="false" outlineLevel="0" collapsed="false">
      <c r="A62" s="8" t="s">
        <v>184</v>
      </c>
      <c r="B62" s="8" t="s">
        <v>19</v>
      </c>
      <c r="C62" s="8" t="s">
        <v>20</v>
      </c>
      <c r="D62" s="8" t="s">
        <v>615</v>
      </c>
      <c r="E62" s="8" t="s">
        <v>35</v>
      </c>
      <c r="F62" s="8" t="s">
        <v>56</v>
      </c>
      <c r="G62" s="8" t="s">
        <v>32</v>
      </c>
      <c r="H62" s="8" t="s">
        <v>32</v>
      </c>
      <c r="I62" s="8" t="n">
        <f aca="false">IF(EXACT(G62,H62),1,0)</f>
        <v>1</v>
      </c>
      <c r="J62" s="8" t="n">
        <v>0</v>
      </c>
      <c r="K62" s="8" t="s">
        <v>92</v>
      </c>
      <c r="L62" s="8" t="n">
        <v>0</v>
      </c>
      <c r="M62" s="8" t="n">
        <v>0</v>
      </c>
      <c r="N62" s="8"/>
      <c r="O62" s="8" t="n">
        <v>1</v>
      </c>
      <c r="P62" s="10" t="n">
        <v>4.61</v>
      </c>
      <c r="Q62" s="8" t="n">
        <v>592</v>
      </c>
      <c r="R62" s="8" t="n">
        <v>211</v>
      </c>
      <c r="S62" s="8" t="s">
        <v>132</v>
      </c>
      <c r="T62" s="8" t="s">
        <v>175</v>
      </c>
      <c r="U62" s="8" t="s">
        <v>176</v>
      </c>
      <c r="V62" s="8"/>
      <c r="W62" s="8" t="s">
        <v>185</v>
      </c>
      <c r="X62" s="8" t="s">
        <v>186</v>
      </c>
      <c r="Y62" s="8" t="s">
        <v>2307</v>
      </c>
      <c r="Z62" s="8"/>
    </row>
    <row r="63" customFormat="false" ht="15" hidden="false" customHeight="false" outlineLevel="0" collapsed="false">
      <c r="A63" s="8" t="s">
        <v>184</v>
      </c>
      <c r="B63" s="8" t="s">
        <v>19</v>
      </c>
      <c r="C63" s="8" t="s">
        <v>20</v>
      </c>
      <c r="D63" s="8" t="s">
        <v>615</v>
      </c>
      <c r="E63" s="8" t="s">
        <v>35</v>
      </c>
      <c r="F63" s="8" t="s">
        <v>56</v>
      </c>
      <c r="G63" s="8" t="s">
        <v>32</v>
      </c>
      <c r="H63" s="8" t="s">
        <v>32</v>
      </c>
      <c r="I63" s="8" t="n">
        <f aca="false">IF(EXACT(G63,H63),1,0)</f>
        <v>1</v>
      </c>
      <c r="J63" s="8" t="n">
        <v>1</v>
      </c>
      <c r="K63" s="8" t="s">
        <v>92</v>
      </c>
      <c r="L63" s="8" t="n">
        <v>0</v>
      </c>
      <c r="M63" s="8" t="n">
        <v>0</v>
      </c>
      <c r="N63" s="8"/>
      <c r="O63" s="8" t="n">
        <v>1</v>
      </c>
      <c r="P63" s="10" t="n">
        <v>4.35</v>
      </c>
      <c r="Q63" s="8" t="n">
        <v>592</v>
      </c>
      <c r="R63" s="8" t="n">
        <v>210</v>
      </c>
      <c r="S63" s="8" t="s">
        <v>132</v>
      </c>
      <c r="T63" s="8" t="s">
        <v>175</v>
      </c>
      <c r="U63" s="8" t="s">
        <v>176</v>
      </c>
      <c r="V63" s="8"/>
      <c r="W63" s="8" t="s">
        <v>185</v>
      </c>
      <c r="X63" s="8" t="s">
        <v>186</v>
      </c>
      <c r="Y63" s="8" t="s">
        <v>2308</v>
      </c>
      <c r="Z63" s="8"/>
    </row>
    <row r="64" customFormat="false" ht="15" hidden="false" customHeight="false" outlineLevel="0" collapsed="false">
      <c r="A64" s="8" t="s">
        <v>184</v>
      </c>
      <c r="B64" s="8" t="s">
        <v>19</v>
      </c>
      <c r="C64" s="8" t="s">
        <v>20</v>
      </c>
      <c r="D64" s="8" t="s">
        <v>615</v>
      </c>
      <c r="E64" s="8" t="s">
        <v>35</v>
      </c>
      <c r="F64" s="8" t="s">
        <v>56</v>
      </c>
      <c r="G64" s="8" t="s">
        <v>32</v>
      </c>
      <c r="H64" s="8" t="s">
        <v>32</v>
      </c>
      <c r="I64" s="8" t="n">
        <f aca="false">IF(EXACT(G64,H64),1,0)</f>
        <v>1</v>
      </c>
      <c r="J64" s="8" t="n">
        <v>2</v>
      </c>
      <c r="K64" s="8" t="s">
        <v>92</v>
      </c>
      <c r="L64" s="8" t="n">
        <v>0</v>
      </c>
      <c r="M64" s="8" t="n">
        <v>0</v>
      </c>
      <c r="N64" s="8"/>
      <c r="O64" s="8" t="n">
        <v>1</v>
      </c>
      <c r="P64" s="10" t="n">
        <v>4.72</v>
      </c>
      <c r="Q64" s="8" t="n">
        <v>592</v>
      </c>
      <c r="R64" s="8" t="n">
        <v>218</v>
      </c>
      <c r="S64" s="8" t="s">
        <v>132</v>
      </c>
      <c r="T64" s="8" t="s">
        <v>175</v>
      </c>
      <c r="U64" s="8" t="s">
        <v>176</v>
      </c>
      <c r="V64" s="8"/>
      <c r="W64" s="8" t="s">
        <v>185</v>
      </c>
      <c r="X64" s="8" t="s">
        <v>186</v>
      </c>
      <c r="Y64" s="8" t="s">
        <v>2309</v>
      </c>
      <c r="Z64" s="8"/>
    </row>
    <row r="65" customFormat="false" ht="15" hidden="false" customHeight="false" outlineLevel="0" collapsed="false">
      <c r="A65" s="8" t="s">
        <v>187</v>
      </c>
      <c r="B65" s="8" t="s">
        <v>19</v>
      </c>
      <c r="C65" s="8" t="s">
        <v>20</v>
      </c>
      <c r="D65" s="8" t="s">
        <v>615</v>
      </c>
      <c r="E65" s="8" t="s">
        <v>35</v>
      </c>
      <c r="F65" s="8" t="s">
        <v>56</v>
      </c>
      <c r="G65" s="8" t="s">
        <v>32</v>
      </c>
      <c r="H65" s="8" t="s">
        <v>31</v>
      </c>
      <c r="I65" s="8" t="n">
        <f aca="false">IF(EXACT(G65,H65),1,0)</f>
        <v>0</v>
      </c>
      <c r="J65" s="8" t="n">
        <v>0</v>
      </c>
      <c r="K65" s="8" t="s">
        <v>116</v>
      </c>
      <c r="L65" s="8" t="n">
        <v>3</v>
      </c>
      <c r="M65" s="8" t="n">
        <v>0</v>
      </c>
      <c r="N65" s="8"/>
      <c r="O65" s="8" t="n">
        <v>1</v>
      </c>
      <c r="P65" s="10" t="n">
        <v>12.85</v>
      </c>
      <c r="Q65" s="8" t="n">
        <v>643</v>
      </c>
      <c r="R65" s="8" t="n">
        <v>752</v>
      </c>
      <c r="S65" s="8" t="s">
        <v>94</v>
      </c>
      <c r="T65" s="8" t="s">
        <v>175</v>
      </c>
      <c r="U65" s="8" t="s">
        <v>176</v>
      </c>
      <c r="V65" s="8"/>
      <c r="W65" s="8" t="s">
        <v>188</v>
      </c>
      <c r="X65" s="8" t="s">
        <v>189</v>
      </c>
      <c r="Y65" s="8" t="s">
        <v>2310</v>
      </c>
      <c r="Z65" s="8" t="s">
        <v>2311</v>
      </c>
    </row>
    <row r="66" customFormat="false" ht="15" hidden="false" customHeight="false" outlineLevel="0" collapsed="false">
      <c r="A66" s="8" t="s">
        <v>187</v>
      </c>
      <c r="B66" s="8" t="s">
        <v>19</v>
      </c>
      <c r="C66" s="8" t="s">
        <v>20</v>
      </c>
      <c r="D66" s="8" t="s">
        <v>615</v>
      </c>
      <c r="E66" s="8" t="s">
        <v>35</v>
      </c>
      <c r="F66" s="8" t="s">
        <v>56</v>
      </c>
      <c r="G66" s="8" t="s">
        <v>32</v>
      </c>
      <c r="H66" s="8" t="s">
        <v>31</v>
      </c>
      <c r="I66" s="8" t="n">
        <f aca="false">IF(EXACT(G66,H66),1,0)</f>
        <v>0</v>
      </c>
      <c r="J66" s="8" t="n">
        <v>1</v>
      </c>
      <c r="K66" s="8" t="s">
        <v>116</v>
      </c>
      <c r="L66" s="8" t="n">
        <v>2</v>
      </c>
      <c r="M66" s="8" t="n">
        <v>0</v>
      </c>
      <c r="N66" s="8"/>
      <c r="O66" s="8" t="n">
        <v>1</v>
      </c>
      <c r="P66" s="10" t="n">
        <v>11.44</v>
      </c>
      <c r="Q66" s="8" t="n">
        <v>643</v>
      </c>
      <c r="R66" s="8" t="n">
        <v>617</v>
      </c>
      <c r="S66" s="8" t="s">
        <v>94</v>
      </c>
      <c r="T66" s="8" t="s">
        <v>175</v>
      </c>
      <c r="U66" s="8" t="s">
        <v>176</v>
      </c>
      <c r="V66" s="8"/>
      <c r="W66" s="8" t="s">
        <v>188</v>
      </c>
      <c r="X66" s="8" t="s">
        <v>189</v>
      </c>
      <c r="Y66" s="8" t="s">
        <v>2312</v>
      </c>
      <c r="Z66" s="8" t="s">
        <v>2313</v>
      </c>
    </row>
    <row r="67" customFormat="false" ht="15" hidden="false" customHeight="false" outlineLevel="0" collapsed="false">
      <c r="A67" s="8" t="s">
        <v>187</v>
      </c>
      <c r="B67" s="8" t="s">
        <v>19</v>
      </c>
      <c r="C67" s="8" t="s">
        <v>20</v>
      </c>
      <c r="D67" s="8" t="s">
        <v>615</v>
      </c>
      <c r="E67" s="8" t="s">
        <v>35</v>
      </c>
      <c r="F67" s="8" t="s">
        <v>56</v>
      </c>
      <c r="G67" s="8" t="s">
        <v>32</v>
      </c>
      <c r="H67" s="8" t="s">
        <v>32</v>
      </c>
      <c r="I67" s="8" t="n">
        <f aca="false">IF(EXACT(G67,H67),1,0)</f>
        <v>1</v>
      </c>
      <c r="J67" s="8" t="n">
        <v>2</v>
      </c>
      <c r="K67" s="8" t="s">
        <v>92</v>
      </c>
      <c r="L67" s="8" t="n">
        <v>0</v>
      </c>
      <c r="M67" s="8" t="n">
        <v>0</v>
      </c>
      <c r="N67" s="8"/>
      <c r="O67" s="8" t="n">
        <v>1</v>
      </c>
      <c r="P67" s="10" t="n">
        <v>5.92</v>
      </c>
      <c r="Q67" s="8" t="n">
        <v>643</v>
      </c>
      <c r="R67" s="8" t="n">
        <v>231</v>
      </c>
      <c r="S67" s="8" t="s">
        <v>94</v>
      </c>
      <c r="T67" s="8" t="s">
        <v>175</v>
      </c>
      <c r="U67" s="8" t="s">
        <v>176</v>
      </c>
      <c r="V67" s="8"/>
      <c r="W67" s="8" t="s">
        <v>188</v>
      </c>
      <c r="X67" s="8" t="s">
        <v>189</v>
      </c>
      <c r="Y67" s="8" t="s">
        <v>2314</v>
      </c>
      <c r="Z67" s="8"/>
    </row>
    <row r="68" customFormat="false" ht="15" hidden="false" customHeight="false" outlineLevel="0" collapsed="false">
      <c r="A68" s="8" t="s">
        <v>191</v>
      </c>
      <c r="B68" s="8" t="s">
        <v>19</v>
      </c>
      <c r="C68" s="8" t="s">
        <v>20</v>
      </c>
      <c r="D68" s="8" t="s">
        <v>615</v>
      </c>
      <c r="E68" s="8" t="s">
        <v>35</v>
      </c>
      <c r="F68" s="8" t="s">
        <v>56</v>
      </c>
      <c r="G68" s="8" t="s">
        <v>31</v>
      </c>
      <c r="H68" s="8" t="s">
        <v>31</v>
      </c>
      <c r="I68" s="8" t="n">
        <f aca="false">IF(EXACT(G68,H68),1,0)</f>
        <v>1</v>
      </c>
      <c r="J68" s="8" t="n">
        <v>0</v>
      </c>
      <c r="K68" s="8" t="s">
        <v>116</v>
      </c>
      <c r="L68" s="8" t="n">
        <v>1</v>
      </c>
      <c r="M68" s="8" t="n">
        <v>0</v>
      </c>
      <c r="N68" s="8"/>
      <c r="O68" s="8" t="n">
        <v>1</v>
      </c>
      <c r="P68" s="10" t="n">
        <v>9.26</v>
      </c>
      <c r="Q68" s="8" t="n">
        <v>649</v>
      </c>
      <c r="R68" s="8" t="n">
        <v>409</v>
      </c>
      <c r="S68" s="8" t="s">
        <v>117</v>
      </c>
      <c r="T68" s="8" t="s">
        <v>175</v>
      </c>
      <c r="U68" s="8" t="s">
        <v>176</v>
      </c>
      <c r="V68" s="8"/>
      <c r="W68" s="8" t="s">
        <v>192</v>
      </c>
      <c r="X68" s="8" t="s">
        <v>193</v>
      </c>
      <c r="Y68" s="8" t="s">
        <v>2315</v>
      </c>
      <c r="Z68" s="8" t="s">
        <v>2316</v>
      </c>
    </row>
    <row r="69" customFormat="false" ht="15" hidden="false" customHeight="false" outlineLevel="0" collapsed="false">
      <c r="A69" s="8" t="s">
        <v>191</v>
      </c>
      <c r="B69" s="8" t="s">
        <v>19</v>
      </c>
      <c r="C69" s="8" t="s">
        <v>20</v>
      </c>
      <c r="D69" s="8" t="s">
        <v>615</v>
      </c>
      <c r="E69" s="8" t="s">
        <v>35</v>
      </c>
      <c r="F69" s="8" t="s">
        <v>56</v>
      </c>
      <c r="G69" s="8" t="s">
        <v>31</v>
      </c>
      <c r="H69" s="8" t="s">
        <v>31</v>
      </c>
      <c r="I69" s="8" t="n">
        <f aca="false">IF(EXACT(G69,H69),1,0)</f>
        <v>1</v>
      </c>
      <c r="J69" s="8" t="n">
        <v>1</v>
      </c>
      <c r="K69" s="8" t="s">
        <v>116</v>
      </c>
      <c r="L69" s="8" t="n">
        <v>1</v>
      </c>
      <c r="M69" s="8" t="n">
        <v>0</v>
      </c>
      <c r="N69" s="8"/>
      <c r="O69" s="8" t="n">
        <v>1</v>
      </c>
      <c r="P69" s="10" t="n">
        <v>9.41</v>
      </c>
      <c r="Q69" s="8" t="n">
        <v>649</v>
      </c>
      <c r="R69" s="8" t="n">
        <v>465</v>
      </c>
      <c r="S69" s="8" t="s">
        <v>117</v>
      </c>
      <c r="T69" s="8" t="s">
        <v>175</v>
      </c>
      <c r="U69" s="8" t="s">
        <v>176</v>
      </c>
      <c r="V69" s="8"/>
      <c r="W69" s="8" t="s">
        <v>192</v>
      </c>
      <c r="X69" s="8" t="s">
        <v>193</v>
      </c>
      <c r="Y69" s="8" t="s">
        <v>2317</v>
      </c>
      <c r="Z69" s="8" t="s">
        <v>2318</v>
      </c>
    </row>
    <row r="70" customFormat="false" ht="15" hidden="false" customHeight="false" outlineLevel="0" collapsed="false">
      <c r="A70" s="8" t="s">
        <v>191</v>
      </c>
      <c r="B70" s="8" t="s">
        <v>19</v>
      </c>
      <c r="C70" s="8" t="s">
        <v>20</v>
      </c>
      <c r="D70" s="8" t="s">
        <v>615</v>
      </c>
      <c r="E70" s="8" t="s">
        <v>35</v>
      </c>
      <c r="F70" s="8" t="s">
        <v>56</v>
      </c>
      <c r="G70" s="8" t="s">
        <v>31</v>
      </c>
      <c r="H70" s="8" t="s">
        <v>31</v>
      </c>
      <c r="I70" s="8" t="n">
        <f aca="false">IF(EXACT(G70,H70),1,0)</f>
        <v>1</v>
      </c>
      <c r="J70" s="8" t="n">
        <v>2</v>
      </c>
      <c r="K70" s="8" t="s">
        <v>116</v>
      </c>
      <c r="L70" s="8" t="n">
        <v>1</v>
      </c>
      <c r="M70" s="8" t="n">
        <v>0</v>
      </c>
      <c r="N70" s="8"/>
      <c r="O70" s="8" t="n">
        <v>1</v>
      </c>
      <c r="P70" s="10" t="n">
        <v>7.98</v>
      </c>
      <c r="Q70" s="8" t="n">
        <v>649</v>
      </c>
      <c r="R70" s="8" t="n">
        <v>395</v>
      </c>
      <c r="S70" s="8" t="s">
        <v>117</v>
      </c>
      <c r="T70" s="8" t="s">
        <v>175</v>
      </c>
      <c r="U70" s="8" t="s">
        <v>176</v>
      </c>
      <c r="V70" s="8"/>
      <c r="W70" s="8" t="s">
        <v>192</v>
      </c>
      <c r="X70" s="8" t="s">
        <v>193</v>
      </c>
      <c r="Y70" s="8" t="s">
        <v>2319</v>
      </c>
      <c r="Z70" s="8" t="s">
        <v>2320</v>
      </c>
    </row>
    <row r="71" customFormat="false" ht="15" hidden="false" customHeight="false" outlineLevel="0" collapsed="false">
      <c r="A71" s="8" t="s">
        <v>194</v>
      </c>
      <c r="B71" s="8" t="s">
        <v>19</v>
      </c>
      <c r="C71" s="8" t="s">
        <v>20</v>
      </c>
      <c r="D71" s="8" t="s">
        <v>615</v>
      </c>
      <c r="E71" s="8" t="s">
        <v>35</v>
      </c>
      <c r="F71" s="8" t="s">
        <v>56</v>
      </c>
      <c r="G71" s="8" t="s">
        <v>31</v>
      </c>
      <c r="H71" s="8" t="s">
        <v>31</v>
      </c>
      <c r="I71" s="8" t="n">
        <f aca="false">IF(EXACT(G71,H71),1,0)</f>
        <v>1</v>
      </c>
      <c r="J71" s="8" t="n">
        <v>0</v>
      </c>
      <c r="K71" s="8" t="s">
        <v>116</v>
      </c>
      <c r="L71" s="8" t="n">
        <v>1</v>
      </c>
      <c r="M71" s="8" t="n">
        <v>0</v>
      </c>
      <c r="N71" s="8"/>
      <c r="O71" s="8" t="n">
        <v>1</v>
      </c>
      <c r="P71" s="10" t="n">
        <v>9.84</v>
      </c>
      <c r="Q71" s="8" t="n">
        <v>731</v>
      </c>
      <c r="R71" s="8" t="n">
        <v>475</v>
      </c>
      <c r="S71" s="8" t="s">
        <v>195</v>
      </c>
      <c r="T71" s="8"/>
      <c r="U71" s="8"/>
      <c r="V71" s="8" t="s">
        <v>155</v>
      </c>
      <c r="W71" s="8"/>
      <c r="X71" s="8" t="s">
        <v>196</v>
      </c>
      <c r="Y71" s="8" t="s">
        <v>2321</v>
      </c>
      <c r="Z71" s="8" t="s">
        <v>2322</v>
      </c>
    </row>
    <row r="72" customFormat="false" ht="15" hidden="false" customHeight="false" outlineLevel="0" collapsed="false">
      <c r="A72" s="8" t="s">
        <v>194</v>
      </c>
      <c r="B72" s="8" t="s">
        <v>19</v>
      </c>
      <c r="C72" s="8" t="s">
        <v>20</v>
      </c>
      <c r="D72" s="8" t="s">
        <v>615</v>
      </c>
      <c r="E72" s="8" t="s">
        <v>35</v>
      </c>
      <c r="F72" s="8" t="s">
        <v>56</v>
      </c>
      <c r="G72" s="8" t="s">
        <v>31</v>
      </c>
      <c r="H72" s="8" t="s">
        <v>31</v>
      </c>
      <c r="I72" s="8" t="n">
        <f aca="false">IF(EXACT(G72,H72),1,0)</f>
        <v>1</v>
      </c>
      <c r="J72" s="8" t="n">
        <v>1</v>
      </c>
      <c r="K72" s="8" t="s">
        <v>116</v>
      </c>
      <c r="L72" s="8" t="n">
        <v>1</v>
      </c>
      <c r="M72" s="8" t="n">
        <v>0</v>
      </c>
      <c r="N72" s="8"/>
      <c r="O72" s="8" t="n">
        <v>1</v>
      </c>
      <c r="P72" s="10" t="n">
        <v>8.8</v>
      </c>
      <c r="Q72" s="8" t="n">
        <v>731</v>
      </c>
      <c r="R72" s="8" t="n">
        <v>434</v>
      </c>
      <c r="S72" s="8" t="s">
        <v>195</v>
      </c>
      <c r="T72" s="8"/>
      <c r="U72" s="8"/>
      <c r="V72" s="8" t="s">
        <v>155</v>
      </c>
      <c r="W72" s="8"/>
      <c r="X72" s="8" t="s">
        <v>196</v>
      </c>
      <c r="Y72" s="8" t="s">
        <v>2323</v>
      </c>
      <c r="Z72" s="8" t="s">
        <v>2324</v>
      </c>
    </row>
    <row r="73" customFormat="false" ht="15" hidden="false" customHeight="false" outlineLevel="0" collapsed="false">
      <c r="A73" s="8" t="s">
        <v>194</v>
      </c>
      <c r="B73" s="8" t="s">
        <v>19</v>
      </c>
      <c r="C73" s="8" t="s">
        <v>20</v>
      </c>
      <c r="D73" s="8" t="s">
        <v>615</v>
      </c>
      <c r="E73" s="8" t="s">
        <v>35</v>
      </c>
      <c r="F73" s="8" t="s">
        <v>56</v>
      </c>
      <c r="G73" s="8" t="s">
        <v>31</v>
      </c>
      <c r="H73" s="8" t="s">
        <v>31</v>
      </c>
      <c r="I73" s="8" t="n">
        <f aca="false">IF(EXACT(G73,H73),1,0)</f>
        <v>1</v>
      </c>
      <c r="J73" s="8" t="n">
        <v>2</v>
      </c>
      <c r="K73" s="8" t="s">
        <v>116</v>
      </c>
      <c r="L73" s="8" t="n">
        <v>1</v>
      </c>
      <c r="M73" s="8" t="n">
        <v>0</v>
      </c>
      <c r="N73" s="8"/>
      <c r="O73" s="8" t="n">
        <v>1</v>
      </c>
      <c r="P73" s="10" t="n">
        <v>9.54</v>
      </c>
      <c r="Q73" s="8" t="n">
        <v>731</v>
      </c>
      <c r="R73" s="8" t="n">
        <v>446</v>
      </c>
      <c r="S73" s="8" t="s">
        <v>195</v>
      </c>
      <c r="T73" s="8"/>
      <c r="U73" s="8"/>
      <c r="V73" s="8" t="s">
        <v>155</v>
      </c>
      <c r="W73" s="8"/>
      <c r="X73" s="8" t="s">
        <v>196</v>
      </c>
      <c r="Y73" s="8" t="s">
        <v>2325</v>
      </c>
      <c r="Z73" s="8" t="s">
        <v>2326</v>
      </c>
    </row>
    <row r="74" customFormat="false" ht="15" hidden="false" customHeight="false" outlineLevel="0" collapsed="false">
      <c r="A74" s="8" t="s">
        <v>197</v>
      </c>
      <c r="B74" s="8" t="s">
        <v>19</v>
      </c>
      <c r="C74" s="8" t="s">
        <v>20</v>
      </c>
      <c r="D74" s="8" t="s">
        <v>615</v>
      </c>
      <c r="E74" s="8" t="s">
        <v>35</v>
      </c>
      <c r="F74" s="8" t="s">
        <v>58</v>
      </c>
      <c r="G74" s="8" t="s">
        <v>31</v>
      </c>
      <c r="H74" s="8" t="s">
        <v>31</v>
      </c>
      <c r="I74" s="8" t="n">
        <f aca="false">IF(EXACT(G74,H74),1,0)</f>
        <v>1</v>
      </c>
      <c r="J74" s="8" t="n">
        <v>0</v>
      </c>
      <c r="K74" s="8" t="s">
        <v>116</v>
      </c>
      <c r="L74" s="8" t="n">
        <v>1</v>
      </c>
      <c r="M74" s="8" t="n">
        <v>0</v>
      </c>
      <c r="N74" s="8"/>
      <c r="O74" s="8" t="n">
        <v>1</v>
      </c>
      <c r="P74" s="10" t="n">
        <v>10.58</v>
      </c>
      <c r="Q74" s="8" t="n">
        <v>770</v>
      </c>
      <c r="R74" s="8" t="n">
        <v>450</v>
      </c>
      <c r="S74" s="8" t="s">
        <v>198</v>
      </c>
      <c r="T74" s="8"/>
      <c r="U74" s="8"/>
      <c r="V74" s="8" t="s">
        <v>155</v>
      </c>
      <c r="W74" s="8"/>
      <c r="X74" s="8" t="s">
        <v>199</v>
      </c>
      <c r="Y74" s="8" t="s">
        <v>2327</v>
      </c>
      <c r="Z74" s="8" t="s">
        <v>2328</v>
      </c>
    </row>
    <row r="75" customFormat="false" ht="15" hidden="false" customHeight="false" outlineLevel="0" collapsed="false">
      <c r="A75" s="8" t="s">
        <v>197</v>
      </c>
      <c r="B75" s="8" t="s">
        <v>19</v>
      </c>
      <c r="C75" s="8" t="s">
        <v>20</v>
      </c>
      <c r="D75" s="8" t="s">
        <v>615</v>
      </c>
      <c r="E75" s="8" t="s">
        <v>35</v>
      </c>
      <c r="F75" s="8" t="s">
        <v>58</v>
      </c>
      <c r="G75" s="8" t="s">
        <v>31</v>
      </c>
      <c r="H75" s="8" t="s">
        <v>31</v>
      </c>
      <c r="I75" s="8" t="n">
        <f aca="false">IF(EXACT(G75,H75),1,0)</f>
        <v>1</v>
      </c>
      <c r="J75" s="8" t="n">
        <v>1</v>
      </c>
      <c r="K75" s="8" t="s">
        <v>116</v>
      </c>
      <c r="L75" s="8" t="n">
        <v>1</v>
      </c>
      <c r="M75" s="8" t="n">
        <v>0</v>
      </c>
      <c r="N75" s="8"/>
      <c r="O75" s="8" t="n">
        <v>1</v>
      </c>
      <c r="P75" s="10" t="n">
        <v>10.12</v>
      </c>
      <c r="Q75" s="8" t="n">
        <v>770</v>
      </c>
      <c r="R75" s="8" t="n">
        <v>451</v>
      </c>
      <c r="S75" s="8" t="s">
        <v>198</v>
      </c>
      <c r="T75" s="8"/>
      <c r="U75" s="8"/>
      <c r="V75" s="8" t="s">
        <v>155</v>
      </c>
      <c r="W75" s="8"/>
      <c r="X75" s="8" t="s">
        <v>199</v>
      </c>
      <c r="Y75" s="8" t="s">
        <v>2329</v>
      </c>
      <c r="Z75" s="8" t="s">
        <v>2330</v>
      </c>
    </row>
    <row r="76" customFormat="false" ht="15" hidden="false" customHeight="false" outlineLevel="0" collapsed="false">
      <c r="A76" s="8" t="s">
        <v>197</v>
      </c>
      <c r="B76" s="8" t="s">
        <v>19</v>
      </c>
      <c r="C76" s="8" t="s">
        <v>20</v>
      </c>
      <c r="D76" s="8" t="s">
        <v>615</v>
      </c>
      <c r="E76" s="8" t="s">
        <v>35</v>
      </c>
      <c r="F76" s="8" t="s">
        <v>58</v>
      </c>
      <c r="G76" s="8" t="s">
        <v>31</v>
      </c>
      <c r="H76" s="8" t="s">
        <v>31</v>
      </c>
      <c r="I76" s="8" t="n">
        <f aca="false">IF(EXACT(G76,H76),1,0)</f>
        <v>1</v>
      </c>
      <c r="J76" s="8" t="n">
        <v>2</v>
      </c>
      <c r="K76" s="8" t="s">
        <v>116</v>
      </c>
      <c r="L76" s="8" t="n">
        <v>1</v>
      </c>
      <c r="M76" s="8" t="n">
        <v>0</v>
      </c>
      <c r="N76" s="8"/>
      <c r="O76" s="8" t="n">
        <v>1</v>
      </c>
      <c r="P76" s="10" t="n">
        <v>7.97</v>
      </c>
      <c r="Q76" s="8" t="n">
        <v>770</v>
      </c>
      <c r="R76" s="8" t="n">
        <v>390</v>
      </c>
      <c r="S76" s="8" t="s">
        <v>198</v>
      </c>
      <c r="T76" s="8"/>
      <c r="U76" s="8"/>
      <c r="V76" s="8" t="s">
        <v>155</v>
      </c>
      <c r="W76" s="8"/>
      <c r="X76" s="8" t="s">
        <v>199</v>
      </c>
      <c r="Y76" s="8" t="s">
        <v>2331</v>
      </c>
      <c r="Z76" s="8" t="s">
        <v>2332</v>
      </c>
    </row>
    <row r="77" customFormat="false" ht="15" hidden="false" customHeight="false" outlineLevel="0" collapsed="false">
      <c r="A77" s="8" t="s">
        <v>200</v>
      </c>
      <c r="B77" s="8" t="s">
        <v>19</v>
      </c>
      <c r="C77" s="8" t="s">
        <v>20</v>
      </c>
      <c r="D77" s="8" t="s">
        <v>615</v>
      </c>
      <c r="E77" s="8" t="s">
        <v>35</v>
      </c>
      <c r="F77" s="8" t="s">
        <v>58</v>
      </c>
      <c r="G77" s="8" t="s">
        <v>31</v>
      </c>
      <c r="H77" s="8" t="s">
        <v>31</v>
      </c>
      <c r="I77" s="8" t="n">
        <f aca="false">IF(EXACT(G77,H77),1,0)</f>
        <v>1</v>
      </c>
      <c r="J77" s="8" t="n">
        <v>0</v>
      </c>
      <c r="K77" s="8" t="s">
        <v>2333</v>
      </c>
      <c r="L77" s="8" t="n">
        <v>1</v>
      </c>
      <c r="M77" s="8" t="n">
        <v>0</v>
      </c>
      <c r="N77" s="8"/>
      <c r="O77" s="8" t="n">
        <v>1</v>
      </c>
      <c r="P77" s="10" t="n">
        <v>9.49</v>
      </c>
      <c r="Q77" s="8" t="n">
        <v>690</v>
      </c>
      <c r="R77" s="8" t="n">
        <v>434</v>
      </c>
      <c r="S77" s="8" t="s">
        <v>201</v>
      </c>
      <c r="T77" s="8"/>
      <c r="U77" s="8"/>
      <c r="V77" s="8" t="s">
        <v>155</v>
      </c>
      <c r="W77" s="8"/>
      <c r="X77" s="8" t="s">
        <v>202</v>
      </c>
      <c r="Y77" s="8" t="s">
        <v>2334</v>
      </c>
      <c r="Z77" s="8" t="s">
        <v>2335</v>
      </c>
    </row>
    <row r="78" customFormat="false" ht="15" hidden="false" customHeight="false" outlineLevel="0" collapsed="false">
      <c r="A78" s="8" t="s">
        <v>200</v>
      </c>
      <c r="B78" s="8" t="s">
        <v>19</v>
      </c>
      <c r="C78" s="8" t="s">
        <v>20</v>
      </c>
      <c r="D78" s="8" t="s">
        <v>615</v>
      </c>
      <c r="E78" s="8" t="s">
        <v>35</v>
      </c>
      <c r="F78" s="8" t="s">
        <v>58</v>
      </c>
      <c r="G78" s="8" t="s">
        <v>31</v>
      </c>
      <c r="H78" s="8" t="s">
        <v>31</v>
      </c>
      <c r="I78" s="8" t="n">
        <f aca="false">IF(EXACT(G78,H78),1,0)</f>
        <v>1</v>
      </c>
      <c r="J78" s="8" t="n">
        <v>1</v>
      </c>
      <c r="K78" s="8" t="s">
        <v>2333</v>
      </c>
      <c r="L78" s="8" t="n">
        <v>1</v>
      </c>
      <c r="M78" s="8" t="n">
        <v>0</v>
      </c>
      <c r="N78" s="8"/>
      <c r="O78" s="8" t="n">
        <v>1</v>
      </c>
      <c r="P78" s="10" t="n">
        <v>8.19</v>
      </c>
      <c r="Q78" s="8" t="n">
        <v>690</v>
      </c>
      <c r="R78" s="8" t="n">
        <v>398</v>
      </c>
      <c r="S78" s="8" t="s">
        <v>201</v>
      </c>
      <c r="T78" s="8"/>
      <c r="U78" s="8"/>
      <c r="V78" s="8" t="s">
        <v>155</v>
      </c>
      <c r="W78" s="8"/>
      <c r="X78" s="8" t="s">
        <v>202</v>
      </c>
      <c r="Y78" s="8" t="s">
        <v>2336</v>
      </c>
      <c r="Z78" s="8" t="s">
        <v>2337</v>
      </c>
    </row>
    <row r="79" customFormat="false" ht="15" hidden="false" customHeight="false" outlineLevel="0" collapsed="false">
      <c r="A79" s="8" t="s">
        <v>200</v>
      </c>
      <c r="B79" s="8" t="s">
        <v>19</v>
      </c>
      <c r="C79" s="8" t="s">
        <v>20</v>
      </c>
      <c r="D79" s="8" t="s">
        <v>615</v>
      </c>
      <c r="E79" s="8" t="s">
        <v>35</v>
      </c>
      <c r="F79" s="8" t="s">
        <v>58</v>
      </c>
      <c r="G79" s="8" t="s">
        <v>31</v>
      </c>
      <c r="H79" s="8" t="s">
        <v>31</v>
      </c>
      <c r="I79" s="8" t="n">
        <f aca="false">IF(EXACT(G79,H79),1,0)</f>
        <v>1</v>
      </c>
      <c r="J79" s="8" t="n">
        <v>2</v>
      </c>
      <c r="K79" s="8" t="s">
        <v>2333</v>
      </c>
      <c r="L79" s="8" t="n">
        <v>1</v>
      </c>
      <c r="M79" s="8" t="n">
        <v>0</v>
      </c>
      <c r="N79" s="8"/>
      <c r="O79" s="8" t="n">
        <v>1</v>
      </c>
      <c r="P79" s="10" t="n">
        <v>8.56</v>
      </c>
      <c r="Q79" s="8" t="n">
        <v>690</v>
      </c>
      <c r="R79" s="8" t="n">
        <v>406</v>
      </c>
      <c r="S79" s="8" t="s">
        <v>201</v>
      </c>
      <c r="T79" s="8"/>
      <c r="U79" s="8"/>
      <c r="V79" s="8" t="s">
        <v>155</v>
      </c>
      <c r="W79" s="8"/>
      <c r="X79" s="8" t="s">
        <v>202</v>
      </c>
      <c r="Y79" s="8" t="s">
        <v>2338</v>
      </c>
      <c r="Z79" s="8" t="s">
        <v>2339</v>
      </c>
    </row>
    <row r="80" customFormat="false" ht="15" hidden="false" customHeight="false" outlineLevel="0" collapsed="false">
      <c r="A80" s="8" t="s">
        <v>203</v>
      </c>
      <c r="B80" s="8" t="s">
        <v>19</v>
      </c>
      <c r="C80" s="8" t="s">
        <v>20</v>
      </c>
      <c r="D80" s="8" t="s">
        <v>615</v>
      </c>
      <c r="E80" s="8" t="s">
        <v>35</v>
      </c>
      <c r="F80" s="8" t="s">
        <v>58</v>
      </c>
      <c r="G80" s="8" t="s">
        <v>32</v>
      </c>
      <c r="H80" s="8" t="s">
        <v>30</v>
      </c>
      <c r="I80" s="8" t="n">
        <f aca="false">IF(EXACT(G80,H80),1,0)</f>
        <v>0</v>
      </c>
      <c r="J80" s="8" t="n">
        <v>0</v>
      </c>
      <c r="K80" s="8" t="s">
        <v>92</v>
      </c>
      <c r="L80" s="8" t="n">
        <v>0</v>
      </c>
      <c r="M80" s="8" t="n">
        <v>0</v>
      </c>
      <c r="N80" s="8"/>
      <c r="O80" s="8" t="n">
        <v>1</v>
      </c>
      <c r="P80" s="10" t="n">
        <v>5.87</v>
      </c>
      <c r="Q80" s="8" t="n">
        <v>641</v>
      </c>
      <c r="R80" s="8" t="n">
        <v>200</v>
      </c>
      <c r="S80" s="8" t="s">
        <v>204</v>
      </c>
      <c r="T80" s="8"/>
      <c r="U80" s="8"/>
      <c r="V80" s="8" t="s">
        <v>155</v>
      </c>
      <c r="W80" s="8"/>
      <c r="X80" s="8" t="s">
        <v>205</v>
      </c>
      <c r="Y80" s="8" t="s">
        <v>2340</v>
      </c>
      <c r="Z80" s="8"/>
    </row>
    <row r="81" customFormat="false" ht="15" hidden="false" customHeight="false" outlineLevel="0" collapsed="false">
      <c r="A81" s="8" t="s">
        <v>203</v>
      </c>
      <c r="B81" s="8" t="s">
        <v>19</v>
      </c>
      <c r="C81" s="8" t="s">
        <v>20</v>
      </c>
      <c r="D81" s="8" t="s">
        <v>615</v>
      </c>
      <c r="E81" s="8" t="s">
        <v>35</v>
      </c>
      <c r="F81" s="8" t="s">
        <v>58</v>
      </c>
      <c r="G81" s="8" t="s">
        <v>32</v>
      </c>
      <c r="H81" s="8" t="s">
        <v>30</v>
      </c>
      <c r="I81" s="8" t="n">
        <f aca="false">IF(EXACT(G81,H81),1,0)</f>
        <v>0</v>
      </c>
      <c r="J81" s="8" t="n">
        <v>1</v>
      </c>
      <c r="K81" s="8" t="s">
        <v>92</v>
      </c>
      <c r="L81" s="8" t="n">
        <v>0</v>
      </c>
      <c r="M81" s="8" t="n">
        <v>0</v>
      </c>
      <c r="N81" s="8"/>
      <c r="O81" s="8" t="n">
        <v>1</v>
      </c>
      <c r="P81" s="10" t="n">
        <v>5.7</v>
      </c>
      <c r="Q81" s="8" t="n">
        <v>641</v>
      </c>
      <c r="R81" s="8" t="n">
        <v>217</v>
      </c>
      <c r="S81" s="8" t="s">
        <v>204</v>
      </c>
      <c r="T81" s="8"/>
      <c r="U81" s="8"/>
      <c r="V81" s="8" t="s">
        <v>155</v>
      </c>
      <c r="W81" s="8"/>
      <c r="X81" s="8" t="s">
        <v>205</v>
      </c>
      <c r="Y81" s="8" t="s">
        <v>2341</v>
      </c>
      <c r="Z81" s="8"/>
    </row>
    <row r="82" customFormat="false" ht="15" hidden="false" customHeight="false" outlineLevel="0" collapsed="false">
      <c r="A82" s="8" t="s">
        <v>203</v>
      </c>
      <c r="B82" s="8" t="s">
        <v>19</v>
      </c>
      <c r="C82" s="8" t="s">
        <v>20</v>
      </c>
      <c r="D82" s="8" t="s">
        <v>615</v>
      </c>
      <c r="E82" s="8" t="s">
        <v>35</v>
      </c>
      <c r="F82" s="8" t="s">
        <v>58</v>
      </c>
      <c r="G82" s="8" t="s">
        <v>32</v>
      </c>
      <c r="H82" s="8" t="s">
        <v>30</v>
      </c>
      <c r="I82" s="8" t="n">
        <f aca="false">IF(EXACT(G82,H82),1,0)</f>
        <v>0</v>
      </c>
      <c r="J82" s="8" t="n">
        <v>2</v>
      </c>
      <c r="K82" s="8" t="s">
        <v>92</v>
      </c>
      <c r="L82" s="8" t="n">
        <v>0</v>
      </c>
      <c r="M82" s="8" t="n">
        <v>0</v>
      </c>
      <c r="N82" s="8"/>
      <c r="O82" s="8" t="n">
        <v>1</v>
      </c>
      <c r="P82" s="10" t="n">
        <v>6.29</v>
      </c>
      <c r="Q82" s="8" t="n">
        <v>641</v>
      </c>
      <c r="R82" s="8" t="n">
        <v>237</v>
      </c>
      <c r="S82" s="8" t="s">
        <v>204</v>
      </c>
      <c r="T82" s="8"/>
      <c r="U82" s="8"/>
      <c r="V82" s="8" t="s">
        <v>155</v>
      </c>
      <c r="W82" s="8"/>
      <c r="X82" s="8" t="s">
        <v>205</v>
      </c>
      <c r="Y82" s="8" t="s">
        <v>2342</v>
      </c>
      <c r="Z82" s="8"/>
    </row>
    <row r="83" customFormat="false" ht="15" hidden="false" customHeight="false" outlineLevel="0" collapsed="false">
      <c r="A83" s="8" t="s">
        <v>206</v>
      </c>
      <c r="B83" s="8" t="s">
        <v>19</v>
      </c>
      <c r="C83" s="8" t="s">
        <v>20</v>
      </c>
      <c r="D83" s="8" t="s">
        <v>615</v>
      </c>
      <c r="E83" s="8" t="s">
        <v>35</v>
      </c>
      <c r="F83" s="8" t="s">
        <v>58</v>
      </c>
      <c r="G83" s="8" t="s">
        <v>32</v>
      </c>
      <c r="H83" s="8" t="s">
        <v>32</v>
      </c>
      <c r="I83" s="8" t="n">
        <f aca="false">IF(EXACT(G83,H83),1,0)</f>
        <v>1</v>
      </c>
      <c r="J83" s="8" t="n">
        <v>0</v>
      </c>
      <c r="K83" s="8" t="s">
        <v>92</v>
      </c>
      <c r="L83" s="8" t="n">
        <v>0</v>
      </c>
      <c r="M83" s="8" t="n">
        <v>0</v>
      </c>
      <c r="N83" s="8"/>
      <c r="O83" s="8" t="n">
        <v>1</v>
      </c>
      <c r="P83" s="10" t="n">
        <v>4.88</v>
      </c>
      <c r="Q83" s="8" t="n">
        <v>632</v>
      </c>
      <c r="R83" s="8" t="n">
        <v>199</v>
      </c>
      <c r="S83" s="8" t="s">
        <v>207</v>
      </c>
      <c r="T83" s="8"/>
      <c r="U83" s="8"/>
      <c r="V83" s="8" t="s">
        <v>155</v>
      </c>
      <c r="W83" s="8"/>
      <c r="X83" s="8" t="s">
        <v>208</v>
      </c>
      <c r="Y83" s="8" t="s">
        <v>2343</v>
      </c>
      <c r="Z83" s="8"/>
    </row>
    <row r="84" customFormat="false" ht="15" hidden="false" customHeight="false" outlineLevel="0" collapsed="false">
      <c r="A84" s="8" t="s">
        <v>206</v>
      </c>
      <c r="B84" s="8" t="s">
        <v>19</v>
      </c>
      <c r="C84" s="8" t="s">
        <v>20</v>
      </c>
      <c r="D84" s="8" t="s">
        <v>615</v>
      </c>
      <c r="E84" s="8" t="s">
        <v>35</v>
      </c>
      <c r="F84" s="8" t="s">
        <v>58</v>
      </c>
      <c r="G84" s="8" t="s">
        <v>32</v>
      </c>
      <c r="H84" s="8" t="s">
        <v>32</v>
      </c>
      <c r="I84" s="8" t="n">
        <f aca="false">IF(EXACT(G84,H84),1,0)</f>
        <v>1</v>
      </c>
      <c r="J84" s="8" t="n">
        <v>1</v>
      </c>
      <c r="K84" s="8" t="s">
        <v>92</v>
      </c>
      <c r="L84" s="8" t="n">
        <v>0</v>
      </c>
      <c r="M84" s="8" t="n">
        <v>0</v>
      </c>
      <c r="N84" s="8"/>
      <c r="O84" s="8" t="n">
        <v>1</v>
      </c>
      <c r="P84" s="10" t="n">
        <v>4.42</v>
      </c>
      <c r="Q84" s="8" t="n">
        <v>632</v>
      </c>
      <c r="R84" s="8" t="n">
        <v>195</v>
      </c>
      <c r="S84" s="8" t="s">
        <v>207</v>
      </c>
      <c r="T84" s="8"/>
      <c r="U84" s="8"/>
      <c r="V84" s="8" t="s">
        <v>155</v>
      </c>
      <c r="W84" s="8"/>
      <c r="X84" s="8" t="s">
        <v>208</v>
      </c>
      <c r="Y84" s="8" t="s">
        <v>2344</v>
      </c>
      <c r="Z84" s="8"/>
    </row>
    <row r="85" customFormat="false" ht="15" hidden="false" customHeight="false" outlineLevel="0" collapsed="false">
      <c r="A85" s="8" t="s">
        <v>206</v>
      </c>
      <c r="B85" s="8" t="s">
        <v>19</v>
      </c>
      <c r="C85" s="8" t="s">
        <v>20</v>
      </c>
      <c r="D85" s="8" t="s">
        <v>615</v>
      </c>
      <c r="E85" s="8" t="s">
        <v>35</v>
      </c>
      <c r="F85" s="8" t="s">
        <v>58</v>
      </c>
      <c r="G85" s="8" t="s">
        <v>32</v>
      </c>
      <c r="H85" s="8" t="s">
        <v>32</v>
      </c>
      <c r="I85" s="8" t="n">
        <f aca="false">IF(EXACT(G85,H85),1,0)</f>
        <v>1</v>
      </c>
      <c r="J85" s="8" t="n">
        <v>2</v>
      </c>
      <c r="K85" s="8" t="s">
        <v>92</v>
      </c>
      <c r="L85" s="8" t="n">
        <v>0</v>
      </c>
      <c r="M85" s="8" t="n">
        <v>0</v>
      </c>
      <c r="N85" s="8"/>
      <c r="O85" s="8" t="n">
        <v>1</v>
      </c>
      <c r="P85" s="10" t="n">
        <v>4.98</v>
      </c>
      <c r="Q85" s="8" t="n">
        <v>632</v>
      </c>
      <c r="R85" s="8" t="n">
        <v>245</v>
      </c>
      <c r="S85" s="8" t="s">
        <v>207</v>
      </c>
      <c r="T85" s="8"/>
      <c r="U85" s="8"/>
      <c r="V85" s="8" t="s">
        <v>155</v>
      </c>
      <c r="W85" s="8"/>
      <c r="X85" s="8" t="s">
        <v>208</v>
      </c>
      <c r="Y85" s="8" t="s">
        <v>2345</v>
      </c>
      <c r="Z85" s="8"/>
    </row>
    <row r="86" customFormat="false" ht="15" hidden="false" customHeight="false" outlineLevel="0" collapsed="false">
      <c r="A86" s="8" t="s">
        <v>209</v>
      </c>
      <c r="B86" s="8" t="s">
        <v>19</v>
      </c>
      <c r="C86" s="8" t="s">
        <v>20</v>
      </c>
      <c r="D86" s="8" t="s">
        <v>615</v>
      </c>
      <c r="E86" s="8" t="s">
        <v>35</v>
      </c>
      <c r="F86" s="8" t="s">
        <v>58</v>
      </c>
      <c r="G86" s="8" t="s">
        <v>30</v>
      </c>
      <c r="H86" s="8" t="s">
        <v>30</v>
      </c>
      <c r="I86" s="8" t="n">
        <f aca="false">IF(EXACT(G86,H86),1,0)</f>
        <v>1</v>
      </c>
      <c r="J86" s="8" t="n">
        <v>0</v>
      </c>
      <c r="K86" s="8" t="s">
        <v>92</v>
      </c>
      <c r="L86" s="8" t="n">
        <v>0</v>
      </c>
      <c r="M86" s="8" t="n">
        <v>0</v>
      </c>
      <c r="N86" s="8"/>
      <c r="O86" s="8" t="n">
        <v>1</v>
      </c>
      <c r="P86" s="10" t="n">
        <v>5.51</v>
      </c>
      <c r="Q86" s="8" t="n">
        <v>697</v>
      </c>
      <c r="R86" s="8" t="n">
        <v>233</v>
      </c>
      <c r="S86" s="8" t="s">
        <v>210</v>
      </c>
      <c r="T86" s="8"/>
      <c r="U86" s="8"/>
      <c r="V86" s="8" t="s">
        <v>155</v>
      </c>
      <c r="W86" s="8"/>
      <c r="X86" s="8" t="s">
        <v>211</v>
      </c>
      <c r="Y86" s="8" t="s">
        <v>2346</v>
      </c>
      <c r="Z86" s="8"/>
    </row>
    <row r="87" customFormat="false" ht="15" hidden="false" customHeight="false" outlineLevel="0" collapsed="false">
      <c r="A87" s="8" t="s">
        <v>209</v>
      </c>
      <c r="B87" s="8" t="s">
        <v>19</v>
      </c>
      <c r="C87" s="8" t="s">
        <v>20</v>
      </c>
      <c r="D87" s="8" t="s">
        <v>615</v>
      </c>
      <c r="E87" s="8" t="s">
        <v>35</v>
      </c>
      <c r="F87" s="8" t="s">
        <v>58</v>
      </c>
      <c r="G87" s="8" t="s">
        <v>30</v>
      </c>
      <c r="H87" s="8" t="s">
        <v>30</v>
      </c>
      <c r="I87" s="8" t="n">
        <f aca="false">IF(EXACT(G87,H87),1,0)</f>
        <v>1</v>
      </c>
      <c r="J87" s="8" t="n">
        <v>1</v>
      </c>
      <c r="K87" s="8" t="s">
        <v>92</v>
      </c>
      <c r="L87" s="8" t="n">
        <v>0</v>
      </c>
      <c r="M87" s="8" t="n">
        <v>0</v>
      </c>
      <c r="N87" s="8"/>
      <c r="O87" s="8" t="n">
        <v>1</v>
      </c>
      <c r="P87" s="10" t="n">
        <v>5.93</v>
      </c>
      <c r="Q87" s="8" t="n">
        <v>697</v>
      </c>
      <c r="R87" s="8" t="n">
        <v>233</v>
      </c>
      <c r="S87" s="8" t="s">
        <v>210</v>
      </c>
      <c r="T87" s="8"/>
      <c r="U87" s="8"/>
      <c r="V87" s="8" t="s">
        <v>155</v>
      </c>
      <c r="W87" s="8"/>
      <c r="X87" s="8" t="s">
        <v>211</v>
      </c>
      <c r="Y87" s="8" t="s">
        <v>2346</v>
      </c>
      <c r="Z87" s="8"/>
    </row>
    <row r="88" customFormat="false" ht="15" hidden="false" customHeight="false" outlineLevel="0" collapsed="false">
      <c r="A88" s="8" t="s">
        <v>209</v>
      </c>
      <c r="B88" s="8" t="s">
        <v>19</v>
      </c>
      <c r="C88" s="8" t="s">
        <v>20</v>
      </c>
      <c r="D88" s="8" t="s">
        <v>615</v>
      </c>
      <c r="E88" s="8" t="s">
        <v>35</v>
      </c>
      <c r="F88" s="8" t="s">
        <v>58</v>
      </c>
      <c r="G88" s="8" t="s">
        <v>30</v>
      </c>
      <c r="H88" s="8" t="s">
        <v>30</v>
      </c>
      <c r="I88" s="8" t="n">
        <f aca="false">IF(EXACT(G88,H88),1,0)</f>
        <v>1</v>
      </c>
      <c r="J88" s="8" t="n">
        <v>2</v>
      </c>
      <c r="K88" s="8" t="s">
        <v>92</v>
      </c>
      <c r="L88" s="8" t="n">
        <v>0</v>
      </c>
      <c r="M88" s="8" t="n">
        <v>0</v>
      </c>
      <c r="N88" s="8"/>
      <c r="O88" s="8" t="n">
        <v>1</v>
      </c>
      <c r="P88" s="10" t="n">
        <v>5.26</v>
      </c>
      <c r="Q88" s="8" t="n">
        <v>697</v>
      </c>
      <c r="R88" s="8" t="n">
        <v>232</v>
      </c>
      <c r="S88" s="8" t="s">
        <v>210</v>
      </c>
      <c r="T88" s="8"/>
      <c r="U88" s="8"/>
      <c r="V88" s="8" t="s">
        <v>155</v>
      </c>
      <c r="W88" s="8"/>
      <c r="X88" s="8" t="s">
        <v>211</v>
      </c>
      <c r="Y88" s="8" t="s">
        <v>2347</v>
      </c>
      <c r="Z88" s="8"/>
    </row>
    <row r="89" customFormat="false" ht="15" hidden="false" customHeight="false" outlineLevel="0" collapsed="false">
      <c r="A89" s="8" t="s">
        <v>212</v>
      </c>
      <c r="B89" s="8" t="s">
        <v>19</v>
      </c>
      <c r="C89" s="8" t="s">
        <v>20</v>
      </c>
      <c r="D89" s="8" t="s">
        <v>615</v>
      </c>
      <c r="E89" s="8" t="s">
        <v>35</v>
      </c>
      <c r="F89" s="8" t="s">
        <v>58</v>
      </c>
      <c r="G89" s="8" t="s">
        <v>30</v>
      </c>
      <c r="H89" s="8" t="s">
        <v>30</v>
      </c>
      <c r="I89" s="8" t="n">
        <f aca="false">IF(EXACT(G89,H89),1,0)</f>
        <v>1</v>
      </c>
      <c r="J89" s="8" t="n">
        <v>0</v>
      </c>
      <c r="K89" s="8" t="s">
        <v>92</v>
      </c>
      <c r="L89" s="8" t="n">
        <v>0</v>
      </c>
      <c r="M89" s="8" t="n">
        <v>0</v>
      </c>
      <c r="N89" s="8"/>
      <c r="O89" s="8" t="n">
        <v>1</v>
      </c>
      <c r="P89" s="10" t="n">
        <v>6.28</v>
      </c>
      <c r="Q89" s="8" t="n">
        <v>765</v>
      </c>
      <c r="R89" s="8" t="n">
        <v>213</v>
      </c>
      <c r="S89" s="8" t="s">
        <v>213</v>
      </c>
      <c r="T89" s="8"/>
      <c r="U89" s="8"/>
      <c r="V89" s="8" t="s">
        <v>155</v>
      </c>
      <c r="W89" s="8"/>
      <c r="X89" s="8" t="s">
        <v>214</v>
      </c>
      <c r="Y89" s="8" t="s">
        <v>2348</v>
      </c>
      <c r="Z89" s="8"/>
    </row>
    <row r="90" customFormat="false" ht="15" hidden="false" customHeight="false" outlineLevel="0" collapsed="false">
      <c r="A90" s="8" t="s">
        <v>212</v>
      </c>
      <c r="B90" s="8" t="s">
        <v>19</v>
      </c>
      <c r="C90" s="8" t="s">
        <v>20</v>
      </c>
      <c r="D90" s="8" t="s">
        <v>615</v>
      </c>
      <c r="E90" s="8" t="s">
        <v>35</v>
      </c>
      <c r="F90" s="8" t="s">
        <v>58</v>
      </c>
      <c r="G90" s="8" t="s">
        <v>30</v>
      </c>
      <c r="H90" s="8" t="s">
        <v>30</v>
      </c>
      <c r="I90" s="8" t="n">
        <f aca="false">IF(EXACT(G90,H90),1,0)</f>
        <v>1</v>
      </c>
      <c r="J90" s="8" t="n">
        <v>1</v>
      </c>
      <c r="K90" s="8" t="s">
        <v>92</v>
      </c>
      <c r="L90" s="8" t="n">
        <v>0</v>
      </c>
      <c r="M90" s="8" t="n">
        <v>0</v>
      </c>
      <c r="N90" s="8"/>
      <c r="O90" s="8" t="n">
        <v>1</v>
      </c>
      <c r="P90" s="10" t="n">
        <v>5.29</v>
      </c>
      <c r="Q90" s="8" t="n">
        <v>765</v>
      </c>
      <c r="R90" s="8" t="n">
        <v>212</v>
      </c>
      <c r="S90" s="8" t="s">
        <v>213</v>
      </c>
      <c r="T90" s="8"/>
      <c r="U90" s="8"/>
      <c r="V90" s="8" t="s">
        <v>155</v>
      </c>
      <c r="W90" s="8"/>
      <c r="X90" s="8" t="s">
        <v>214</v>
      </c>
      <c r="Y90" s="8" t="s">
        <v>2349</v>
      </c>
      <c r="Z90" s="8"/>
    </row>
    <row r="91" customFormat="false" ht="15" hidden="false" customHeight="false" outlineLevel="0" collapsed="false">
      <c r="A91" s="8" t="s">
        <v>212</v>
      </c>
      <c r="B91" s="8" t="s">
        <v>19</v>
      </c>
      <c r="C91" s="8" t="s">
        <v>20</v>
      </c>
      <c r="D91" s="8" t="s">
        <v>615</v>
      </c>
      <c r="E91" s="8" t="s">
        <v>35</v>
      </c>
      <c r="F91" s="8" t="s">
        <v>58</v>
      </c>
      <c r="G91" s="8" t="s">
        <v>30</v>
      </c>
      <c r="H91" s="8" t="s">
        <v>30</v>
      </c>
      <c r="I91" s="8" t="n">
        <f aca="false">IF(EXACT(G91,H91),1,0)</f>
        <v>1</v>
      </c>
      <c r="J91" s="8" t="n">
        <v>2</v>
      </c>
      <c r="K91" s="8" t="s">
        <v>92</v>
      </c>
      <c r="L91" s="8" t="n">
        <v>0</v>
      </c>
      <c r="M91" s="8" t="n">
        <v>0</v>
      </c>
      <c r="N91" s="8"/>
      <c r="O91" s="8" t="n">
        <v>1</v>
      </c>
      <c r="P91" s="10" t="n">
        <v>5.34</v>
      </c>
      <c r="Q91" s="8" t="n">
        <v>765</v>
      </c>
      <c r="R91" s="8" t="n">
        <v>210</v>
      </c>
      <c r="S91" s="8" t="s">
        <v>213</v>
      </c>
      <c r="T91" s="8"/>
      <c r="U91" s="8"/>
      <c r="V91" s="8" t="s">
        <v>155</v>
      </c>
      <c r="W91" s="8"/>
      <c r="X91" s="8" t="s">
        <v>214</v>
      </c>
      <c r="Y91" s="8" t="s">
        <v>2350</v>
      </c>
      <c r="Z91" s="8"/>
    </row>
    <row r="92" customFormat="false" ht="15" hidden="false" customHeight="false" outlineLevel="0" collapsed="false">
      <c r="A92" s="8" t="s">
        <v>215</v>
      </c>
      <c r="B92" s="8" t="s">
        <v>19</v>
      </c>
      <c r="C92" s="8" t="s">
        <v>20</v>
      </c>
      <c r="D92" s="8" t="s">
        <v>615</v>
      </c>
      <c r="E92" s="8" t="s">
        <v>36</v>
      </c>
      <c r="F92" s="8" t="s">
        <v>46</v>
      </c>
      <c r="G92" s="8" t="s">
        <v>30</v>
      </c>
      <c r="H92" s="8" t="s">
        <v>30</v>
      </c>
      <c r="I92" s="8" t="n">
        <f aca="false">IF(EXACT(G92,H92),1,0)</f>
        <v>1</v>
      </c>
      <c r="J92" s="8" t="n">
        <v>0</v>
      </c>
      <c r="K92" s="8" t="s">
        <v>92</v>
      </c>
      <c r="L92" s="8" t="n">
        <v>0</v>
      </c>
      <c r="M92" s="8" t="n">
        <v>0</v>
      </c>
      <c r="N92" s="8"/>
      <c r="O92" s="8" t="n">
        <v>1</v>
      </c>
      <c r="P92" s="10" t="n">
        <v>7.22</v>
      </c>
      <c r="Q92" s="8" t="n">
        <v>614</v>
      </c>
      <c r="R92" s="8" t="n">
        <v>258</v>
      </c>
      <c r="S92" s="8" t="s">
        <v>216</v>
      </c>
      <c r="T92" s="8" t="s">
        <v>217</v>
      </c>
      <c r="U92" s="8" t="s">
        <v>218</v>
      </c>
      <c r="V92" s="8"/>
      <c r="W92" s="8" t="s">
        <v>219</v>
      </c>
      <c r="X92" s="8" t="s">
        <v>220</v>
      </c>
      <c r="Y92" s="8" t="s">
        <v>2351</v>
      </c>
      <c r="Z92" s="8"/>
    </row>
    <row r="93" customFormat="false" ht="15" hidden="false" customHeight="false" outlineLevel="0" collapsed="false">
      <c r="A93" s="8" t="s">
        <v>215</v>
      </c>
      <c r="B93" s="8" t="s">
        <v>19</v>
      </c>
      <c r="C93" s="8" t="s">
        <v>20</v>
      </c>
      <c r="D93" s="8" t="s">
        <v>615</v>
      </c>
      <c r="E93" s="8" t="s">
        <v>36</v>
      </c>
      <c r="F93" s="8" t="s">
        <v>46</v>
      </c>
      <c r="G93" s="8" t="s">
        <v>30</v>
      </c>
      <c r="H93" s="8" t="s">
        <v>30</v>
      </c>
      <c r="I93" s="8" t="n">
        <f aca="false">IF(EXACT(G93,H93),1,0)</f>
        <v>1</v>
      </c>
      <c r="J93" s="8" t="n">
        <v>1</v>
      </c>
      <c r="K93" s="8" t="s">
        <v>92</v>
      </c>
      <c r="L93" s="8" t="n">
        <v>0</v>
      </c>
      <c r="M93" s="8" t="n">
        <v>0</v>
      </c>
      <c r="N93" s="8"/>
      <c r="O93" s="8" t="n">
        <v>1</v>
      </c>
      <c r="P93" s="10" t="n">
        <v>7.37</v>
      </c>
      <c r="Q93" s="8" t="n">
        <v>614</v>
      </c>
      <c r="R93" s="8" t="n">
        <v>250</v>
      </c>
      <c r="S93" s="8" t="s">
        <v>216</v>
      </c>
      <c r="T93" s="8" t="s">
        <v>217</v>
      </c>
      <c r="U93" s="8" t="s">
        <v>218</v>
      </c>
      <c r="V93" s="8"/>
      <c r="W93" s="8" t="s">
        <v>219</v>
      </c>
      <c r="X93" s="8" t="s">
        <v>220</v>
      </c>
      <c r="Y93" s="8" t="s">
        <v>2352</v>
      </c>
      <c r="Z93" s="8"/>
    </row>
    <row r="94" customFormat="false" ht="15" hidden="false" customHeight="false" outlineLevel="0" collapsed="false">
      <c r="A94" s="8" t="s">
        <v>215</v>
      </c>
      <c r="B94" s="8" t="s">
        <v>19</v>
      </c>
      <c r="C94" s="8" t="s">
        <v>20</v>
      </c>
      <c r="D94" s="8" t="s">
        <v>615</v>
      </c>
      <c r="E94" s="8" t="s">
        <v>36</v>
      </c>
      <c r="F94" s="8" t="s">
        <v>46</v>
      </c>
      <c r="G94" s="8" t="s">
        <v>30</v>
      </c>
      <c r="H94" s="8" t="s">
        <v>30</v>
      </c>
      <c r="I94" s="8" t="n">
        <f aca="false">IF(EXACT(G94,H94),1,0)</f>
        <v>1</v>
      </c>
      <c r="J94" s="8" t="n">
        <v>2</v>
      </c>
      <c r="K94" s="8" t="s">
        <v>92</v>
      </c>
      <c r="L94" s="8" t="n">
        <v>0</v>
      </c>
      <c r="M94" s="8" t="n">
        <v>0</v>
      </c>
      <c r="N94" s="8"/>
      <c r="O94" s="8" t="n">
        <v>1</v>
      </c>
      <c r="P94" s="10" t="n">
        <v>7.3</v>
      </c>
      <c r="Q94" s="8" t="n">
        <v>614</v>
      </c>
      <c r="R94" s="8" t="n">
        <v>258</v>
      </c>
      <c r="S94" s="8" t="s">
        <v>216</v>
      </c>
      <c r="T94" s="8" t="s">
        <v>217</v>
      </c>
      <c r="U94" s="8" t="s">
        <v>218</v>
      </c>
      <c r="V94" s="8"/>
      <c r="W94" s="8" t="s">
        <v>219</v>
      </c>
      <c r="X94" s="8" t="s">
        <v>220</v>
      </c>
      <c r="Y94" s="8" t="s">
        <v>2353</v>
      </c>
      <c r="Z94" s="8"/>
    </row>
    <row r="95" customFormat="false" ht="15" hidden="false" customHeight="false" outlineLevel="0" collapsed="false">
      <c r="A95" s="8" t="s">
        <v>221</v>
      </c>
      <c r="B95" s="8" t="s">
        <v>19</v>
      </c>
      <c r="C95" s="8" t="s">
        <v>20</v>
      </c>
      <c r="D95" s="8" t="s">
        <v>615</v>
      </c>
      <c r="E95" s="8" t="s">
        <v>36</v>
      </c>
      <c r="F95" s="8" t="s">
        <v>46</v>
      </c>
      <c r="G95" s="8" t="s">
        <v>31</v>
      </c>
      <c r="H95" s="8" t="s">
        <v>31</v>
      </c>
      <c r="I95" s="8" t="n">
        <f aca="false">IF(EXACT(G95,H95),1,0)</f>
        <v>1</v>
      </c>
      <c r="J95" s="8" t="n">
        <v>0</v>
      </c>
      <c r="K95" s="8" t="s">
        <v>116</v>
      </c>
      <c r="L95" s="8" t="n">
        <v>1</v>
      </c>
      <c r="M95" s="8" t="n">
        <v>0</v>
      </c>
      <c r="N95" s="8"/>
      <c r="O95" s="8" t="n">
        <v>1</v>
      </c>
      <c r="P95" s="10" t="n">
        <v>9.34</v>
      </c>
      <c r="Q95" s="8" t="n">
        <v>597</v>
      </c>
      <c r="R95" s="8" t="n">
        <v>426</v>
      </c>
      <c r="S95" s="8" t="s">
        <v>222</v>
      </c>
      <c r="T95" s="8" t="s">
        <v>217</v>
      </c>
      <c r="U95" s="8" t="s">
        <v>223</v>
      </c>
      <c r="V95" s="8"/>
      <c r="W95" s="8" t="s">
        <v>224</v>
      </c>
      <c r="X95" s="8" t="s">
        <v>225</v>
      </c>
      <c r="Y95" s="8" t="s">
        <v>2354</v>
      </c>
      <c r="Z95" s="8" t="s">
        <v>2355</v>
      </c>
    </row>
    <row r="96" customFormat="false" ht="15" hidden="false" customHeight="false" outlineLevel="0" collapsed="false">
      <c r="A96" s="8" t="s">
        <v>221</v>
      </c>
      <c r="B96" s="8" t="s">
        <v>19</v>
      </c>
      <c r="C96" s="8" t="s">
        <v>20</v>
      </c>
      <c r="D96" s="8" t="s">
        <v>615</v>
      </c>
      <c r="E96" s="8" t="s">
        <v>36</v>
      </c>
      <c r="F96" s="8" t="s">
        <v>46</v>
      </c>
      <c r="G96" s="8" t="s">
        <v>31</v>
      </c>
      <c r="H96" s="8" t="s">
        <v>31</v>
      </c>
      <c r="I96" s="8" t="n">
        <f aca="false">IF(EXACT(G96,H96),1,0)</f>
        <v>1</v>
      </c>
      <c r="J96" s="8" t="n">
        <v>1</v>
      </c>
      <c r="K96" s="8" t="s">
        <v>116</v>
      </c>
      <c r="L96" s="8" t="n">
        <v>1</v>
      </c>
      <c r="M96" s="8" t="n">
        <v>0</v>
      </c>
      <c r="N96" s="8"/>
      <c r="O96" s="8" t="n">
        <v>1</v>
      </c>
      <c r="P96" s="10" t="n">
        <v>7.89</v>
      </c>
      <c r="Q96" s="8" t="n">
        <v>597</v>
      </c>
      <c r="R96" s="8" t="n">
        <v>379</v>
      </c>
      <c r="S96" s="8" t="s">
        <v>222</v>
      </c>
      <c r="T96" s="8" t="s">
        <v>217</v>
      </c>
      <c r="U96" s="8" t="s">
        <v>223</v>
      </c>
      <c r="V96" s="8"/>
      <c r="W96" s="8" t="s">
        <v>224</v>
      </c>
      <c r="X96" s="8" t="s">
        <v>225</v>
      </c>
      <c r="Y96" s="8" t="s">
        <v>2356</v>
      </c>
      <c r="Z96" s="8" t="s">
        <v>2357</v>
      </c>
    </row>
    <row r="97" customFormat="false" ht="15" hidden="false" customHeight="false" outlineLevel="0" collapsed="false">
      <c r="A97" s="8" t="s">
        <v>221</v>
      </c>
      <c r="B97" s="8" t="s">
        <v>19</v>
      </c>
      <c r="C97" s="8" t="s">
        <v>20</v>
      </c>
      <c r="D97" s="8" t="s">
        <v>615</v>
      </c>
      <c r="E97" s="8" t="s">
        <v>36</v>
      </c>
      <c r="F97" s="8" t="s">
        <v>46</v>
      </c>
      <c r="G97" s="8" t="s">
        <v>31</v>
      </c>
      <c r="H97" s="8" t="s">
        <v>31</v>
      </c>
      <c r="I97" s="8" t="n">
        <f aca="false">IF(EXACT(G97,H97),1,0)</f>
        <v>1</v>
      </c>
      <c r="J97" s="8" t="n">
        <v>2</v>
      </c>
      <c r="K97" s="8" t="s">
        <v>116</v>
      </c>
      <c r="L97" s="8" t="n">
        <v>1</v>
      </c>
      <c r="M97" s="8" t="n">
        <v>0</v>
      </c>
      <c r="N97" s="8"/>
      <c r="O97" s="8" t="n">
        <v>1</v>
      </c>
      <c r="P97" s="10" t="n">
        <v>8.38</v>
      </c>
      <c r="Q97" s="8" t="n">
        <v>597</v>
      </c>
      <c r="R97" s="8" t="n">
        <v>391</v>
      </c>
      <c r="S97" s="8" t="s">
        <v>222</v>
      </c>
      <c r="T97" s="8" t="s">
        <v>217</v>
      </c>
      <c r="U97" s="8" t="s">
        <v>223</v>
      </c>
      <c r="V97" s="8"/>
      <c r="W97" s="8" t="s">
        <v>224</v>
      </c>
      <c r="X97" s="8" t="s">
        <v>225</v>
      </c>
      <c r="Y97" s="8" t="s">
        <v>2358</v>
      </c>
      <c r="Z97" s="8" t="s">
        <v>2359</v>
      </c>
    </row>
    <row r="98" customFormat="false" ht="15" hidden="false" customHeight="false" outlineLevel="0" collapsed="false">
      <c r="A98" s="8" t="s">
        <v>227</v>
      </c>
      <c r="B98" s="8" t="s">
        <v>19</v>
      </c>
      <c r="C98" s="8" t="s">
        <v>20</v>
      </c>
      <c r="D98" s="8" t="s">
        <v>615</v>
      </c>
      <c r="E98" s="8" t="s">
        <v>36</v>
      </c>
      <c r="F98" s="8" t="s">
        <v>46</v>
      </c>
      <c r="G98" s="8" t="s">
        <v>31</v>
      </c>
      <c r="H98" s="8" t="s">
        <v>31</v>
      </c>
      <c r="I98" s="8" t="n">
        <f aca="false">IF(EXACT(G98,H98),1,0)</f>
        <v>1</v>
      </c>
      <c r="J98" s="8" t="n">
        <v>0</v>
      </c>
      <c r="K98" s="8" t="s">
        <v>116</v>
      </c>
      <c r="L98" s="8" t="n">
        <v>1</v>
      </c>
      <c r="M98" s="8" t="n">
        <v>0</v>
      </c>
      <c r="N98" s="8"/>
      <c r="O98" s="8" t="n">
        <v>1</v>
      </c>
      <c r="P98" s="10" t="n">
        <v>8.76</v>
      </c>
      <c r="Q98" s="8" t="n">
        <v>597</v>
      </c>
      <c r="R98" s="8" t="n">
        <v>359</v>
      </c>
      <c r="S98" s="8" t="s">
        <v>228</v>
      </c>
      <c r="T98" s="8" t="s">
        <v>217</v>
      </c>
      <c r="U98" s="8" t="s">
        <v>223</v>
      </c>
      <c r="V98" s="8"/>
      <c r="W98" s="8" t="s">
        <v>229</v>
      </c>
      <c r="X98" s="8" t="s">
        <v>230</v>
      </c>
      <c r="Y98" s="8" t="s">
        <v>2360</v>
      </c>
      <c r="Z98" s="8" t="s">
        <v>2361</v>
      </c>
    </row>
    <row r="99" customFormat="false" ht="15" hidden="false" customHeight="false" outlineLevel="0" collapsed="false">
      <c r="A99" s="8" t="s">
        <v>227</v>
      </c>
      <c r="B99" s="8" t="s">
        <v>19</v>
      </c>
      <c r="C99" s="8" t="s">
        <v>20</v>
      </c>
      <c r="D99" s="8" t="s">
        <v>615</v>
      </c>
      <c r="E99" s="8" t="s">
        <v>36</v>
      </c>
      <c r="F99" s="8" t="s">
        <v>46</v>
      </c>
      <c r="G99" s="8" t="s">
        <v>31</v>
      </c>
      <c r="H99" s="8" t="s">
        <v>31</v>
      </c>
      <c r="I99" s="8" t="n">
        <f aca="false">IF(EXACT(G99,H99),1,0)</f>
        <v>1</v>
      </c>
      <c r="J99" s="8" t="n">
        <v>1</v>
      </c>
      <c r="K99" s="8" t="s">
        <v>116</v>
      </c>
      <c r="L99" s="8" t="n">
        <v>1</v>
      </c>
      <c r="M99" s="8" t="n">
        <v>0</v>
      </c>
      <c r="N99" s="8"/>
      <c r="O99" s="8" t="n">
        <v>1</v>
      </c>
      <c r="P99" s="10" t="n">
        <v>15.53</v>
      </c>
      <c r="Q99" s="8" t="n">
        <v>597</v>
      </c>
      <c r="R99" s="8" t="n">
        <v>376</v>
      </c>
      <c r="S99" s="8" t="s">
        <v>228</v>
      </c>
      <c r="T99" s="8" t="s">
        <v>217</v>
      </c>
      <c r="U99" s="8" t="s">
        <v>223</v>
      </c>
      <c r="V99" s="8"/>
      <c r="W99" s="8" t="s">
        <v>229</v>
      </c>
      <c r="X99" s="8" t="s">
        <v>230</v>
      </c>
      <c r="Y99" s="8" t="s">
        <v>2362</v>
      </c>
      <c r="Z99" s="8" t="s">
        <v>2361</v>
      </c>
    </row>
    <row r="100" customFormat="false" ht="15" hidden="false" customHeight="false" outlineLevel="0" collapsed="false">
      <c r="A100" s="8" t="s">
        <v>227</v>
      </c>
      <c r="B100" s="8" t="s">
        <v>19</v>
      </c>
      <c r="C100" s="8" t="s">
        <v>20</v>
      </c>
      <c r="D100" s="8" t="s">
        <v>615</v>
      </c>
      <c r="E100" s="8" t="s">
        <v>36</v>
      </c>
      <c r="F100" s="8" t="s">
        <v>46</v>
      </c>
      <c r="G100" s="8" t="s">
        <v>31</v>
      </c>
      <c r="H100" s="8" t="s">
        <v>31</v>
      </c>
      <c r="I100" s="8" t="n">
        <f aca="false">IF(EXACT(G100,H100),1,0)</f>
        <v>1</v>
      </c>
      <c r="J100" s="8" t="n">
        <v>2</v>
      </c>
      <c r="K100" s="8" t="s">
        <v>116</v>
      </c>
      <c r="L100" s="8" t="n">
        <v>1</v>
      </c>
      <c r="M100" s="8" t="n">
        <v>0</v>
      </c>
      <c r="N100" s="8"/>
      <c r="O100" s="8" t="n">
        <v>1</v>
      </c>
      <c r="P100" s="10" t="n">
        <v>7.83</v>
      </c>
      <c r="Q100" s="8" t="n">
        <v>597</v>
      </c>
      <c r="R100" s="8" t="n">
        <v>377</v>
      </c>
      <c r="S100" s="8" t="s">
        <v>228</v>
      </c>
      <c r="T100" s="8" t="s">
        <v>217</v>
      </c>
      <c r="U100" s="8" t="s">
        <v>223</v>
      </c>
      <c r="V100" s="8"/>
      <c r="W100" s="8" t="s">
        <v>229</v>
      </c>
      <c r="X100" s="8" t="s">
        <v>230</v>
      </c>
      <c r="Y100" s="8" t="s">
        <v>2363</v>
      </c>
      <c r="Z100" s="8" t="s">
        <v>2364</v>
      </c>
    </row>
    <row r="101" customFormat="false" ht="15" hidden="false" customHeight="false" outlineLevel="0" collapsed="false">
      <c r="A101" s="8" t="s">
        <v>231</v>
      </c>
      <c r="B101" s="8" t="s">
        <v>19</v>
      </c>
      <c r="C101" s="8" t="s">
        <v>20</v>
      </c>
      <c r="D101" s="8" t="s">
        <v>615</v>
      </c>
      <c r="E101" s="8" t="s">
        <v>36</v>
      </c>
      <c r="F101" s="8" t="s">
        <v>46</v>
      </c>
      <c r="G101" s="8" t="s">
        <v>30</v>
      </c>
      <c r="H101" s="8" t="s">
        <v>30</v>
      </c>
      <c r="I101" s="8" t="n">
        <f aca="false">IF(EXACT(G101,H101),1,0)</f>
        <v>1</v>
      </c>
      <c r="J101" s="8" t="n">
        <v>0</v>
      </c>
      <c r="K101" s="8" t="s">
        <v>92</v>
      </c>
      <c r="L101" s="8" t="n">
        <v>0</v>
      </c>
      <c r="M101" s="8" t="n">
        <v>0</v>
      </c>
      <c r="N101" s="8"/>
      <c r="O101" s="8" t="n">
        <v>1</v>
      </c>
      <c r="P101" s="10" t="n">
        <v>5.1</v>
      </c>
      <c r="Q101" s="8" t="n">
        <v>612</v>
      </c>
      <c r="R101" s="8" t="n">
        <v>203</v>
      </c>
      <c r="S101" s="8" t="s">
        <v>232</v>
      </c>
      <c r="T101" s="8" t="s">
        <v>217</v>
      </c>
      <c r="U101" s="8" t="s">
        <v>218</v>
      </c>
      <c r="V101" s="8"/>
      <c r="W101" s="8" t="s">
        <v>233</v>
      </c>
      <c r="X101" s="8" t="s">
        <v>234</v>
      </c>
      <c r="Y101" s="8" t="s">
        <v>2365</v>
      </c>
      <c r="Z101" s="8"/>
    </row>
    <row r="102" customFormat="false" ht="15" hidden="false" customHeight="false" outlineLevel="0" collapsed="false">
      <c r="A102" s="8" t="s">
        <v>231</v>
      </c>
      <c r="B102" s="8" t="s">
        <v>19</v>
      </c>
      <c r="C102" s="8" t="s">
        <v>20</v>
      </c>
      <c r="D102" s="8" t="s">
        <v>615</v>
      </c>
      <c r="E102" s="8" t="s">
        <v>36</v>
      </c>
      <c r="F102" s="8" t="s">
        <v>46</v>
      </c>
      <c r="G102" s="8" t="s">
        <v>30</v>
      </c>
      <c r="H102" s="8" t="s">
        <v>30</v>
      </c>
      <c r="I102" s="8" t="n">
        <f aca="false">IF(EXACT(G102,H102),1,0)</f>
        <v>1</v>
      </c>
      <c r="J102" s="8" t="n">
        <v>1</v>
      </c>
      <c r="K102" s="8" t="s">
        <v>92</v>
      </c>
      <c r="L102" s="8" t="n">
        <v>0</v>
      </c>
      <c r="M102" s="8" t="n">
        <v>0</v>
      </c>
      <c r="N102" s="8"/>
      <c r="O102" s="8" t="n">
        <v>1</v>
      </c>
      <c r="P102" s="10" t="n">
        <v>5.39</v>
      </c>
      <c r="Q102" s="8" t="n">
        <v>612</v>
      </c>
      <c r="R102" s="8" t="n">
        <v>223</v>
      </c>
      <c r="S102" s="8" t="s">
        <v>232</v>
      </c>
      <c r="T102" s="8" t="s">
        <v>217</v>
      </c>
      <c r="U102" s="8" t="s">
        <v>218</v>
      </c>
      <c r="V102" s="8"/>
      <c r="W102" s="8" t="s">
        <v>233</v>
      </c>
      <c r="X102" s="8" t="s">
        <v>234</v>
      </c>
      <c r="Y102" s="8" t="s">
        <v>2366</v>
      </c>
      <c r="Z102" s="8"/>
    </row>
    <row r="103" customFormat="false" ht="15" hidden="false" customHeight="false" outlineLevel="0" collapsed="false">
      <c r="A103" s="8" t="s">
        <v>231</v>
      </c>
      <c r="B103" s="8" t="s">
        <v>19</v>
      </c>
      <c r="C103" s="8" t="s">
        <v>20</v>
      </c>
      <c r="D103" s="8" t="s">
        <v>615</v>
      </c>
      <c r="E103" s="8" t="s">
        <v>36</v>
      </c>
      <c r="F103" s="8" t="s">
        <v>46</v>
      </c>
      <c r="G103" s="8" t="s">
        <v>30</v>
      </c>
      <c r="H103" s="8" t="s">
        <v>30</v>
      </c>
      <c r="I103" s="8" t="n">
        <f aca="false">IF(EXACT(G103,H103),1,0)</f>
        <v>1</v>
      </c>
      <c r="J103" s="8" t="n">
        <v>2</v>
      </c>
      <c r="K103" s="8" t="s">
        <v>92</v>
      </c>
      <c r="L103" s="8" t="n">
        <v>0</v>
      </c>
      <c r="M103" s="8" t="n">
        <v>0</v>
      </c>
      <c r="N103" s="8"/>
      <c r="O103" s="8" t="n">
        <v>1</v>
      </c>
      <c r="P103" s="10" t="n">
        <v>5.68</v>
      </c>
      <c r="Q103" s="8" t="n">
        <v>612</v>
      </c>
      <c r="R103" s="8" t="n">
        <v>233</v>
      </c>
      <c r="S103" s="8" t="s">
        <v>232</v>
      </c>
      <c r="T103" s="8" t="s">
        <v>217</v>
      </c>
      <c r="U103" s="8" t="s">
        <v>218</v>
      </c>
      <c r="V103" s="8"/>
      <c r="W103" s="8" t="s">
        <v>233</v>
      </c>
      <c r="X103" s="8" t="s">
        <v>234</v>
      </c>
      <c r="Y103" s="8" t="s">
        <v>2367</v>
      </c>
      <c r="Z103" s="8"/>
    </row>
    <row r="104" customFormat="false" ht="15" hidden="false" customHeight="false" outlineLevel="0" collapsed="false">
      <c r="A104" s="8" t="s">
        <v>235</v>
      </c>
      <c r="B104" s="8" t="s">
        <v>19</v>
      </c>
      <c r="C104" s="8" t="s">
        <v>20</v>
      </c>
      <c r="D104" s="8" t="s">
        <v>615</v>
      </c>
      <c r="E104" s="8" t="s">
        <v>36</v>
      </c>
      <c r="F104" s="8" t="s">
        <v>46</v>
      </c>
      <c r="G104" s="8" t="s">
        <v>32</v>
      </c>
      <c r="H104" s="8" t="s">
        <v>32</v>
      </c>
      <c r="I104" s="8" t="n">
        <f aca="false">IF(EXACT(G104,H104),1,0)</f>
        <v>1</v>
      </c>
      <c r="J104" s="8" t="n">
        <v>0</v>
      </c>
      <c r="K104" s="8" t="s">
        <v>92</v>
      </c>
      <c r="L104" s="8" t="n">
        <v>0</v>
      </c>
      <c r="M104" s="8" t="n">
        <v>0</v>
      </c>
      <c r="N104" s="8"/>
      <c r="O104" s="8" t="n">
        <v>1</v>
      </c>
      <c r="P104" s="10" t="n">
        <v>7.31</v>
      </c>
      <c r="Q104" s="8" t="n">
        <v>608</v>
      </c>
      <c r="R104" s="8" t="n">
        <v>212</v>
      </c>
      <c r="S104" s="8" t="s">
        <v>125</v>
      </c>
      <c r="T104" s="8" t="s">
        <v>217</v>
      </c>
      <c r="U104" s="8" t="s">
        <v>218</v>
      </c>
      <c r="V104" s="8"/>
      <c r="W104" s="8" t="s">
        <v>236</v>
      </c>
      <c r="X104" s="8" t="s">
        <v>237</v>
      </c>
      <c r="Y104" s="8" t="s">
        <v>2368</v>
      </c>
      <c r="Z104" s="8"/>
    </row>
    <row r="105" customFormat="false" ht="15" hidden="false" customHeight="false" outlineLevel="0" collapsed="false">
      <c r="A105" s="8" t="s">
        <v>235</v>
      </c>
      <c r="B105" s="8" t="s">
        <v>19</v>
      </c>
      <c r="C105" s="8" t="s">
        <v>20</v>
      </c>
      <c r="D105" s="8" t="s">
        <v>615</v>
      </c>
      <c r="E105" s="8" t="s">
        <v>36</v>
      </c>
      <c r="F105" s="8" t="s">
        <v>46</v>
      </c>
      <c r="G105" s="8" t="s">
        <v>32</v>
      </c>
      <c r="H105" s="8" t="s">
        <v>32</v>
      </c>
      <c r="I105" s="8" t="n">
        <f aca="false">IF(EXACT(G105,H105),1,0)</f>
        <v>1</v>
      </c>
      <c r="J105" s="8" t="n">
        <v>1</v>
      </c>
      <c r="K105" s="8" t="s">
        <v>92</v>
      </c>
      <c r="L105" s="8" t="n">
        <v>0</v>
      </c>
      <c r="M105" s="8" t="n">
        <v>0</v>
      </c>
      <c r="N105" s="8"/>
      <c r="O105" s="8" t="n">
        <v>1</v>
      </c>
      <c r="P105" s="10" t="n">
        <v>4.94</v>
      </c>
      <c r="Q105" s="8" t="n">
        <v>608</v>
      </c>
      <c r="R105" s="8" t="n">
        <v>178</v>
      </c>
      <c r="S105" s="8" t="s">
        <v>125</v>
      </c>
      <c r="T105" s="8" t="s">
        <v>217</v>
      </c>
      <c r="U105" s="8" t="s">
        <v>218</v>
      </c>
      <c r="V105" s="8"/>
      <c r="W105" s="8" t="s">
        <v>236</v>
      </c>
      <c r="X105" s="8" t="s">
        <v>237</v>
      </c>
      <c r="Y105" s="8" t="s">
        <v>2369</v>
      </c>
      <c r="Z105" s="8"/>
    </row>
    <row r="106" customFormat="false" ht="15" hidden="false" customHeight="false" outlineLevel="0" collapsed="false">
      <c r="A106" s="8" t="s">
        <v>235</v>
      </c>
      <c r="B106" s="8" t="s">
        <v>19</v>
      </c>
      <c r="C106" s="8" t="s">
        <v>20</v>
      </c>
      <c r="D106" s="8" t="s">
        <v>615</v>
      </c>
      <c r="E106" s="8" t="s">
        <v>36</v>
      </c>
      <c r="F106" s="8" t="s">
        <v>46</v>
      </c>
      <c r="G106" s="8" t="s">
        <v>32</v>
      </c>
      <c r="H106" s="8" t="s">
        <v>32</v>
      </c>
      <c r="I106" s="8" t="n">
        <f aca="false">IF(EXACT(G106,H106),1,0)</f>
        <v>1</v>
      </c>
      <c r="J106" s="8" t="n">
        <v>2</v>
      </c>
      <c r="K106" s="8" t="s">
        <v>92</v>
      </c>
      <c r="L106" s="8" t="n">
        <v>0</v>
      </c>
      <c r="M106" s="8" t="n">
        <v>0</v>
      </c>
      <c r="N106" s="8"/>
      <c r="O106" s="8" t="n">
        <v>1</v>
      </c>
      <c r="P106" s="10" t="n">
        <v>5.25</v>
      </c>
      <c r="Q106" s="8" t="n">
        <v>608</v>
      </c>
      <c r="R106" s="8" t="n">
        <v>192</v>
      </c>
      <c r="S106" s="8" t="s">
        <v>125</v>
      </c>
      <c r="T106" s="8" t="s">
        <v>217</v>
      </c>
      <c r="U106" s="8" t="s">
        <v>218</v>
      </c>
      <c r="V106" s="8"/>
      <c r="W106" s="8" t="s">
        <v>236</v>
      </c>
      <c r="X106" s="8" t="s">
        <v>237</v>
      </c>
      <c r="Y106" s="8" t="s">
        <v>2370</v>
      </c>
      <c r="Z106" s="8"/>
    </row>
    <row r="107" customFormat="false" ht="15" hidden="false" customHeight="false" outlineLevel="0" collapsed="false">
      <c r="A107" s="8" t="s">
        <v>238</v>
      </c>
      <c r="B107" s="8" t="s">
        <v>19</v>
      </c>
      <c r="C107" s="8" t="s">
        <v>20</v>
      </c>
      <c r="D107" s="8" t="s">
        <v>615</v>
      </c>
      <c r="E107" s="8" t="s">
        <v>36</v>
      </c>
      <c r="F107" s="8" t="s">
        <v>46</v>
      </c>
      <c r="G107" s="8" t="s">
        <v>32</v>
      </c>
      <c r="H107" s="8" t="s">
        <v>31</v>
      </c>
      <c r="I107" s="8" t="n">
        <f aca="false">IF(EXACT(G107,H107),1,0)</f>
        <v>0</v>
      </c>
      <c r="J107" s="8" t="n">
        <v>0</v>
      </c>
      <c r="K107" s="8" t="s">
        <v>2333</v>
      </c>
      <c r="L107" s="8" t="n">
        <v>1</v>
      </c>
      <c r="M107" s="8" t="n">
        <v>0</v>
      </c>
      <c r="N107" s="8"/>
      <c r="O107" s="8" t="n">
        <v>1</v>
      </c>
      <c r="P107" s="10" t="n">
        <v>9.42</v>
      </c>
      <c r="Q107" s="8" t="n">
        <v>598</v>
      </c>
      <c r="R107" s="8" t="n">
        <v>398</v>
      </c>
      <c r="S107" s="8" t="s">
        <v>239</v>
      </c>
      <c r="T107" s="8" t="s">
        <v>217</v>
      </c>
      <c r="U107" s="8" t="s">
        <v>223</v>
      </c>
      <c r="V107" s="8"/>
      <c r="W107" s="8" t="s">
        <v>240</v>
      </c>
      <c r="X107" s="8" t="s">
        <v>241</v>
      </c>
      <c r="Y107" s="8" t="s">
        <v>2371</v>
      </c>
      <c r="Z107" s="8" t="s">
        <v>2372</v>
      </c>
    </row>
    <row r="108" customFormat="false" ht="15" hidden="false" customHeight="false" outlineLevel="0" collapsed="false">
      <c r="A108" s="8" t="s">
        <v>238</v>
      </c>
      <c r="B108" s="8" t="s">
        <v>19</v>
      </c>
      <c r="C108" s="8" t="s">
        <v>20</v>
      </c>
      <c r="D108" s="8" t="s">
        <v>615</v>
      </c>
      <c r="E108" s="8" t="s">
        <v>36</v>
      </c>
      <c r="F108" s="8" t="s">
        <v>46</v>
      </c>
      <c r="G108" s="8" t="s">
        <v>32</v>
      </c>
      <c r="H108" s="8" t="s">
        <v>31</v>
      </c>
      <c r="I108" s="8" t="n">
        <f aca="false">IF(EXACT(G108,H108),1,0)</f>
        <v>0</v>
      </c>
      <c r="J108" s="8" t="n">
        <v>1</v>
      </c>
      <c r="K108" s="8" t="s">
        <v>2333</v>
      </c>
      <c r="L108" s="8" t="n">
        <v>1</v>
      </c>
      <c r="M108" s="8" t="n">
        <v>0</v>
      </c>
      <c r="N108" s="8"/>
      <c r="O108" s="8" t="n">
        <v>1</v>
      </c>
      <c r="P108" s="10" t="n">
        <v>8.62</v>
      </c>
      <c r="Q108" s="8" t="n">
        <v>598</v>
      </c>
      <c r="R108" s="8" t="n">
        <v>406</v>
      </c>
      <c r="S108" s="8" t="s">
        <v>239</v>
      </c>
      <c r="T108" s="8" t="s">
        <v>217</v>
      </c>
      <c r="U108" s="8" t="s">
        <v>223</v>
      </c>
      <c r="V108" s="8"/>
      <c r="W108" s="8" t="s">
        <v>240</v>
      </c>
      <c r="X108" s="8" t="s">
        <v>241</v>
      </c>
      <c r="Y108" s="8" t="s">
        <v>2373</v>
      </c>
      <c r="Z108" s="8" t="s">
        <v>2374</v>
      </c>
    </row>
    <row r="109" customFormat="false" ht="15" hidden="false" customHeight="false" outlineLevel="0" collapsed="false">
      <c r="A109" s="8" t="s">
        <v>238</v>
      </c>
      <c r="B109" s="8" t="s">
        <v>19</v>
      </c>
      <c r="C109" s="8" t="s">
        <v>20</v>
      </c>
      <c r="D109" s="8" t="s">
        <v>615</v>
      </c>
      <c r="E109" s="8" t="s">
        <v>36</v>
      </c>
      <c r="F109" s="8" t="s">
        <v>46</v>
      </c>
      <c r="G109" s="8" t="s">
        <v>32</v>
      </c>
      <c r="H109" s="8" t="s">
        <v>31</v>
      </c>
      <c r="I109" s="8" t="n">
        <f aca="false">IF(EXACT(G109,H109),1,0)</f>
        <v>0</v>
      </c>
      <c r="J109" s="8" t="n">
        <v>2</v>
      </c>
      <c r="K109" s="8" t="s">
        <v>737</v>
      </c>
      <c r="L109" s="8" t="n">
        <v>1</v>
      </c>
      <c r="M109" s="8" t="n">
        <v>0</v>
      </c>
      <c r="N109" s="8"/>
      <c r="O109" s="8" t="n">
        <v>1</v>
      </c>
      <c r="P109" s="10" t="n">
        <v>8.71</v>
      </c>
      <c r="Q109" s="8" t="n">
        <v>598</v>
      </c>
      <c r="R109" s="8" t="n">
        <v>403</v>
      </c>
      <c r="S109" s="8" t="s">
        <v>239</v>
      </c>
      <c r="T109" s="8" t="s">
        <v>217</v>
      </c>
      <c r="U109" s="8" t="s">
        <v>223</v>
      </c>
      <c r="V109" s="8"/>
      <c r="W109" s="8" t="s">
        <v>240</v>
      </c>
      <c r="X109" s="8" t="s">
        <v>241</v>
      </c>
      <c r="Y109" s="8" t="s">
        <v>2375</v>
      </c>
      <c r="Z109" s="8" t="s">
        <v>2376</v>
      </c>
    </row>
    <row r="110" customFormat="false" ht="15" hidden="false" customHeight="false" outlineLevel="0" collapsed="false">
      <c r="A110" s="8" t="s">
        <v>242</v>
      </c>
      <c r="B110" s="8" t="s">
        <v>19</v>
      </c>
      <c r="C110" s="8" t="s">
        <v>20</v>
      </c>
      <c r="D110" s="8" t="s">
        <v>615</v>
      </c>
      <c r="E110" s="8" t="s">
        <v>36</v>
      </c>
      <c r="F110" s="8" t="s">
        <v>48</v>
      </c>
      <c r="G110" s="8" t="s">
        <v>32</v>
      </c>
      <c r="H110" s="8" t="s">
        <v>32</v>
      </c>
      <c r="I110" s="8" t="n">
        <f aca="false">IF(EXACT(G110,H110),1,0)</f>
        <v>1</v>
      </c>
      <c r="J110" s="8" t="n">
        <v>0</v>
      </c>
      <c r="K110" s="8" t="s">
        <v>92</v>
      </c>
      <c r="L110" s="8" t="n">
        <v>0</v>
      </c>
      <c r="M110" s="8" t="n">
        <v>0</v>
      </c>
      <c r="N110" s="8"/>
      <c r="O110" s="8" t="n">
        <v>1</v>
      </c>
      <c r="P110" s="10" t="n">
        <v>5.12</v>
      </c>
      <c r="Q110" s="8" t="n">
        <v>606</v>
      </c>
      <c r="R110" s="8" t="n">
        <v>221</v>
      </c>
      <c r="S110" s="8" t="s">
        <v>94</v>
      </c>
      <c r="T110" s="8" t="s">
        <v>243</v>
      </c>
      <c r="U110" s="8" t="s">
        <v>244</v>
      </c>
      <c r="V110" s="8"/>
      <c r="W110" s="8" t="s">
        <v>245</v>
      </c>
      <c r="X110" s="8" t="s">
        <v>246</v>
      </c>
      <c r="Y110" s="8" t="s">
        <v>2377</v>
      </c>
      <c r="Z110" s="8"/>
    </row>
    <row r="111" customFormat="false" ht="15" hidden="false" customHeight="false" outlineLevel="0" collapsed="false">
      <c r="A111" s="8" t="s">
        <v>242</v>
      </c>
      <c r="B111" s="8" t="s">
        <v>19</v>
      </c>
      <c r="C111" s="8" t="s">
        <v>20</v>
      </c>
      <c r="D111" s="8" t="s">
        <v>615</v>
      </c>
      <c r="E111" s="8" t="s">
        <v>36</v>
      </c>
      <c r="F111" s="8" t="s">
        <v>48</v>
      </c>
      <c r="G111" s="8" t="s">
        <v>32</v>
      </c>
      <c r="H111" s="8" t="s">
        <v>32</v>
      </c>
      <c r="I111" s="8" t="n">
        <f aca="false">IF(EXACT(G111,H111),1,0)</f>
        <v>1</v>
      </c>
      <c r="J111" s="8" t="n">
        <v>1</v>
      </c>
      <c r="K111" s="8" t="s">
        <v>92</v>
      </c>
      <c r="L111" s="8" t="n">
        <v>0</v>
      </c>
      <c r="M111" s="8" t="n">
        <v>0</v>
      </c>
      <c r="N111" s="8"/>
      <c r="O111" s="8" t="n">
        <v>1</v>
      </c>
      <c r="P111" s="10" t="n">
        <v>4.88</v>
      </c>
      <c r="Q111" s="8" t="n">
        <v>606</v>
      </c>
      <c r="R111" s="8" t="n">
        <v>223</v>
      </c>
      <c r="S111" s="8" t="s">
        <v>94</v>
      </c>
      <c r="T111" s="8" t="s">
        <v>243</v>
      </c>
      <c r="U111" s="8" t="s">
        <v>244</v>
      </c>
      <c r="V111" s="8"/>
      <c r="W111" s="8" t="s">
        <v>245</v>
      </c>
      <c r="X111" s="8" t="s">
        <v>246</v>
      </c>
      <c r="Y111" s="8" t="s">
        <v>2378</v>
      </c>
      <c r="Z111" s="8"/>
    </row>
    <row r="112" customFormat="false" ht="15" hidden="false" customHeight="false" outlineLevel="0" collapsed="false">
      <c r="A112" s="8" t="s">
        <v>242</v>
      </c>
      <c r="B112" s="8" t="s">
        <v>19</v>
      </c>
      <c r="C112" s="8" t="s">
        <v>20</v>
      </c>
      <c r="D112" s="8" t="s">
        <v>615</v>
      </c>
      <c r="E112" s="8" t="s">
        <v>36</v>
      </c>
      <c r="F112" s="8" t="s">
        <v>48</v>
      </c>
      <c r="G112" s="8" t="s">
        <v>32</v>
      </c>
      <c r="H112" s="8" t="s">
        <v>32</v>
      </c>
      <c r="I112" s="8" t="n">
        <f aca="false">IF(EXACT(G112,H112),1,0)</f>
        <v>1</v>
      </c>
      <c r="J112" s="8" t="n">
        <v>2</v>
      </c>
      <c r="K112" s="8" t="s">
        <v>92</v>
      </c>
      <c r="L112" s="8" t="n">
        <v>0</v>
      </c>
      <c r="M112" s="8" t="n">
        <v>0</v>
      </c>
      <c r="N112" s="8"/>
      <c r="O112" s="8" t="n">
        <v>1</v>
      </c>
      <c r="P112" s="10" t="n">
        <v>5.21</v>
      </c>
      <c r="Q112" s="8" t="n">
        <v>606</v>
      </c>
      <c r="R112" s="8" t="n">
        <v>217</v>
      </c>
      <c r="S112" s="8" t="s">
        <v>94</v>
      </c>
      <c r="T112" s="8" t="s">
        <v>243</v>
      </c>
      <c r="U112" s="8" t="s">
        <v>244</v>
      </c>
      <c r="V112" s="8"/>
      <c r="W112" s="8" t="s">
        <v>245</v>
      </c>
      <c r="X112" s="8" t="s">
        <v>246</v>
      </c>
      <c r="Y112" s="8" t="s">
        <v>2379</v>
      </c>
      <c r="Z112" s="8"/>
    </row>
    <row r="113" customFormat="false" ht="15" hidden="false" customHeight="false" outlineLevel="0" collapsed="false">
      <c r="A113" s="8" t="s">
        <v>247</v>
      </c>
      <c r="B113" s="8" t="s">
        <v>19</v>
      </c>
      <c r="C113" s="8" t="s">
        <v>20</v>
      </c>
      <c r="D113" s="8" t="s">
        <v>615</v>
      </c>
      <c r="E113" s="8" t="s">
        <v>36</v>
      </c>
      <c r="F113" s="8" t="s">
        <v>48</v>
      </c>
      <c r="G113" s="8" t="s">
        <v>30</v>
      </c>
      <c r="H113" s="8" t="s">
        <v>30</v>
      </c>
      <c r="I113" s="8" t="n">
        <f aca="false">IF(EXACT(G113,H113),1,0)</f>
        <v>1</v>
      </c>
      <c r="J113" s="8" t="n">
        <v>0</v>
      </c>
      <c r="K113" s="8" t="s">
        <v>92</v>
      </c>
      <c r="L113" s="8" t="n">
        <v>0</v>
      </c>
      <c r="M113" s="8" t="n">
        <v>0</v>
      </c>
      <c r="N113" s="8"/>
      <c r="O113" s="8" t="n">
        <v>1</v>
      </c>
      <c r="P113" s="10" t="n">
        <v>7.44</v>
      </c>
      <c r="Q113" s="8" t="n">
        <v>635</v>
      </c>
      <c r="R113" s="8" t="n">
        <v>295</v>
      </c>
      <c r="S113" s="8" t="s">
        <v>216</v>
      </c>
      <c r="T113" s="8" t="s">
        <v>243</v>
      </c>
      <c r="U113" s="8" t="s">
        <v>244</v>
      </c>
      <c r="V113" s="8"/>
      <c r="W113" s="8" t="s">
        <v>248</v>
      </c>
      <c r="X113" s="8" t="s">
        <v>249</v>
      </c>
      <c r="Y113" s="8" t="s">
        <v>2380</v>
      </c>
      <c r="Z113" s="8"/>
    </row>
    <row r="114" customFormat="false" ht="15" hidden="false" customHeight="false" outlineLevel="0" collapsed="false">
      <c r="A114" s="8" t="s">
        <v>247</v>
      </c>
      <c r="B114" s="8" t="s">
        <v>19</v>
      </c>
      <c r="C114" s="8" t="s">
        <v>20</v>
      </c>
      <c r="D114" s="8" t="s">
        <v>615</v>
      </c>
      <c r="E114" s="8" t="s">
        <v>36</v>
      </c>
      <c r="F114" s="8" t="s">
        <v>48</v>
      </c>
      <c r="G114" s="8" t="s">
        <v>30</v>
      </c>
      <c r="H114" s="8" t="s">
        <v>30</v>
      </c>
      <c r="I114" s="8" t="n">
        <f aca="false">IF(EXACT(G114,H114),1,0)</f>
        <v>1</v>
      </c>
      <c r="J114" s="8" t="n">
        <v>1</v>
      </c>
      <c r="K114" s="8" t="s">
        <v>92</v>
      </c>
      <c r="L114" s="8" t="n">
        <v>0</v>
      </c>
      <c r="M114" s="8" t="n">
        <v>0</v>
      </c>
      <c r="N114" s="8"/>
      <c r="O114" s="8" t="n">
        <v>1</v>
      </c>
      <c r="P114" s="10" t="n">
        <v>11.34</v>
      </c>
      <c r="Q114" s="8" t="n">
        <v>635</v>
      </c>
      <c r="R114" s="8" t="n">
        <v>392</v>
      </c>
      <c r="S114" s="8" t="s">
        <v>216</v>
      </c>
      <c r="T114" s="8" t="s">
        <v>243</v>
      </c>
      <c r="U114" s="8" t="s">
        <v>244</v>
      </c>
      <c r="V114" s="8"/>
      <c r="W114" s="8" t="s">
        <v>248</v>
      </c>
      <c r="X114" s="8" t="s">
        <v>249</v>
      </c>
      <c r="Y114" s="8" t="s">
        <v>2381</v>
      </c>
      <c r="Z114" s="8"/>
    </row>
    <row r="115" customFormat="false" ht="15" hidden="false" customHeight="false" outlineLevel="0" collapsed="false">
      <c r="A115" s="8" t="s">
        <v>247</v>
      </c>
      <c r="B115" s="8" t="s">
        <v>19</v>
      </c>
      <c r="C115" s="8" t="s">
        <v>20</v>
      </c>
      <c r="D115" s="8" t="s">
        <v>615</v>
      </c>
      <c r="E115" s="8" t="s">
        <v>36</v>
      </c>
      <c r="F115" s="8" t="s">
        <v>48</v>
      </c>
      <c r="G115" s="8" t="s">
        <v>30</v>
      </c>
      <c r="H115" s="8" t="s">
        <v>30</v>
      </c>
      <c r="I115" s="8" t="n">
        <f aca="false">IF(EXACT(G115,H115),1,0)</f>
        <v>1</v>
      </c>
      <c r="J115" s="8" t="n">
        <v>2</v>
      </c>
      <c r="K115" s="8" t="s">
        <v>92</v>
      </c>
      <c r="L115" s="8" t="n">
        <v>0</v>
      </c>
      <c r="M115" s="8" t="n">
        <v>0</v>
      </c>
      <c r="N115" s="8"/>
      <c r="O115" s="8" t="n">
        <v>1</v>
      </c>
      <c r="P115" s="10" t="n">
        <v>7.89</v>
      </c>
      <c r="Q115" s="8" t="n">
        <v>635</v>
      </c>
      <c r="R115" s="8" t="n">
        <v>343</v>
      </c>
      <c r="S115" s="8" t="s">
        <v>216</v>
      </c>
      <c r="T115" s="8" t="s">
        <v>243</v>
      </c>
      <c r="U115" s="8" t="s">
        <v>244</v>
      </c>
      <c r="V115" s="8"/>
      <c r="W115" s="8" t="s">
        <v>248</v>
      </c>
      <c r="X115" s="8" t="s">
        <v>249</v>
      </c>
      <c r="Y115" s="8" t="s">
        <v>2382</v>
      </c>
      <c r="Z115" s="8"/>
    </row>
    <row r="116" customFormat="false" ht="15" hidden="false" customHeight="false" outlineLevel="0" collapsed="false">
      <c r="A116" s="8" t="s">
        <v>250</v>
      </c>
      <c r="B116" s="8" t="s">
        <v>19</v>
      </c>
      <c r="C116" s="8" t="s">
        <v>20</v>
      </c>
      <c r="D116" s="8" t="s">
        <v>615</v>
      </c>
      <c r="E116" s="8" t="s">
        <v>36</v>
      </c>
      <c r="F116" s="8" t="s">
        <v>48</v>
      </c>
      <c r="G116" s="8" t="s">
        <v>32</v>
      </c>
      <c r="H116" s="8" t="s">
        <v>32</v>
      </c>
      <c r="I116" s="8" t="n">
        <f aca="false">IF(EXACT(G116,H116),1,0)</f>
        <v>1</v>
      </c>
      <c r="J116" s="8" t="n">
        <v>0</v>
      </c>
      <c r="K116" s="8" t="s">
        <v>92</v>
      </c>
      <c r="L116" s="8" t="n">
        <v>0</v>
      </c>
      <c r="M116" s="8" t="n">
        <v>0</v>
      </c>
      <c r="N116" s="8"/>
      <c r="O116" s="8" t="n">
        <v>1</v>
      </c>
      <c r="P116" s="10" t="n">
        <v>9.25</v>
      </c>
      <c r="Q116" s="8" t="n">
        <v>654</v>
      </c>
      <c r="R116" s="8" t="n">
        <v>409</v>
      </c>
      <c r="S116" s="8" t="s">
        <v>251</v>
      </c>
      <c r="T116" s="8" t="s">
        <v>243</v>
      </c>
      <c r="U116" s="8" t="s">
        <v>244</v>
      </c>
      <c r="V116" s="8"/>
      <c r="W116" s="8" t="s">
        <v>252</v>
      </c>
      <c r="X116" s="8" t="s">
        <v>253</v>
      </c>
      <c r="Y116" s="8" t="s">
        <v>2383</v>
      </c>
      <c r="Z116" s="8"/>
    </row>
    <row r="117" customFormat="false" ht="15" hidden="false" customHeight="false" outlineLevel="0" collapsed="false">
      <c r="A117" s="8" t="s">
        <v>250</v>
      </c>
      <c r="B117" s="8" t="s">
        <v>19</v>
      </c>
      <c r="C117" s="8" t="s">
        <v>20</v>
      </c>
      <c r="D117" s="8" t="s">
        <v>615</v>
      </c>
      <c r="E117" s="8" t="s">
        <v>36</v>
      </c>
      <c r="F117" s="8" t="s">
        <v>48</v>
      </c>
      <c r="G117" s="8" t="s">
        <v>32</v>
      </c>
      <c r="H117" s="8" t="s">
        <v>30</v>
      </c>
      <c r="I117" s="8" t="n">
        <f aca="false">IF(EXACT(G117,H117),1,0)</f>
        <v>0</v>
      </c>
      <c r="J117" s="8" t="n">
        <v>1</v>
      </c>
      <c r="K117" s="8" t="s">
        <v>92</v>
      </c>
      <c r="L117" s="8" t="n">
        <v>0</v>
      </c>
      <c r="M117" s="8" t="n">
        <v>0</v>
      </c>
      <c r="N117" s="8"/>
      <c r="O117" s="8" t="n">
        <v>1</v>
      </c>
      <c r="P117" s="10" t="n">
        <v>10.89</v>
      </c>
      <c r="Q117" s="8" t="n">
        <v>654</v>
      </c>
      <c r="R117" s="8" t="n">
        <v>496</v>
      </c>
      <c r="S117" s="8" t="s">
        <v>251</v>
      </c>
      <c r="T117" s="8" t="s">
        <v>243</v>
      </c>
      <c r="U117" s="8" t="s">
        <v>244</v>
      </c>
      <c r="V117" s="8"/>
      <c r="W117" s="8" t="s">
        <v>252</v>
      </c>
      <c r="X117" s="8" t="s">
        <v>253</v>
      </c>
      <c r="Y117" s="8" t="s">
        <v>2384</v>
      </c>
      <c r="Z117" s="8"/>
    </row>
    <row r="118" customFormat="false" ht="15" hidden="false" customHeight="false" outlineLevel="0" collapsed="false">
      <c r="A118" s="8" t="s">
        <v>250</v>
      </c>
      <c r="B118" s="8" t="s">
        <v>19</v>
      </c>
      <c r="C118" s="8" t="s">
        <v>20</v>
      </c>
      <c r="D118" s="8" t="s">
        <v>615</v>
      </c>
      <c r="E118" s="8" t="s">
        <v>36</v>
      </c>
      <c r="F118" s="8" t="s">
        <v>48</v>
      </c>
      <c r="G118" s="8" t="s">
        <v>32</v>
      </c>
      <c r="H118" s="8" t="s">
        <v>32</v>
      </c>
      <c r="I118" s="8" t="n">
        <f aca="false">IF(EXACT(G118,H118),1,0)</f>
        <v>1</v>
      </c>
      <c r="J118" s="8" t="n">
        <v>2</v>
      </c>
      <c r="K118" s="8" t="s">
        <v>92</v>
      </c>
      <c r="L118" s="8" t="n">
        <v>0</v>
      </c>
      <c r="M118" s="8" t="n">
        <v>0</v>
      </c>
      <c r="N118" s="8"/>
      <c r="O118" s="8" t="n">
        <v>1</v>
      </c>
      <c r="P118" s="10" t="n">
        <v>10.83</v>
      </c>
      <c r="Q118" s="8" t="n">
        <v>654</v>
      </c>
      <c r="R118" s="8" t="n">
        <v>466</v>
      </c>
      <c r="S118" s="8" t="s">
        <v>251</v>
      </c>
      <c r="T118" s="8" t="s">
        <v>243</v>
      </c>
      <c r="U118" s="8" t="s">
        <v>244</v>
      </c>
      <c r="V118" s="8"/>
      <c r="W118" s="8" t="s">
        <v>252</v>
      </c>
      <c r="X118" s="8" t="s">
        <v>253</v>
      </c>
      <c r="Y118" s="8" t="s">
        <v>2385</v>
      </c>
      <c r="Z118" s="8"/>
    </row>
    <row r="119" customFormat="false" ht="15" hidden="false" customHeight="false" outlineLevel="0" collapsed="false">
      <c r="A119" s="8" t="s">
        <v>254</v>
      </c>
      <c r="B119" s="8" t="s">
        <v>19</v>
      </c>
      <c r="C119" s="8" t="s">
        <v>20</v>
      </c>
      <c r="D119" s="8" t="s">
        <v>615</v>
      </c>
      <c r="E119" s="8" t="s">
        <v>36</v>
      </c>
      <c r="F119" s="8" t="s">
        <v>48</v>
      </c>
      <c r="G119" s="8" t="s">
        <v>31</v>
      </c>
      <c r="H119" s="8" t="s">
        <v>31</v>
      </c>
      <c r="I119" s="8" t="n">
        <f aca="false">IF(EXACT(G119,H119),1,0)</f>
        <v>1</v>
      </c>
      <c r="J119" s="8" t="n">
        <v>0</v>
      </c>
      <c r="K119" s="8" t="s">
        <v>116</v>
      </c>
      <c r="L119" s="8" t="n">
        <v>1</v>
      </c>
      <c r="M119" s="8" t="n">
        <v>0</v>
      </c>
      <c r="N119" s="8"/>
      <c r="O119" s="8" t="n">
        <v>1</v>
      </c>
      <c r="P119" s="10" t="n">
        <v>8.86</v>
      </c>
      <c r="Q119" s="8" t="n">
        <v>647</v>
      </c>
      <c r="R119" s="8" t="n">
        <v>426</v>
      </c>
      <c r="S119" s="8" t="s">
        <v>255</v>
      </c>
      <c r="T119" s="8" t="s">
        <v>256</v>
      </c>
      <c r="U119" s="8" t="s">
        <v>257</v>
      </c>
      <c r="V119" s="8"/>
      <c r="W119" s="8" t="s">
        <v>258</v>
      </c>
      <c r="X119" s="8" t="s">
        <v>259</v>
      </c>
      <c r="Y119" s="8" t="s">
        <v>2386</v>
      </c>
      <c r="Z119" s="8" t="s">
        <v>2387</v>
      </c>
    </row>
    <row r="120" customFormat="false" ht="15" hidden="false" customHeight="false" outlineLevel="0" collapsed="false">
      <c r="A120" s="8" t="s">
        <v>254</v>
      </c>
      <c r="B120" s="8" t="s">
        <v>19</v>
      </c>
      <c r="C120" s="8" t="s">
        <v>20</v>
      </c>
      <c r="D120" s="8" t="s">
        <v>615</v>
      </c>
      <c r="E120" s="8" t="s">
        <v>36</v>
      </c>
      <c r="F120" s="8" t="s">
        <v>48</v>
      </c>
      <c r="G120" s="8" t="s">
        <v>31</v>
      </c>
      <c r="H120" s="8" t="s">
        <v>31</v>
      </c>
      <c r="I120" s="8" t="n">
        <f aca="false">IF(EXACT(G120,H120),1,0)</f>
        <v>1</v>
      </c>
      <c r="J120" s="8" t="n">
        <v>1</v>
      </c>
      <c r="K120" s="8" t="s">
        <v>116</v>
      </c>
      <c r="L120" s="8" t="n">
        <v>1</v>
      </c>
      <c r="M120" s="8" t="n">
        <v>0</v>
      </c>
      <c r="N120" s="8"/>
      <c r="O120" s="8" t="n">
        <v>1</v>
      </c>
      <c r="P120" s="10" t="n">
        <v>8.4</v>
      </c>
      <c r="Q120" s="8" t="n">
        <v>647</v>
      </c>
      <c r="R120" s="8" t="n">
        <v>418</v>
      </c>
      <c r="S120" s="8" t="s">
        <v>255</v>
      </c>
      <c r="T120" s="8" t="s">
        <v>256</v>
      </c>
      <c r="U120" s="8" t="s">
        <v>257</v>
      </c>
      <c r="V120" s="8"/>
      <c r="W120" s="8" t="s">
        <v>258</v>
      </c>
      <c r="X120" s="8" t="s">
        <v>259</v>
      </c>
      <c r="Y120" s="8" t="s">
        <v>2388</v>
      </c>
      <c r="Z120" s="8" t="s">
        <v>2389</v>
      </c>
    </row>
    <row r="121" customFormat="false" ht="15" hidden="false" customHeight="false" outlineLevel="0" collapsed="false">
      <c r="A121" s="8" t="s">
        <v>254</v>
      </c>
      <c r="B121" s="8" t="s">
        <v>19</v>
      </c>
      <c r="C121" s="8" t="s">
        <v>20</v>
      </c>
      <c r="D121" s="8" t="s">
        <v>615</v>
      </c>
      <c r="E121" s="8" t="s">
        <v>36</v>
      </c>
      <c r="F121" s="8" t="s">
        <v>48</v>
      </c>
      <c r="G121" s="8" t="s">
        <v>31</v>
      </c>
      <c r="H121" s="8" t="s">
        <v>31</v>
      </c>
      <c r="I121" s="8" t="n">
        <f aca="false">IF(EXACT(G121,H121),1,0)</f>
        <v>1</v>
      </c>
      <c r="J121" s="8" t="n">
        <v>2</v>
      </c>
      <c r="K121" s="8" t="s">
        <v>116</v>
      </c>
      <c r="L121" s="8" t="n">
        <v>1</v>
      </c>
      <c r="M121" s="8" t="n">
        <v>0</v>
      </c>
      <c r="N121" s="8"/>
      <c r="O121" s="8" t="n">
        <v>1</v>
      </c>
      <c r="P121" s="10" t="n">
        <v>9.11</v>
      </c>
      <c r="Q121" s="8" t="n">
        <v>647</v>
      </c>
      <c r="R121" s="8" t="n">
        <v>435</v>
      </c>
      <c r="S121" s="8" t="s">
        <v>255</v>
      </c>
      <c r="T121" s="8" t="s">
        <v>256</v>
      </c>
      <c r="U121" s="8" t="s">
        <v>257</v>
      </c>
      <c r="V121" s="8"/>
      <c r="W121" s="8" t="s">
        <v>258</v>
      </c>
      <c r="X121" s="8" t="s">
        <v>259</v>
      </c>
      <c r="Y121" s="8" t="s">
        <v>2390</v>
      </c>
      <c r="Z121" s="8" t="s">
        <v>2391</v>
      </c>
    </row>
    <row r="122" customFormat="false" ht="15" hidden="false" customHeight="false" outlineLevel="0" collapsed="false">
      <c r="A122" s="8" t="s">
        <v>261</v>
      </c>
      <c r="B122" s="8" t="s">
        <v>19</v>
      </c>
      <c r="C122" s="8" t="s">
        <v>20</v>
      </c>
      <c r="D122" s="8" t="s">
        <v>615</v>
      </c>
      <c r="E122" s="8" t="s">
        <v>36</v>
      </c>
      <c r="F122" s="8" t="s">
        <v>48</v>
      </c>
      <c r="G122" s="8" t="s">
        <v>30</v>
      </c>
      <c r="H122" s="8" t="s">
        <v>31</v>
      </c>
      <c r="I122" s="8" t="n">
        <f aca="false">IF(EXACT(G122,H122),1,0)</f>
        <v>0</v>
      </c>
      <c r="J122" s="8" t="n">
        <v>0</v>
      </c>
      <c r="K122" s="8" t="s">
        <v>116</v>
      </c>
      <c r="L122" s="8" t="n">
        <v>1</v>
      </c>
      <c r="M122" s="8" t="n">
        <v>0</v>
      </c>
      <c r="N122" s="8"/>
      <c r="O122" s="8" t="n">
        <v>1</v>
      </c>
      <c r="P122" s="10" t="n">
        <v>13.59</v>
      </c>
      <c r="Q122" s="8" t="n">
        <v>646</v>
      </c>
      <c r="R122" s="8" t="n">
        <v>625</v>
      </c>
      <c r="S122" s="8" t="s">
        <v>262</v>
      </c>
      <c r="T122" s="8" t="s">
        <v>256</v>
      </c>
      <c r="U122" s="8" t="s">
        <v>257</v>
      </c>
      <c r="V122" s="8"/>
      <c r="W122" s="8" t="s">
        <v>263</v>
      </c>
      <c r="X122" s="8" t="s">
        <v>264</v>
      </c>
      <c r="Y122" s="8" t="s">
        <v>2392</v>
      </c>
      <c r="Z122" s="8" t="s">
        <v>2393</v>
      </c>
    </row>
    <row r="123" customFormat="false" ht="15" hidden="false" customHeight="false" outlineLevel="0" collapsed="false">
      <c r="A123" s="8" t="s">
        <v>261</v>
      </c>
      <c r="B123" s="8" t="s">
        <v>19</v>
      </c>
      <c r="C123" s="8" t="s">
        <v>20</v>
      </c>
      <c r="D123" s="8" t="s">
        <v>615</v>
      </c>
      <c r="E123" s="8" t="s">
        <v>36</v>
      </c>
      <c r="F123" s="8" t="s">
        <v>48</v>
      </c>
      <c r="G123" s="8" t="s">
        <v>30</v>
      </c>
      <c r="H123" s="8" t="s">
        <v>31</v>
      </c>
      <c r="I123" s="8" t="n">
        <f aca="false">IF(EXACT(G123,H123),1,0)</f>
        <v>0</v>
      </c>
      <c r="J123" s="8" t="n">
        <v>1</v>
      </c>
      <c r="K123" s="8" t="s">
        <v>116</v>
      </c>
      <c r="L123" s="8" t="n">
        <v>1</v>
      </c>
      <c r="M123" s="8" t="n">
        <v>0</v>
      </c>
      <c r="N123" s="8"/>
      <c r="O123" s="8" t="n">
        <v>1</v>
      </c>
      <c r="P123" s="10" t="n">
        <v>13.18</v>
      </c>
      <c r="Q123" s="8" t="n">
        <v>646</v>
      </c>
      <c r="R123" s="8" t="n">
        <v>561</v>
      </c>
      <c r="S123" s="8" t="s">
        <v>262</v>
      </c>
      <c r="T123" s="8" t="s">
        <v>256</v>
      </c>
      <c r="U123" s="8" t="s">
        <v>257</v>
      </c>
      <c r="V123" s="8"/>
      <c r="W123" s="8" t="s">
        <v>263</v>
      </c>
      <c r="X123" s="8" t="s">
        <v>264</v>
      </c>
      <c r="Y123" s="8" t="s">
        <v>2394</v>
      </c>
      <c r="Z123" s="8" t="s">
        <v>2395</v>
      </c>
    </row>
    <row r="124" customFormat="false" ht="15" hidden="false" customHeight="false" outlineLevel="0" collapsed="false">
      <c r="A124" s="8" t="s">
        <v>261</v>
      </c>
      <c r="B124" s="8" t="s">
        <v>19</v>
      </c>
      <c r="C124" s="8" t="s">
        <v>20</v>
      </c>
      <c r="D124" s="8" t="s">
        <v>615</v>
      </c>
      <c r="E124" s="8" t="s">
        <v>36</v>
      </c>
      <c r="F124" s="8" t="s">
        <v>48</v>
      </c>
      <c r="G124" s="8" t="s">
        <v>30</v>
      </c>
      <c r="H124" s="8" t="s">
        <v>31</v>
      </c>
      <c r="I124" s="8" t="n">
        <f aca="false">IF(EXACT(G124,H124),1,0)</f>
        <v>0</v>
      </c>
      <c r="J124" s="8" t="n">
        <v>2</v>
      </c>
      <c r="K124" s="8" t="s">
        <v>116</v>
      </c>
      <c r="L124" s="8" t="n">
        <v>1</v>
      </c>
      <c r="M124" s="8" t="n">
        <v>0</v>
      </c>
      <c r="N124" s="8"/>
      <c r="O124" s="8" t="n">
        <v>1</v>
      </c>
      <c r="P124" s="10" t="n">
        <v>9.08</v>
      </c>
      <c r="Q124" s="8" t="n">
        <v>646</v>
      </c>
      <c r="R124" s="8" t="n">
        <v>407</v>
      </c>
      <c r="S124" s="8" t="s">
        <v>262</v>
      </c>
      <c r="T124" s="8" t="s">
        <v>256</v>
      </c>
      <c r="U124" s="8" t="s">
        <v>257</v>
      </c>
      <c r="V124" s="8"/>
      <c r="W124" s="8" t="s">
        <v>263</v>
      </c>
      <c r="X124" s="8" t="s">
        <v>264</v>
      </c>
      <c r="Y124" s="8" t="s">
        <v>2396</v>
      </c>
      <c r="Z124" s="8" t="s">
        <v>2397</v>
      </c>
    </row>
    <row r="125" customFormat="false" ht="15" hidden="false" customHeight="false" outlineLevel="0" collapsed="false">
      <c r="A125" s="8" t="s">
        <v>265</v>
      </c>
      <c r="B125" s="8" t="s">
        <v>19</v>
      </c>
      <c r="C125" s="8" t="s">
        <v>20</v>
      </c>
      <c r="D125" s="8" t="s">
        <v>615</v>
      </c>
      <c r="E125" s="8" t="s">
        <v>36</v>
      </c>
      <c r="F125" s="8" t="s">
        <v>48</v>
      </c>
      <c r="G125" s="8" t="s">
        <v>31</v>
      </c>
      <c r="H125" s="8" t="s">
        <v>31</v>
      </c>
      <c r="I125" s="8" t="n">
        <f aca="false">IF(EXACT(G125,H125),1,0)</f>
        <v>1</v>
      </c>
      <c r="J125" s="8" t="n">
        <v>0</v>
      </c>
      <c r="K125" s="8" t="s">
        <v>737</v>
      </c>
      <c r="L125" s="8" t="n">
        <v>1</v>
      </c>
      <c r="M125" s="8" t="n">
        <v>0</v>
      </c>
      <c r="N125" s="8"/>
      <c r="O125" s="8" t="n">
        <v>1</v>
      </c>
      <c r="P125" s="10" t="n">
        <v>8.92</v>
      </c>
      <c r="Q125" s="8" t="n">
        <v>620</v>
      </c>
      <c r="R125" s="8" t="n">
        <v>423</v>
      </c>
      <c r="S125" s="8" t="s">
        <v>117</v>
      </c>
      <c r="T125" s="8" t="s">
        <v>256</v>
      </c>
      <c r="U125" s="8" t="s">
        <v>257</v>
      </c>
      <c r="V125" s="8"/>
      <c r="W125" s="8" t="s">
        <v>266</v>
      </c>
      <c r="X125" s="8" t="s">
        <v>267</v>
      </c>
      <c r="Y125" s="8" t="s">
        <v>2398</v>
      </c>
      <c r="Z125" s="8" t="s">
        <v>2399</v>
      </c>
    </row>
    <row r="126" customFormat="false" ht="15" hidden="false" customHeight="false" outlineLevel="0" collapsed="false">
      <c r="A126" s="8" t="s">
        <v>265</v>
      </c>
      <c r="B126" s="8" t="s">
        <v>19</v>
      </c>
      <c r="C126" s="8" t="s">
        <v>20</v>
      </c>
      <c r="D126" s="8" t="s">
        <v>615</v>
      </c>
      <c r="E126" s="8" t="s">
        <v>36</v>
      </c>
      <c r="F126" s="8" t="s">
        <v>48</v>
      </c>
      <c r="G126" s="8" t="s">
        <v>31</v>
      </c>
      <c r="H126" s="8" t="s">
        <v>31</v>
      </c>
      <c r="I126" s="8" t="n">
        <f aca="false">IF(EXACT(G126,H126),1,0)</f>
        <v>1</v>
      </c>
      <c r="J126" s="8" t="n">
        <v>1</v>
      </c>
      <c r="K126" s="8" t="s">
        <v>737</v>
      </c>
      <c r="L126" s="8" t="n">
        <v>1</v>
      </c>
      <c r="M126" s="8" t="n">
        <v>0</v>
      </c>
      <c r="N126" s="8"/>
      <c r="O126" s="8" t="n">
        <v>1</v>
      </c>
      <c r="P126" s="10" t="n">
        <v>9.16</v>
      </c>
      <c r="Q126" s="8" t="n">
        <v>620</v>
      </c>
      <c r="R126" s="8" t="n">
        <v>476</v>
      </c>
      <c r="S126" s="8" t="s">
        <v>117</v>
      </c>
      <c r="T126" s="8" t="s">
        <v>256</v>
      </c>
      <c r="U126" s="8" t="s">
        <v>257</v>
      </c>
      <c r="V126" s="8"/>
      <c r="W126" s="8" t="s">
        <v>266</v>
      </c>
      <c r="X126" s="8" t="s">
        <v>267</v>
      </c>
      <c r="Y126" s="8" t="s">
        <v>2400</v>
      </c>
      <c r="Z126" s="8" t="s">
        <v>2401</v>
      </c>
    </row>
    <row r="127" customFormat="false" ht="15" hidden="false" customHeight="false" outlineLevel="0" collapsed="false">
      <c r="A127" s="8" t="s">
        <v>265</v>
      </c>
      <c r="B127" s="8" t="s">
        <v>19</v>
      </c>
      <c r="C127" s="8" t="s">
        <v>20</v>
      </c>
      <c r="D127" s="8" t="s">
        <v>615</v>
      </c>
      <c r="E127" s="8" t="s">
        <v>36</v>
      </c>
      <c r="F127" s="8" t="s">
        <v>48</v>
      </c>
      <c r="G127" s="8" t="s">
        <v>31</v>
      </c>
      <c r="H127" s="8" t="s">
        <v>31</v>
      </c>
      <c r="I127" s="8" t="n">
        <f aca="false">IF(EXACT(G127,H127),1,0)</f>
        <v>1</v>
      </c>
      <c r="J127" s="8" t="n">
        <v>2</v>
      </c>
      <c r="K127" s="8" t="s">
        <v>737</v>
      </c>
      <c r="L127" s="8" t="n">
        <v>1</v>
      </c>
      <c r="M127" s="8" t="n">
        <v>0</v>
      </c>
      <c r="N127" s="8"/>
      <c r="O127" s="8" t="n">
        <v>1</v>
      </c>
      <c r="P127" s="10" t="n">
        <v>8.03</v>
      </c>
      <c r="Q127" s="8" t="n">
        <v>620</v>
      </c>
      <c r="R127" s="8" t="n">
        <v>414</v>
      </c>
      <c r="S127" s="8" t="s">
        <v>117</v>
      </c>
      <c r="T127" s="8" t="s">
        <v>256</v>
      </c>
      <c r="U127" s="8" t="s">
        <v>257</v>
      </c>
      <c r="V127" s="8"/>
      <c r="W127" s="8" t="s">
        <v>266</v>
      </c>
      <c r="X127" s="8" t="s">
        <v>267</v>
      </c>
      <c r="Y127" s="8" t="s">
        <v>2402</v>
      </c>
      <c r="Z127" s="8" t="s">
        <v>2403</v>
      </c>
    </row>
    <row r="128" customFormat="false" ht="15" hidden="false" customHeight="false" outlineLevel="0" collapsed="false">
      <c r="A128" s="8" t="s">
        <v>268</v>
      </c>
      <c r="B128" s="8" t="s">
        <v>19</v>
      </c>
      <c r="C128" s="8" t="s">
        <v>20</v>
      </c>
      <c r="D128" s="8" t="s">
        <v>615</v>
      </c>
      <c r="E128" s="8" t="s">
        <v>36</v>
      </c>
      <c r="F128" s="8" t="s">
        <v>47</v>
      </c>
      <c r="G128" s="8" t="s">
        <v>30</v>
      </c>
      <c r="H128" s="8" t="s">
        <v>30</v>
      </c>
      <c r="I128" s="8" t="n">
        <f aca="false">IF(EXACT(G128,H128),1,0)</f>
        <v>1</v>
      </c>
      <c r="J128" s="8" t="n">
        <v>0</v>
      </c>
      <c r="K128" s="8" t="s">
        <v>92</v>
      </c>
      <c r="L128" s="8" t="n">
        <v>0</v>
      </c>
      <c r="M128" s="8" t="n">
        <v>0</v>
      </c>
      <c r="N128" s="8"/>
      <c r="O128" s="8" t="n">
        <v>1</v>
      </c>
      <c r="P128" s="10" t="n">
        <v>40.91</v>
      </c>
      <c r="Q128" s="8" t="n">
        <v>618</v>
      </c>
      <c r="R128" s="8" t="n">
        <v>354</v>
      </c>
      <c r="S128" s="8" t="s">
        <v>262</v>
      </c>
      <c r="T128" s="8" t="s">
        <v>269</v>
      </c>
      <c r="U128" s="8" t="s">
        <v>270</v>
      </c>
      <c r="V128" s="8"/>
      <c r="W128" s="8" t="s">
        <v>271</v>
      </c>
      <c r="X128" s="8" t="s">
        <v>272</v>
      </c>
      <c r="Y128" s="8" t="s">
        <v>2404</v>
      </c>
      <c r="Z128" s="8"/>
    </row>
    <row r="129" customFormat="false" ht="15" hidden="false" customHeight="false" outlineLevel="0" collapsed="false">
      <c r="A129" s="8" t="s">
        <v>268</v>
      </c>
      <c r="B129" s="8" t="s">
        <v>19</v>
      </c>
      <c r="C129" s="8" t="s">
        <v>20</v>
      </c>
      <c r="D129" s="8" t="s">
        <v>615</v>
      </c>
      <c r="E129" s="8" t="s">
        <v>36</v>
      </c>
      <c r="F129" s="8" t="s">
        <v>47</v>
      </c>
      <c r="G129" s="8" t="s">
        <v>30</v>
      </c>
      <c r="H129" s="8" t="s">
        <v>30</v>
      </c>
      <c r="I129" s="8" t="n">
        <f aca="false">IF(EXACT(G129,H129),1,0)</f>
        <v>1</v>
      </c>
      <c r="J129" s="8" t="n">
        <v>1</v>
      </c>
      <c r="K129" s="8" t="s">
        <v>92</v>
      </c>
      <c r="L129" s="8" t="n">
        <v>0</v>
      </c>
      <c r="M129" s="8" t="n">
        <v>0</v>
      </c>
      <c r="N129" s="8"/>
      <c r="O129" s="8" t="n">
        <v>1</v>
      </c>
      <c r="P129" s="10" t="n">
        <v>9.14</v>
      </c>
      <c r="Q129" s="8" t="n">
        <v>618</v>
      </c>
      <c r="R129" s="8" t="n">
        <v>307</v>
      </c>
      <c r="S129" s="8" t="s">
        <v>262</v>
      </c>
      <c r="T129" s="8" t="s">
        <v>269</v>
      </c>
      <c r="U129" s="8" t="s">
        <v>270</v>
      </c>
      <c r="V129" s="8"/>
      <c r="W129" s="8" t="s">
        <v>271</v>
      </c>
      <c r="X129" s="8" t="s">
        <v>272</v>
      </c>
      <c r="Y129" s="8" t="s">
        <v>2405</v>
      </c>
      <c r="Z129" s="8"/>
    </row>
    <row r="130" customFormat="false" ht="15" hidden="false" customHeight="false" outlineLevel="0" collapsed="false">
      <c r="A130" s="8" t="s">
        <v>268</v>
      </c>
      <c r="B130" s="8" t="s">
        <v>19</v>
      </c>
      <c r="C130" s="8" t="s">
        <v>20</v>
      </c>
      <c r="D130" s="8" t="s">
        <v>615</v>
      </c>
      <c r="E130" s="8" t="s">
        <v>36</v>
      </c>
      <c r="F130" s="8" t="s">
        <v>47</v>
      </c>
      <c r="G130" s="8" t="s">
        <v>30</v>
      </c>
      <c r="H130" s="8" t="s">
        <v>30</v>
      </c>
      <c r="I130" s="8" t="n">
        <f aca="false">IF(EXACT(G130,H130),1,0)</f>
        <v>1</v>
      </c>
      <c r="J130" s="8" t="n">
        <v>2</v>
      </c>
      <c r="K130" s="8" t="s">
        <v>92</v>
      </c>
      <c r="L130" s="8" t="n">
        <v>0</v>
      </c>
      <c r="M130" s="8" t="n">
        <v>0</v>
      </c>
      <c r="N130" s="8"/>
      <c r="O130" s="8" t="n">
        <v>1</v>
      </c>
      <c r="P130" s="10" t="n">
        <v>11.58</v>
      </c>
      <c r="Q130" s="8" t="n">
        <v>618</v>
      </c>
      <c r="R130" s="8" t="n">
        <v>381</v>
      </c>
      <c r="S130" s="8" t="s">
        <v>262</v>
      </c>
      <c r="T130" s="8" t="s">
        <v>269</v>
      </c>
      <c r="U130" s="8" t="s">
        <v>270</v>
      </c>
      <c r="V130" s="8"/>
      <c r="W130" s="8" t="s">
        <v>271</v>
      </c>
      <c r="X130" s="8" t="s">
        <v>272</v>
      </c>
      <c r="Y130" s="8" t="s">
        <v>2406</v>
      </c>
      <c r="Z130" s="8"/>
    </row>
    <row r="131" customFormat="false" ht="15" hidden="false" customHeight="false" outlineLevel="0" collapsed="false">
      <c r="A131" s="8" t="s">
        <v>273</v>
      </c>
      <c r="B131" s="8" t="s">
        <v>19</v>
      </c>
      <c r="C131" s="8" t="s">
        <v>20</v>
      </c>
      <c r="D131" s="8" t="s">
        <v>615</v>
      </c>
      <c r="E131" s="8" t="s">
        <v>36</v>
      </c>
      <c r="F131" s="8" t="s">
        <v>47</v>
      </c>
      <c r="G131" s="8" t="s">
        <v>30</v>
      </c>
      <c r="H131" s="8" t="s">
        <v>32</v>
      </c>
      <c r="I131" s="8" t="n">
        <f aca="false">IF(EXACT(G131,H131),1,0)</f>
        <v>0</v>
      </c>
      <c r="J131" s="8" t="n">
        <v>0</v>
      </c>
      <c r="K131" s="8" t="s">
        <v>92</v>
      </c>
      <c r="L131" s="8" t="n">
        <v>0</v>
      </c>
      <c r="M131" s="8" t="n">
        <v>0</v>
      </c>
      <c r="N131" s="8"/>
      <c r="O131" s="8" t="n">
        <v>1</v>
      </c>
      <c r="P131" s="10" t="n">
        <v>7.01</v>
      </c>
      <c r="Q131" s="8" t="n">
        <v>602</v>
      </c>
      <c r="R131" s="8" t="n">
        <v>266</v>
      </c>
      <c r="S131" s="8" t="s">
        <v>274</v>
      </c>
      <c r="T131" s="8" t="s">
        <v>269</v>
      </c>
      <c r="U131" s="8" t="s">
        <v>270</v>
      </c>
      <c r="V131" s="8"/>
      <c r="W131" s="8" t="s">
        <v>275</v>
      </c>
      <c r="X131" s="8" t="s">
        <v>276</v>
      </c>
      <c r="Y131" s="8" t="s">
        <v>2407</v>
      </c>
      <c r="Z131" s="8"/>
    </row>
    <row r="132" customFormat="false" ht="15" hidden="false" customHeight="false" outlineLevel="0" collapsed="false">
      <c r="A132" s="8" t="s">
        <v>273</v>
      </c>
      <c r="B132" s="8" t="s">
        <v>19</v>
      </c>
      <c r="C132" s="8" t="s">
        <v>20</v>
      </c>
      <c r="D132" s="8" t="s">
        <v>615</v>
      </c>
      <c r="E132" s="8" t="s">
        <v>36</v>
      </c>
      <c r="F132" s="8" t="s">
        <v>47</v>
      </c>
      <c r="G132" s="8" t="s">
        <v>30</v>
      </c>
      <c r="H132" s="8" t="s">
        <v>32</v>
      </c>
      <c r="I132" s="8" t="n">
        <f aca="false">IF(EXACT(G132,H132),1,0)</f>
        <v>0</v>
      </c>
      <c r="J132" s="8" t="n">
        <v>1</v>
      </c>
      <c r="K132" s="8" t="s">
        <v>92</v>
      </c>
      <c r="L132" s="8" t="n">
        <v>0</v>
      </c>
      <c r="M132" s="8" t="n">
        <v>0</v>
      </c>
      <c r="N132" s="8"/>
      <c r="O132" s="8" t="n">
        <v>1</v>
      </c>
      <c r="P132" s="10" t="n">
        <v>6.95</v>
      </c>
      <c r="Q132" s="8" t="n">
        <v>602</v>
      </c>
      <c r="R132" s="8" t="n">
        <v>298</v>
      </c>
      <c r="S132" s="8" t="s">
        <v>274</v>
      </c>
      <c r="T132" s="8" t="s">
        <v>269</v>
      </c>
      <c r="U132" s="8" t="s">
        <v>270</v>
      </c>
      <c r="V132" s="8"/>
      <c r="W132" s="8" t="s">
        <v>275</v>
      </c>
      <c r="X132" s="8" t="s">
        <v>276</v>
      </c>
      <c r="Y132" s="8" t="s">
        <v>2408</v>
      </c>
      <c r="Z132" s="8"/>
    </row>
    <row r="133" customFormat="false" ht="15" hidden="false" customHeight="false" outlineLevel="0" collapsed="false">
      <c r="A133" s="8" t="s">
        <v>273</v>
      </c>
      <c r="B133" s="8" t="s">
        <v>19</v>
      </c>
      <c r="C133" s="8" t="s">
        <v>20</v>
      </c>
      <c r="D133" s="8" t="s">
        <v>615</v>
      </c>
      <c r="E133" s="8" t="s">
        <v>36</v>
      </c>
      <c r="F133" s="8" t="s">
        <v>47</v>
      </c>
      <c r="G133" s="8" t="s">
        <v>30</v>
      </c>
      <c r="H133" s="8" t="s">
        <v>32</v>
      </c>
      <c r="I133" s="8" t="n">
        <f aca="false">IF(EXACT(G133,H133),1,0)</f>
        <v>0</v>
      </c>
      <c r="J133" s="8" t="n">
        <v>2</v>
      </c>
      <c r="K133" s="8" t="s">
        <v>92</v>
      </c>
      <c r="L133" s="8" t="n">
        <v>0</v>
      </c>
      <c r="M133" s="8" t="n">
        <v>0</v>
      </c>
      <c r="N133" s="8"/>
      <c r="O133" s="8" t="n">
        <v>1</v>
      </c>
      <c r="P133" s="10" t="n">
        <v>6.67</v>
      </c>
      <c r="Q133" s="8" t="n">
        <v>602</v>
      </c>
      <c r="R133" s="8" t="n">
        <v>256</v>
      </c>
      <c r="S133" s="8" t="s">
        <v>274</v>
      </c>
      <c r="T133" s="8" t="s">
        <v>269</v>
      </c>
      <c r="U133" s="8" t="s">
        <v>270</v>
      </c>
      <c r="V133" s="8"/>
      <c r="W133" s="8" t="s">
        <v>275</v>
      </c>
      <c r="X133" s="8" t="s">
        <v>276</v>
      </c>
      <c r="Y133" s="8" t="s">
        <v>2409</v>
      </c>
      <c r="Z133" s="8"/>
    </row>
    <row r="134" customFormat="false" ht="15" hidden="false" customHeight="false" outlineLevel="0" collapsed="false">
      <c r="A134" s="8" t="s">
        <v>277</v>
      </c>
      <c r="B134" s="8" t="s">
        <v>19</v>
      </c>
      <c r="C134" s="8" t="s">
        <v>20</v>
      </c>
      <c r="D134" s="8" t="s">
        <v>615</v>
      </c>
      <c r="E134" s="8" t="s">
        <v>36</v>
      </c>
      <c r="F134" s="8" t="s">
        <v>47</v>
      </c>
      <c r="G134" s="8" t="s">
        <v>31</v>
      </c>
      <c r="H134" s="8" t="s">
        <v>31</v>
      </c>
      <c r="I134" s="8" t="n">
        <f aca="false">IF(EXACT(G134,H134),1,0)</f>
        <v>1</v>
      </c>
      <c r="J134" s="8" t="n">
        <v>0</v>
      </c>
      <c r="K134" s="8" t="s">
        <v>116</v>
      </c>
      <c r="L134" s="8" t="n">
        <v>1</v>
      </c>
      <c r="M134" s="8" t="n">
        <v>0</v>
      </c>
      <c r="N134" s="8"/>
      <c r="O134" s="8" t="n">
        <v>1</v>
      </c>
      <c r="P134" s="10" t="n">
        <v>8.81</v>
      </c>
      <c r="Q134" s="8" t="n">
        <v>608</v>
      </c>
      <c r="R134" s="8" t="n">
        <v>456</v>
      </c>
      <c r="S134" s="8" t="s">
        <v>278</v>
      </c>
      <c r="T134" s="8" t="s">
        <v>269</v>
      </c>
      <c r="U134" s="8" t="s">
        <v>270</v>
      </c>
      <c r="V134" s="8"/>
      <c r="W134" s="8" t="s">
        <v>279</v>
      </c>
      <c r="X134" s="8" t="s">
        <v>280</v>
      </c>
      <c r="Y134" s="8" t="s">
        <v>2410</v>
      </c>
      <c r="Z134" s="8" t="s">
        <v>2411</v>
      </c>
    </row>
    <row r="135" customFormat="false" ht="15" hidden="false" customHeight="false" outlineLevel="0" collapsed="false">
      <c r="A135" s="8" t="s">
        <v>277</v>
      </c>
      <c r="B135" s="8" t="s">
        <v>19</v>
      </c>
      <c r="C135" s="8" t="s">
        <v>20</v>
      </c>
      <c r="D135" s="8" t="s">
        <v>615</v>
      </c>
      <c r="E135" s="8" t="s">
        <v>36</v>
      </c>
      <c r="F135" s="8" t="s">
        <v>47</v>
      </c>
      <c r="G135" s="8" t="s">
        <v>31</v>
      </c>
      <c r="H135" s="8" t="s">
        <v>31</v>
      </c>
      <c r="I135" s="8" t="n">
        <f aca="false">IF(EXACT(G135,H135),1,0)</f>
        <v>1</v>
      </c>
      <c r="J135" s="8" t="n">
        <v>1</v>
      </c>
      <c r="K135" s="8" t="s">
        <v>116</v>
      </c>
      <c r="L135" s="8" t="n">
        <v>1</v>
      </c>
      <c r="M135" s="8" t="n">
        <v>0</v>
      </c>
      <c r="N135" s="8"/>
      <c r="O135" s="8" t="n">
        <v>1</v>
      </c>
      <c r="P135" s="10" t="n">
        <v>7.68</v>
      </c>
      <c r="Q135" s="8" t="n">
        <v>608</v>
      </c>
      <c r="R135" s="8" t="n">
        <v>399</v>
      </c>
      <c r="S135" s="8" t="s">
        <v>278</v>
      </c>
      <c r="T135" s="8" t="s">
        <v>269</v>
      </c>
      <c r="U135" s="8" t="s">
        <v>270</v>
      </c>
      <c r="V135" s="8"/>
      <c r="W135" s="8" t="s">
        <v>279</v>
      </c>
      <c r="X135" s="8" t="s">
        <v>280</v>
      </c>
      <c r="Y135" s="8" t="s">
        <v>2412</v>
      </c>
      <c r="Z135" s="8" t="s">
        <v>2413</v>
      </c>
    </row>
    <row r="136" customFormat="false" ht="15" hidden="false" customHeight="false" outlineLevel="0" collapsed="false">
      <c r="A136" s="8" t="s">
        <v>277</v>
      </c>
      <c r="B136" s="8" t="s">
        <v>19</v>
      </c>
      <c r="C136" s="8" t="s">
        <v>20</v>
      </c>
      <c r="D136" s="8" t="s">
        <v>615</v>
      </c>
      <c r="E136" s="8" t="s">
        <v>36</v>
      </c>
      <c r="F136" s="8" t="s">
        <v>47</v>
      </c>
      <c r="G136" s="8" t="s">
        <v>31</v>
      </c>
      <c r="H136" s="8" t="s">
        <v>31</v>
      </c>
      <c r="I136" s="8" t="n">
        <f aca="false">IF(EXACT(G136,H136),1,0)</f>
        <v>1</v>
      </c>
      <c r="J136" s="8" t="n">
        <v>2</v>
      </c>
      <c r="K136" s="8" t="s">
        <v>116</v>
      </c>
      <c r="L136" s="8" t="n">
        <v>1</v>
      </c>
      <c r="M136" s="8" t="n">
        <v>0</v>
      </c>
      <c r="N136" s="8"/>
      <c r="O136" s="8" t="n">
        <v>1</v>
      </c>
      <c r="P136" s="10" t="n">
        <v>7.53</v>
      </c>
      <c r="Q136" s="8" t="n">
        <v>608</v>
      </c>
      <c r="R136" s="8" t="n">
        <v>411</v>
      </c>
      <c r="S136" s="8" t="s">
        <v>278</v>
      </c>
      <c r="T136" s="8" t="s">
        <v>269</v>
      </c>
      <c r="U136" s="8" t="s">
        <v>270</v>
      </c>
      <c r="V136" s="8"/>
      <c r="W136" s="8" t="s">
        <v>279</v>
      </c>
      <c r="X136" s="8" t="s">
        <v>280</v>
      </c>
      <c r="Y136" s="8" t="s">
        <v>2414</v>
      </c>
      <c r="Z136" s="8" t="s">
        <v>2413</v>
      </c>
    </row>
    <row r="137" customFormat="false" ht="15" hidden="false" customHeight="false" outlineLevel="0" collapsed="false">
      <c r="A137" s="8" t="s">
        <v>281</v>
      </c>
      <c r="B137" s="8" t="s">
        <v>19</v>
      </c>
      <c r="C137" s="8" t="s">
        <v>20</v>
      </c>
      <c r="D137" s="8" t="s">
        <v>615</v>
      </c>
      <c r="E137" s="8" t="s">
        <v>36</v>
      </c>
      <c r="F137" s="8" t="s">
        <v>47</v>
      </c>
      <c r="G137" s="8" t="s">
        <v>32</v>
      </c>
      <c r="H137" s="8" t="s">
        <v>32</v>
      </c>
      <c r="I137" s="8" t="n">
        <f aca="false">IF(EXACT(G137,H137),1,0)</f>
        <v>1</v>
      </c>
      <c r="J137" s="8" t="n">
        <v>0</v>
      </c>
      <c r="K137" s="8" t="s">
        <v>92</v>
      </c>
      <c r="L137" s="8" t="n">
        <v>0</v>
      </c>
      <c r="M137" s="8" t="n">
        <v>0</v>
      </c>
      <c r="N137" s="8"/>
      <c r="O137" s="8" t="n">
        <v>1</v>
      </c>
      <c r="P137" s="10" t="n">
        <v>6.62</v>
      </c>
      <c r="Q137" s="8" t="n">
        <v>630</v>
      </c>
      <c r="R137" s="8" t="n">
        <v>255</v>
      </c>
      <c r="S137" s="8" t="s">
        <v>101</v>
      </c>
      <c r="T137" s="8" t="s">
        <v>269</v>
      </c>
      <c r="U137" s="8" t="s">
        <v>270</v>
      </c>
      <c r="V137" s="8"/>
      <c r="W137" s="8" t="s">
        <v>282</v>
      </c>
      <c r="X137" s="8" t="s">
        <v>283</v>
      </c>
      <c r="Y137" s="8" t="s">
        <v>2415</v>
      </c>
      <c r="Z137" s="8"/>
    </row>
    <row r="138" customFormat="false" ht="15" hidden="false" customHeight="false" outlineLevel="0" collapsed="false">
      <c r="A138" s="8" t="s">
        <v>281</v>
      </c>
      <c r="B138" s="8" t="s">
        <v>19</v>
      </c>
      <c r="C138" s="8" t="s">
        <v>20</v>
      </c>
      <c r="D138" s="8" t="s">
        <v>615</v>
      </c>
      <c r="E138" s="8" t="s">
        <v>36</v>
      </c>
      <c r="F138" s="8" t="s">
        <v>47</v>
      </c>
      <c r="G138" s="8" t="s">
        <v>32</v>
      </c>
      <c r="H138" s="8" t="s">
        <v>32</v>
      </c>
      <c r="I138" s="8" t="n">
        <f aca="false">IF(EXACT(G138,H138),1,0)</f>
        <v>1</v>
      </c>
      <c r="J138" s="8" t="n">
        <v>1</v>
      </c>
      <c r="K138" s="8" t="s">
        <v>92</v>
      </c>
      <c r="L138" s="8" t="n">
        <v>0</v>
      </c>
      <c r="M138" s="8" t="n">
        <v>0</v>
      </c>
      <c r="N138" s="8"/>
      <c r="O138" s="8" t="n">
        <v>1</v>
      </c>
      <c r="P138" s="10" t="n">
        <v>5.43</v>
      </c>
      <c r="Q138" s="8" t="n">
        <v>630</v>
      </c>
      <c r="R138" s="8" t="n">
        <v>225</v>
      </c>
      <c r="S138" s="8" t="s">
        <v>101</v>
      </c>
      <c r="T138" s="8" t="s">
        <v>269</v>
      </c>
      <c r="U138" s="8" t="s">
        <v>270</v>
      </c>
      <c r="V138" s="8"/>
      <c r="W138" s="8" t="s">
        <v>282</v>
      </c>
      <c r="X138" s="8" t="s">
        <v>283</v>
      </c>
      <c r="Y138" s="8" t="s">
        <v>2416</v>
      </c>
      <c r="Z138" s="8"/>
    </row>
    <row r="139" customFormat="false" ht="15" hidden="false" customHeight="false" outlineLevel="0" collapsed="false">
      <c r="A139" s="8" t="s">
        <v>281</v>
      </c>
      <c r="B139" s="8" t="s">
        <v>19</v>
      </c>
      <c r="C139" s="8" t="s">
        <v>20</v>
      </c>
      <c r="D139" s="8" t="s">
        <v>615</v>
      </c>
      <c r="E139" s="8" t="s">
        <v>36</v>
      </c>
      <c r="F139" s="8" t="s">
        <v>47</v>
      </c>
      <c r="G139" s="8" t="s">
        <v>32</v>
      </c>
      <c r="H139" s="8" t="s">
        <v>32</v>
      </c>
      <c r="I139" s="8" t="n">
        <f aca="false">IF(EXACT(G139,H139),1,0)</f>
        <v>1</v>
      </c>
      <c r="J139" s="8" t="n">
        <v>2</v>
      </c>
      <c r="K139" s="8" t="s">
        <v>92</v>
      </c>
      <c r="L139" s="8" t="n">
        <v>0</v>
      </c>
      <c r="M139" s="8" t="n">
        <v>0</v>
      </c>
      <c r="N139" s="8"/>
      <c r="O139" s="8" t="n">
        <v>1</v>
      </c>
      <c r="P139" s="10" t="n">
        <v>8.18</v>
      </c>
      <c r="Q139" s="8" t="n">
        <v>630</v>
      </c>
      <c r="R139" s="8" t="n">
        <v>254</v>
      </c>
      <c r="S139" s="8" t="s">
        <v>101</v>
      </c>
      <c r="T139" s="8" t="s">
        <v>269</v>
      </c>
      <c r="U139" s="8" t="s">
        <v>270</v>
      </c>
      <c r="V139" s="8"/>
      <c r="W139" s="8" t="s">
        <v>282</v>
      </c>
      <c r="X139" s="8" t="s">
        <v>283</v>
      </c>
      <c r="Y139" s="8" t="s">
        <v>2417</v>
      </c>
      <c r="Z139" s="8"/>
    </row>
    <row r="140" customFormat="false" ht="15" hidden="false" customHeight="false" outlineLevel="0" collapsed="false">
      <c r="A140" s="8" t="s">
        <v>284</v>
      </c>
      <c r="B140" s="8" t="s">
        <v>19</v>
      </c>
      <c r="C140" s="8" t="s">
        <v>20</v>
      </c>
      <c r="D140" s="8" t="s">
        <v>615</v>
      </c>
      <c r="E140" s="8" t="s">
        <v>36</v>
      </c>
      <c r="F140" s="8" t="s">
        <v>47</v>
      </c>
      <c r="G140" s="8" t="s">
        <v>32</v>
      </c>
      <c r="H140" s="8" t="s">
        <v>32</v>
      </c>
      <c r="I140" s="8" t="n">
        <f aca="false">IF(EXACT(G140,H140),1,0)</f>
        <v>1</v>
      </c>
      <c r="J140" s="8" t="n">
        <v>0</v>
      </c>
      <c r="K140" s="8" t="s">
        <v>92</v>
      </c>
      <c r="L140" s="8" t="n">
        <v>0</v>
      </c>
      <c r="M140" s="8" t="n">
        <v>0</v>
      </c>
      <c r="N140" s="8"/>
      <c r="O140" s="8" t="n">
        <v>1</v>
      </c>
      <c r="P140" s="10" t="n">
        <v>6.68</v>
      </c>
      <c r="Q140" s="8" t="n">
        <v>603</v>
      </c>
      <c r="R140" s="8" t="n">
        <v>185</v>
      </c>
      <c r="S140" s="8" t="s">
        <v>132</v>
      </c>
      <c r="T140" s="8" t="s">
        <v>269</v>
      </c>
      <c r="U140" s="8" t="s">
        <v>270</v>
      </c>
      <c r="V140" s="8"/>
      <c r="W140" s="8" t="s">
        <v>285</v>
      </c>
      <c r="X140" s="8" t="s">
        <v>286</v>
      </c>
      <c r="Y140" s="8" t="s">
        <v>2418</v>
      </c>
      <c r="Z140" s="8"/>
    </row>
    <row r="141" customFormat="false" ht="15" hidden="false" customHeight="false" outlineLevel="0" collapsed="false">
      <c r="A141" s="8" t="s">
        <v>284</v>
      </c>
      <c r="B141" s="8" t="s">
        <v>19</v>
      </c>
      <c r="C141" s="8" t="s">
        <v>20</v>
      </c>
      <c r="D141" s="8" t="s">
        <v>615</v>
      </c>
      <c r="E141" s="8" t="s">
        <v>36</v>
      </c>
      <c r="F141" s="8" t="s">
        <v>47</v>
      </c>
      <c r="G141" s="8" t="s">
        <v>32</v>
      </c>
      <c r="H141" s="8" t="s">
        <v>32</v>
      </c>
      <c r="I141" s="8" t="n">
        <f aca="false">IF(EXACT(G141,H141),1,0)</f>
        <v>1</v>
      </c>
      <c r="J141" s="8" t="n">
        <v>1</v>
      </c>
      <c r="K141" s="8" t="s">
        <v>92</v>
      </c>
      <c r="L141" s="8" t="n">
        <v>0</v>
      </c>
      <c r="M141" s="8" t="n">
        <v>0</v>
      </c>
      <c r="N141" s="8"/>
      <c r="O141" s="8" t="n">
        <v>1</v>
      </c>
      <c r="P141" s="10" t="n">
        <v>5.39</v>
      </c>
      <c r="Q141" s="8" t="n">
        <v>603</v>
      </c>
      <c r="R141" s="8" t="n">
        <v>219</v>
      </c>
      <c r="S141" s="8" t="s">
        <v>132</v>
      </c>
      <c r="T141" s="8" t="s">
        <v>269</v>
      </c>
      <c r="U141" s="8" t="s">
        <v>270</v>
      </c>
      <c r="V141" s="8"/>
      <c r="W141" s="8" t="s">
        <v>285</v>
      </c>
      <c r="X141" s="8" t="s">
        <v>286</v>
      </c>
      <c r="Y141" s="8" t="s">
        <v>2419</v>
      </c>
      <c r="Z141" s="8"/>
    </row>
    <row r="142" customFormat="false" ht="15" hidden="false" customHeight="false" outlineLevel="0" collapsed="false">
      <c r="A142" s="8" t="s">
        <v>284</v>
      </c>
      <c r="B142" s="8" t="s">
        <v>19</v>
      </c>
      <c r="C142" s="8" t="s">
        <v>20</v>
      </c>
      <c r="D142" s="8" t="s">
        <v>615</v>
      </c>
      <c r="E142" s="8" t="s">
        <v>36</v>
      </c>
      <c r="F142" s="8" t="s">
        <v>47</v>
      </c>
      <c r="G142" s="8" t="s">
        <v>32</v>
      </c>
      <c r="H142" s="8" t="s">
        <v>32</v>
      </c>
      <c r="I142" s="8" t="n">
        <f aca="false">IF(EXACT(G142,H142),1,0)</f>
        <v>1</v>
      </c>
      <c r="J142" s="8" t="n">
        <v>2</v>
      </c>
      <c r="K142" s="8" t="s">
        <v>92</v>
      </c>
      <c r="L142" s="8" t="n">
        <v>0</v>
      </c>
      <c r="M142" s="8" t="n">
        <v>0</v>
      </c>
      <c r="N142" s="8"/>
      <c r="O142" s="8" t="n">
        <v>1</v>
      </c>
      <c r="P142" s="10" t="n">
        <v>5.1</v>
      </c>
      <c r="Q142" s="8" t="n">
        <v>603</v>
      </c>
      <c r="R142" s="8" t="n">
        <v>204</v>
      </c>
      <c r="S142" s="8" t="s">
        <v>132</v>
      </c>
      <c r="T142" s="8" t="s">
        <v>269</v>
      </c>
      <c r="U142" s="8" t="s">
        <v>270</v>
      </c>
      <c r="V142" s="8"/>
      <c r="W142" s="8" t="s">
        <v>285</v>
      </c>
      <c r="X142" s="8" t="s">
        <v>286</v>
      </c>
      <c r="Y142" s="8" t="s">
        <v>2420</v>
      </c>
      <c r="Z142" s="8"/>
    </row>
    <row r="143" customFormat="false" ht="15" hidden="false" customHeight="false" outlineLevel="0" collapsed="false">
      <c r="A143" s="8" t="s">
        <v>287</v>
      </c>
      <c r="B143" s="8" t="s">
        <v>19</v>
      </c>
      <c r="C143" s="8" t="s">
        <v>20</v>
      </c>
      <c r="D143" s="8" t="s">
        <v>615</v>
      </c>
      <c r="E143" s="8" t="s">
        <v>36</v>
      </c>
      <c r="F143" s="8" t="s">
        <v>47</v>
      </c>
      <c r="G143" s="8" t="s">
        <v>31</v>
      </c>
      <c r="H143" s="8" t="s">
        <v>31</v>
      </c>
      <c r="I143" s="8" t="n">
        <f aca="false">IF(EXACT(G143,H143),1,0)</f>
        <v>1</v>
      </c>
      <c r="J143" s="8" t="n">
        <v>0</v>
      </c>
      <c r="K143" s="8" t="s">
        <v>116</v>
      </c>
      <c r="L143" s="8" t="n">
        <v>1</v>
      </c>
      <c r="M143" s="8" t="n">
        <v>0</v>
      </c>
      <c r="N143" s="8"/>
      <c r="O143" s="8" t="n">
        <v>1</v>
      </c>
      <c r="P143" s="10" t="n">
        <v>10.37</v>
      </c>
      <c r="Q143" s="8" t="n">
        <v>678</v>
      </c>
      <c r="R143" s="8" t="n">
        <v>460</v>
      </c>
      <c r="S143" s="8" t="s">
        <v>222</v>
      </c>
      <c r="T143" s="8" t="s">
        <v>269</v>
      </c>
      <c r="U143" s="8" t="s">
        <v>270</v>
      </c>
      <c r="V143" s="8"/>
      <c r="W143" s="8" t="s">
        <v>288</v>
      </c>
      <c r="X143" s="8" t="s">
        <v>289</v>
      </c>
      <c r="Y143" s="8" t="s">
        <v>2421</v>
      </c>
      <c r="Z143" s="8" t="s">
        <v>2422</v>
      </c>
    </row>
    <row r="144" customFormat="false" ht="15" hidden="false" customHeight="false" outlineLevel="0" collapsed="false">
      <c r="A144" s="8" t="s">
        <v>287</v>
      </c>
      <c r="B144" s="8" t="s">
        <v>19</v>
      </c>
      <c r="C144" s="8" t="s">
        <v>20</v>
      </c>
      <c r="D144" s="8" t="s">
        <v>615</v>
      </c>
      <c r="E144" s="8" t="s">
        <v>36</v>
      </c>
      <c r="F144" s="8" t="s">
        <v>47</v>
      </c>
      <c r="G144" s="8" t="s">
        <v>31</v>
      </c>
      <c r="H144" s="8" t="s">
        <v>31</v>
      </c>
      <c r="I144" s="8" t="n">
        <f aca="false">IF(EXACT(G144,H144),1,0)</f>
        <v>1</v>
      </c>
      <c r="J144" s="8" t="n">
        <v>1</v>
      </c>
      <c r="K144" s="8" t="s">
        <v>116</v>
      </c>
      <c r="L144" s="8" t="n">
        <v>1</v>
      </c>
      <c r="M144" s="8" t="n">
        <v>0</v>
      </c>
      <c r="N144" s="8"/>
      <c r="O144" s="8" t="n">
        <v>1</v>
      </c>
      <c r="P144" s="10" t="n">
        <v>7.69</v>
      </c>
      <c r="Q144" s="8" t="n">
        <v>678</v>
      </c>
      <c r="R144" s="8" t="n">
        <v>396</v>
      </c>
      <c r="S144" s="8" t="s">
        <v>222</v>
      </c>
      <c r="T144" s="8" t="s">
        <v>269</v>
      </c>
      <c r="U144" s="8" t="s">
        <v>270</v>
      </c>
      <c r="V144" s="8"/>
      <c r="W144" s="8" t="s">
        <v>288</v>
      </c>
      <c r="X144" s="8" t="s">
        <v>289</v>
      </c>
      <c r="Y144" s="8" t="s">
        <v>2423</v>
      </c>
      <c r="Z144" s="8" t="s">
        <v>2424</v>
      </c>
    </row>
    <row r="145" customFormat="false" ht="15" hidden="false" customHeight="false" outlineLevel="0" collapsed="false">
      <c r="A145" s="8" t="s">
        <v>287</v>
      </c>
      <c r="B145" s="8" t="s">
        <v>19</v>
      </c>
      <c r="C145" s="8" t="s">
        <v>20</v>
      </c>
      <c r="D145" s="8" t="s">
        <v>615</v>
      </c>
      <c r="E145" s="8" t="s">
        <v>36</v>
      </c>
      <c r="F145" s="8" t="s">
        <v>47</v>
      </c>
      <c r="G145" s="8" t="s">
        <v>31</v>
      </c>
      <c r="H145" s="8" t="s">
        <v>31</v>
      </c>
      <c r="I145" s="8" t="n">
        <f aca="false">IF(EXACT(G145,H145),1,0)</f>
        <v>1</v>
      </c>
      <c r="J145" s="8" t="n">
        <v>2</v>
      </c>
      <c r="K145" s="8" t="s">
        <v>116</v>
      </c>
      <c r="L145" s="8" t="n">
        <v>1</v>
      </c>
      <c r="M145" s="8" t="n">
        <v>0</v>
      </c>
      <c r="N145" s="8"/>
      <c r="O145" s="8" t="n">
        <v>1</v>
      </c>
      <c r="P145" s="10" t="n">
        <v>9.5</v>
      </c>
      <c r="Q145" s="8" t="n">
        <v>678</v>
      </c>
      <c r="R145" s="8" t="n">
        <v>419</v>
      </c>
      <c r="S145" s="8" t="s">
        <v>222</v>
      </c>
      <c r="T145" s="8" t="s">
        <v>269</v>
      </c>
      <c r="U145" s="8" t="s">
        <v>270</v>
      </c>
      <c r="V145" s="8"/>
      <c r="W145" s="8" t="s">
        <v>288</v>
      </c>
      <c r="X145" s="8" t="s">
        <v>289</v>
      </c>
      <c r="Y145" s="8" t="s">
        <v>2425</v>
      </c>
      <c r="Z145" s="8" t="s">
        <v>2426</v>
      </c>
    </row>
    <row r="146" customFormat="false" ht="15" hidden="false" customHeight="false" outlineLevel="0" collapsed="false">
      <c r="A146" s="8" t="s">
        <v>290</v>
      </c>
      <c r="B146" s="8" t="s">
        <v>19</v>
      </c>
      <c r="C146" s="8" t="s">
        <v>20</v>
      </c>
      <c r="D146" s="8" t="s">
        <v>615</v>
      </c>
      <c r="E146" s="8" t="s">
        <v>36</v>
      </c>
      <c r="F146" s="8" t="s">
        <v>51</v>
      </c>
      <c r="G146" s="8" t="s">
        <v>32</v>
      </c>
      <c r="H146" s="8" t="s">
        <v>31</v>
      </c>
      <c r="I146" s="8" t="n">
        <f aca="false">IF(EXACT(G146,H146),1,0)</f>
        <v>0</v>
      </c>
      <c r="J146" s="8" t="n">
        <v>0</v>
      </c>
      <c r="K146" s="8" t="s">
        <v>116</v>
      </c>
      <c r="L146" s="8" t="n">
        <v>1</v>
      </c>
      <c r="M146" s="8" t="n">
        <v>0</v>
      </c>
      <c r="N146" s="8"/>
      <c r="O146" s="8" t="n">
        <v>1</v>
      </c>
      <c r="P146" s="10" t="n">
        <v>8.31</v>
      </c>
      <c r="Q146" s="8" t="n">
        <v>645</v>
      </c>
      <c r="R146" s="8" t="n">
        <v>372</v>
      </c>
      <c r="S146" s="8" t="s">
        <v>101</v>
      </c>
      <c r="T146" s="8" t="s">
        <v>291</v>
      </c>
      <c r="U146" s="8" t="s">
        <v>292</v>
      </c>
      <c r="V146" s="8"/>
      <c r="W146" s="8" t="s">
        <v>293</v>
      </c>
      <c r="X146" s="8" t="s">
        <v>294</v>
      </c>
      <c r="Y146" s="8" t="s">
        <v>2427</v>
      </c>
      <c r="Z146" s="8" t="s">
        <v>2428</v>
      </c>
    </row>
    <row r="147" customFormat="false" ht="15" hidden="false" customHeight="false" outlineLevel="0" collapsed="false">
      <c r="A147" s="8" t="s">
        <v>290</v>
      </c>
      <c r="B147" s="8" t="s">
        <v>19</v>
      </c>
      <c r="C147" s="8" t="s">
        <v>20</v>
      </c>
      <c r="D147" s="8" t="s">
        <v>615</v>
      </c>
      <c r="E147" s="8" t="s">
        <v>36</v>
      </c>
      <c r="F147" s="8" t="s">
        <v>51</v>
      </c>
      <c r="G147" s="8" t="s">
        <v>32</v>
      </c>
      <c r="H147" s="8" t="s">
        <v>31</v>
      </c>
      <c r="I147" s="8" t="n">
        <f aca="false">IF(EXACT(G147,H147),1,0)</f>
        <v>0</v>
      </c>
      <c r="J147" s="8" t="n">
        <v>1</v>
      </c>
      <c r="K147" s="8" t="s">
        <v>116</v>
      </c>
      <c r="L147" s="8" t="n">
        <v>1</v>
      </c>
      <c r="M147" s="8" t="n">
        <v>0</v>
      </c>
      <c r="N147" s="8"/>
      <c r="O147" s="8" t="n">
        <v>1</v>
      </c>
      <c r="P147" s="10" t="n">
        <v>8.85</v>
      </c>
      <c r="Q147" s="8" t="n">
        <v>645</v>
      </c>
      <c r="R147" s="8" t="n">
        <v>455</v>
      </c>
      <c r="S147" s="8" t="s">
        <v>101</v>
      </c>
      <c r="T147" s="8" t="s">
        <v>291</v>
      </c>
      <c r="U147" s="8" t="s">
        <v>292</v>
      </c>
      <c r="V147" s="8"/>
      <c r="W147" s="8" t="s">
        <v>293</v>
      </c>
      <c r="X147" s="8" t="s">
        <v>294</v>
      </c>
      <c r="Y147" s="8" t="s">
        <v>2429</v>
      </c>
      <c r="Z147" s="8" t="s">
        <v>2430</v>
      </c>
    </row>
    <row r="148" customFormat="false" ht="15" hidden="false" customHeight="false" outlineLevel="0" collapsed="false">
      <c r="A148" s="8" t="s">
        <v>290</v>
      </c>
      <c r="B148" s="8" t="s">
        <v>19</v>
      </c>
      <c r="C148" s="8" t="s">
        <v>20</v>
      </c>
      <c r="D148" s="8" t="s">
        <v>615</v>
      </c>
      <c r="E148" s="8" t="s">
        <v>36</v>
      </c>
      <c r="F148" s="8" t="s">
        <v>51</v>
      </c>
      <c r="G148" s="8" t="s">
        <v>32</v>
      </c>
      <c r="H148" s="8" t="s">
        <v>31</v>
      </c>
      <c r="I148" s="8" t="n">
        <f aca="false">IF(EXACT(G148,H148),1,0)</f>
        <v>0</v>
      </c>
      <c r="J148" s="8" t="n">
        <v>2</v>
      </c>
      <c r="K148" s="8" t="s">
        <v>116</v>
      </c>
      <c r="L148" s="8" t="n">
        <v>1</v>
      </c>
      <c r="M148" s="8" t="n">
        <v>0</v>
      </c>
      <c r="N148" s="8"/>
      <c r="O148" s="8" t="n">
        <v>1</v>
      </c>
      <c r="P148" s="10" t="n">
        <v>10.26</v>
      </c>
      <c r="Q148" s="8" t="n">
        <v>645</v>
      </c>
      <c r="R148" s="8" t="n">
        <v>462</v>
      </c>
      <c r="S148" s="8" t="s">
        <v>101</v>
      </c>
      <c r="T148" s="8" t="s">
        <v>291</v>
      </c>
      <c r="U148" s="8" t="s">
        <v>292</v>
      </c>
      <c r="V148" s="8"/>
      <c r="W148" s="8" t="s">
        <v>293</v>
      </c>
      <c r="X148" s="8" t="s">
        <v>294</v>
      </c>
      <c r="Y148" s="8" t="s">
        <v>2431</v>
      </c>
      <c r="Z148" s="8" t="s">
        <v>2432</v>
      </c>
    </row>
    <row r="149" customFormat="false" ht="15" hidden="false" customHeight="false" outlineLevel="0" collapsed="false">
      <c r="A149" s="8" t="s">
        <v>295</v>
      </c>
      <c r="B149" s="8" t="s">
        <v>19</v>
      </c>
      <c r="C149" s="8" t="s">
        <v>20</v>
      </c>
      <c r="D149" s="8" t="s">
        <v>615</v>
      </c>
      <c r="E149" s="8" t="s">
        <v>36</v>
      </c>
      <c r="F149" s="8" t="s">
        <v>51</v>
      </c>
      <c r="G149" s="8" t="s">
        <v>30</v>
      </c>
      <c r="H149" s="8" t="s">
        <v>30</v>
      </c>
      <c r="I149" s="8" t="n">
        <f aca="false">IF(EXACT(G149,H149),1,0)</f>
        <v>1</v>
      </c>
      <c r="J149" s="8" t="n">
        <v>0</v>
      </c>
      <c r="K149" s="8" t="s">
        <v>92</v>
      </c>
      <c r="L149" s="8" t="n">
        <v>0</v>
      </c>
      <c r="M149" s="8" t="n">
        <v>0</v>
      </c>
      <c r="N149" s="8"/>
      <c r="O149" s="8" t="n">
        <v>1</v>
      </c>
      <c r="P149" s="10" t="n">
        <v>10.74</v>
      </c>
      <c r="Q149" s="8" t="n">
        <v>715</v>
      </c>
      <c r="R149" s="8" t="n">
        <v>398</v>
      </c>
      <c r="S149" s="8" t="s">
        <v>110</v>
      </c>
      <c r="T149" s="8" t="s">
        <v>291</v>
      </c>
      <c r="U149" s="8" t="s">
        <v>292</v>
      </c>
      <c r="V149" s="8"/>
      <c r="W149" s="8" t="s">
        <v>296</v>
      </c>
      <c r="X149" s="8" t="s">
        <v>297</v>
      </c>
      <c r="Y149" s="8" t="s">
        <v>2433</v>
      </c>
      <c r="Z149" s="8"/>
    </row>
    <row r="150" customFormat="false" ht="15" hidden="false" customHeight="false" outlineLevel="0" collapsed="false">
      <c r="A150" s="8" t="s">
        <v>295</v>
      </c>
      <c r="B150" s="8" t="s">
        <v>19</v>
      </c>
      <c r="C150" s="8" t="s">
        <v>20</v>
      </c>
      <c r="D150" s="8" t="s">
        <v>615</v>
      </c>
      <c r="E150" s="8" t="s">
        <v>36</v>
      </c>
      <c r="F150" s="8" t="s">
        <v>51</v>
      </c>
      <c r="G150" s="8" t="s">
        <v>30</v>
      </c>
      <c r="H150" s="8" t="s">
        <v>30</v>
      </c>
      <c r="I150" s="8" t="n">
        <f aca="false">IF(EXACT(G150,H150),1,0)</f>
        <v>1</v>
      </c>
      <c r="J150" s="8" t="n">
        <v>1</v>
      </c>
      <c r="K150" s="8" t="s">
        <v>92</v>
      </c>
      <c r="L150" s="8" t="n">
        <v>0</v>
      </c>
      <c r="M150" s="8" t="n">
        <v>0</v>
      </c>
      <c r="N150" s="8"/>
      <c r="O150" s="8" t="n">
        <v>1</v>
      </c>
      <c r="P150" s="10" t="n">
        <v>10.14</v>
      </c>
      <c r="Q150" s="8" t="n">
        <v>715</v>
      </c>
      <c r="R150" s="8" t="n">
        <v>335</v>
      </c>
      <c r="S150" s="8" t="s">
        <v>110</v>
      </c>
      <c r="T150" s="8" t="s">
        <v>291</v>
      </c>
      <c r="U150" s="8" t="s">
        <v>292</v>
      </c>
      <c r="V150" s="8"/>
      <c r="W150" s="8" t="s">
        <v>296</v>
      </c>
      <c r="X150" s="8" t="s">
        <v>297</v>
      </c>
      <c r="Y150" s="8" t="s">
        <v>2434</v>
      </c>
      <c r="Z150" s="8"/>
    </row>
    <row r="151" customFormat="false" ht="15" hidden="false" customHeight="false" outlineLevel="0" collapsed="false">
      <c r="A151" s="8" t="s">
        <v>295</v>
      </c>
      <c r="B151" s="8" t="s">
        <v>19</v>
      </c>
      <c r="C151" s="8" t="s">
        <v>20</v>
      </c>
      <c r="D151" s="8" t="s">
        <v>615</v>
      </c>
      <c r="E151" s="8" t="s">
        <v>36</v>
      </c>
      <c r="F151" s="8" t="s">
        <v>51</v>
      </c>
      <c r="G151" s="8" t="s">
        <v>30</v>
      </c>
      <c r="H151" s="8" t="s">
        <v>30</v>
      </c>
      <c r="I151" s="8" t="n">
        <f aca="false">IF(EXACT(G151,H151),1,0)</f>
        <v>1</v>
      </c>
      <c r="J151" s="8" t="n">
        <v>2</v>
      </c>
      <c r="K151" s="8" t="s">
        <v>92</v>
      </c>
      <c r="L151" s="8" t="n">
        <v>0</v>
      </c>
      <c r="M151" s="8" t="n">
        <v>0</v>
      </c>
      <c r="N151" s="8"/>
      <c r="O151" s="8" t="n">
        <v>1</v>
      </c>
      <c r="P151" s="10" t="n">
        <v>9.49</v>
      </c>
      <c r="Q151" s="8" t="n">
        <v>715</v>
      </c>
      <c r="R151" s="8" t="n">
        <v>344</v>
      </c>
      <c r="S151" s="8" t="s">
        <v>110</v>
      </c>
      <c r="T151" s="8" t="s">
        <v>291</v>
      </c>
      <c r="U151" s="8" t="s">
        <v>292</v>
      </c>
      <c r="V151" s="8"/>
      <c r="W151" s="8" t="s">
        <v>296</v>
      </c>
      <c r="X151" s="8" t="s">
        <v>297</v>
      </c>
      <c r="Y151" s="8" t="s">
        <v>2435</v>
      </c>
      <c r="Z151" s="8"/>
    </row>
    <row r="152" customFormat="false" ht="15" hidden="false" customHeight="false" outlineLevel="0" collapsed="false">
      <c r="A152" s="8" t="s">
        <v>298</v>
      </c>
      <c r="B152" s="8" t="s">
        <v>19</v>
      </c>
      <c r="C152" s="8" t="s">
        <v>20</v>
      </c>
      <c r="D152" s="8" t="s">
        <v>615</v>
      </c>
      <c r="E152" s="8" t="s">
        <v>36</v>
      </c>
      <c r="F152" s="8" t="s">
        <v>51</v>
      </c>
      <c r="G152" s="8" t="s">
        <v>30</v>
      </c>
      <c r="H152" s="8" t="s">
        <v>30</v>
      </c>
      <c r="I152" s="8" t="n">
        <f aca="false">IF(EXACT(G152,H152),1,0)</f>
        <v>1</v>
      </c>
      <c r="J152" s="8" t="n">
        <v>0</v>
      </c>
      <c r="K152" s="8" t="s">
        <v>92</v>
      </c>
      <c r="L152" s="8" t="n">
        <v>0</v>
      </c>
      <c r="M152" s="8" t="n">
        <v>0</v>
      </c>
      <c r="N152" s="8"/>
      <c r="O152" s="8" t="n">
        <v>1</v>
      </c>
      <c r="P152" s="10" t="n">
        <v>8.04</v>
      </c>
      <c r="Q152" s="8" t="n">
        <v>709</v>
      </c>
      <c r="R152" s="8" t="n">
        <v>309</v>
      </c>
      <c r="S152" s="8" t="s">
        <v>150</v>
      </c>
      <c r="T152" s="8" t="s">
        <v>291</v>
      </c>
      <c r="U152" s="8" t="s">
        <v>292</v>
      </c>
      <c r="V152" s="8"/>
      <c r="W152" s="8" t="s">
        <v>299</v>
      </c>
      <c r="X152" s="8" t="s">
        <v>300</v>
      </c>
      <c r="Y152" s="8" t="s">
        <v>2436</v>
      </c>
      <c r="Z152" s="8"/>
    </row>
    <row r="153" customFormat="false" ht="15" hidden="false" customHeight="false" outlineLevel="0" collapsed="false">
      <c r="A153" s="8" t="s">
        <v>298</v>
      </c>
      <c r="B153" s="8" t="s">
        <v>19</v>
      </c>
      <c r="C153" s="8" t="s">
        <v>20</v>
      </c>
      <c r="D153" s="8" t="s">
        <v>615</v>
      </c>
      <c r="E153" s="8" t="s">
        <v>36</v>
      </c>
      <c r="F153" s="8" t="s">
        <v>51</v>
      </c>
      <c r="G153" s="8" t="s">
        <v>30</v>
      </c>
      <c r="H153" s="8" t="s">
        <v>30</v>
      </c>
      <c r="I153" s="8" t="n">
        <f aca="false">IF(EXACT(G153,H153),1,0)</f>
        <v>1</v>
      </c>
      <c r="J153" s="8" t="n">
        <v>1</v>
      </c>
      <c r="K153" s="8" t="s">
        <v>92</v>
      </c>
      <c r="L153" s="8" t="n">
        <v>0</v>
      </c>
      <c r="M153" s="8" t="n">
        <v>0</v>
      </c>
      <c r="N153" s="8"/>
      <c r="O153" s="8" t="n">
        <v>1</v>
      </c>
      <c r="P153" s="10" t="n">
        <v>13.44</v>
      </c>
      <c r="Q153" s="8" t="n">
        <v>709</v>
      </c>
      <c r="R153" s="8" t="n">
        <v>403</v>
      </c>
      <c r="S153" s="8" t="s">
        <v>150</v>
      </c>
      <c r="T153" s="8" t="s">
        <v>291</v>
      </c>
      <c r="U153" s="8" t="s">
        <v>292</v>
      </c>
      <c r="V153" s="8"/>
      <c r="W153" s="8" t="s">
        <v>299</v>
      </c>
      <c r="X153" s="8" t="s">
        <v>300</v>
      </c>
      <c r="Y153" s="8" t="s">
        <v>2437</v>
      </c>
      <c r="Z153" s="8"/>
    </row>
    <row r="154" customFormat="false" ht="15" hidden="false" customHeight="false" outlineLevel="0" collapsed="false">
      <c r="A154" s="8" t="s">
        <v>298</v>
      </c>
      <c r="B154" s="8" t="s">
        <v>19</v>
      </c>
      <c r="C154" s="8" t="s">
        <v>20</v>
      </c>
      <c r="D154" s="8" t="s">
        <v>615</v>
      </c>
      <c r="E154" s="8" t="s">
        <v>36</v>
      </c>
      <c r="F154" s="8" t="s">
        <v>51</v>
      </c>
      <c r="G154" s="8" t="s">
        <v>30</v>
      </c>
      <c r="H154" s="8" t="s">
        <v>30</v>
      </c>
      <c r="I154" s="8" t="n">
        <f aca="false">IF(EXACT(G154,H154),1,0)</f>
        <v>1</v>
      </c>
      <c r="J154" s="8" t="n">
        <v>2</v>
      </c>
      <c r="K154" s="8" t="s">
        <v>92</v>
      </c>
      <c r="L154" s="8" t="n">
        <v>0</v>
      </c>
      <c r="M154" s="8" t="n">
        <v>0</v>
      </c>
      <c r="N154" s="8"/>
      <c r="O154" s="8" t="n">
        <v>1</v>
      </c>
      <c r="P154" s="10" t="n">
        <v>10.25</v>
      </c>
      <c r="Q154" s="8" t="n">
        <v>709</v>
      </c>
      <c r="R154" s="8" t="n">
        <v>389</v>
      </c>
      <c r="S154" s="8" t="s">
        <v>150</v>
      </c>
      <c r="T154" s="8" t="s">
        <v>291</v>
      </c>
      <c r="U154" s="8" t="s">
        <v>292</v>
      </c>
      <c r="V154" s="8"/>
      <c r="W154" s="8" t="s">
        <v>299</v>
      </c>
      <c r="X154" s="8" t="s">
        <v>300</v>
      </c>
      <c r="Y154" s="8" t="s">
        <v>2438</v>
      </c>
      <c r="Z154" s="8"/>
    </row>
    <row r="155" customFormat="false" ht="15" hidden="false" customHeight="false" outlineLevel="0" collapsed="false">
      <c r="A155" s="8" t="s">
        <v>301</v>
      </c>
      <c r="B155" s="8" t="s">
        <v>19</v>
      </c>
      <c r="C155" s="8" t="s">
        <v>20</v>
      </c>
      <c r="D155" s="8" t="s">
        <v>615</v>
      </c>
      <c r="E155" s="8" t="s">
        <v>36</v>
      </c>
      <c r="F155" s="8" t="s">
        <v>51</v>
      </c>
      <c r="G155" s="8" t="s">
        <v>32</v>
      </c>
      <c r="H155" s="8" t="s">
        <v>32</v>
      </c>
      <c r="I155" s="8" t="n">
        <f aca="false">IF(EXACT(G155,H155),1,0)</f>
        <v>1</v>
      </c>
      <c r="J155" s="8" t="n">
        <v>0</v>
      </c>
      <c r="K155" s="8" t="s">
        <v>92</v>
      </c>
      <c r="L155" s="8" t="n">
        <v>0</v>
      </c>
      <c r="M155" s="8" t="n">
        <v>0</v>
      </c>
      <c r="N155" s="8"/>
      <c r="O155" s="8" t="n">
        <v>1</v>
      </c>
      <c r="P155" s="10" t="n">
        <v>7.17</v>
      </c>
      <c r="Q155" s="8" t="n">
        <v>671</v>
      </c>
      <c r="R155" s="8" t="n">
        <v>320</v>
      </c>
      <c r="S155" s="8" t="s">
        <v>132</v>
      </c>
      <c r="T155" s="8" t="s">
        <v>291</v>
      </c>
      <c r="U155" s="8" t="s">
        <v>292</v>
      </c>
      <c r="V155" s="8"/>
      <c r="W155" s="8" t="s">
        <v>302</v>
      </c>
      <c r="X155" s="8" t="s">
        <v>303</v>
      </c>
      <c r="Y155" s="8" t="s">
        <v>2439</v>
      </c>
      <c r="Z155" s="8"/>
    </row>
    <row r="156" customFormat="false" ht="15" hidden="false" customHeight="false" outlineLevel="0" collapsed="false">
      <c r="A156" s="8" t="s">
        <v>301</v>
      </c>
      <c r="B156" s="8" t="s">
        <v>19</v>
      </c>
      <c r="C156" s="8" t="s">
        <v>20</v>
      </c>
      <c r="D156" s="8" t="s">
        <v>615</v>
      </c>
      <c r="E156" s="8" t="s">
        <v>36</v>
      </c>
      <c r="F156" s="8" t="s">
        <v>51</v>
      </c>
      <c r="G156" s="8" t="s">
        <v>32</v>
      </c>
      <c r="H156" s="8" t="s">
        <v>32</v>
      </c>
      <c r="I156" s="8" t="n">
        <f aca="false">IF(EXACT(G156,H156),1,0)</f>
        <v>1</v>
      </c>
      <c r="J156" s="8" t="n">
        <v>1</v>
      </c>
      <c r="K156" s="8" t="s">
        <v>92</v>
      </c>
      <c r="L156" s="8" t="n">
        <v>0</v>
      </c>
      <c r="M156" s="8" t="n">
        <v>0</v>
      </c>
      <c r="N156" s="8"/>
      <c r="O156" s="8" t="n">
        <v>1</v>
      </c>
      <c r="P156" s="10" t="n">
        <v>6.34</v>
      </c>
      <c r="Q156" s="8" t="n">
        <v>671</v>
      </c>
      <c r="R156" s="8" t="n">
        <v>273</v>
      </c>
      <c r="S156" s="8" t="s">
        <v>132</v>
      </c>
      <c r="T156" s="8" t="s">
        <v>291</v>
      </c>
      <c r="U156" s="8" t="s">
        <v>292</v>
      </c>
      <c r="V156" s="8"/>
      <c r="W156" s="8" t="s">
        <v>302</v>
      </c>
      <c r="X156" s="8" t="s">
        <v>303</v>
      </c>
      <c r="Y156" s="8" t="s">
        <v>2440</v>
      </c>
      <c r="Z156" s="8"/>
    </row>
    <row r="157" customFormat="false" ht="15" hidden="false" customHeight="false" outlineLevel="0" collapsed="false">
      <c r="A157" s="8" t="s">
        <v>301</v>
      </c>
      <c r="B157" s="8" t="s">
        <v>19</v>
      </c>
      <c r="C157" s="8" t="s">
        <v>20</v>
      </c>
      <c r="D157" s="8" t="s">
        <v>615</v>
      </c>
      <c r="E157" s="8" t="s">
        <v>36</v>
      </c>
      <c r="F157" s="8" t="s">
        <v>51</v>
      </c>
      <c r="G157" s="8" t="s">
        <v>32</v>
      </c>
      <c r="H157" s="8" t="s">
        <v>32</v>
      </c>
      <c r="I157" s="8" t="n">
        <f aca="false">IF(EXACT(G157,H157),1,0)</f>
        <v>1</v>
      </c>
      <c r="J157" s="8" t="n">
        <v>2</v>
      </c>
      <c r="K157" s="8" t="s">
        <v>92</v>
      </c>
      <c r="L157" s="8" t="n">
        <v>0</v>
      </c>
      <c r="M157" s="8" t="n">
        <v>0</v>
      </c>
      <c r="N157" s="8"/>
      <c r="O157" s="8" t="n">
        <v>1</v>
      </c>
      <c r="P157" s="10" t="n">
        <v>6.87</v>
      </c>
      <c r="Q157" s="8" t="n">
        <v>671</v>
      </c>
      <c r="R157" s="8" t="n">
        <v>328</v>
      </c>
      <c r="S157" s="8" t="s">
        <v>132</v>
      </c>
      <c r="T157" s="8" t="s">
        <v>291</v>
      </c>
      <c r="U157" s="8" t="s">
        <v>292</v>
      </c>
      <c r="V157" s="8"/>
      <c r="W157" s="8" t="s">
        <v>302</v>
      </c>
      <c r="X157" s="8" t="s">
        <v>303</v>
      </c>
      <c r="Y157" s="8" t="s">
        <v>2441</v>
      </c>
      <c r="Z157" s="8"/>
    </row>
    <row r="158" customFormat="false" ht="15" hidden="false" customHeight="false" outlineLevel="0" collapsed="false">
      <c r="A158" s="8" t="s">
        <v>304</v>
      </c>
      <c r="B158" s="8" t="s">
        <v>19</v>
      </c>
      <c r="C158" s="8" t="s">
        <v>20</v>
      </c>
      <c r="D158" s="8" t="s">
        <v>615</v>
      </c>
      <c r="E158" s="8" t="s">
        <v>36</v>
      </c>
      <c r="F158" s="8" t="s">
        <v>51</v>
      </c>
      <c r="G158" s="8" t="s">
        <v>31</v>
      </c>
      <c r="H158" s="8" t="s">
        <v>31</v>
      </c>
      <c r="I158" s="8" t="n">
        <f aca="false">IF(EXACT(G158,H158),1,0)</f>
        <v>1</v>
      </c>
      <c r="J158" s="8" t="n">
        <v>0</v>
      </c>
      <c r="K158" s="8" t="s">
        <v>116</v>
      </c>
      <c r="L158" s="8" t="n">
        <v>1</v>
      </c>
      <c r="M158" s="8" t="n">
        <v>0</v>
      </c>
      <c r="N158" s="8"/>
      <c r="O158" s="8" t="n">
        <v>1</v>
      </c>
      <c r="P158" s="10" t="n">
        <v>11.96</v>
      </c>
      <c r="Q158" s="8" t="n">
        <v>688</v>
      </c>
      <c r="R158" s="8" t="n">
        <v>377</v>
      </c>
      <c r="S158" s="8" t="s">
        <v>117</v>
      </c>
      <c r="T158" s="8" t="s">
        <v>291</v>
      </c>
      <c r="U158" s="8" t="s">
        <v>292</v>
      </c>
      <c r="V158" s="8"/>
      <c r="W158" s="8" t="s">
        <v>305</v>
      </c>
      <c r="X158" s="8" t="s">
        <v>306</v>
      </c>
      <c r="Y158" s="8" t="s">
        <v>2442</v>
      </c>
      <c r="Z158" s="8" t="s">
        <v>2443</v>
      </c>
    </row>
    <row r="159" customFormat="false" ht="15" hidden="false" customHeight="false" outlineLevel="0" collapsed="false">
      <c r="A159" s="8" t="s">
        <v>304</v>
      </c>
      <c r="B159" s="8" t="s">
        <v>19</v>
      </c>
      <c r="C159" s="8" t="s">
        <v>20</v>
      </c>
      <c r="D159" s="8" t="s">
        <v>615</v>
      </c>
      <c r="E159" s="8" t="s">
        <v>36</v>
      </c>
      <c r="F159" s="8" t="s">
        <v>51</v>
      </c>
      <c r="G159" s="8" t="s">
        <v>31</v>
      </c>
      <c r="H159" s="8" t="s">
        <v>31</v>
      </c>
      <c r="I159" s="8" t="n">
        <f aca="false">IF(EXACT(G159,H159),1,0)</f>
        <v>1</v>
      </c>
      <c r="J159" s="8" t="n">
        <v>1</v>
      </c>
      <c r="K159" s="8" t="s">
        <v>116</v>
      </c>
      <c r="L159" s="8" t="n">
        <v>1</v>
      </c>
      <c r="M159" s="8" t="n">
        <v>0</v>
      </c>
      <c r="N159" s="8"/>
      <c r="O159" s="8" t="n">
        <v>1</v>
      </c>
      <c r="P159" s="10" t="n">
        <v>12.12</v>
      </c>
      <c r="Q159" s="8" t="n">
        <v>688</v>
      </c>
      <c r="R159" s="8" t="n">
        <v>410</v>
      </c>
      <c r="S159" s="8" t="s">
        <v>117</v>
      </c>
      <c r="T159" s="8" t="s">
        <v>291</v>
      </c>
      <c r="U159" s="8" t="s">
        <v>292</v>
      </c>
      <c r="V159" s="8"/>
      <c r="W159" s="8" t="s">
        <v>305</v>
      </c>
      <c r="X159" s="8" t="s">
        <v>306</v>
      </c>
      <c r="Y159" s="8" t="s">
        <v>2444</v>
      </c>
      <c r="Z159" s="8" t="s">
        <v>2443</v>
      </c>
    </row>
    <row r="160" customFormat="false" ht="15" hidden="false" customHeight="false" outlineLevel="0" collapsed="false">
      <c r="A160" s="8" t="s">
        <v>304</v>
      </c>
      <c r="B160" s="8" t="s">
        <v>19</v>
      </c>
      <c r="C160" s="8" t="s">
        <v>20</v>
      </c>
      <c r="D160" s="8" t="s">
        <v>615</v>
      </c>
      <c r="E160" s="8" t="s">
        <v>36</v>
      </c>
      <c r="F160" s="8" t="s">
        <v>51</v>
      </c>
      <c r="G160" s="8" t="s">
        <v>31</v>
      </c>
      <c r="H160" s="8" t="s">
        <v>31</v>
      </c>
      <c r="I160" s="8" t="n">
        <f aca="false">IF(EXACT(G160,H160),1,0)</f>
        <v>1</v>
      </c>
      <c r="J160" s="8" t="n">
        <v>2</v>
      </c>
      <c r="K160" s="8" t="s">
        <v>116</v>
      </c>
      <c r="L160" s="8" t="n">
        <v>1</v>
      </c>
      <c r="M160" s="8" t="n">
        <v>0</v>
      </c>
      <c r="N160" s="8"/>
      <c r="O160" s="8" t="n">
        <v>1</v>
      </c>
      <c r="P160" s="10" t="n">
        <v>15.15</v>
      </c>
      <c r="Q160" s="8" t="n">
        <v>688</v>
      </c>
      <c r="R160" s="8" t="n">
        <v>363</v>
      </c>
      <c r="S160" s="8" t="s">
        <v>117</v>
      </c>
      <c r="T160" s="8" t="s">
        <v>291</v>
      </c>
      <c r="U160" s="8" t="s">
        <v>292</v>
      </c>
      <c r="V160" s="8"/>
      <c r="W160" s="8" t="s">
        <v>305</v>
      </c>
      <c r="X160" s="8" t="s">
        <v>306</v>
      </c>
      <c r="Y160" s="8" t="s">
        <v>2445</v>
      </c>
      <c r="Z160" s="8" t="s">
        <v>2446</v>
      </c>
    </row>
    <row r="161" customFormat="false" ht="15" hidden="false" customHeight="false" outlineLevel="0" collapsed="false">
      <c r="A161" s="8" t="s">
        <v>307</v>
      </c>
      <c r="B161" s="8" t="s">
        <v>19</v>
      </c>
      <c r="C161" s="8" t="s">
        <v>20</v>
      </c>
      <c r="D161" s="8" t="s">
        <v>615</v>
      </c>
      <c r="E161" s="8" t="s">
        <v>36</v>
      </c>
      <c r="F161" s="8" t="s">
        <v>51</v>
      </c>
      <c r="G161" s="8" t="s">
        <v>31</v>
      </c>
      <c r="H161" s="8" t="s">
        <v>31</v>
      </c>
      <c r="I161" s="8" t="n">
        <f aca="false">IF(EXACT(G161,H161),1,0)</f>
        <v>1</v>
      </c>
      <c r="J161" s="8" t="n">
        <v>0</v>
      </c>
      <c r="K161" s="8" t="s">
        <v>116</v>
      </c>
      <c r="L161" s="8" t="n">
        <v>1</v>
      </c>
      <c r="M161" s="8" t="n">
        <v>0</v>
      </c>
      <c r="N161" s="8"/>
      <c r="O161" s="8" t="n">
        <v>1</v>
      </c>
      <c r="P161" s="10" t="n">
        <v>10.52</v>
      </c>
      <c r="Q161" s="8" t="n">
        <v>632</v>
      </c>
      <c r="R161" s="8" t="n">
        <v>393</v>
      </c>
      <c r="S161" s="8" t="s">
        <v>308</v>
      </c>
      <c r="T161" s="8"/>
      <c r="U161" s="8"/>
      <c r="V161" s="8" t="s">
        <v>309</v>
      </c>
      <c r="W161" s="8"/>
      <c r="X161" s="8" t="s">
        <v>310</v>
      </c>
      <c r="Y161" s="8" t="s">
        <v>2447</v>
      </c>
      <c r="Z161" s="8" t="s">
        <v>2448</v>
      </c>
    </row>
    <row r="162" customFormat="false" ht="15" hidden="false" customHeight="false" outlineLevel="0" collapsed="false">
      <c r="A162" s="8" t="s">
        <v>307</v>
      </c>
      <c r="B162" s="8" t="s">
        <v>19</v>
      </c>
      <c r="C162" s="8" t="s">
        <v>20</v>
      </c>
      <c r="D162" s="8" t="s">
        <v>615</v>
      </c>
      <c r="E162" s="8" t="s">
        <v>36</v>
      </c>
      <c r="F162" s="8" t="s">
        <v>51</v>
      </c>
      <c r="G162" s="8" t="s">
        <v>31</v>
      </c>
      <c r="H162" s="8" t="s">
        <v>31</v>
      </c>
      <c r="I162" s="8" t="n">
        <f aca="false">IF(EXACT(G162,H162),1,0)</f>
        <v>1</v>
      </c>
      <c r="J162" s="8" t="n">
        <v>1</v>
      </c>
      <c r="K162" s="8" t="s">
        <v>116</v>
      </c>
      <c r="L162" s="8" t="n">
        <v>1</v>
      </c>
      <c r="M162" s="8" t="n">
        <v>0</v>
      </c>
      <c r="N162" s="8"/>
      <c r="O162" s="8" t="n">
        <v>1</v>
      </c>
      <c r="P162" s="10" t="n">
        <v>8.3</v>
      </c>
      <c r="Q162" s="8" t="n">
        <v>632</v>
      </c>
      <c r="R162" s="8" t="n">
        <v>384</v>
      </c>
      <c r="S162" s="8" t="s">
        <v>308</v>
      </c>
      <c r="T162" s="8"/>
      <c r="U162" s="8"/>
      <c r="V162" s="8" t="s">
        <v>309</v>
      </c>
      <c r="W162" s="8"/>
      <c r="X162" s="8" t="s">
        <v>310</v>
      </c>
      <c r="Y162" s="8" t="s">
        <v>2449</v>
      </c>
      <c r="Z162" s="8" t="s">
        <v>2450</v>
      </c>
    </row>
    <row r="163" customFormat="false" ht="15" hidden="false" customHeight="false" outlineLevel="0" collapsed="false">
      <c r="A163" s="8" t="s">
        <v>307</v>
      </c>
      <c r="B163" s="8" t="s">
        <v>19</v>
      </c>
      <c r="C163" s="8" t="s">
        <v>20</v>
      </c>
      <c r="D163" s="8" t="s">
        <v>615</v>
      </c>
      <c r="E163" s="8" t="s">
        <v>36</v>
      </c>
      <c r="F163" s="8" t="s">
        <v>51</v>
      </c>
      <c r="G163" s="8" t="s">
        <v>31</v>
      </c>
      <c r="H163" s="8" t="s">
        <v>31</v>
      </c>
      <c r="I163" s="8" t="n">
        <f aca="false">IF(EXACT(G163,H163),1,0)</f>
        <v>1</v>
      </c>
      <c r="J163" s="8" t="n">
        <v>2</v>
      </c>
      <c r="K163" s="8" t="s">
        <v>116</v>
      </c>
      <c r="L163" s="8" t="n">
        <v>1</v>
      </c>
      <c r="M163" s="8" t="n">
        <v>0</v>
      </c>
      <c r="N163" s="8"/>
      <c r="O163" s="8" t="n">
        <v>1</v>
      </c>
      <c r="P163" s="10" t="n">
        <v>8.86</v>
      </c>
      <c r="Q163" s="8" t="n">
        <v>632</v>
      </c>
      <c r="R163" s="8" t="n">
        <v>407</v>
      </c>
      <c r="S163" s="8" t="s">
        <v>308</v>
      </c>
      <c r="T163" s="8"/>
      <c r="U163" s="8"/>
      <c r="V163" s="8" t="s">
        <v>309</v>
      </c>
      <c r="W163" s="8"/>
      <c r="X163" s="8" t="s">
        <v>310</v>
      </c>
      <c r="Y163" s="8" t="s">
        <v>2451</v>
      </c>
      <c r="Z163" s="8" t="s">
        <v>2452</v>
      </c>
    </row>
    <row r="164" customFormat="false" ht="15" hidden="false" customHeight="false" outlineLevel="0" collapsed="false">
      <c r="A164" s="8" t="s">
        <v>312</v>
      </c>
      <c r="B164" s="8" t="s">
        <v>19</v>
      </c>
      <c r="C164" s="8" t="s">
        <v>20</v>
      </c>
      <c r="D164" s="8" t="s">
        <v>615</v>
      </c>
      <c r="E164" s="8" t="s">
        <v>36</v>
      </c>
      <c r="F164" s="8" t="s">
        <v>57</v>
      </c>
      <c r="G164" s="8" t="s">
        <v>31</v>
      </c>
      <c r="H164" s="8" t="s">
        <v>31</v>
      </c>
      <c r="I164" s="8" t="n">
        <f aca="false">IF(EXACT(G164,H164),1,0)</f>
        <v>1</v>
      </c>
      <c r="J164" s="8" t="n">
        <v>0</v>
      </c>
      <c r="K164" s="8" t="s">
        <v>116</v>
      </c>
      <c r="L164" s="8" t="n">
        <v>5</v>
      </c>
      <c r="M164" s="8" t="n">
        <v>0</v>
      </c>
      <c r="N164" s="8"/>
      <c r="O164" s="8" t="n">
        <v>1</v>
      </c>
      <c r="P164" s="10" t="n">
        <v>20.61</v>
      </c>
      <c r="Q164" s="8" t="n">
        <v>694</v>
      </c>
      <c r="R164" s="8" t="n">
        <v>992</v>
      </c>
      <c r="S164" s="8" t="s">
        <v>313</v>
      </c>
      <c r="T164" s="8"/>
      <c r="U164" s="8"/>
      <c r="V164" s="8" t="s">
        <v>155</v>
      </c>
      <c r="W164" s="8"/>
      <c r="X164" s="8" t="s">
        <v>314</v>
      </c>
      <c r="Y164" s="8" t="s">
        <v>2453</v>
      </c>
      <c r="Z164" s="8" t="s">
        <v>2454</v>
      </c>
    </row>
    <row r="165" customFormat="false" ht="15" hidden="false" customHeight="false" outlineLevel="0" collapsed="false">
      <c r="A165" s="8" t="s">
        <v>312</v>
      </c>
      <c r="B165" s="8" t="s">
        <v>19</v>
      </c>
      <c r="C165" s="8" t="s">
        <v>20</v>
      </c>
      <c r="D165" s="8" t="s">
        <v>615</v>
      </c>
      <c r="E165" s="8" t="s">
        <v>36</v>
      </c>
      <c r="F165" s="8" t="s">
        <v>57</v>
      </c>
      <c r="G165" s="8" t="s">
        <v>31</v>
      </c>
      <c r="H165" s="8" t="s">
        <v>31</v>
      </c>
      <c r="I165" s="8" t="n">
        <f aca="false">IF(EXACT(G165,H165),1,0)</f>
        <v>1</v>
      </c>
      <c r="J165" s="8" t="n">
        <v>1</v>
      </c>
      <c r="K165" s="8" t="s">
        <v>2333</v>
      </c>
      <c r="L165" s="8" t="n">
        <v>1</v>
      </c>
      <c r="M165" s="8" t="n">
        <v>0</v>
      </c>
      <c r="N165" s="8"/>
      <c r="O165" s="8" t="n">
        <v>1</v>
      </c>
      <c r="P165" s="10" t="n">
        <v>11.55</v>
      </c>
      <c r="Q165" s="8" t="n">
        <v>694</v>
      </c>
      <c r="R165" s="8" t="n">
        <v>484</v>
      </c>
      <c r="S165" s="8" t="s">
        <v>313</v>
      </c>
      <c r="T165" s="8"/>
      <c r="U165" s="8"/>
      <c r="V165" s="8" t="s">
        <v>155</v>
      </c>
      <c r="W165" s="8"/>
      <c r="X165" s="8" t="s">
        <v>314</v>
      </c>
      <c r="Y165" s="8" t="s">
        <v>2455</v>
      </c>
      <c r="Z165" s="8" t="s">
        <v>2456</v>
      </c>
    </row>
    <row r="166" customFormat="false" ht="15" hidden="false" customHeight="false" outlineLevel="0" collapsed="false">
      <c r="A166" s="8" t="s">
        <v>312</v>
      </c>
      <c r="B166" s="8" t="s">
        <v>19</v>
      </c>
      <c r="C166" s="8" t="s">
        <v>20</v>
      </c>
      <c r="D166" s="8" t="s">
        <v>615</v>
      </c>
      <c r="E166" s="8" t="s">
        <v>36</v>
      </c>
      <c r="F166" s="8" t="s">
        <v>57</v>
      </c>
      <c r="G166" s="8" t="s">
        <v>31</v>
      </c>
      <c r="H166" s="8" t="s">
        <v>31</v>
      </c>
      <c r="I166" s="8" t="n">
        <f aca="false">IF(EXACT(G166,H166),1,0)</f>
        <v>1</v>
      </c>
      <c r="J166" s="8" t="n">
        <v>2</v>
      </c>
      <c r="K166" s="8" t="s">
        <v>2333</v>
      </c>
      <c r="L166" s="8" t="n">
        <v>1</v>
      </c>
      <c r="M166" s="8" t="n">
        <v>0</v>
      </c>
      <c r="N166" s="8"/>
      <c r="O166" s="8" t="n">
        <v>1</v>
      </c>
      <c r="P166" s="10" t="n">
        <v>10.75</v>
      </c>
      <c r="Q166" s="8" t="n">
        <v>694</v>
      </c>
      <c r="R166" s="8" t="n">
        <v>447</v>
      </c>
      <c r="S166" s="8" t="s">
        <v>313</v>
      </c>
      <c r="T166" s="8"/>
      <c r="U166" s="8"/>
      <c r="V166" s="8" t="s">
        <v>155</v>
      </c>
      <c r="W166" s="8"/>
      <c r="X166" s="8" t="s">
        <v>314</v>
      </c>
      <c r="Y166" s="8" t="s">
        <v>2457</v>
      </c>
      <c r="Z166" s="8" t="s">
        <v>2458</v>
      </c>
    </row>
    <row r="167" customFormat="false" ht="15" hidden="false" customHeight="false" outlineLevel="0" collapsed="false">
      <c r="A167" s="8" t="s">
        <v>315</v>
      </c>
      <c r="B167" s="8" t="s">
        <v>19</v>
      </c>
      <c r="C167" s="8" t="s">
        <v>20</v>
      </c>
      <c r="D167" s="8" t="s">
        <v>615</v>
      </c>
      <c r="E167" s="8" t="s">
        <v>36</v>
      </c>
      <c r="F167" s="8" t="s">
        <v>57</v>
      </c>
      <c r="G167" s="8" t="s">
        <v>31</v>
      </c>
      <c r="H167" s="8" t="s">
        <v>31</v>
      </c>
      <c r="I167" s="8" t="n">
        <f aca="false">IF(EXACT(G167,H167),1,0)</f>
        <v>1</v>
      </c>
      <c r="J167" s="8" t="n">
        <v>0</v>
      </c>
      <c r="K167" s="8" t="s">
        <v>737</v>
      </c>
      <c r="L167" s="8" t="n">
        <v>1</v>
      </c>
      <c r="M167" s="8" t="n">
        <v>0</v>
      </c>
      <c r="N167" s="8"/>
      <c r="O167" s="8" t="n">
        <v>1</v>
      </c>
      <c r="P167" s="10" t="n">
        <v>9.32</v>
      </c>
      <c r="Q167" s="8" t="n">
        <v>692</v>
      </c>
      <c r="R167" s="8" t="n">
        <v>464</v>
      </c>
      <c r="S167" s="8" t="s">
        <v>316</v>
      </c>
      <c r="T167" s="8"/>
      <c r="U167" s="8"/>
      <c r="V167" s="8" t="s">
        <v>155</v>
      </c>
      <c r="W167" s="8"/>
      <c r="X167" s="8" t="s">
        <v>317</v>
      </c>
      <c r="Y167" s="8" t="s">
        <v>2459</v>
      </c>
      <c r="Z167" s="8" t="s">
        <v>2460</v>
      </c>
    </row>
    <row r="168" customFormat="false" ht="15" hidden="false" customHeight="false" outlineLevel="0" collapsed="false">
      <c r="A168" s="8" t="s">
        <v>315</v>
      </c>
      <c r="B168" s="8" t="s">
        <v>19</v>
      </c>
      <c r="C168" s="8" t="s">
        <v>20</v>
      </c>
      <c r="D168" s="8" t="s">
        <v>615</v>
      </c>
      <c r="E168" s="8" t="s">
        <v>36</v>
      </c>
      <c r="F168" s="8" t="s">
        <v>57</v>
      </c>
      <c r="G168" s="8" t="s">
        <v>31</v>
      </c>
      <c r="H168" s="8" t="s">
        <v>30</v>
      </c>
      <c r="I168" s="8" t="n">
        <f aca="false">IF(EXACT(G168,H168),1,0)</f>
        <v>0</v>
      </c>
      <c r="J168" s="8" t="n">
        <v>1</v>
      </c>
      <c r="K168" s="8" t="s">
        <v>92</v>
      </c>
      <c r="L168" s="8" t="n">
        <v>0</v>
      </c>
      <c r="M168" s="8" t="n">
        <v>0</v>
      </c>
      <c r="N168" s="8"/>
      <c r="O168" s="8" t="n">
        <v>1</v>
      </c>
      <c r="P168" s="10" t="n">
        <v>7.15</v>
      </c>
      <c r="Q168" s="8" t="n">
        <v>692</v>
      </c>
      <c r="R168" s="8" t="n">
        <v>344</v>
      </c>
      <c r="S168" s="8" t="s">
        <v>316</v>
      </c>
      <c r="T168" s="8"/>
      <c r="U168" s="8"/>
      <c r="V168" s="8" t="s">
        <v>155</v>
      </c>
      <c r="W168" s="8"/>
      <c r="X168" s="8" t="s">
        <v>317</v>
      </c>
      <c r="Y168" s="8" t="s">
        <v>2461</v>
      </c>
      <c r="Z168" s="8"/>
    </row>
    <row r="169" customFormat="false" ht="15" hidden="false" customHeight="false" outlineLevel="0" collapsed="false">
      <c r="A169" s="8" t="s">
        <v>315</v>
      </c>
      <c r="B169" s="8" t="s">
        <v>19</v>
      </c>
      <c r="C169" s="8" t="s">
        <v>20</v>
      </c>
      <c r="D169" s="8" t="s">
        <v>615</v>
      </c>
      <c r="E169" s="8" t="s">
        <v>36</v>
      </c>
      <c r="F169" s="8" t="s">
        <v>57</v>
      </c>
      <c r="G169" s="8" t="s">
        <v>31</v>
      </c>
      <c r="H169" s="8" t="s">
        <v>31</v>
      </c>
      <c r="I169" s="8" t="n">
        <f aca="false">IF(EXACT(G169,H169),1,0)</f>
        <v>1</v>
      </c>
      <c r="J169" s="8" t="n">
        <v>2</v>
      </c>
      <c r="K169" s="8" t="s">
        <v>737</v>
      </c>
      <c r="L169" s="8" t="n">
        <v>1</v>
      </c>
      <c r="M169" s="8" t="n">
        <v>0</v>
      </c>
      <c r="N169" s="8"/>
      <c r="O169" s="8" t="n">
        <v>1</v>
      </c>
      <c r="P169" s="10" t="n">
        <v>8.42</v>
      </c>
      <c r="Q169" s="8" t="n">
        <v>692</v>
      </c>
      <c r="R169" s="8" t="n">
        <v>443</v>
      </c>
      <c r="S169" s="8" t="s">
        <v>316</v>
      </c>
      <c r="T169" s="8"/>
      <c r="U169" s="8"/>
      <c r="V169" s="8" t="s">
        <v>155</v>
      </c>
      <c r="W169" s="8"/>
      <c r="X169" s="8" t="s">
        <v>317</v>
      </c>
      <c r="Y169" s="8" t="s">
        <v>2462</v>
      </c>
      <c r="Z169" s="8" t="s">
        <v>2463</v>
      </c>
    </row>
    <row r="170" customFormat="false" ht="15" hidden="false" customHeight="false" outlineLevel="0" collapsed="false">
      <c r="A170" s="8" t="s">
        <v>318</v>
      </c>
      <c r="B170" s="8" t="s">
        <v>19</v>
      </c>
      <c r="C170" s="8" t="s">
        <v>20</v>
      </c>
      <c r="D170" s="8" t="s">
        <v>615</v>
      </c>
      <c r="E170" s="8" t="s">
        <v>36</v>
      </c>
      <c r="F170" s="8" t="s">
        <v>57</v>
      </c>
      <c r="G170" s="8" t="s">
        <v>32</v>
      </c>
      <c r="H170" s="8" t="s">
        <v>32</v>
      </c>
      <c r="I170" s="8" t="n">
        <f aca="false">IF(EXACT(G170,H170),1,0)</f>
        <v>1</v>
      </c>
      <c r="J170" s="8" t="n">
        <v>0</v>
      </c>
      <c r="K170" s="8" t="s">
        <v>92</v>
      </c>
      <c r="L170" s="8" t="n">
        <v>0</v>
      </c>
      <c r="M170" s="8" t="n">
        <v>0</v>
      </c>
      <c r="N170" s="8"/>
      <c r="O170" s="8" t="n">
        <v>1</v>
      </c>
      <c r="P170" s="10" t="n">
        <v>12.62</v>
      </c>
      <c r="Q170" s="8" t="n">
        <v>638</v>
      </c>
      <c r="R170" s="8" t="n">
        <v>213</v>
      </c>
      <c r="S170" s="8" t="s">
        <v>319</v>
      </c>
      <c r="T170" s="8"/>
      <c r="U170" s="8"/>
      <c r="V170" s="8" t="s">
        <v>155</v>
      </c>
      <c r="W170" s="8"/>
      <c r="X170" s="8" t="s">
        <v>320</v>
      </c>
      <c r="Y170" s="8" t="s">
        <v>2464</v>
      </c>
      <c r="Z170" s="8"/>
    </row>
    <row r="171" customFormat="false" ht="15" hidden="false" customHeight="false" outlineLevel="0" collapsed="false">
      <c r="A171" s="8" t="s">
        <v>318</v>
      </c>
      <c r="B171" s="8" t="s">
        <v>19</v>
      </c>
      <c r="C171" s="8" t="s">
        <v>20</v>
      </c>
      <c r="D171" s="8" t="s">
        <v>615</v>
      </c>
      <c r="E171" s="8" t="s">
        <v>36</v>
      </c>
      <c r="F171" s="8" t="s">
        <v>57</v>
      </c>
      <c r="G171" s="8" t="s">
        <v>32</v>
      </c>
      <c r="H171" s="8" t="s">
        <v>32</v>
      </c>
      <c r="I171" s="8" t="n">
        <f aca="false">IF(EXACT(G171,H171),1,0)</f>
        <v>1</v>
      </c>
      <c r="J171" s="8" t="n">
        <v>1</v>
      </c>
      <c r="K171" s="8" t="s">
        <v>92</v>
      </c>
      <c r="L171" s="8" t="n">
        <v>0</v>
      </c>
      <c r="M171" s="8" t="n">
        <v>0</v>
      </c>
      <c r="N171" s="8"/>
      <c r="O171" s="8" t="n">
        <v>1</v>
      </c>
      <c r="P171" s="10" t="n">
        <v>6.71</v>
      </c>
      <c r="Q171" s="8" t="n">
        <v>638</v>
      </c>
      <c r="R171" s="8" t="n">
        <v>254</v>
      </c>
      <c r="S171" s="8" t="s">
        <v>319</v>
      </c>
      <c r="T171" s="8"/>
      <c r="U171" s="8"/>
      <c r="V171" s="8" t="s">
        <v>155</v>
      </c>
      <c r="W171" s="8"/>
      <c r="X171" s="8" t="s">
        <v>320</v>
      </c>
      <c r="Y171" s="8" t="s">
        <v>2465</v>
      </c>
      <c r="Z171" s="8"/>
    </row>
    <row r="172" customFormat="false" ht="15" hidden="false" customHeight="false" outlineLevel="0" collapsed="false">
      <c r="A172" s="8" t="s">
        <v>318</v>
      </c>
      <c r="B172" s="8" t="s">
        <v>19</v>
      </c>
      <c r="C172" s="8" t="s">
        <v>20</v>
      </c>
      <c r="D172" s="8" t="s">
        <v>615</v>
      </c>
      <c r="E172" s="8" t="s">
        <v>36</v>
      </c>
      <c r="F172" s="8" t="s">
        <v>57</v>
      </c>
      <c r="G172" s="8" t="s">
        <v>32</v>
      </c>
      <c r="H172" s="8" t="s">
        <v>32</v>
      </c>
      <c r="I172" s="8" t="n">
        <f aca="false">IF(EXACT(G172,H172),1,0)</f>
        <v>1</v>
      </c>
      <c r="J172" s="8" t="n">
        <v>2</v>
      </c>
      <c r="K172" s="8" t="s">
        <v>92</v>
      </c>
      <c r="L172" s="8" t="n">
        <v>0</v>
      </c>
      <c r="M172" s="8" t="n">
        <v>0</v>
      </c>
      <c r="N172" s="8"/>
      <c r="O172" s="8" t="n">
        <v>1</v>
      </c>
      <c r="P172" s="10" t="n">
        <v>5.22</v>
      </c>
      <c r="Q172" s="8" t="n">
        <v>638</v>
      </c>
      <c r="R172" s="8" t="n">
        <v>213</v>
      </c>
      <c r="S172" s="8" t="s">
        <v>319</v>
      </c>
      <c r="T172" s="8"/>
      <c r="U172" s="8"/>
      <c r="V172" s="8" t="s">
        <v>155</v>
      </c>
      <c r="W172" s="8"/>
      <c r="X172" s="8" t="s">
        <v>320</v>
      </c>
      <c r="Y172" s="8" t="s">
        <v>2464</v>
      </c>
      <c r="Z172" s="8"/>
    </row>
    <row r="173" customFormat="false" ht="15" hidden="false" customHeight="false" outlineLevel="0" collapsed="false">
      <c r="A173" s="8" t="s">
        <v>321</v>
      </c>
      <c r="B173" s="8" t="s">
        <v>19</v>
      </c>
      <c r="C173" s="8" t="s">
        <v>20</v>
      </c>
      <c r="D173" s="8" t="s">
        <v>615</v>
      </c>
      <c r="E173" s="8" t="s">
        <v>36</v>
      </c>
      <c r="F173" s="8" t="s">
        <v>57</v>
      </c>
      <c r="G173" s="8" t="s">
        <v>32</v>
      </c>
      <c r="H173" s="8" t="s">
        <v>31</v>
      </c>
      <c r="I173" s="8" t="n">
        <f aca="false">IF(EXACT(G173,H173),1,0)</f>
        <v>0</v>
      </c>
      <c r="J173" s="8" t="n">
        <v>0</v>
      </c>
      <c r="K173" s="8" t="s">
        <v>737</v>
      </c>
      <c r="L173" s="8" t="n">
        <v>2</v>
      </c>
      <c r="M173" s="8" t="n">
        <v>0</v>
      </c>
      <c r="N173" s="8"/>
      <c r="O173" s="8" t="n">
        <v>1</v>
      </c>
      <c r="P173" s="10" t="n">
        <v>15.97</v>
      </c>
      <c r="Q173" s="8" t="n">
        <v>683</v>
      </c>
      <c r="R173" s="8" t="n">
        <v>765</v>
      </c>
      <c r="S173" s="8" t="s">
        <v>322</v>
      </c>
      <c r="T173" s="8"/>
      <c r="U173" s="8"/>
      <c r="V173" s="8" t="s">
        <v>155</v>
      </c>
      <c r="W173" s="8"/>
      <c r="X173" s="8" t="s">
        <v>323</v>
      </c>
      <c r="Y173" s="8" t="s">
        <v>2466</v>
      </c>
      <c r="Z173" s="8" t="s">
        <v>2467</v>
      </c>
    </row>
    <row r="174" customFormat="false" ht="15" hidden="false" customHeight="false" outlineLevel="0" collapsed="false">
      <c r="A174" s="8" t="s">
        <v>321</v>
      </c>
      <c r="B174" s="8" t="s">
        <v>19</v>
      </c>
      <c r="C174" s="8" t="s">
        <v>20</v>
      </c>
      <c r="D174" s="8" t="s">
        <v>615</v>
      </c>
      <c r="E174" s="8" t="s">
        <v>36</v>
      </c>
      <c r="F174" s="8" t="s">
        <v>57</v>
      </c>
      <c r="G174" s="8" t="s">
        <v>32</v>
      </c>
      <c r="H174" s="8" t="s">
        <v>31</v>
      </c>
      <c r="I174" s="8" t="n">
        <f aca="false">IF(EXACT(G174,H174),1,0)</f>
        <v>0</v>
      </c>
      <c r="J174" s="8" t="n">
        <v>1</v>
      </c>
      <c r="K174" s="8" t="s">
        <v>737</v>
      </c>
      <c r="L174" s="8" t="n">
        <v>3</v>
      </c>
      <c r="M174" s="8" t="n">
        <v>0</v>
      </c>
      <c r="N174" s="8"/>
      <c r="O174" s="8" t="n">
        <v>1</v>
      </c>
      <c r="P174" s="10" t="n">
        <v>17.81</v>
      </c>
      <c r="Q174" s="8" t="n">
        <v>683</v>
      </c>
      <c r="R174" s="8" t="n">
        <v>846</v>
      </c>
      <c r="S174" s="8" t="s">
        <v>322</v>
      </c>
      <c r="T174" s="8"/>
      <c r="U174" s="8"/>
      <c r="V174" s="8" t="s">
        <v>155</v>
      </c>
      <c r="W174" s="8"/>
      <c r="X174" s="8" t="s">
        <v>323</v>
      </c>
      <c r="Y174" s="8" t="s">
        <v>2468</v>
      </c>
      <c r="Z174" s="8" t="s">
        <v>2469</v>
      </c>
    </row>
    <row r="175" customFormat="false" ht="15" hidden="false" customHeight="false" outlineLevel="0" collapsed="false">
      <c r="A175" s="8" t="s">
        <v>321</v>
      </c>
      <c r="B175" s="8" t="s">
        <v>19</v>
      </c>
      <c r="C175" s="8" t="s">
        <v>20</v>
      </c>
      <c r="D175" s="8" t="s">
        <v>615</v>
      </c>
      <c r="E175" s="8" t="s">
        <v>36</v>
      </c>
      <c r="F175" s="8" t="s">
        <v>57</v>
      </c>
      <c r="G175" s="8" t="s">
        <v>32</v>
      </c>
      <c r="H175" s="8" t="s">
        <v>31</v>
      </c>
      <c r="I175" s="8" t="n">
        <f aca="false">IF(EXACT(G175,H175),1,0)</f>
        <v>0</v>
      </c>
      <c r="J175" s="8" t="n">
        <v>2</v>
      </c>
      <c r="K175" s="8" t="s">
        <v>737</v>
      </c>
      <c r="L175" s="8" t="n">
        <v>2</v>
      </c>
      <c r="M175" s="8" t="n">
        <v>0</v>
      </c>
      <c r="N175" s="8"/>
      <c r="O175" s="8" t="n">
        <v>1</v>
      </c>
      <c r="P175" s="10" t="n">
        <v>15.36</v>
      </c>
      <c r="Q175" s="8" t="n">
        <v>683</v>
      </c>
      <c r="R175" s="8" t="n">
        <v>706</v>
      </c>
      <c r="S175" s="8" t="s">
        <v>322</v>
      </c>
      <c r="T175" s="8"/>
      <c r="U175" s="8"/>
      <c r="V175" s="8" t="s">
        <v>155</v>
      </c>
      <c r="W175" s="8"/>
      <c r="X175" s="8" t="s">
        <v>323</v>
      </c>
      <c r="Y175" s="8" t="s">
        <v>2470</v>
      </c>
      <c r="Z175" s="8" t="s">
        <v>2471</v>
      </c>
    </row>
    <row r="176" customFormat="false" ht="15" hidden="false" customHeight="false" outlineLevel="0" collapsed="false">
      <c r="A176" s="8" t="s">
        <v>324</v>
      </c>
      <c r="B176" s="8" t="s">
        <v>19</v>
      </c>
      <c r="C176" s="8" t="s">
        <v>20</v>
      </c>
      <c r="D176" s="8" t="s">
        <v>615</v>
      </c>
      <c r="E176" s="8" t="s">
        <v>36</v>
      </c>
      <c r="F176" s="8" t="s">
        <v>57</v>
      </c>
      <c r="G176" s="8" t="s">
        <v>30</v>
      </c>
      <c r="H176" s="8" t="s">
        <v>30</v>
      </c>
      <c r="I176" s="8" t="n">
        <f aca="false">IF(EXACT(G176,H176),1,0)</f>
        <v>1</v>
      </c>
      <c r="J176" s="8" t="n">
        <v>0</v>
      </c>
      <c r="K176" s="8" t="s">
        <v>92</v>
      </c>
      <c r="L176" s="8" t="n">
        <v>0</v>
      </c>
      <c r="M176" s="8" t="n">
        <v>0</v>
      </c>
      <c r="N176" s="8"/>
      <c r="O176" s="8" t="n">
        <v>1</v>
      </c>
      <c r="P176" s="10" t="n">
        <v>8.19</v>
      </c>
      <c r="Q176" s="8" t="n">
        <v>726</v>
      </c>
      <c r="R176" s="8" t="n">
        <v>318</v>
      </c>
      <c r="S176" s="8" t="s">
        <v>325</v>
      </c>
      <c r="T176" s="8"/>
      <c r="U176" s="8"/>
      <c r="V176" s="8" t="s">
        <v>155</v>
      </c>
      <c r="W176" s="8"/>
      <c r="X176" s="8" t="s">
        <v>326</v>
      </c>
      <c r="Y176" s="8" t="s">
        <v>2472</v>
      </c>
      <c r="Z176" s="8"/>
    </row>
    <row r="177" customFormat="false" ht="15" hidden="false" customHeight="false" outlineLevel="0" collapsed="false">
      <c r="A177" s="8" t="s">
        <v>324</v>
      </c>
      <c r="B177" s="8" t="s">
        <v>19</v>
      </c>
      <c r="C177" s="8" t="s">
        <v>20</v>
      </c>
      <c r="D177" s="8" t="s">
        <v>615</v>
      </c>
      <c r="E177" s="8" t="s">
        <v>36</v>
      </c>
      <c r="F177" s="8" t="s">
        <v>57</v>
      </c>
      <c r="G177" s="8" t="s">
        <v>30</v>
      </c>
      <c r="H177" s="8" t="s">
        <v>30</v>
      </c>
      <c r="I177" s="8" t="n">
        <f aca="false">IF(EXACT(G177,H177),1,0)</f>
        <v>1</v>
      </c>
      <c r="J177" s="8" t="n">
        <v>1</v>
      </c>
      <c r="K177" s="8" t="s">
        <v>92</v>
      </c>
      <c r="L177" s="8" t="n">
        <v>0</v>
      </c>
      <c r="M177" s="8" t="n">
        <v>0</v>
      </c>
      <c r="N177" s="8"/>
      <c r="O177" s="8" t="n">
        <v>1</v>
      </c>
      <c r="P177" s="10" t="n">
        <v>6.92</v>
      </c>
      <c r="Q177" s="8" t="n">
        <v>726</v>
      </c>
      <c r="R177" s="8" t="n">
        <v>294</v>
      </c>
      <c r="S177" s="8" t="s">
        <v>325</v>
      </c>
      <c r="T177" s="8"/>
      <c r="U177" s="8"/>
      <c r="V177" s="8" t="s">
        <v>155</v>
      </c>
      <c r="W177" s="8"/>
      <c r="X177" s="8" t="s">
        <v>326</v>
      </c>
      <c r="Y177" s="8" t="s">
        <v>2473</v>
      </c>
      <c r="Z177" s="8"/>
    </row>
    <row r="178" customFormat="false" ht="15" hidden="false" customHeight="false" outlineLevel="0" collapsed="false">
      <c r="A178" s="8" t="s">
        <v>324</v>
      </c>
      <c r="B178" s="8" t="s">
        <v>19</v>
      </c>
      <c r="C178" s="8" t="s">
        <v>20</v>
      </c>
      <c r="D178" s="8" t="s">
        <v>615</v>
      </c>
      <c r="E178" s="8" t="s">
        <v>36</v>
      </c>
      <c r="F178" s="8" t="s">
        <v>57</v>
      </c>
      <c r="G178" s="8" t="s">
        <v>30</v>
      </c>
      <c r="H178" s="8" t="s">
        <v>30</v>
      </c>
      <c r="I178" s="8" t="n">
        <f aca="false">IF(EXACT(G178,H178),1,0)</f>
        <v>1</v>
      </c>
      <c r="J178" s="8" t="n">
        <v>2</v>
      </c>
      <c r="K178" s="8" t="s">
        <v>92</v>
      </c>
      <c r="L178" s="8" t="n">
        <v>0</v>
      </c>
      <c r="M178" s="8" t="n">
        <v>0</v>
      </c>
      <c r="N178" s="8"/>
      <c r="O178" s="8" t="n">
        <v>1</v>
      </c>
      <c r="P178" s="10" t="n">
        <v>7.05</v>
      </c>
      <c r="Q178" s="8" t="n">
        <v>726</v>
      </c>
      <c r="R178" s="8" t="n">
        <v>310</v>
      </c>
      <c r="S178" s="8" t="s">
        <v>325</v>
      </c>
      <c r="T178" s="8"/>
      <c r="U178" s="8"/>
      <c r="V178" s="8" t="s">
        <v>155</v>
      </c>
      <c r="W178" s="8"/>
      <c r="X178" s="8" t="s">
        <v>326</v>
      </c>
      <c r="Y178" s="8" t="s">
        <v>2474</v>
      </c>
      <c r="Z178" s="8"/>
    </row>
    <row r="179" customFormat="false" ht="15" hidden="false" customHeight="false" outlineLevel="0" collapsed="false">
      <c r="A179" s="8" t="s">
        <v>327</v>
      </c>
      <c r="B179" s="8" t="s">
        <v>19</v>
      </c>
      <c r="C179" s="8" t="s">
        <v>20</v>
      </c>
      <c r="D179" s="8" t="s">
        <v>615</v>
      </c>
      <c r="E179" s="8" t="s">
        <v>36</v>
      </c>
      <c r="F179" s="8" t="s">
        <v>57</v>
      </c>
      <c r="G179" s="8" t="s">
        <v>30</v>
      </c>
      <c r="H179" s="8" t="s">
        <v>30</v>
      </c>
      <c r="I179" s="8" t="n">
        <f aca="false">IF(EXACT(G179,H179),1,0)</f>
        <v>1</v>
      </c>
      <c r="J179" s="8" t="n">
        <v>0</v>
      </c>
      <c r="K179" s="8" t="s">
        <v>92</v>
      </c>
      <c r="L179" s="8" t="n">
        <v>0</v>
      </c>
      <c r="M179" s="8" t="n">
        <v>0</v>
      </c>
      <c r="N179" s="8"/>
      <c r="O179" s="8" t="n">
        <v>1</v>
      </c>
      <c r="P179" s="10" t="n">
        <v>14.74</v>
      </c>
      <c r="Q179" s="8" t="n">
        <v>724</v>
      </c>
      <c r="R179" s="8" t="n">
        <v>316</v>
      </c>
      <c r="S179" s="8" t="s">
        <v>328</v>
      </c>
      <c r="T179" s="8"/>
      <c r="U179" s="8"/>
      <c r="V179" s="8" t="s">
        <v>155</v>
      </c>
      <c r="W179" s="8"/>
      <c r="X179" s="8" t="s">
        <v>329</v>
      </c>
      <c r="Y179" s="8" t="s">
        <v>2475</v>
      </c>
      <c r="Z179" s="8"/>
    </row>
    <row r="180" customFormat="false" ht="15" hidden="false" customHeight="false" outlineLevel="0" collapsed="false">
      <c r="A180" s="8" t="s">
        <v>327</v>
      </c>
      <c r="B180" s="8" t="s">
        <v>19</v>
      </c>
      <c r="C180" s="8" t="s">
        <v>20</v>
      </c>
      <c r="D180" s="8" t="s">
        <v>615</v>
      </c>
      <c r="E180" s="8" t="s">
        <v>36</v>
      </c>
      <c r="F180" s="8" t="s">
        <v>57</v>
      </c>
      <c r="G180" s="8" t="s">
        <v>30</v>
      </c>
      <c r="H180" s="8" t="s">
        <v>30</v>
      </c>
      <c r="I180" s="8" t="n">
        <f aca="false">IF(EXACT(G180,H180),1,0)</f>
        <v>1</v>
      </c>
      <c r="J180" s="8" t="n">
        <v>1</v>
      </c>
      <c r="K180" s="8" t="s">
        <v>92</v>
      </c>
      <c r="L180" s="8" t="n">
        <v>0</v>
      </c>
      <c r="M180" s="8" t="n">
        <v>0</v>
      </c>
      <c r="N180" s="8"/>
      <c r="O180" s="8" t="n">
        <v>1</v>
      </c>
      <c r="P180" s="10" t="n">
        <v>14.75</v>
      </c>
      <c r="Q180" s="8" t="n">
        <v>724</v>
      </c>
      <c r="R180" s="8" t="n">
        <v>342</v>
      </c>
      <c r="S180" s="8" t="s">
        <v>328</v>
      </c>
      <c r="T180" s="8"/>
      <c r="U180" s="8"/>
      <c r="V180" s="8" t="s">
        <v>155</v>
      </c>
      <c r="W180" s="8"/>
      <c r="X180" s="8" t="s">
        <v>329</v>
      </c>
      <c r="Y180" s="8" t="s">
        <v>2476</v>
      </c>
      <c r="Z180" s="8"/>
    </row>
    <row r="181" customFormat="false" ht="15" hidden="false" customHeight="false" outlineLevel="0" collapsed="false">
      <c r="A181" s="8" t="s">
        <v>327</v>
      </c>
      <c r="B181" s="8" t="s">
        <v>19</v>
      </c>
      <c r="C181" s="8" t="s">
        <v>20</v>
      </c>
      <c r="D181" s="8" t="s">
        <v>615</v>
      </c>
      <c r="E181" s="8" t="s">
        <v>36</v>
      </c>
      <c r="F181" s="8" t="s">
        <v>57</v>
      </c>
      <c r="G181" s="8" t="s">
        <v>30</v>
      </c>
      <c r="H181" s="8" t="s">
        <v>30</v>
      </c>
      <c r="I181" s="8" t="n">
        <f aca="false">IF(EXACT(G181,H181),1,0)</f>
        <v>1</v>
      </c>
      <c r="J181" s="8" t="n">
        <v>2</v>
      </c>
      <c r="K181" s="8" t="s">
        <v>92</v>
      </c>
      <c r="L181" s="8" t="n">
        <v>0</v>
      </c>
      <c r="M181" s="8" t="n">
        <v>0</v>
      </c>
      <c r="N181" s="8"/>
      <c r="O181" s="8" t="n">
        <v>1</v>
      </c>
      <c r="P181" s="10" t="n">
        <v>11.77</v>
      </c>
      <c r="Q181" s="8" t="n">
        <v>724</v>
      </c>
      <c r="R181" s="8" t="n">
        <v>314</v>
      </c>
      <c r="S181" s="8" t="s">
        <v>328</v>
      </c>
      <c r="T181" s="8"/>
      <c r="U181" s="8"/>
      <c r="V181" s="8" t="s">
        <v>155</v>
      </c>
      <c r="W181" s="8"/>
      <c r="X181" s="8" t="s">
        <v>329</v>
      </c>
      <c r="Y181" s="8" t="s">
        <v>2477</v>
      </c>
      <c r="Z181" s="8"/>
    </row>
    <row r="182" customFormat="false" ht="15" hidden="false" customHeight="false" outlineLevel="0" collapsed="false">
      <c r="A182" s="8" t="s">
        <v>330</v>
      </c>
      <c r="B182" s="8" t="s">
        <v>19</v>
      </c>
      <c r="C182" s="8" t="s">
        <v>20</v>
      </c>
      <c r="D182" s="8" t="s">
        <v>615</v>
      </c>
      <c r="E182" s="8" t="s">
        <v>37</v>
      </c>
      <c r="F182" s="8" t="s">
        <v>45</v>
      </c>
      <c r="G182" s="8" t="s">
        <v>31</v>
      </c>
      <c r="H182" s="8" t="s">
        <v>31</v>
      </c>
      <c r="I182" s="8" t="n">
        <f aca="false">IF(EXACT(G182,H182),1,0)</f>
        <v>1</v>
      </c>
      <c r="J182" s="8" t="n">
        <v>0</v>
      </c>
      <c r="K182" s="8" t="s">
        <v>116</v>
      </c>
      <c r="L182" s="8" t="n">
        <v>1</v>
      </c>
      <c r="M182" s="8" t="n">
        <v>0</v>
      </c>
      <c r="N182" s="8"/>
      <c r="O182" s="8" t="n">
        <v>1</v>
      </c>
      <c r="P182" s="10" t="n">
        <v>10.14</v>
      </c>
      <c r="Q182" s="8" t="n">
        <v>613</v>
      </c>
      <c r="R182" s="8" t="n">
        <v>432</v>
      </c>
      <c r="S182" s="8" t="s">
        <v>255</v>
      </c>
      <c r="T182" s="8" t="s">
        <v>331</v>
      </c>
      <c r="U182" s="8" t="s">
        <v>332</v>
      </c>
      <c r="V182" s="8"/>
      <c r="W182" s="8" t="s">
        <v>333</v>
      </c>
      <c r="X182" s="8" t="s">
        <v>334</v>
      </c>
      <c r="Y182" s="8" t="s">
        <v>2478</v>
      </c>
      <c r="Z182" s="8" t="s">
        <v>2479</v>
      </c>
    </row>
    <row r="183" customFormat="false" ht="15" hidden="false" customHeight="false" outlineLevel="0" collapsed="false">
      <c r="A183" s="8" t="s">
        <v>330</v>
      </c>
      <c r="B183" s="8" t="s">
        <v>19</v>
      </c>
      <c r="C183" s="8" t="s">
        <v>20</v>
      </c>
      <c r="D183" s="8" t="s">
        <v>615</v>
      </c>
      <c r="E183" s="8" t="s">
        <v>37</v>
      </c>
      <c r="F183" s="8" t="s">
        <v>45</v>
      </c>
      <c r="G183" s="8" t="s">
        <v>31</v>
      </c>
      <c r="H183" s="8" t="s">
        <v>31</v>
      </c>
      <c r="I183" s="8" t="n">
        <f aca="false">IF(EXACT(G183,H183),1,0)</f>
        <v>1</v>
      </c>
      <c r="J183" s="8" t="n">
        <v>1</v>
      </c>
      <c r="K183" s="8" t="s">
        <v>116</v>
      </c>
      <c r="L183" s="8" t="n">
        <v>1</v>
      </c>
      <c r="M183" s="8" t="n">
        <v>0</v>
      </c>
      <c r="N183" s="8"/>
      <c r="O183" s="8" t="n">
        <v>1</v>
      </c>
      <c r="P183" s="10" t="n">
        <v>10.75</v>
      </c>
      <c r="Q183" s="8" t="n">
        <v>613</v>
      </c>
      <c r="R183" s="8" t="n">
        <v>481</v>
      </c>
      <c r="S183" s="8" t="s">
        <v>255</v>
      </c>
      <c r="T183" s="8" t="s">
        <v>331</v>
      </c>
      <c r="U183" s="8" t="s">
        <v>332</v>
      </c>
      <c r="V183" s="8"/>
      <c r="W183" s="8" t="s">
        <v>333</v>
      </c>
      <c r="X183" s="8" t="s">
        <v>334</v>
      </c>
      <c r="Y183" s="8" t="s">
        <v>2480</v>
      </c>
      <c r="Z183" s="8" t="s">
        <v>2481</v>
      </c>
    </row>
    <row r="184" customFormat="false" ht="15" hidden="false" customHeight="false" outlineLevel="0" collapsed="false">
      <c r="A184" s="8" t="s">
        <v>330</v>
      </c>
      <c r="B184" s="8" t="s">
        <v>19</v>
      </c>
      <c r="C184" s="8" t="s">
        <v>20</v>
      </c>
      <c r="D184" s="8" t="s">
        <v>615</v>
      </c>
      <c r="E184" s="8" t="s">
        <v>37</v>
      </c>
      <c r="F184" s="8" t="s">
        <v>45</v>
      </c>
      <c r="G184" s="8" t="s">
        <v>31</v>
      </c>
      <c r="H184" s="8" t="s">
        <v>31</v>
      </c>
      <c r="I184" s="8" t="n">
        <f aca="false">IF(EXACT(G184,H184),1,0)</f>
        <v>1</v>
      </c>
      <c r="J184" s="8" t="n">
        <v>2</v>
      </c>
      <c r="K184" s="8" t="s">
        <v>116</v>
      </c>
      <c r="L184" s="8" t="n">
        <v>1</v>
      </c>
      <c r="M184" s="8" t="n">
        <v>0</v>
      </c>
      <c r="N184" s="8"/>
      <c r="O184" s="8" t="n">
        <v>1</v>
      </c>
      <c r="P184" s="10" t="n">
        <v>11.67</v>
      </c>
      <c r="Q184" s="8" t="n">
        <v>613</v>
      </c>
      <c r="R184" s="8" t="n">
        <v>483</v>
      </c>
      <c r="S184" s="8" t="s">
        <v>255</v>
      </c>
      <c r="T184" s="8" t="s">
        <v>331</v>
      </c>
      <c r="U184" s="8" t="s">
        <v>332</v>
      </c>
      <c r="V184" s="8"/>
      <c r="W184" s="8" t="s">
        <v>333</v>
      </c>
      <c r="X184" s="8" t="s">
        <v>334</v>
      </c>
      <c r="Y184" s="8" t="s">
        <v>2482</v>
      </c>
      <c r="Z184" s="8" t="s">
        <v>2483</v>
      </c>
    </row>
    <row r="185" customFormat="false" ht="15" hidden="false" customHeight="false" outlineLevel="0" collapsed="false">
      <c r="A185" s="8" t="s">
        <v>336</v>
      </c>
      <c r="B185" s="8" t="s">
        <v>19</v>
      </c>
      <c r="C185" s="8" t="s">
        <v>20</v>
      </c>
      <c r="D185" s="8" t="s">
        <v>615</v>
      </c>
      <c r="E185" s="8" t="s">
        <v>37</v>
      </c>
      <c r="F185" s="8" t="s">
        <v>45</v>
      </c>
      <c r="G185" s="8" t="s">
        <v>32</v>
      </c>
      <c r="H185" s="8" t="s">
        <v>30</v>
      </c>
      <c r="I185" s="8" t="n">
        <f aca="false">IF(EXACT(G185,H185),1,0)</f>
        <v>0</v>
      </c>
      <c r="J185" s="8" t="n">
        <v>0</v>
      </c>
      <c r="K185" s="8" t="s">
        <v>92</v>
      </c>
      <c r="L185" s="8" t="n">
        <v>0</v>
      </c>
      <c r="M185" s="8" t="n">
        <v>0</v>
      </c>
      <c r="N185" s="8"/>
      <c r="O185" s="8" t="n">
        <v>1</v>
      </c>
      <c r="P185" s="10" t="n">
        <v>9.87</v>
      </c>
      <c r="Q185" s="8" t="n">
        <v>677</v>
      </c>
      <c r="R185" s="8" t="n">
        <v>303</v>
      </c>
      <c r="S185" s="8" t="s">
        <v>94</v>
      </c>
      <c r="T185" s="8" t="s">
        <v>337</v>
      </c>
      <c r="U185" s="8" t="s">
        <v>338</v>
      </c>
      <c r="V185" s="8"/>
      <c r="W185" s="8" t="s">
        <v>339</v>
      </c>
      <c r="X185" s="8" t="s">
        <v>340</v>
      </c>
      <c r="Y185" s="8" t="s">
        <v>2484</v>
      </c>
      <c r="Z185" s="8"/>
    </row>
    <row r="186" customFormat="false" ht="15" hidden="false" customHeight="false" outlineLevel="0" collapsed="false">
      <c r="A186" s="8" t="s">
        <v>336</v>
      </c>
      <c r="B186" s="8" t="s">
        <v>19</v>
      </c>
      <c r="C186" s="8" t="s">
        <v>20</v>
      </c>
      <c r="D186" s="8" t="s">
        <v>615</v>
      </c>
      <c r="E186" s="8" t="s">
        <v>37</v>
      </c>
      <c r="F186" s="8" t="s">
        <v>45</v>
      </c>
      <c r="G186" s="8" t="s">
        <v>32</v>
      </c>
      <c r="H186" s="8" t="s">
        <v>30</v>
      </c>
      <c r="I186" s="8" t="n">
        <f aca="false">IF(EXACT(G186,H186),1,0)</f>
        <v>0</v>
      </c>
      <c r="J186" s="8" t="n">
        <v>1</v>
      </c>
      <c r="K186" s="8" t="s">
        <v>92</v>
      </c>
      <c r="L186" s="8" t="n">
        <v>0</v>
      </c>
      <c r="M186" s="8" t="n">
        <v>0</v>
      </c>
      <c r="N186" s="8"/>
      <c r="O186" s="8" t="n">
        <v>1</v>
      </c>
      <c r="P186" s="10" t="n">
        <v>7.03</v>
      </c>
      <c r="Q186" s="8" t="n">
        <v>677</v>
      </c>
      <c r="R186" s="8" t="n">
        <v>318</v>
      </c>
      <c r="S186" s="8" t="s">
        <v>94</v>
      </c>
      <c r="T186" s="8" t="s">
        <v>337</v>
      </c>
      <c r="U186" s="8" t="s">
        <v>338</v>
      </c>
      <c r="V186" s="8"/>
      <c r="W186" s="8" t="s">
        <v>339</v>
      </c>
      <c r="X186" s="8" t="s">
        <v>340</v>
      </c>
      <c r="Y186" s="8" t="s">
        <v>2485</v>
      </c>
      <c r="Z186" s="8"/>
    </row>
    <row r="187" customFormat="false" ht="15" hidden="false" customHeight="false" outlineLevel="0" collapsed="false">
      <c r="A187" s="8" t="s">
        <v>336</v>
      </c>
      <c r="B187" s="8" t="s">
        <v>19</v>
      </c>
      <c r="C187" s="8" t="s">
        <v>20</v>
      </c>
      <c r="D187" s="8" t="s">
        <v>615</v>
      </c>
      <c r="E187" s="8" t="s">
        <v>37</v>
      </c>
      <c r="F187" s="8" t="s">
        <v>45</v>
      </c>
      <c r="G187" s="8" t="s">
        <v>32</v>
      </c>
      <c r="H187" s="8" t="s">
        <v>30</v>
      </c>
      <c r="I187" s="8" t="n">
        <f aca="false">IF(EXACT(G187,H187),1,0)</f>
        <v>0</v>
      </c>
      <c r="J187" s="8" t="n">
        <v>2</v>
      </c>
      <c r="K187" s="8" t="s">
        <v>92</v>
      </c>
      <c r="L187" s="8" t="n">
        <v>0</v>
      </c>
      <c r="M187" s="8" t="n">
        <v>0</v>
      </c>
      <c r="N187" s="8"/>
      <c r="O187" s="8" t="n">
        <v>1</v>
      </c>
      <c r="P187" s="10" t="n">
        <v>7.34</v>
      </c>
      <c r="Q187" s="8" t="n">
        <v>677</v>
      </c>
      <c r="R187" s="8" t="n">
        <v>308</v>
      </c>
      <c r="S187" s="8" t="s">
        <v>94</v>
      </c>
      <c r="T187" s="8" t="s">
        <v>337</v>
      </c>
      <c r="U187" s="8" t="s">
        <v>338</v>
      </c>
      <c r="V187" s="8"/>
      <c r="W187" s="8" t="s">
        <v>339</v>
      </c>
      <c r="X187" s="8" t="s">
        <v>340</v>
      </c>
      <c r="Y187" s="8" t="s">
        <v>2486</v>
      </c>
      <c r="Z187" s="8"/>
    </row>
    <row r="188" customFormat="false" ht="15" hidden="false" customHeight="false" outlineLevel="0" collapsed="false">
      <c r="A188" s="8" t="s">
        <v>341</v>
      </c>
      <c r="B188" s="8" t="s">
        <v>19</v>
      </c>
      <c r="C188" s="8" t="s">
        <v>20</v>
      </c>
      <c r="D188" s="8" t="s">
        <v>615</v>
      </c>
      <c r="E188" s="8" t="s">
        <v>37</v>
      </c>
      <c r="F188" s="8" t="s">
        <v>45</v>
      </c>
      <c r="G188" s="8" t="s">
        <v>32</v>
      </c>
      <c r="H188" s="8" t="s">
        <v>30</v>
      </c>
      <c r="I188" s="8" t="n">
        <f aca="false">IF(EXACT(G188,H188),1,0)</f>
        <v>0</v>
      </c>
      <c r="J188" s="8" t="n">
        <v>0</v>
      </c>
      <c r="K188" s="8" t="s">
        <v>92</v>
      </c>
      <c r="L188" s="8" t="n">
        <v>0</v>
      </c>
      <c r="M188" s="8" t="n">
        <v>0</v>
      </c>
      <c r="N188" s="8"/>
      <c r="O188" s="8" t="n">
        <v>1</v>
      </c>
      <c r="P188" s="10" t="n">
        <v>7.39</v>
      </c>
      <c r="Q188" s="8" t="n">
        <v>641</v>
      </c>
      <c r="R188" s="8" t="n">
        <v>288</v>
      </c>
      <c r="S188" s="8" t="s">
        <v>125</v>
      </c>
      <c r="T188" s="8" t="s">
        <v>342</v>
      </c>
      <c r="U188" s="8" t="s">
        <v>343</v>
      </c>
      <c r="V188" s="8"/>
      <c r="W188" s="8" t="s">
        <v>344</v>
      </c>
      <c r="X188" s="8" t="s">
        <v>345</v>
      </c>
      <c r="Y188" s="8" t="s">
        <v>2487</v>
      </c>
      <c r="Z188" s="8"/>
    </row>
    <row r="189" customFormat="false" ht="15" hidden="false" customHeight="false" outlineLevel="0" collapsed="false">
      <c r="A189" s="8" t="s">
        <v>341</v>
      </c>
      <c r="B189" s="8" t="s">
        <v>19</v>
      </c>
      <c r="C189" s="8" t="s">
        <v>20</v>
      </c>
      <c r="D189" s="8" t="s">
        <v>615</v>
      </c>
      <c r="E189" s="8" t="s">
        <v>37</v>
      </c>
      <c r="F189" s="8" t="s">
        <v>45</v>
      </c>
      <c r="G189" s="8" t="s">
        <v>32</v>
      </c>
      <c r="H189" s="8" t="s">
        <v>30</v>
      </c>
      <c r="I189" s="8" t="n">
        <f aca="false">IF(EXACT(G189,H189),1,0)</f>
        <v>0</v>
      </c>
      <c r="J189" s="8" t="n">
        <v>1</v>
      </c>
      <c r="K189" s="8" t="s">
        <v>92</v>
      </c>
      <c r="L189" s="8" t="n">
        <v>0</v>
      </c>
      <c r="M189" s="8" t="n">
        <v>0</v>
      </c>
      <c r="N189" s="8"/>
      <c r="O189" s="8" t="n">
        <v>1</v>
      </c>
      <c r="P189" s="10" t="n">
        <v>10.42</v>
      </c>
      <c r="Q189" s="8" t="n">
        <v>641</v>
      </c>
      <c r="R189" s="8" t="n">
        <v>363</v>
      </c>
      <c r="S189" s="8" t="s">
        <v>125</v>
      </c>
      <c r="T189" s="8" t="s">
        <v>342</v>
      </c>
      <c r="U189" s="8" t="s">
        <v>343</v>
      </c>
      <c r="V189" s="8"/>
      <c r="W189" s="8" t="s">
        <v>344</v>
      </c>
      <c r="X189" s="8" t="s">
        <v>345</v>
      </c>
      <c r="Y189" s="8" t="s">
        <v>2488</v>
      </c>
      <c r="Z189" s="8"/>
    </row>
    <row r="190" customFormat="false" ht="15" hidden="false" customHeight="false" outlineLevel="0" collapsed="false">
      <c r="A190" s="8" t="s">
        <v>341</v>
      </c>
      <c r="B190" s="8" t="s">
        <v>19</v>
      </c>
      <c r="C190" s="8" t="s">
        <v>20</v>
      </c>
      <c r="D190" s="8" t="s">
        <v>615</v>
      </c>
      <c r="E190" s="8" t="s">
        <v>37</v>
      </c>
      <c r="F190" s="8" t="s">
        <v>45</v>
      </c>
      <c r="G190" s="8" t="s">
        <v>32</v>
      </c>
      <c r="H190" s="8" t="s">
        <v>30</v>
      </c>
      <c r="I190" s="8" t="n">
        <f aca="false">IF(EXACT(G190,H190),1,0)</f>
        <v>0</v>
      </c>
      <c r="J190" s="8" t="n">
        <v>2</v>
      </c>
      <c r="K190" s="8" t="s">
        <v>92</v>
      </c>
      <c r="L190" s="8" t="n">
        <v>0</v>
      </c>
      <c r="M190" s="8" t="n">
        <v>0</v>
      </c>
      <c r="N190" s="8"/>
      <c r="O190" s="8" t="n">
        <v>1</v>
      </c>
      <c r="P190" s="10" t="n">
        <v>9.32</v>
      </c>
      <c r="Q190" s="8" t="n">
        <v>641</v>
      </c>
      <c r="R190" s="8" t="n">
        <v>296</v>
      </c>
      <c r="S190" s="8" t="s">
        <v>125</v>
      </c>
      <c r="T190" s="8" t="s">
        <v>342</v>
      </c>
      <c r="U190" s="8" t="s">
        <v>343</v>
      </c>
      <c r="V190" s="8"/>
      <c r="W190" s="8" t="s">
        <v>344</v>
      </c>
      <c r="X190" s="8" t="s">
        <v>345</v>
      </c>
      <c r="Y190" s="8" t="s">
        <v>2489</v>
      </c>
      <c r="Z190" s="8"/>
    </row>
    <row r="191" customFormat="false" ht="15" hidden="false" customHeight="false" outlineLevel="0" collapsed="false">
      <c r="A191" s="8" t="s">
        <v>346</v>
      </c>
      <c r="B191" s="8" t="s">
        <v>19</v>
      </c>
      <c r="C191" s="8" t="s">
        <v>20</v>
      </c>
      <c r="D191" s="8" t="s">
        <v>615</v>
      </c>
      <c r="E191" s="8" t="s">
        <v>37</v>
      </c>
      <c r="F191" s="8" t="s">
        <v>45</v>
      </c>
      <c r="G191" s="8" t="s">
        <v>31</v>
      </c>
      <c r="H191" s="8" t="s">
        <v>31</v>
      </c>
      <c r="I191" s="8" t="n">
        <f aca="false">IF(EXACT(G191,H191),1,0)</f>
        <v>1</v>
      </c>
      <c r="J191" s="8" t="n">
        <v>0</v>
      </c>
      <c r="K191" s="8" t="s">
        <v>116</v>
      </c>
      <c r="L191" s="8" t="n">
        <v>2</v>
      </c>
      <c r="M191" s="8" t="n">
        <v>0</v>
      </c>
      <c r="N191" s="8"/>
      <c r="O191" s="8" t="n">
        <v>1</v>
      </c>
      <c r="P191" s="10" t="n">
        <v>15.18</v>
      </c>
      <c r="Q191" s="8" t="n">
        <v>622</v>
      </c>
      <c r="R191" s="8" t="n">
        <v>738</v>
      </c>
      <c r="S191" s="8" t="s">
        <v>347</v>
      </c>
      <c r="T191" s="8" t="s">
        <v>331</v>
      </c>
      <c r="U191" s="8" t="s">
        <v>332</v>
      </c>
      <c r="V191" s="8"/>
      <c r="W191" s="8" t="s">
        <v>348</v>
      </c>
      <c r="X191" s="8" t="s">
        <v>349</v>
      </c>
      <c r="Y191" s="8" t="s">
        <v>2490</v>
      </c>
      <c r="Z191" s="8" t="s">
        <v>2491</v>
      </c>
    </row>
    <row r="192" customFormat="false" ht="15" hidden="false" customHeight="false" outlineLevel="0" collapsed="false">
      <c r="A192" s="8" t="s">
        <v>346</v>
      </c>
      <c r="B192" s="8" t="s">
        <v>19</v>
      </c>
      <c r="C192" s="8" t="s">
        <v>20</v>
      </c>
      <c r="D192" s="8" t="s">
        <v>615</v>
      </c>
      <c r="E192" s="8" t="s">
        <v>37</v>
      </c>
      <c r="F192" s="8" t="s">
        <v>45</v>
      </c>
      <c r="G192" s="8" t="s">
        <v>31</v>
      </c>
      <c r="H192" s="8" t="s">
        <v>31</v>
      </c>
      <c r="I192" s="8" t="n">
        <f aca="false">IF(EXACT(G192,H192),1,0)</f>
        <v>1</v>
      </c>
      <c r="J192" s="8" t="n">
        <v>1</v>
      </c>
      <c r="K192" s="8" t="s">
        <v>116</v>
      </c>
      <c r="L192" s="8" t="n">
        <v>1</v>
      </c>
      <c r="M192" s="8" t="n">
        <v>0</v>
      </c>
      <c r="N192" s="8"/>
      <c r="O192" s="8" t="n">
        <v>1</v>
      </c>
      <c r="P192" s="10" t="n">
        <v>11.67</v>
      </c>
      <c r="Q192" s="8" t="n">
        <v>622</v>
      </c>
      <c r="R192" s="8" t="n">
        <v>557</v>
      </c>
      <c r="S192" s="8" t="s">
        <v>347</v>
      </c>
      <c r="T192" s="8" t="s">
        <v>331</v>
      </c>
      <c r="U192" s="8" t="s">
        <v>332</v>
      </c>
      <c r="V192" s="8"/>
      <c r="W192" s="8" t="s">
        <v>348</v>
      </c>
      <c r="X192" s="8" t="s">
        <v>349</v>
      </c>
      <c r="Y192" s="8" t="s">
        <v>2492</v>
      </c>
      <c r="Z192" s="8" t="s">
        <v>2493</v>
      </c>
    </row>
    <row r="193" customFormat="false" ht="15" hidden="false" customHeight="false" outlineLevel="0" collapsed="false">
      <c r="A193" s="8" t="s">
        <v>346</v>
      </c>
      <c r="B193" s="8" t="s">
        <v>19</v>
      </c>
      <c r="C193" s="8" t="s">
        <v>20</v>
      </c>
      <c r="D193" s="8" t="s">
        <v>615</v>
      </c>
      <c r="E193" s="8" t="s">
        <v>37</v>
      </c>
      <c r="F193" s="8" t="s">
        <v>45</v>
      </c>
      <c r="G193" s="8" t="s">
        <v>31</v>
      </c>
      <c r="H193" s="8" t="s">
        <v>31</v>
      </c>
      <c r="I193" s="8" t="n">
        <f aca="false">IF(EXACT(G193,H193),1,0)</f>
        <v>1</v>
      </c>
      <c r="J193" s="8" t="n">
        <v>2</v>
      </c>
      <c r="K193" s="8" t="s">
        <v>116</v>
      </c>
      <c r="L193" s="8" t="n">
        <v>1</v>
      </c>
      <c r="M193" s="8" t="n">
        <v>0</v>
      </c>
      <c r="N193" s="8"/>
      <c r="O193" s="8" t="n">
        <v>1</v>
      </c>
      <c r="P193" s="10" t="n">
        <v>10.65</v>
      </c>
      <c r="Q193" s="8" t="n">
        <v>622</v>
      </c>
      <c r="R193" s="8" t="n">
        <v>484</v>
      </c>
      <c r="S193" s="8" t="s">
        <v>347</v>
      </c>
      <c r="T193" s="8" t="s">
        <v>331</v>
      </c>
      <c r="U193" s="8" t="s">
        <v>332</v>
      </c>
      <c r="V193" s="8"/>
      <c r="W193" s="8" t="s">
        <v>348</v>
      </c>
      <c r="X193" s="8" t="s">
        <v>349</v>
      </c>
      <c r="Y193" s="8" t="s">
        <v>2494</v>
      </c>
      <c r="Z193" s="8" t="s">
        <v>2495</v>
      </c>
    </row>
    <row r="194" customFormat="false" ht="15" hidden="false" customHeight="false" outlineLevel="0" collapsed="false">
      <c r="A194" s="8" t="s">
        <v>351</v>
      </c>
      <c r="B194" s="8" t="s">
        <v>19</v>
      </c>
      <c r="C194" s="8" t="s">
        <v>20</v>
      </c>
      <c r="D194" s="8" t="s">
        <v>615</v>
      </c>
      <c r="E194" s="8" t="s">
        <v>37</v>
      </c>
      <c r="F194" s="8" t="s">
        <v>45</v>
      </c>
      <c r="G194" s="8" t="s">
        <v>30</v>
      </c>
      <c r="H194" s="8" t="s">
        <v>30</v>
      </c>
      <c r="I194" s="8" t="n">
        <f aca="false">IF(EXACT(G194,H194),1,0)</f>
        <v>1</v>
      </c>
      <c r="J194" s="8" t="n">
        <v>0</v>
      </c>
      <c r="K194" s="8" t="s">
        <v>92</v>
      </c>
      <c r="L194" s="8" t="n">
        <v>0</v>
      </c>
      <c r="M194" s="8" t="n">
        <v>0</v>
      </c>
      <c r="N194" s="8"/>
      <c r="O194" s="8" t="n">
        <v>1</v>
      </c>
      <c r="P194" s="10" t="n">
        <v>7.07</v>
      </c>
      <c r="Q194" s="8" t="n">
        <v>684</v>
      </c>
      <c r="R194" s="8" t="n">
        <v>300</v>
      </c>
      <c r="S194" s="8" t="s">
        <v>110</v>
      </c>
      <c r="T194" s="8" t="s">
        <v>337</v>
      </c>
      <c r="U194" s="8" t="s">
        <v>338</v>
      </c>
      <c r="V194" s="8"/>
      <c r="W194" s="8" t="s">
        <v>352</v>
      </c>
      <c r="X194" s="8" t="s">
        <v>353</v>
      </c>
      <c r="Y194" s="8" t="s">
        <v>2496</v>
      </c>
      <c r="Z194" s="8"/>
    </row>
    <row r="195" customFormat="false" ht="15" hidden="false" customHeight="false" outlineLevel="0" collapsed="false">
      <c r="A195" s="8" t="s">
        <v>351</v>
      </c>
      <c r="B195" s="8" t="s">
        <v>19</v>
      </c>
      <c r="C195" s="8" t="s">
        <v>20</v>
      </c>
      <c r="D195" s="8" t="s">
        <v>615</v>
      </c>
      <c r="E195" s="8" t="s">
        <v>37</v>
      </c>
      <c r="F195" s="8" t="s">
        <v>45</v>
      </c>
      <c r="G195" s="8" t="s">
        <v>30</v>
      </c>
      <c r="H195" s="8" t="s">
        <v>30</v>
      </c>
      <c r="I195" s="8" t="n">
        <f aca="false">IF(EXACT(G195,H195),1,0)</f>
        <v>1</v>
      </c>
      <c r="J195" s="8" t="n">
        <v>1</v>
      </c>
      <c r="K195" s="8" t="s">
        <v>92</v>
      </c>
      <c r="L195" s="8" t="n">
        <v>0</v>
      </c>
      <c r="M195" s="8" t="n">
        <v>0</v>
      </c>
      <c r="N195" s="8"/>
      <c r="O195" s="8" t="n">
        <v>1</v>
      </c>
      <c r="P195" s="10" t="n">
        <v>6.04</v>
      </c>
      <c r="Q195" s="8" t="n">
        <v>684</v>
      </c>
      <c r="R195" s="8" t="n">
        <v>272</v>
      </c>
      <c r="S195" s="8" t="s">
        <v>110</v>
      </c>
      <c r="T195" s="8" t="s">
        <v>337</v>
      </c>
      <c r="U195" s="8" t="s">
        <v>338</v>
      </c>
      <c r="V195" s="8"/>
      <c r="W195" s="8" t="s">
        <v>352</v>
      </c>
      <c r="X195" s="8" t="s">
        <v>353</v>
      </c>
      <c r="Y195" s="8" t="s">
        <v>2497</v>
      </c>
      <c r="Z195" s="8"/>
    </row>
    <row r="196" customFormat="false" ht="15" hidden="false" customHeight="false" outlineLevel="0" collapsed="false">
      <c r="A196" s="8" t="s">
        <v>351</v>
      </c>
      <c r="B196" s="8" t="s">
        <v>19</v>
      </c>
      <c r="C196" s="8" t="s">
        <v>20</v>
      </c>
      <c r="D196" s="8" t="s">
        <v>615</v>
      </c>
      <c r="E196" s="8" t="s">
        <v>37</v>
      </c>
      <c r="F196" s="8" t="s">
        <v>45</v>
      </c>
      <c r="G196" s="8" t="s">
        <v>30</v>
      </c>
      <c r="H196" s="8" t="s">
        <v>30</v>
      </c>
      <c r="I196" s="8" t="n">
        <f aca="false">IF(EXACT(G196,H196),1,0)</f>
        <v>1</v>
      </c>
      <c r="J196" s="8" t="n">
        <v>2</v>
      </c>
      <c r="K196" s="8" t="s">
        <v>92</v>
      </c>
      <c r="L196" s="8" t="n">
        <v>0</v>
      </c>
      <c r="M196" s="8" t="n">
        <v>0</v>
      </c>
      <c r="N196" s="8"/>
      <c r="O196" s="8" t="n">
        <v>1</v>
      </c>
      <c r="P196" s="10" t="n">
        <v>8.7</v>
      </c>
      <c r="Q196" s="8" t="n">
        <v>684</v>
      </c>
      <c r="R196" s="8" t="n">
        <v>287</v>
      </c>
      <c r="S196" s="8" t="s">
        <v>110</v>
      </c>
      <c r="T196" s="8" t="s">
        <v>337</v>
      </c>
      <c r="U196" s="8" t="s">
        <v>338</v>
      </c>
      <c r="V196" s="8"/>
      <c r="W196" s="8" t="s">
        <v>352</v>
      </c>
      <c r="X196" s="8" t="s">
        <v>353</v>
      </c>
      <c r="Y196" s="8" t="s">
        <v>2498</v>
      </c>
      <c r="Z196" s="8"/>
    </row>
    <row r="197" customFormat="false" ht="15" hidden="false" customHeight="false" outlineLevel="0" collapsed="false">
      <c r="A197" s="8" t="s">
        <v>354</v>
      </c>
      <c r="B197" s="8" t="s">
        <v>19</v>
      </c>
      <c r="C197" s="8" t="s">
        <v>20</v>
      </c>
      <c r="D197" s="8" t="s">
        <v>615</v>
      </c>
      <c r="E197" s="8" t="s">
        <v>37</v>
      </c>
      <c r="F197" s="8" t="s">
        <v>45</v>
      </c>
      <c r="G197" s="8" t="s">
        <v>30</v>
      </c>
      <c r="H197" s="8" t="s">
        <v>30</v>
      </c>
      <c r="I197" s="8" t="n">
        <f aca="false">IF(EXACT(G197,H197),1,0)</f>
        <v>1</v>
      </c>
      <c r="J197" s="8" t="n">
        <v>0</v>
      </c>
      <c r="K197" s="8" t="s">
        <v>92</v>
      </c>
      <c r="L197" s="8" t="n">
        <v>0</v>
      </c>
      <c r="M197" s="8" t="n">
        <v>0</v>
      </c>
      <c r="N197" s="8"/>
      <c r="O197" s="8" t="n">
        <v>1</v>
      </c>
      <c r="P197" s="10" t="n">
        <v>8.87</v>
      </c>
      <c r="Q197" s="8" t="n">
        <v>675</v>
      </c>
      <c r="R197" s="8" t="n">
        <v>235</v>
      </c>
      <c r="S197" s="8" t="s">
        <v>216</v>
      </c>
      <c r="T197" s="8" t="s">
        <v>355</v>
      </c>
      <c r="U197" s="8" t="s">
        <v>356</v>
      </c>
      <c r="V197" s="8"/>
      <c r="W197" s="8" t="s">
        <v>357</v>
      </c>
      <c r="X197" s="8" t="s">
        <v>358</v>
      </c>
      <c r="Y197" s="8" t="s">
        <v>2499</v>
      </c>
      <c r="Z197" s="8"/>
    </row>
    <row r="198" customFormat="false" ht="15" hidden="false" customHeight="false" outlineLevel="0" collapsed="false">
      <c r="A198" s="8" t="s">
        <v>354</v>
      </c>
      <c r="B198" s="8" t="s">
        <v>19</v>
      </c>
      <c r="C198" s="8" t="s">
        <v>20</v>
      </c>
      <c r="D198" s="8" t="s">
        <v>615</v>
      </c>
      <c r="E198" s="8" t="s">
        <v>37</v>
      </c>
      <c r="F198" s="8" t="s">
        <v>45</v>
      </c>
      <c r="G198" s="8" t="s">
        <v>30</v>
      </c>
      <c r="H198" s="8" t="s">
        <v>30</v>
      </c>
      <c r="I198" s="8" t="n">
        <f aca="false">IF(EXACT(G198,H198),1,0)</f>
        <v>1</v>
      </c>
      <c r="J198" s="8" t="n">
        <v>1</v>
      </c>
      <c r="K198" s="8" t="s">
        <v>92</v>
      </c>
      <c r="L198" s="8" t="n">
        <v>0</v>
      </c>
      <c r="M198" s="8" t="n">
        <v>0</v>
      </c>
      <c r="N198" s="8"/>
      <c r="O198" s="8" t="n">
        <v>1</v>
      </c>
      <c r="P198" s="10" t="n">
        <v>6.86</v>
      </c>
      <c r="Q198" s="8" t="n">
        <v>675</v>
      </c>
      <c r="R198" s="8" t="n">
        <v>227</v>
      </c>
      <c r="S198" s="8" t="s">
        <v>216</v>
      </c>
      <c r="T198" s="8" t="s">
        <v>355</v>
      </c>
      <c r="U198" s="8" t="s">
        <v>356</v>
      </c>
      <c r="V198" s="8"/>
      <c r="W198" s="8" t="s">
        <v>357</v>
      </c>
      <c r="X198" s="8" t="s">
        <v>358</v>
      </c>
      <c r="Y198" s="8" t="s">
        <v>2500</v>
      </c>
      <c r="Z198" s="8"/>
    </row>
    <row r="199" customFormat="false" ht="15" hidden="false" customHeight="false" outlineLevel="0" collapsed="false">
      <c r="A199" s="8" t="s">
        <v>354</v>
      </c>
      <c r="B199" s="8" t="s">
        <v>19</v>
      </c>
      <c r="C199" s="8" t="s">
        <v>20</v>
      </c>
      <c r="D199" s="8" t="s">
        <v>615</v>
      </c>
      <c r="E199" s="8" t="s">
        <v>37</v>
      </c>
      <c r="F199" s="8" t="s">
        <v>45</v>
      </c>
      <c r="G199" s="8" t="s">
        <v>30</v>
      </c>
      <c r="H199" s="8" t="s">
        <v>30</v>
      </c>
      <c r="I199" s="8" t="n">
        <f aca="false">IF(EXACT(G199,H199),1,0)</f>
        <v>1</v>
      </c>
      <c r="J199" s="8" t="n">
        <v>2</v>
      </c>
      <c r="K199" s="8" t="s">
        <v>92</v>
      </c>
      <c r="L199" s="8" t="n">
        <v>0</v>
      </c>
      <c r="M199" s="8" t="n">
        <v>0</v>
      </c>
      <c r="N199" s="8"/>
      <c r="O199" s="8" t="n">
        <v>1</v>
      </c>
      <c r="P199" s="10" t="n">
        <v>8.29</v>
      </c>
      <c r="Q199" s="8" t="n">
        <v>675</v>
      </c>
      <c r="R199" s="8" t="n">
        <v>239</v>
      </c>
      <c r="S199" s="8" t="s">
        <v>216</v>
      </c>
      <c r="T199" s="8" t="s">
        <v>355</v>
      </c>
      <c r="U199" s="8" t="s">
        <v>356</v>
      </c>
      <c r="V199" s="8"/>
      <c r="W199" s="8" t="s">
        <v>357</v>
      </c>
      <c r="X199" s="8" t="s">
        <v>358</v>
      </c>
      <c r="Y199" s="8" t="s">
        <v>2501</v>
      </c>
      <c r="Z199" s="8"/>
    </row>
    <row r="200" customFormat="false" ht="15" hidden="false" customHeight="false" outlineLevel="0" collapsed="false">
      <c r="A200" s="8" t="s">
        <v>290</v>
      </c>
      <c r="B200" s="8" t="s">
        <v>19</v>
      </c>
      <c r="C200" s="8" t="s">
        <v>20</v>
      </c>
      <c r="D200" s="8" t="s">
        <v>615</v>
      </c>
      <c r="E200" s="8" t="s">
        <v>37</v>
      </c>
      <c r="F200" s="8" t="s">
        <v>51</v>
      </c>
      <c r="G200" s="8" t="s">
        <v>32</v>
      </c>
      <c r="H200" s="8" t="s">
        <v>31</v>
      </c>
      <c r="I200" s="8" t="n">
        <f aca="false">IF(EXACT(G200,H200),1,0)</f>
        <v>0</v>
      </c>
      <c r="J200" s="8" t="n">
        <v>0</v>
      </c>
      <c r="K200" s="8" t="s">
        <v>116</v>
      </c>
      <c r="L200" s="8" t="n">
        <v>2</v>
      </c>
      <c r="M200" s="8" t="n">
        <v>0</v>
      </c>
      <c r="N200" s="8"/>
      <c r="O200" s="8" t="n">
        <v>1</v>
      </c>
      <c r="P200" s="10" t="n">
        <v>11.66</v>
      </c>
      <c r="Q200" s="8" t="n">
        <v>648</v>
      </c>
      <c r="R200" s="8" t="n">
        <v>513</v>
      </c>
      <c r="S200" s="8" t="s">
        <v>101</v>
      </c>
      <c r="T200" s="8" t="s">
        <v>291</v>
      </c>
      <c r="U200" s="8" t="s">
        <v>292</v>
      </c>
      <c r="V200" s="8"/>
      <c r="W200" s="8" t="s">
        <v>293</v>
      </c>
      <c r="X200" s="8" t="s">
        <v>359</v>
      </c>
      <c r="Y200" s="8" t="s">
        <v>2502</v>
      </c>
      <c r="Z200" s="8" t="s">
        <v>2503</v>
      </c>
    </row>
    <row r="201" customFormat="false" ht="15" hidden="false" customHeight="false" outlineLevel="0" collapsed="false">
      <c r="A201" s="8" t="s">
        <v>290</v>
      </c>
      <c r="B201" s="8" t="s">
        <v>19</v>
      </c>
      <c r="C201" s="8" t="s">
        <v>20</v>
      </c>
      <c r="D201" s="8" t="s">
        <v>615</v>
      </c>
      <c r="E201" s="8" t="s">
        <v>37</v>
      </c>
      <c r="F201" s="8" t="s">
        <v>51</v>
      </c>
      <c r="G201" s="8" t="s">
        <v>32</v>
      </c>
      <c r="H201" s="8" t="s">
        <v>31</v>
      </c>
      <c r="I201" s="8" t="n">
        <f aca="false">IF(EXACT(G201,H201),1,0)</f>
        <v>0</v>
      </c>
      <c r="J201" s="8" t="n">
        <v>1</v>
      </c>
      <c r="K201" s="8" t="s">
        <v>116</v>
      </c>
      <c r="L201" s="8" t="n">
        <v>2</v>
      </c>
      <c r="M201" s="8" t="n">
        <v>0</v>
      </c>
      <c r="N201" s="8"/>
      <c r="O201" s="8" t="n">
        <v>1</v>
      </c>
      <c r="P201" s="10" t="n">
        <v>11.37</v>
      </c>
      <c r="Q201" s="8" t="n">
        <v>648</v>
      </c>
      <c r="R201" s="8" t="n">
        <v>512</v>
      </c>
      <c r="S201" s="8" t="s">
        <v>101</v>
      </c>
      <c r="T201" s="8" t="s">
        <v>291</v>
      </c>
      <c r="U201" s="8" t="s">
        <v>292</v>
      </c>
      <c r="V201" s="8"/>
      <c r="W201" s="8" t="s">
        <v>293</v>
      </c>
      <c r="X201" s="8" t="s">
        <v>359</v>
      </c>
      <c r="Y201" s="8" t="s">
        <v>2504</v>
      </c>
      <c r="Z201" s="8" t="s">
        <v>2505</v>
      </c>
    </row>
    <row r="202" customFormat="false" ht="15" hidden="false" customHeight="false" outlineLevel="0" collapsed="false">
      <c r="A202" s="8" t="s">
        <v>290</v>
      </c>
      <c r="B202" s="8" t="s">
        <v>19</v>
      </c>
      <c r="C202" s="8" t="s">
        <v>20</v>
      </c>
      <c r="D202" s="8" t="s">
        <v>615</v>
      </c>
      <c r="E202" s="8" t="s">
        <v>37</v>
      </c>
      <c r="F202" s="8" t="s">
        <v>51</v>
      </c>
      <c r="G202" s="8" t="s">
        <v>32</v>
      </c>
      <c r="H202" s="8" t="s">
        <v>31</v>
      </c>
      <c r="I202" s="8" t="n">
        <f aca="false">IF(EXACT(G202,H202),1,0)</f>
        <v>0</v>
      </c>
      <c r="J202" s="8" t="n">
        <v>2</v>
      </c>
      <c r="K202" s="8" t="s">
        <v>116</v>
      </c>
      <c r="L202" s="8" t="n">
        <v>2</v>
      </c>
      <c r="M202" s="8" t="n">
        <v>0</v>
      </c>
      <c r="N202" s="8"/>
      <c r="O202" s="8" t="n">
        <v>1</v>
      </c>
      <c r="P202" s="10" t="n">
        <v>11.68</v>
      </c>
      <c r="Q202" s="8" t="n">
        <v>648</v>
      </c>
      <c r="R202" s="8" t="n">
        <v>480</v>
      </c>
      <c r="S202" s="8" t="s">
        <v>101</v>
      </c>
      <c r="T202" s="8" t="s">
        <v>291</v>
      </c>
      <c r="U202" s="8" t="s">
        <v>292</v>
      </c>
      <c r="V202" s="8"/>
      <c r="W202" s="8" t="s">
        <v>293</v>
      </c>
      <c r="X202" s="8" t="s">
        <v>359</v>
      </c>
      <c r="Y202" s="8" t="s">
        <v>2506</v>
      </c>
      <c r="Z202" s="8" t="s">
        <v>2507</v>
      </c>
    </row>
    <row r="203" customFormat="false" ht="15" hidden="false" customHeight="false" outlineLevel="0" collapsed="false">
      <c r="A203" s="8" t="s">
        <v>295</v>
      </c>
      <c r="B203" s="8" t="s">
        <v>19</v>
      </c>
      <c r="C203" s="8" t="s">
        <v>20</v>
      </c>
      <c r="D203" s="8" t="s">
        <v>615</v>
      </c>
      <c r="E203" s="8" t="s">
        <v>37</v>
      </c>
      <c r="F203" s="8" t="s">
        <v>51</v>
      </c>
      <c r="G203" s="8" t="s">
        <v>30</v>
      </c>
      <c r="H203" s="8" t="s">
        <v>30</v>
      </c>
      <c r="I203" s="8" t="n">
        <f aca="false">IF(EXACT(G203,H203),1,0)</f>
        <v>1</v>
      </c>
      <c r="J203" s="8" t="n">
        <v>0</v>
      </c>
      <c r="K203" s="8" t="s">
        <v>92</v>
      </c>
      <c r="L203" s="8" t="n">
        <v>0</v>
      </c>
      <c r="M203" s="8" t="n">
        <v>0</v>
      </c>
      <c r="N203" s="8"/>
      <c r="O203" s="8" t="n">
        <v>1</v>
      </c>
      <c r="P203" s="10" t="n">
        <v>12.39</v>
      </c>
      <c r="Q203" s="8" t="n">
        <v>718</v>
      </c>
      <c r="R203" s="8" t="n">
        <v>387</v>
      </c>
      <c r="S203" s="8" t="s">
        <v>110</v>
      </c>
      <c r="T203" s="8" t="s">
        <v>291</v>
      </c>
      <c r="U203" s="8" t="s">
        <v>292</v>
      </c>
      <c r="V203" s="8"/>
      <c r="W203" s="8" t="s">
        <v>296</v>
      </c>
      <c r="X203" s="8" t="s">
        <v>360</v>
      </c>
      <c r="Y203" s="8" t="s">
        <v>2508</v>
      </c>
      <c r="Z203" s="8"/>
    </row>
    <row r="204" customFormat="false" ht="15" hidden="false" customHeight="false" outlineLevel="0" collapsed="false">
      <c r="A204" s="8" t="s">
        <v>295</v>
      </c>
      <c r="B204" s="8" t="s">
        <v>19</v>
      </c>
      <c r="C204" s="8" t="s">
        <v>20</v>
      </c>
      <c r="D204" s="8" t="s">
        <v>615</v>
      </c>
      <c r="E204" s="8" t="s">
        <v>37</v>
      </c>
      <c r="F204" s="8" t="s">
        <v>51</v>
      </c>
      <c r="G204" s="8" t="s">
        <v>30</v>
      </c>
      <c r="H204" s="8" t="s">
        <v>30</v>
      </c>
      <c r="I204" s="8" t="n">
        <f aca="false">IF(EXACT(G204,H204),1,0)</f>
        <v>1</v>
      </c>
      <c r="J204" s="8" t="n">
        <v>1</v>
      </c>
      <c r="K204" s="8" t="s">
        <v>92</v>
      </c>
      <c r="L204" s="8" t="n">
        <v>0</v>
      </c>
      <c r="M204" s="8" t="n">
        <v>0</v>
      </c>
      <c r="N204" s="8"/>
      <c r="O204" s="8" t="n">
        <v>1</v>
      </c>
      <c r="P204" s="10" t="n">
        <v>12.9</v>
      </c>
      <c r="Q204" s="8" t="n">
        <v>718</v>
      </c>
      <c r="R204" s="8" t="n">
        <v>445</v>
      </c>
      <c r="S204" s="8" t="s">
        <v>110</v>
      </c>
      <c r="T204" s="8" t="s">
        <v>291</v>
      </c>
      <c r="U204" s="8" t="s">
        <v>292</v>
      </c>
      <c r="V204" s="8"/>
      <c r="W204" s="8" t="s">
        <v>296</v>
      </c>
      <c r="X204" s="8" t="s">
        <v>360</v>
      </c>
      <c r="Y204" s="8" t="s">
        <v>2509</v>
      </c>
      <c r="Z204" s="8"/>
    </row>
    <row r="205" customFormat="false" ht="15" hidden="false" customHeight="false" outlineLevel="0" collapsed="false">
      <c r="A205" s="8" t="s">
        <v>295</v>
      </c>
      <c r="B205" s="8" t="s">
        <v>19</v>
      </c>
      <c r="C205" s="8" t="s">
        <v>20</v>
      </c>
      <c r="D205" s="8" t="s">
        <v>615</v>
      </c>
      <c r="E205" s="8" t="s">
        <v>37</v>
      </c>
      <c r="F205" s="8" t="s">
        <v>51</v>
      </c>
      <c r="G205" s="8" t="s">
        <v>30</v>
      </c>
      <c r="H205" s="8" t="s">
        <v>30</v>
      </c>
      <c r="I205" s="8" t="n">
        <f aca="false">IF(EXACT(G205,H205),1,0)</f>
        <v>1</v>
      </c>
      <c r="J205" s="8" t="n">
        <v>2</v>
      </c>
      <c r="K205" s="8" t="s">
        <v>92</v>
      </c>
      <c r="L205" s="8" t="n">
        <v>0</v>
      </c>
      <c r="M205" s="8" t="n">
        <v>0</v>
      </c>
      <c r="N205" s="8"/>
      <c r="O205" s="8" t="n">
        <v>1</v>
      </c>
      <c r="P205" s="10" t="n">
        <v>12.59</v>
      </c>
      <c r="Q205" s="8" t="n">
        <v>718</v>
      </c>
      <c r="R205" s="8" t="n">
        <v>439</v>
      </c>
      <c r="S205" s="8" t="s">
        <v>110</v>
      </c>
      <c r="T205" s="8" t="s">
        <v>291</v>
      </c>
      <c r="U205" s="8" t="s">
        <v>292</v>
      </c>
      <c r="V205" s="8"/>
      <c r="W205" s="8" t="s">
        <v>296</v>
      </c>
      <c r="X205" s="8" t="s">
        <v>360</v>
      </c>
      <c r="Y205" s="8" t="s">
        <v>2510</v>
      </c>
      <c r="Z205" s="8"/>
    </row>
    <row r="206" customFormat="false" ht="15" hidden="false" customHeight="false" outlineLevel="0" collapsed="false">
      <c r="A206" s="8" t="s">
        <v>298</v>
      </c>
      <c r="B206" s="8" t="s">
        <v>19</v>
      </c>
      <c r="C206" s="8" t="s">
        <v>20</v>
      </c>
      <c r="D206" s="8" t="s">
        <v>615</v>
      </c>
      <c r="E206" s="8" t="s">
        <v>37</v>
      </c>
      <c r="F206" s="8" t="s">
        <v>51</v>
      </c>
      <c r="G206" s="8" t="s">
        <v>30</v>
      </c>
      <c r="H206" s="8" t="s">
        <v>30</v>
      </c>
      <c r="I206" s="8" t="n">
        <f aca="false">IF(EXACT(G206,H206),1,0)</f>
        <v>1</v>
      </c>
      <c r="J206" s="8" t="n">
        <v>0</v>
      </c>
      <c r="K206" s="8" t="s">
        <v>92</v>
      </c>
      <c r="L206" s="8" t="n">
        <v>0</v>
      </c>
      <c r="M206" s="8" t="n">
        <v>0</v>
      </c>
      <c r="N206" s="8"/>
      <c r="O206" s="8" t="n">
        <v>1</v>
      </c>
      <c r="P206" s="10" t="n">
        <v>12.81</v>
      </c>
      <c r="Q206" s="8" t="n">
        <v>712</v>
      </c>
      <c r="R206" s="8" t="n">
        <v>403</v>
      </c>
      <c r="S206" s="8" t="s">
        <v>150</v>
      </c>
      <c r="T206" s="8" t="s">
        <v>291</v>
      </c>
      <c r="U206" s="8" t="s">
        <v>292</v>
      </c>
      <c r="V206" s="8"/>
      <c r="W206" s="8" t="s">
        <v>299</v>
      </c>
      <c r="X206" s="8" t="s">
        <v>361</v>
      </c>
      <c r="Y206" s="8" t="s">
        <v>2511</v>
      </c>
      <c r="Z206" s="8"/>
    </row>
    <row r="207" customFormat="false" ht="15" hidden="false" customHeight="false" outlineLevel="0" collapsed="false">
      <c r="A207" s="8" t="s">
        <v>298</v>
      </c>
      <c r="B207" s="8" t="s">
        <v>19</v>
      </c>
      <c r="C207" s="8" t="s">
        <v>20</v>
      </c>
      <c r="D207" s="8" t="s">
        <v>615</v>
      </c>
      <c r="E207" s="8" t="s">
        <v>37</v>
      </c>
      <c r="F207" s="8" t="s">
        <v>51</v>
      </c>
      <c r="G207" s="8" t="s">
        <v>30</v>
      </c>
      <c r="H207" s="8" t="s">
        <v>30</v>
      </c>
      <c r="I207" s="8" t="n">
        <f aca="false">IF(EXACT(G207,H207),1,0)</f>
        <v>1</v>
      </c>
      <c r="J207" s="8" t="n">
        <v>1</v>
      </c>
      <c r="K207" s="8" t="s">
        <v>92</v>
      </c>
      <c r="L207" s="8" t="n">
        <v>0</v>
      </c>
      <c r="M207" s="8" t="n">
        <v>0</v>
      </c>
      <c r="N207" s="8"/>
      <c r="O207" s="8" t="n">
        <v>1</v>
      </c>
      <c r="P207" s="10" t="n">
        <v>17.2</v>
      </c>
      <c r="Q207" s="8" t="n">
        <v>712</v>
      </c>
      <c r="R207" s="8" t="n">
        <v>458</v>
      </c>
      <c r="S207" s="8" t="s">
        <v>150</v>
      </c>
      <c r="T207" s="8" t="s">
        <v>291</v>
      </c>
      <c r="U207" s="8" t="s">
        <v>292</v>
      </c>
      <c r="V207" s="8"/>
      <c r="W207" s="8" t="s">
        <v>299</v>
      </c>
      <c r="X207" s="8" t="s">
        <v>361</v>
      </c>
      <c r="Y207" s="8" t="s">
        <v>2512</v>
      </c>
      <c r="Z207" s="8"/>
    </row>
    <row r="208" customFormat="false" ht="15" hidden="false" customHeight="false" outlineLevel="0" collapsed="false">
      <c r="A208" s="8" t="s">
        <v>298</v>
      </c>
      <c r="B208" s="8" t="s">
        <v>19</v>
      </c>
      <c r="C208" s="8" t="s">
        <v>20</v>
      </c>
      <c r="D208" s="8" t="s">
        <v>615</v>
      </c>
      <c r="E208" s="8" t="s">
        <v>37</v>
      </c>
      <c r="F208" s="8" t="s">
        <v>51</v>
      </c>
      <c r="G208" s="8" t="s">
        <v>30</v>
      </c>
      <c r="H208" s="8" t="s">
        <v>30</v>
      </c>
      <c r="I208" s="8" t="n">
        <f aca="false">IF(EXACT(G208,H208),1,0)</f>
        <v>1</v>
      </c>
      <c r="J208" s="8" t="n">
        <v>2</v>
      </c>
      <c r="K208" s="8" t="s">
        <v>92</v>
      </c>
      <c r="L208" s="8" t="n">
        <v>0</v>
      </c>
      <c r="M208" s="8" t="n">
        <v>0</v>
      </c>
      <c r="N208" s="8"/>
      <c r="O208" s="8" t="n">
        <v>1</v>
      </c>
      <c r="P208" s="10" t="n">
        <v>11.47</v>
      </c>
      <c r="Q208" s="8" t="n">
        <v>712</v>
      </c>
      <c r="R208" s="8" t="n">
        <v>362</v>
      </c>
      <c r="S208" s="8" t="s">
        <v>150</v>
      </c>
      <c r="T208" s="8" t="s">
        <v>291</v>
      </c>
      <c r="U208" s="8" t="s">
        <v>292</v>
      </c>
      <c r="V208" s="8"/>
      <c r="W208" s="8" t="s">
        <v>299</v>
      </c>
      <c r="X208" s="8" t="s">
        <v>361</v>
      </c>
      <c r="Y208" s="8" t="s">
        <v>2513</v>
      </c>
      <c r="Z208" s="8"/>
    </row>
    <row r="209" customFormat="false" ht="15" hidden="false" customHeight="false" outlineLevel="0" collapsed="false">
      <c r="A209" s="8" t="s">
        <v>301</v>
      </c>
      <c r="B209" s="8" t="s">
        <v>19</v>
      </c>
      <c r="C209" s="8" t="s">
        <v>20</v>
      </c>
      <c r="D209" s="8" t="s">
        <v>615</v>
      </c>
      <c r="E209" s="8" t="s">
        <v>37</v>
      </c>
      <c r="F209" s="8" t="s">
        <v>51</v>
      </c>
      <c r="G209" s="8" t="s">
        <v>32</v>
      </c>
      <c r="H209" s="8" t="s">
        <v>32</v>
      </c>
      <c r="I209" s="8" t="n">
        <f aca="false">IF(EXACT(G209,H209),1,0)</f>
        <v>1</v>
      </c>
      <c r="J209" s="8" t="n">
        <v>0</v>
      </c>
      <c r="K209" s="8" t="s">
        <v>92</v>
      </c>
      <c r="L209" s="8" t="n">
        <v>0</v>
      </c>
      <c r="M209" s="8" t="n">
        <v>0</v>
      </c>
      <c r="N209" s="8"/>
      <c r="O209" s="8" t="n">
        <v>1</v>
      </c>
      <c r="P209" s="10" t="n">
        <v>11.67</v>
      </c>
      <c r="Q209" s="8" t="n">
        <v>674</v>
      </c>
      <c r="R209" s="8" t="n">
        <v>384</v>
      </c>
      <c r="S209" s="8" t="s">
        <v>132</v>
      </c>
      <c r="T209" s="8" t="s">
        <v>291</v>
      </c>
      <c r="U209" s="8" t="s">
        <v>292</v>
      </c>
      <c r="V209" s="8"/>
      <c r="W209" s="8" t="s">
        <v>302</v>
      </c>
      <c r="X209" s="8" t="s">
        <v>362</v>
      </c>
      <c r="Y209" s="8" t="s">
        <v>2514</v>
      </c>
      <c r="Z209" s="8"/>
    </row>
    <row r="210" customFormat="false" ht="15" hidden="false" customHeight="false" outlineLevel="0" collapsed="false">
      <c r="A210" s="8" t="s">
        <v>301</v>
      </c>
      <c r="B210" s="8" t="s">
        <v>19</v>
      </c>
      <c r="C210" s="8" t="s">
        <v>20</v>
      </c>
      <c r="D210" s="8" t="s">
        <v>615</v>
      </c>
      <c r="E210" s="8" t="s">
        <v>37</v>
      </c>
      <c r="F210" s="8" t="s">
        <v>51</v>
      </c>
      <c r="G210" s="8" t="s">
        <v>32</v>
      </c>
      <c r="H210" s="8" t="s">
        <v>32</v>
      </c>
      <c r="I210" s="8" t="n">
        <f aca="false">IF(EXACT(G210,H210),1,0)</f>
        <v>1</v>
      </c>
      <c r="J210" s="8" t="n">
        <v>1</v>
      </c>
      <c r="K210" s="8" t="s">
        <v>92</v>
      </c>
      <c r="L210" s="8" t="n">
        <v>0</v>
      </c>
      <c r="M210" s="8" t="n">
        <v>0</v>
      </c>
      <c r="N210" s="8"/>
      <c r="O210" s="8" t="n">
        <v>1</v>
      </c>
      <c r="P210" s="10" t="n">
        <v>15.67</v>
      </c>
      <c r="Q210" s="8" t="n">
        <v>674</v>
      </c>
      <c r="R210" s="8" t="n">
        <v>352</v>
      </c>
      <c r="S210" s="8" t="s">
        <v>132</v>
      </c>
      <c r="T210" s="8" t="s">
        <v>291</v>
      </c>
      <c r="U210" s="8" t="s">
        <v>292</v>
      </c>
      <c r="V210" s="8"/>
      <c r="W210" s="8" t="s">
        <v>302</v>
      </c>
      <c r="X210" s="8" t="s">
        <v>362</v>
      </c>
      <c r="Y210" s="8" t="s">
        <v>2515</v>
      </c>
      <c r="Z210" s="8"/>
    </row>
    <row r="211" customFormat="false" ht="15" hidden="false" customHeight="false" outlineLevel="0" collapsed="false">
      <c r="A211" s="8" t="s">
        <v>301</v>
      </c>
      <c r="B211" s="8" t="s">
        <v>19</v>
      </c>
      <c r="C211" s="8" t="s">
        <v>20</v>
      </c>
      <c r="D211" s="8" t="s">
        <v>615</v>
      </c>
      <c r="E211" s="8" t="s">
        <v>37</v>
      </c>
      <c r="F211" s="8" t="s">
        <v>51</v>
      </c>
      <c r="G211" s="8" t="s">
        <v>32</v>
      </c>
      <c r="H211" s="8" t="s">
        <v>32</v>
      </c>
      <c r="I211" s="8" t="n">
        <f aca="false">IF(EXACT(G211,H211),1,0)</f>
        <v>1</v>
      </c>
      <c r="J211" s="8" t="n">
        <v>2</v>
      </c>
      <c r="K211" s="8" t="s">
        <v>92</v>
      </c>
      <c r="L211" s="8" t="n">
        <v>0</v>
      </c>
      <c r="M211" s="8" t="n">
        <v>0</v>
      </c>
      <c r="N211" s="8"/>
      <c r="O211" s="8" t="n">
        <v>1</v>
      </c>
      <c r="P211" s="10" t="n">
        <v>13.27</v>
      </c>
      <c r="Q211" s="8" t="n">
        <v>674</v>
      </c>
      <c r="R211" s="8" t="n">
        <v>377</v>
      </c>
      <c r="S211" s="8" t="s">
        <v>132</v>
      </c>
      <c r="T211" s="8" t="s">
        <v>291</v>
      </c>
      <c r="U211" s="8" t="s">
        <v>292</v>
      </c>
      <c r="V211" s="8"/>
      <c r="W211" s="8" t="s">
        <v>302</v>
      </c>
      <c r="X211" s="8" t="s">
        <v>362</v>
      </c>
      <c r="Y211" s="8" t="s">
        <v>2516</v>
      </c>
      <c r="Z211" s="8"/>
    </row>
    <row r="212" customFormat="false" ht="15" hidden="false" customHeight="false" outlineLevel="0" collapsed="false">
      <c r="A212" s="8" t="s">
        <v>304</v>
      </c>
      <c r="B212" s="8" t="s">
        <v>19</v>
      </c>
      <c r="C212" s="8" t="s">
        <v>20</v>
      </c>
      <c r="D212" s="8" t="s">
        <v>615</v>
      </c>
      <c r="E212" s="8" t="s">
        <v>37</v>
      </c>
      <c r="F212" s="8" t="s">
        <v>51</v>
      </c>
      <c r="G212" s="8" t="s">
        <v>31</v>
      </c>
      <c r="H212" s="8" t="s">
        <v>31</v>
      </c>
      <c r="I212" s="8" t="n">
        <f aca="false">IF(EXACT(G212,H212),1,0)</f>
        <v>1</v>
      </c>
      <c r="J212" s="8" t="n">
        <v>0</v>
      </c>
      <c r="K212" s="8" t="s">
        <v>116</v>
      </c>
      <c r="L212" s="8" t="n">
        <v>2</v>
      </c>
      <c r="M212" s="8" t="n">
        <v>0</v>
      </c>
      <c r="N212" s="8"/>
      <c r="O212" s="8" t="n">
        <v>1</v>
      </c>
      <c r="P212" s="10" t="n">
        <v>17.52</v>
      </c>
      <c r="Q212" s="8" t="n">
        <v>691</v>
      </c>
      <c r="R212" s="8" t="n">
        <v>560</v>
      </c>
      <c r="S212" s="8" t="s">
        <v>117</v>
      </c>
      <c r="T212" s="8" t="s">
        <v>291</v>
      </c>
      <c r="U212" s="8" t="s">
        <v>292</v>
      </c>
      <c r="V212" s="8"/>
      <c r="W212" s="8" t="s">
        <v>305</v>
      </c>
      <c r="X212" s="8" t="s">
        <v>363</v>
      </c>
      <c r="Y212" s="8" t="s">
        <v>2517</v>
      </c>
      <c r="Z212" s="8" t="s">
        <v>2518</v>
      </c>
    </row>
    <row r="213" customFormat="false" ht="15" hidden="false" customHeight="false" outlineLevel="0" collapsed="false">
      <c r="A213" s="8" t="s">
        <v>304</v>
      </c>
      <c r="B213" s="8" t="s">
        <v>19</v>
      </c>
      <c r="C213" s="8" t="s">
        <v>20</v>
      </c>
      <c r="D213" s="8" t="s">
        <v>615</v>
      </c>
      <c r="E213" s="8" t="s">
        <v>37</v>
      </c>
      <c r="F213" s="8" t="s">
        <v>51</v>
      </c>
      <c r="G213" s="8" t="s">
        <v>31</v>
      </c>
      <c r="H213" s="8" t="s">
        <v>31</v>
      </c>
      <c r="I213" s="8" t="n">
        <f aca="false">IF(EXACT(G213,H213),1,0)</f>
        <v>1</v>
      </c>
      <c r="J213" s="8" t="n">
        <v>1</v>
      </c>
      <c r="K213" s="8" t="s">
        <v>116</v>
      </c>
      <c r="L213" s="8" t="n">
        <v>1</v>
      </c>
      <c r="M213" s="8" t="n">
        <v>0</v>
      </c>
      <c r="N213" s="8"/>
      <c r="O213" s="8" t="n">
        <v>1</v>
      </c>
      <c r="P213" s="10" t="n">
        <v>15.03</v>
      </c>
      <c r="Q213" s="8" t="n">
        <v>691</v>
      </c>
      <c r="R213" s="8" t="n">
        <v>383</v>
      </c>
      <c r="S213" s="8" t="s">
        <v>117</v>
      </c>
      <c r="T213" s="8" t="s">
        <v>291</v>
      </c>
      <c r="U213" s="8" t="s">
        <v>292</v>
      </c>
      <c r="V213" s="8"/>
      <c r="W213" s="8" t="s">
        <v>305</v>
      </c>
      <c r="X213" s="8" t="s">
        <v>363</v>
      </c>
      <c r="Y213" s="8" t="s">
        <v>2519</v>
      </c>
      <c r="Z213" s="8" t="s">
        <v>2520</v>
      </c>
    </row>
    <row r="214" customFormat="false" ht="15" hidden="false" customHeight="false" outlineLevel="0" collapsed="false">
      <c r="A214" s="8" t="s">
        <v>304</v>
      </c>
      <c r="B214" s="8" t="s">
        <v>19</v>
      </c>
      <c r="C214" s="8" t="s">
        <v>20</v>
      </c>
      <c r="D214" s="8" t="s">
        <v>615</v>
      </c>
      <c r="E214" s="8" t="s">
        <v>37</v>
      </c>
      <c r="F214" s="8" t="s">
        <v>51</v>
      </c>
      <c r="G214" s="8" t="s">
        <v>31</v>
      </c>
      <c r="H214" s="8" t="s">
        <v>31</v>
      </c>
      <c r="I214" s="8" t="n">
        <f aca="false">IF(EXACT(G214,H214),1,0)</f>
        <v>1</v>
      </c>
      <c r="J214" s="8" t="n">
        <v>2</v>
      </c>
      <c r="K214" s="8" t="s">
        <v>116</v>
      </c>
      <c r="L214" s="8" t="n">
        <v>2</v>
      </c>
      <c r="M214" s="8" t="n">
        <v>0</v>
      </c>
      <c r="N214" s="8"/>
      <c r="O214" s="8" t="n">
        <v>1</v>
      </c>
      <c r="P214" s="10" t="n">
        <v>13.21</v>
      </c>
      <c r="Q214" s="8" t="n">
        <v>691</v>
      </c>
      <c r="R214" s="8" t="n">
        <v>558</v>
      </c>
      <c r="S214" s="8" t="s">
        <v>117</v>
      </c>
      <c r="T214" s="8" t="s">
        <v>291</v>
      </c>
      <c r="U214" s="8" t="s">
        <v>292</v>
      </c>
      <c r="V214" s="8"/>
      <c r="W214" s="8" t="s">
        <v>305</v>
      </c>
      <c r="X214" s="8" t="s">
        <v>363</v>
      </c>
      <c r="Y214" s="8" t="s">
        <v>2521</v>
      </c>
      <c r="Z214" s="8" t="s">
        <v>2522</v>
      </c>
    </row>
    <row r="215" customFormat="false" ht="15" hidden="false" customHeight="false" outlineLevel="0" collapsed="false">
      <c r="A215" s="8" t="s">
        <v>307</v>
      </c>
      <c r="B215" s="8" t="s">
        <v>19</v>
      </c>
      <c r="C215" s="8" t="s">
        <v>20</v>
      </c>
      <c r="D215" s="8" t="s">
        <v>615</v>
      </c>
      <c r="E215" s="8" t="s">
        <v>37</v>
      </c>
      <c r="F215" s="8" t="s">
        <v>51</v>
      </c>
      <c r="G215" s="8" t="s">
        <v>31</v>
      </c>
      <c r="H215" s="8" t="s">
        <v>31</v>
      </c>
      <c r="I215" s="8" t="n">
        <f aca="false">IF(EXACT(G215,H215),1,0)</f>
        <v>1</v>
      </c>
      <c r="J215" s="8" t="n">
        <v>0</v>
      </c>
      <c r="K215" s="8" t="s">
        <v>116</v>
      </c>
      <c r="L215" s="8" t="n">
        <v>1</v>
      </c>
      <c r="M215" s="8" t="n">
        <v>0</v>
      </c>
      <c r="N215" s="8"/>
      <c r="O215" s="8" t="n">
        <v>1</v>
      </c>
      <c r="P215" s="10" t="n">
        <v>8.32</v>
      </c>
      <c r="Q215" s="8" t="n">
        <v>635</v>
      </c>
      <c r="R215" s="8" t="n">
        <v>396</v>
      </c>
      <c r="S215" s="8" t="s">
        <v>308</v>
      </c>
      <c r="T215" s="8"/>
      <c r="U215" s="8"/>
      <c r="V215" s="8" t="s">
        <v>309</v>
      </c>
      <c r="W215" s="8"/>
      <c r="X215" s="8" t="s">
        <v>364</v>
      </c>
      <c r="Y215" s="8" t="s">
        <v>2523</v>
      </c>
      <c r="Z215" s="8" t="s">
        <v>2524</v>
      </c>
    </row>
    <row r="216" customFormat="false" ht="15" hidden="false" customHeight="false" outlineLevel="0" collapsed="false">
      <c r="A216" s="8" t="s">
        <v>307</v>
      </c>
      <c r="B216" s="8" t="s">
        <v>19</v>
      </c>
      <c r="C216" s="8" t="s">
        <v>20</v>
      </c>
      <c r="D216" s="8" t="s">
        <v>615</v>
      </c>
      <c r="E216" s="8" t="s">
        <v>37</v>
      </c>
      <c r="F216" s="8" t="s">
        <v>51</v>
      </c>
      <c r="G216" s="8" t="s">
        <v>31</v>
      </c>
      <c r="H216" s="8" t="s">
        <v>31</v>
      </c>
      <c r="I216" s="8" t="n">
        <f aca="false">IF(EXACT(G216,H216),1,0)</f>
        <v>1</v>
      </c>
      <c r="J216" s="8" t="n">
        <v>1</v>
      </c>
      <c r="K216" s="8" t="s">
        <v>116</v>
      </c>
      <c r="L216" s="8" t="n">
        <v>1</v>
      </c>
      <c r="M216" s="8" t="n">
        <v>0</v>
      </c>
      <c r="N216" s="8"/>
      <c r="O216" s="8" t="n">
        <v>1</v>
      </c>
      <c r="P216" s="10" t="n">
        <v>7.35</v>
      </c>
      <c r="Q216" s="8" t="n">
        <v>635</v>
      </c>
      <c r="R216" s="8" t="n">
        <v>385</v>
      </c>
      <c r="S216" s="8" t="s">
        <v>308</v>
      </c>
      <c r="T216" s="8"/>
      <c r="U216" s="8"/>
      <c r="V216" s="8" t="s">
        <v>309</v>
      </c>
      <c r="W216" s="8"/>
      <c r="X216" s="8" t="s">
        <v>364</v>
      </c>
      <c r="Y216" s="8" t="s">
        <v>2525</v>
      </c>
      <c r="Z216" s="8" t="s">
        <v>2526</v>
      </c>
    </row>
    <row r="217" customFormat="false" ht="15" hidden="false" customHeight="false" outlineLevel="0" collapsed="false">
      <c r="A217" s="8" t="s">
        <v>307</v>
      </c>
      <c r="B217" s="8" t="s">
        <v>19</v>
      </c>
      <c r="C217" s="8" t="s">
        <v>20</v>
      </c>
      <c r="D217" s="8" t="s">
        <v>615</v>
      </c>
      <c r="E217" s="8" t="s">
        <v>37</v>
      </c>
      <c r="F217" s="8" t="s">
        <v>51</v>
      </c>
      <c r="G217" s="8" t="s">
        <v>31</v>
      </c>
      <c r="H217" s="8" t="s">
        <v>31</v>
      </c>
      <c r="I217" s="8" t="n">
        <f aca="false">IF(EXACT(G217,H217),1,0)</f>
        <v>1</v>
      </c>
      <c r="J217" s="8" t="n">
        <v>2</v>
      </c>
      <c r="K217" s="8" t="s">
        <v>116</v>
      </c>
      <c r="L217" s="8" t="n">
        <v>1</v>
      </c>
      <c r="M217" s="8" t="n">
        <v>0</v>
      </c>
      <c r="N217" s="8"/>
      <c r="O217" s="8" t="n">
        <v>1</v>
      </c>
      <c r="P217" s="10" t="n">
        <v>8.09</v>
      </c>
      <c r="Q217" s="8" t="n">
        <v>635</v>
      </c>
      <c r="R217" s="8" t="n">
        <v>387</v>
      </c>
      <c r="S217" s="8" t="s">
        <v>308</v>
      </c>
      <c r="T217" s="8"/>
      <c r="U217" s="8"/>
      <c r="V217" s="8" t="s">
        <v>309</v>
      </c>
      <c r="W217" s="8"/>
      <c r="X217" s="8" t="s">
        <v>364</v>
      </c>
      <c r="Y217" s="8" t="s">
        <v>2527</v>
      </c>
      <c r="Z217" s="8" t="s">
        <v>2524</v>
      </c>
    </row>
    <row r="218" customFormat="false" ht="15" hidden="false" customHeight="false" outlineLevel="0" collapsed="false">
      <c r="A218" s="8" t="s">
        <v>365</v>
      </c>
      <c r="B218" s="8" t="s">
        <v>19</v>
      </c>
      <c r="C218" s="8" t="s">
        <v>20</v>
      </c>
      <c r="D218" s="8" t="s">
        <v>615</v>
      </c>
      <c r="E218" s="8" t="s">
        <v>37</v>
      </c>
      <c r="F218" s="8" t="s">
        <v>55</v>
      </c>
      <c r="G218" s="8" t="s">
        <v>30</v>
      </c>
      <c r="H218" s="8" t="s">
        <v>31</v>
      </c>
      <c r="I218" s="8" t="n">
        <f aca="false">IF(EXACT(G218,H218),1,0)</f>
        <v>0</v>
      </c>
      <c r="J218" s="8" t="n">
        <v>0</v>
      </c>
      <c r="K218" s="8" t="s">
        <v>116</v>
      </c>
      <c r="L218" s="8" t="n">
        <v>4</v>
      </c>
      <c r="M218" s="8" t="n">
        <v>0</v>
      </c>
      <c r="N218" s="8"/>
      <c r="O218" s="8" t="n">
        <v>1</v>
      </c>
      <c r="P218" s="10" t="n">
        <v>15.06</v>
      </c>
      <c r="Q218" s="8" t="n">
        <v>583</v>
      </c>
      <c r="R218" s="8" t="n">
        <v>856</v>
      </c>
      <c r="S218" s="8" t="s">
        <v>366</v>
      </c>
      <c r="T218" s="8" t="s">
        <v>367</v>
      </c>
      <c r="U218" s="8" t="s">
        <v>368</v>
      </c>
      <c r="V218" s="8"/>
      <c r="W218" s="8" t="s">
        <v>369</v>
      </c>
      <c r="X218" s="8" t="s">
        <v>370</v>
      </c>
      <c r="Y218" s="8" t="s">
        <v>2528</v>
      </c>
      <c r="Z218" s="8" t="s">
        <v>2529</v>
      </c>
    </row>
    <row r="219" customFormat="false" ht="15" hidden="false" customHeight="false" outlineLevel="0" collapsed="false">
      <c r="A219" s="8" t="s">
        <v>365</v>
      </c>
      <c r="B219" s="8" t="s">
        <v>19</v>
      </c>
      <c r="C219" s="8" t="s">
        <v>20</v>
      </c>
      <c r="D219" s="8" t="s">
        <v>615</v>
      </c>
      <c r="E219" s="8" t="s">
        <v>37</v>
      </c>
      <c r="F219" s="8" t="s">
        <v>55</v>
      </c>
      <c r="G219" s="8" t="s">
        <v>30</v>
      </c>
      <c r="H219" s="8" t="s">
        <v>31</v>
      </c>
      <c r="I219" s="8" t="n">
        <f aca="false">IF(EXACT(G219,H219),1,0)</f>
        <v>0</v>
      </c>
      <c r="J219" s="8" t="n">
        <v>1</v>
      </c>
      <c r="K219" s="8" t="s">
        <v>140</v>
      </c>
      <c r="L219" s="8" t="n">
        <v>3</v>
      </c>
      <c r="M219" s="8" t="n">
        <v>0</v>
      </c>
      <c r="N219" s="8"/>
      <c r="O219" s="8" t="n">
        <v>1</v>
      </c>
      <c r="P219" s="10" t="n">
        <v>13.16</v>
      </c>
      <c r="Q219" s="8" t="n">
        <v>583</v>
      </c>
      <c r="R219" s="8" t="n">
        <v>694</v>
      </c>
      <c r="S219" s="8" t="s">
        <v>366</v>
      </c>
      <c r="T219" s="8" t="s">
        <v>367</v>
      </c>
      <c r="U219" s="8" t="s">
        <v>368</v>
      </c>
      <c r="V219" s="8"/>
      <c r="W219" s="8" t="s">
        <v>369</v>
      </c>
      <c r="X219" s="8" t="s">
        <v>370</v>
      </c>
      <c r="Y219" s="8" t="s">
        <v>2530</v>
      </c>
      <c r="Z219" s="8" t="s">
        <v>2531</v>
      </c>
    </row>
    <row r="220" customFormat="false" ht="15" hidden="false" customHeight="false" outlineLevel="0" collapsed="false">
      <c r="A220" s="8" t="s">
        <v>365</v>
      </c>
      <c r="B220" s="8" t="s">
        <v>19</v>
      </c>
      <c r="C220" s="8" t="s">
        <v>20</v>
      </c>
      <c r="D220" s="8" t="s">
        <v>615</v>
      </c>
      <c r="E220" s="8" t="s">
        <v>37</v>
      </c>
      <c r="F220" s="8" t="s">
        <v>55</v>
      </c>
      <c r="G220" s="8" t="s">
        <v>30</v>
      </c>
      <c r="H220" s="8" t="s">
        <v>31</v>
      </c>
      <c r="I220" s="8" t="n">
        <f aca="false">IF(EXACT(G220,H220),1,0)</f>
        <v>0</v>
      </c>
      <c r="J220" s="8" t="n">
        <v>2</v>
      </c>
      <c r="K220" s="8" t="s">
        <v>116</v>
      </c>
      <c r="L220" s="8" t="n">
        <v>5</v>
      </c>
      <c r="M220" s="8" t="n">
        <v>0</v>
      </c>
      <c r="N220" s="8"/>
      <c r="O220" s="8" t="n">
        <v>1</v>
      </c>
      <c r="P220" s="10" t="n">
        <v>18.78</v>
      </c>
      <c r="Q220" s="8" t="n">
        <v>583</v>
      </c>
      <c r="R220" s="8" t="n">
        <v>897</v>
      </c>
      <c r="S220" s="8" t="s">
        <v>366</v>
      </c>
      <c r="T220" s="8" t="s">
        <v>367</v>
      </c>
      <c r="U220" s="8" t="s">
        <v>368</v>
      </c>
      <c r="V220" s="8"/>
      <c r="W220" s="8" t="s">
        <v>369</v>
      </c>
      <c r="X220" s="8" t="s">
        <v>370</v>
      </c>
      <c r="Y220" s="8" t="s">
        <v>2532</v>
      </c>
      <c r="Z220" s="8" t="s">
        <v>2533</v>
      </c>
    </row>
    <row r="221" customFormat="false" ht="15" hidden="false" customHeight="false" outlineLevel="0" collapsed="false">
      <c r="A221" s="8" t="s">
        <v>371</v>
      </c>
      <c r="B221" s="8" t="s">
        <v>19</v>
      </c>
      <c r="C221" s="8" t="s">
        <v>20</v>
      </c>
      <c r="D221" s="8" t="s">
        <v>615</v>
      </c>
      <c r="E221" s="8" t="s">
        <v>37</v>
      </c>
      <c r="F221" s="8" t="s">
        <v>55</v>
      </c>
      <c r="G221" s="8" t="s">
        <v>30</v>
      </c>
      <c r="H221" s="8" t="s">
        <v>30</v>
      </c>
      <c r="I221" s="8" t="n">
        <f aca="false">IF(EXACT(G221,H221),1,0)</f>
        <v>1</v>
      </c>
      <c r="J221" s="8" t="n">
        <v>0</v>
      </c>
      <c r="K221" s="8" t="s">
        <v>92</v>
      </c>
      <c r="L221" s="8" t="n">
        <v>0</v>
      </c>
      <c r="M221" s="8" t="n">
        <v>0</v>
      </c>
      <c r="N221" s="8"/>
      <c r="O221" s="8" t="n">
        <v>1</v>
      </c>
      <c r="P221" s="10" t="n">
        <v>7.26</v>
      </c>
      <c r="Q221" s="8" t="n">
        <v>663</v>
      </c>
      <c r="R221" s="8" t="n">
        <v>335</v>
      </c>
      <c r="S221" s="8" t="s">
        <v>180</v>
      </c>
      <c r="T221" s="8" t="s">
        <v>372</v>
      </c>
      <c r="U221" s="8" t="s">
        <v>373</v>
      </c>
      <c r="V221" s="8"/>
      <c r="W221" s="8" t="s">
        <v>374</v>
      </c>
      <c r="X221" s="8" t="s">
        <v>375</v>
      </c>
      <c r="Y221" s="8" t="s">
        <v>2534</v>
      </c>
      <c r="Z221" s="8"/>
    </row>
    <row r="222" customFormat="false" ht="15" hidden="false" customHeight="false" outlineLevel="0" collapsed="false">
      <c r="A222" s="8" t="s">
        <v>371</v>
      </c>
      <c r="B222" s="8" t="s">
        <v>19</v>
      </c>
      <c r="C222" s="8" t="s">
        <v>20</v>
      </c>
      <c r="D222" s="8" t="s">
        <v>615</v>
      </c>
      <c r="E222" s="8" t="s">
        <v>37</v>
      </c>
      <c r="F222" s="8" t="s">
        <v>55</v>
      </c>
      <c r="G222" s="8" t="s">
        <v>30</v>
      </c>
      <c r="H222" s="8" t="s">
        <v>30</v>
      </c>
      <c r="I222" s="8" t="n">
        <f aca="false">IF(EXACT(G222,H222),1,0)</f>
        <v>1</v>
      </c>
      <c r="J222" s="8" t="n">
        <v>1</v>
      </c>
      <c r="K222" s="8" t="s">
        <v>92</v>
      </c>
      <c r="L222" s="8" t="n">
        <v>0</v>
      </c>
      <c r="M222" s="8" t="n">
        <v>0</v>
      </c>
      <c r="N222" s="8"/>
      <c r="O222" s="8" t="n">
        <v>1</v>
      </c>
      <c r="P222" s="10" t="n">
        <v>7.47</v>
      </c>
      <c r="Q222" s="8" t="n">
        <v>663</v>
      </c>
      <c r="R222" s="8" t="n">
        <v>341</v>
      </c>
      <c r="S222" s="8" t="s">
        <v>180</v>
      </c>
      <c r="T222" s="8" t="s">
        <v>372</v>
      </c>
      <c r="U222" s="8" t="s">
        <v>373</v>
      </c>
      <c r="V222" s="8"/>
      <c r="W222" s="8" t="s">
        <v>374</v>
      </c>
      <c r="X222" s="8" t="s">
        <v>375</v>
      </c>
      <c r="Y222" s="8" t="s">
        <v>2535</v>
      </c>
      <c r="Z222" s="8"/>
    </row>
    <row r="223" customFormat="false" ht="15" hidden="false" customHeight="false" outlineLevel="0" collapsed="false">
      <c r="A223" s="8" t="s">
        <v>371</v>
      </c>
      <c r="B223" s="8" t="s">
        <v>19</v>
      </c>
      <c r="C223" s="8" t="s">
        <v>20</v>
      </c>
      <c r="D223" s="8" t="s">
        <v>615</v>
      </c>
      <c r="E223" s="8" t="s">
        <v>37</v>
      </c>
      <c r="F223" s="8" t="s">
        <v>55</v>
      </c>
      <c r="G223" s="8" t="s">
        <v>30</v>
      </c>
      <c r="H223" s="8" t="s">
        <v>30</v>
      </c>
      <c r="I223" s="8" t="n">
        <f aca="false">IF(EXACT(G223,H223),1,0)</f>
        <v>1</v>
      </c>
      <c r="J223" s="8" t="n">
        <v>2</v>
      </c>
      <c r="K223" s="8" t="s">
        <v>92</v>
      </c>
      <c r="L223" s="8" t="n">
        <v>0</v>
      </c>
      <c r="M223" s="8" t="n">
        <v>0</v>
      </c>
      <c r="N223" s="8"/>
      <c r="O223" s="8" t="n">
        <v>1</v>
      </c>
      <c r="P223" s="10" t="n">
        <v>7.68</v>
      </c>
      <c r="Q223" s="8" t="n">
        <v>663</v>
      </c>
      <c r="R223" s="8" t="n">
        <v>353</v>
      </c>
      <c r="S223" s="8" t="s">
        <v>180</v>
      </c>
      <c r="T223" s="8" t="s">
        <v>372</v>
      </c>
      <c r="U223" s="8" t="s">
        <v>373</v>
      </c>
      <c r="V223" s="8"/>
      <c r="W223" s="8" t="s">
        <v>374</v>
      </c>
      <c r="X223" s="8" t="s">
        <v>375</v>
      </c>
      <c r="Y223" s="8" t="s">
        <v>2536</v>
      </c>
      <c r="Z223" s="8"/>
    </row>
    <row r="224" customFormat="false" ht="15" hidden="false" customHeight="false" outlineLevel="0" collapsed="false">
      <c r="A224" s="8" t="s">
        <v>376</v>
      </c>
      <c r="B224" s="8" t="s">
        <v>19</v>
      </c>
      <c r="C224" s="8" t="s">
        <v>20</v>
      </c>
      <c r="D224" s="8" t="s">
        <v>615</v>
      </c>
      <c r="E224" s="8" t="s">
        <v>37</v>
      </c>
      <c r="F224" s="8" t="s">
        <v>55</v>
      </c>
      <c r="G224" s="8" t="s">
        <v>32</v>
      </c>
      <c r="H224" s="8" t="s">
        <v>31</v>
      </c>
      <c r="I224" s="8" t="n">
        <f aca="false">IF(EXACT(G224,H224),1,0)</f>
        <v>0</v>
      </c>
      <c r="J224" s="8" t="n">
        <v>0</v>
      </c>
      <c r="K224" s="8" t="s">
        <v>116</v>
      </c>
      <c r="L224" s="8" t="n">
        <v>3</v>
      </c>
      <c r="M224" s="8" t="n">
        <v>0</v>
      </c>
      <c r="N224" s="8"/>
      <c r="O224" s="8" t="n">
        <v>1</v>
      </c>
      <c r="P224" s="10" t="n">
        <v>13.4</v>
      </c>
      <c r="Q224" s="8" t="n">
        <v>579</v>
      </c>
      <c r="R224" s="8" t="n">
        <v>690</v>
      </c>
      <c r="S224" s="8" t="s">
        <v>132</v>
      </c>
      <c r="T224" s="8" t="s">
        <v>367</v>
      </c>
      <c r="U224" s="8" t="s">
        <v>368</v>
      </c>
      <c r="V224" s="8"/>
      <c r="W224" s="8" t="s">
        <v>377</v>
      </c>
      <c r="X224" s="8" t="s">
        <v>378</v>
      </c>
      <c r="Y224" s="8" t="s">
        <v>2537</v>
      </c>
      <c r="Z224" s="8" t="s">
        <v>2538</v>
      </c>
    </row>
    <row r="225" customFormat="false" ht="15" hidden="false" customHeight="false" outlineLevel="0" collapsed="false">
      <c r="A225" s="8" t="s">
        <v>376</v>
      </c>
      <c r="B225" s="8" t="s">
        <v>19</v>
      </c>
      <c r="C225" s="8" t="s">
        <v>20</v>
      </c>
      <c r="D225" s="8" t="s">
        <v>615</v>
      </c>
      <c r="E225" s="8" t="s">
        <v>37</v>
      </c>
      <c r="F225" s="8" t="s">
        <v>55</v>
      </c>
      <c r="G225" s="8" t="s">
        <v>32</v>
      </c>
      <c r="H225" s="8" t="s">
        <v>31</v>
      </c>
      <c r="I225" s="8" t="n">
        <f aca="false">IF(EXACT(G225,H225),1,0)</f>
        <v>0</v>
      </c>
      <c r="J225" s="8" t="n">
        <v>1</v>
      </c>
      <c r="K225" s="8" t="s">
        <v>116</v>
      </c>
      <c r="L225" s="8" t="n">
        <v>4</v>
      </c>
      <c r="M225" s="8" t="n">
        <v>0</v>
      </c>
      <c r="N225" s="8"/>
      <c r="O225" s="8" t="n">
        <v>1</v>
      </c>
      <c r="P225" s="10" t="n">
        <v>15.66</v>
      </c>
      <c r="Q225" s="8" t="n">
        <v>579</v>
      </c>
      <c r="R225" s="8" t="n">
        <v>836</v>
      </c>
      <c r="S225" s="8" t="s">
        <v>132</v>
      </c>
      <c r="T225" s="8" t="s">
        <v>367</v>
      </c>
      <c r="U225" s="8" t="s">
        <v>368</v>
      </c>
      <c r="V225" s="8"/>
      <c r="W225" s="8" t="s">
        <v>377</v>
      </c>
      <c r="X225" s="8" t="s">
        <v>378</v>
      </c>
      <c r="Y225" s="8" t="s">
        <v>2539</v>
      </c>
      <c r="Z225" s="8" t="s">
        <v>2540</v>
      </c>
    </row>
    <row r="226" customFormat="false" ht="15" hidden="false" customHeight="false" outlineLevel="0" collapsed="false">
      <c r="A226" s="8" t="s">
        <v>376</v>
      </c>
      <c r="B226" s="8" t="s">
        <v>19</v>
      </c>
      <c r="C226" s="8" t="s">
        <v>20</v>
      </c>
      <c r="D226" s="8" t="s">
        <v>615</v>
      </c>
      <c r="E226" s="8" t="s">
        <v>37</v>
      </c>
      <c r="F226" s="8" t="s">
        <v>55</v>
      </c>
      <c r="G226" s="8" t="s">
        <v>32</v>
      </c>
      <c r="H226" s="8" t="s">
        <v>31</v>
      </c>
      <c r="I226" s="8" t="n">
        <f aca="false">IF(EXACT(G226,H226),1,0)</f>
        <v>0</v>
      </c>
      <c r="J226" s="8" t="n">
        <v>2</v>
      </c>
      <c r="K226" s="8" t="s">
        <v>140</v>
      </c>
      <c r="L226" s="8" t="n">
        <v>5</v>
      </c>
      <c r="M226" s="8" t="n">
        <v>0</v>
      </c>
      <c r="N226" s="8"/>
      <c r="O226" s="8" t="n">
        <v>1</v>
      </c>
      <c r="P226" s="10" t="n">
        <v>14.31</v>
      </c>
      <c r="Q226" s="8" t="n">
        <v>579</v>
      </c>
      <c r="R226" s="8" t="n">
        <v>782</v>
      </c>
      <c r="S226" s="8" t="s">
        <v>132</v>
      </c>
      <c r="T226" s="8" t="s">
        <v>367</v>
      </c>
      <c r="U226" s="8" t="s">
        <v>368</v>
      </c>
      <c r="V226" s="8"/>
      <c r="W226" s="8" t="s">
        <v>377</v>
      </c>
      <c r="X226" s="8" t="s">
        <v>378</v>
      </c>
      <c r="Y226" s="8" t="s">
        <v>2541</v>
      </c>
      <c r="Z226" s="8" t="s">
        <v>2542</v>
      </c>
    </row>
    <row r="227" customFormat="false" ht="15" hidden="false" customHeight="false" outlineLevel="0" collapsed="false">
      <c r="A227" s="8" t="s">
        <v>379</v>
      </c>
      <c r="B227" s="8" t="s">
        <v>19</v>
      </c>
      <c r="C227" s="8" t="s">
        <v>20</v>
      </c>
      <c r="D227" s="8" t="s">
        <v>615</v>
      </c>
      <c r="E227" s="8" t="s">
        <v>37</v>
      </c>
      <c r="F227" s="8" t="s">
        <v>55</v>
      </c>
      <c r="G227" s="8" t="s">
        <v>31</v>
      </c>
      <c r="H227" s="8" t="s">
        <v>31</v>
      </c>
      <c r="I227" s="8" t="n">
        <f aca="false">IF(EXACT(G227,H227),1,0)</f>
        <v>1</v>
      </c>
      <c r="J227" s="8" t="n">
        <v>0</v>
      </c>
      <c r="K227" s="8" t="s">
        <v>140</v>
      </c>
      <c r="L227" s="8" t="n">
        <v>4</v>
      </c>
      <c r="M227" s="8" t="n">
        <v>0</v>
      </c>
      <c r="N227" s="8"/>
      <c r="O227" s="8" t="n">
        <v>1</v>
      </c>
      <c r="P227" s="10" t="n">
        <v>13.72</v>
      </c>
      <c r="Q227" s="8" t="n">
        <v>585</v>
      </c>
      <c r="R227" s="8" t="n">
        <v>766</v>
      </c>
      <c r="S227" s="8" t="s">
        <v>255</v>
      </c>
      <c r="T227" s="8" t="s">
        <v>367</v>
      </c>
      <c r="U227" s="8" t="s">
        <v>368</v>
      </c>
      <c r="V227" s="8"/>
      <c r="W227" s="8" t="s">
        <v>380</v>
      </c>
      <c r="X227" s="8" t="s">
        <v>381</v>
      </c>
      <c r="Y227" s="8" t="s">
        <v>2543</v>
      </c>
      <c r="Z227" s="8" t="s">
        <v>2544</v>
      </c>
    </row>
    <row r="228" customFormat="false" ht="15" hidden="false" customHeight="false" outlineLevel="0" collapsed="false">
      <c r="A228" s="8" t="s">
        <v>379</v>
      </c>
      <c r="B228" s="8" t="s">
        <v>19</v>
      </c>
      <c r="C228" s="8" t="s">
        <v>20</v>
      </c>
      <c r="D228" s="8" t="s">
        <v>615</v>
      </c>
      <c r="E228" s="8" t="s">
        <v>37</v>
      </c>
      <c r="F228" s="8" t="s">
        <v>55</v>
      </c>
      <c r="G228" s="8" t="s">
        <v>31</v>
      </c>
      <c r="H228" s="8" t="s">
        <v>31</v>
      </c>
      <c r="I228" s="8" t="n">
        <f aca="false">IF(EXACT(G228,H228),1,0)</f>
        <v>1</v>
      </c>
      <c r="J228" s="8" t="n">
        <v>1</v>
      </c>
      <c r="K228" s="8" t="s">
        <v>140</v>
      </c>
      <c r="L228" s="8" t="n">
        <v>4</v>
      </c>
      <c r="M228" s="8" t="n">
        <v>0</v>
      </c>
      <c r="N228" s="8"/>
      <c r="O228" s="8" t="n">
        <v>1</v>
      </c>
      <c r="P228" s="10" t="n">
        <v>14.34</v>
      </c>
      <c r="Q228" s="8" t="n">
        <v>585</v>
      </c>
      <c r="R228" s="8" t="n">
        <v>816</v>
      </c>
      <c r="S228" s="8" t="s">
        <v>255</v>
      </c>
      <c r="T228" s="8" t="s">
        <v>367</v>
      </c>
      <c r="U228" s="8" t="s">
        <v>368</v>
      </c>
      <c r="V228" s="8"/>
      <c r="W228" s="8" t="s">
        <v>380</v>
      </c>
      <c r="X228" s="8" t="s">
        <v>381</v>
      </c>
      <c r="Y228" s="8" t="s">
        <v>2545</v>
      </c>
      <c r="Z228" s="8" t="s">
        <v>2546</v>
      </c>
    </row>
    <row r="229" customFormat="false" ht="15" hidden="false" customHeight="false" outlineLevel="0" collapsed="false">
      <c r="A229" s="8" t="s">
        <v>379</v>
      </c>
      <c r="B229" s="8" t="s">
        <v>19</v>
      </c>
      <c r="C229" s="8" t="s">
        <v>20</v>
      </c>
      <c r="D229" s="8" t="s">
        <v>615</v>
      </c>
      <c r="E229" s="8" t="s">
        <v>37</v>
      </c>
      <c r="F229" s="8" t="s">
        <v>55</v>
      </c>
      <c r="G229" s="8" t="s">
        <v>31</v>
      </c>
      <c r="H229" s="8" t="s">
        <v>31</v>
      </c>
      <c r="I229" s="8" t="n">
        <f aca="false">IF(EXACT(G229,H229),1,0)</f>
        <v>1</v>
      </c>
      <c r="J229" s="8" t="n">
        <v>2</v>
      </c>
      <c r="K229" s="8" t="s">
        <v>140</v>
      </c>
      <c r="L229" s="8" t="n">
        <v>4</v>
      </c>
      <c r="M229" s="8" t="n">
        <v>0</v>
      </c>
      <c r="N229" s="8"/>
      <c r="O229" s="8" t="n">
        <v>1</v>
      </c>
      <c r="P229" s="10" t="n">
        <v>14.95</v>
      </c>
      <c r="Q229" s="8" t="n">
        <v>585</v>
      </c>
      <c r="R229" s="8" t="n">
        <v>822</v>
      </c>
      <c r="S229" s="8" t="s">
        <v>255</v>
      </c>
      <c r="T229" s="8" t="s">
        <v>367</v>
      </c>
      <c r="U229" s="8" t="s">
        <v>368</v>
      </c>
      <c r="V229" s="8"/>
      <c r="W229" s="8" t="s">
        <v>380</v>
      </c>
      <c r="X229" s="8" t="s">
        <v>381</v>
      </c>
      <c r="Y229" s="8" t="s">
        <v>2547</v>
      </c>
      <c r="Z229" s="8" t="s">
        <v>2548</v>
      </c>
    </row>
    <row r="230" customFormat="false" ht="15" hidden="false" customHeight="false" outlineLevel="0" collapsed="false">
      <c r="A230" s="8" t="s">
        <v>383</v>
      </c>
      <c r="B230" s="8" t="s">
        <v>19</v>
      </c>
      <c r="C230" s="8" t="s">
        <v>20</v>
      </c>
      <c r="D230" s="8" t="s">
        <v>615</v>
      </c>
      <c r="E230" s="8" t="s">
        <v>37</v>
      </c>
      <c r="F230" s="8" t="s">
        <v>55</v>
      </c>
      <c r="G230" s="8" t="s">
        <v>32</v>
      </c>
      <c r="H230" s="8" t="s">
        <v>31</v>
      </c>
      <c r="I230" s="8" t="n">
        <f aca="false">IF(EXACT(G230,H230),1,0)</f>
        <v>0</v>
      </c>
      <c r="J230" s="8" t="n">
        <v>0</v>
      </c>
      <c r="K230" s="8" t="s">
        <v>116</v>
      </c>
      <c r="L230" s="8" t="n">
        <v>5</v>
      </c>
      <c r="M230" s="8" t="n">
        <v>0</v>
      </c>
      <c r="N230" s="8"/>
      <c r="O230" s="8" t="n">
        <v>1</v>
      </c>
      <c r="P230" s="10" t="n">
        <v>13.87</v>
      </c>
      <c r="Q230" s="8" t="n">
        <v>572</v>
      </c>
      <c r="R230" s="8" t="n">
        <v>738</v>
      </c>
      <c r="S230" s="8" t="s">
        <v>384</v>
      </c>
      <c r="T230" s="8" t="s">
        <v>372</v>
      </c>
      <c r="U230" s="8" t="s">
        <v>373</v>
      </c>
      <c r="V230" s="8"/>
      <c r="W230" s="8" t="s">
        <v>385</v>
      </c>
      <c r="X230" s="8" t="s">
        <v>386</v>
      </c>
      <c r="Y230" s="8" t="s">
        <v>2549</v>
      </c>
      <c r="Z230" s="8" t="s">
        <v>2550</v>
      </c>
    </row>
    <row r="231" customFormat="false" ht="15" hidden="false" customHeight="false" outlineLevel="0" collapsed="false">
      <c r="A231" s="8" t="s">
        <v>383</v>
      </c>
      <c r="B231" s="8" t="s">
        <v>19</v>
      </c>
      <c r="C231" s="8" t="s">
        <v>20</v>
      </c>
      <c r="D231" s="8" t="s">
        <v>615</v>
      </c>
      <c r="E231" s="8" t="s">
        <v>37</v>
      </c>
      <c r="F231" s="8" t="s">
        <v>55</v>
      </c>
      <c r="G231" s="8" t="s">
        <v>32</v>
      </c>
      <c r="H231" s="8" t="s">
        <v>31</v>
      </c>
      <c r="I231" s="8" t="n">
        <f aca="false">IF(EXACT(G231,H231),1,0)</f>
        <v>0</v>
      </c>
      <c r="J231" s="8" t="n">
        <v>1</v>
      </c>
      <c r="K231" s="8" t="s">
        <v>116</v>
      </c>
      <c r="L231" s="8" t="n">
        <v>5</v>
      </c>
      <c r="M231" s="8" t="n">
        <v>0</v>
      </c>
      <c r="N231" s="8"/>
      <c r="O231" s="8" t="n">
        <v>1</v>
      </c>
      <c r="P231" s="10" t="n">
        <v>12.03</v>
      </c>
      <c r="Q231" s="8" t="n">
        <v>572</v>
      </c>
      <c r="R231" s="8" t="n">
        <v>688</v>
      </c>
      <c r="S231" s="8" t="s">
        <v>384</v>
      </c>
      <c r="T231" s="8" t="s">
        <v>372</v>
      </c>
      <c r="U231" s="8" t="s">
        <v>373</v>
      </c>
      <c r="V231" s="8"/>
      <c r="W231" s="8" t="s">
        <v>385</v>
      </c>
      <c r="X231" s="8" t="s">
        <v>386</v>
      </c>
      <c r="Y231" s="8" t="s">
        <v>2551</v>
      </c>
      <c r="Z231" s="8" t="s">
        <v>2552</v>
      </c>
    </row>
    <row r="232" customFormat="false" ht="15" hidden="false" customHeight="false" outlineLevel="0" collapsed="false">
      <c r="A232" s="8" t="s">
        <v>383</v>
      </c>
      <c r="B232" s="8" t="s">
        <v>19</v>
      </c>
      <c r="C232" s="8" t="s">
        <v>20</v>
      </c>
      <c r="D232" s="8" t="s">
        <v>615</v>
      </c>
      <c r="E232" s="8" t="s">
        <v>37</v>
      </c>
      <c r="F232" s="8" t="s">
        <v>55</v>
      </c>
      <c r="G232" s="8" t="s">
        <v>32</v>
      </c>
      <c r="H232" s="8" t="s">
        <v>31</v>
      </c>
      <c r="I232" s="8" t="n">
        <f aca="false">IF(EXACT(G232,H232),1,0)</f>
        <v>0</v>
      </c>
      <c r="J232" s="8" t="n">
        <v>2</v>
      </c>
      <c r="K232" s="8" t="s">
        <v>116</v>
      </c>
      <c r="L232" s="8" t="n">
        <v>5</v>
      </c>
      <c r="M232" s="8" t="n">
        <v>0</v>
      </c>
      <c r="N232" s="8"/>
      <c r="O232" s="8" t="n">
        <v>1</v>
      </c>
      <c r="P232" s="10" t="n">
        <v>12.07</v>
      </c>
      <c r="Q232" s="8" t="n">
        <v>572</v>
      </c>
      <c r="R232" s="8" t="n">
        <v>679</v>
      </c>
      <c r="S232" s="8" t="s">
        <v>384</v>
      </c>
      <c r="T232" s="8" t="s">
        <v>372</v>
      </c>
      <c r="U232" s="8" t="s">
        <v>373</v>
      </c>
      <c r="V232" s="8"/>
      <c r="W232" s="8" t="s">
        <v>385</v>
      </c>
      <c r="X232" s="8" t="s">
        <v>386</v>
      </c>
      <c r="Y232" s="8" t="s">
        <v>2553</v>
      </c>
      <c r="Z232" s="8" t="s">
        <v>2554</v>
      </c>
    </row>
    <row r="233" customFormat="false" ht="15" hidden="false" customHeight="false" outlineLevel="0" collapsed="false">
      <c r="A233" s="8" t="s">
        <v>387</v>
      </c>
      <c r="B233" s="8" t="s">
        <v>19</v>
      </c>
      <c r="C233" s="8" t="s">
        <v>20</v>
      </c>
      <c r="D233" s="8" t="s">
        <v>615</v>
      </c>
      <c r="E233" s="8" t="s">
        <v>37</v>
      </c>
      <c r="F233" s="8" t="s">
        <v>55</v>
      </c>
      <c r="G233" s="8" t="s">
        <v>31</v>
      </c>
      <c r="H233" s="8" t="s">
        <v>31</v>
      </c>
      <c r="I233" s="8" t="n">
        <f aca="false">IF(EXACT(G233,H233),1,0)</f>
        <v>1</v>
      </c>
      <c r="J233" s="8" t="n">
        <v>0</v>
      </c>
      <c r="K233" s="8" t="s">
        <v>116</v>
      </c>
      <c r="L233" s="8" t="n">
        <v>2</v>
      </c>
      <c r="M233" s="8" t="n">
        <v>0</v>
      </c>
      <c r="N233" s="8"/>
      <c r="O233" s="8" t="n">
        <v>1</v>
      </c>
      <c r="P233" s="10" t="n">
        <v>14.23</v>
      </c>
      <c r="Q233" s="8" t="n">
        <v>608</v>
      </c>
      <c r="R233" s="8" t="n">
        <v>741</v>
      </c>
      <c r="S233" s="8" t="s">
        <v>388</v>
      </c>
      <c r="T233" s="8" t="s">
        <v>367</v>
      </c>
      <c r="U233" s="8" t="s">
        <v>368</v>
      </c>
      <c r="V233" s="8"/>
      <c r="W233" s="8" t="s">
        <v>389</v>
      </c>
      <c r="X233" s="8" t="s">
        <v>390</v>
      </c>
      <c r="Y233" s="8" t="s">
        <v>2555</v>
      </c>
      <c r="Z233" s="8" t="s">
        <v>2556</v>
      </c>
    </row>
    <row r="234" customFormat="false" ht="15" hidden="false" customHeight="false" outlineLevel="0" collapsed="false">
      <c r="A234" s="8" t="s">
        <v>387</v>
      </c>
      <c r="B234" s="8" t="s">
        <v>19</v>
      </c>
      <c r="C234" s="8" t="s">
        <v>20</v>
      </c>
      <c r="D234" s="8" t="s">
        <v>615</v>
      </c>
      <c r="E234" s="8" t="s">
        <v>37</v>
      </c>
      <c r="F234" s="8" t="s">
        <v>55</v>
      </c>
      <c r="G234" s="8" t="s">
        <v>31</v>
      </c>
      <c r="H234" s="8" t="s">
        <v>31</v>
      </c>
      <c r="I234" s="8" t="n">
        <f aca="false">IF(EXACT(G234,H234),1,0)</f>
        <v>1</v>
      </c>
      <c r="J234" s="8" t="n">
        <v>1</v>
      </c>
      <c r="K234" s="8" t="s">
        <v>116</v>
      </c>
      <c r="L234" s="8" t="n">
        <v>2</v>
      </c>
      <c r="M234" s="8" t="n">
        <v>0</v>
      </c>
      <c r="N234" s="8"/>
      <c r="O234" s="8" t="n">
        <v>1</v>
      </c>
      <c r="P234" s="10" t="n">
        <v>12.39</v>
      </c>
      <c r="Q234" s="8" t="n">
        <v>608</v>
      </c>
      <c r="R234" s="8" t="n">
        <v>678</v>
      </c>
      <c r="S234" s="8" t="s">
        <v>388</v>
      </c>
      <c r="T234" s="8" t="s">
        <v>367</v>
      </c>
      <c r="U234" s="8" t="s">
        <v>368</v>
      </c>
      <c r="V234" s="8"/>
      <c r="W234" s="8" t="s">
        <v>389</v>
      </c>
      <c r="X234" s="8" t="s">
        <v>390</v>
      </c>
      <c r="Y234" s="8" t="s">
        <v>2557</v>
      </c>
      <c r="Z234" s="8" t="s">
        <v>2558</v>
      </c>
    </row>
    <row r="235" customFormat="false" ht="15" hidden="false" customHeight="false" outlineLevel="0" collapsed="false">
      <c r="A235" s="8" t="s">
        <v>387</v>
      </c>
      <c r="B235" s="8" t="s">
        <v>19</v>
      </c>
      <c r="C235" s="8" t="s">
        <v>20</v>
      </c>
      <c r="D235" s="8" t="s">
        <v>615</v>
      </c>
      <c r="E235" s="8" t="s">
        <v>37</v>
      </c>
      <c r="F235" s="8" t="s">
        <v>55</v>
      </c>
      <c r="G235" s="8" t="s">
        <v>31</v>
      </c>
      <c r="H235" s="8" t="s">
        <v>31</v>
      </c>
      <c r="I235" s="8" t="n">
        <f aca="false">IF(EXACT(G235,H235),1,0)</f>
        <v>1</v>
      </c>
      <c r="J235" s="8" t="n">
        <v>2</v>
      </c>
      <c r="K235" s="8" t="s">
        <v>116</v>
      </c>
      <c r="L235" s="8" t="n">
        <v>1</v>
      </c>
      <c r="M235" s="8" t="n">
        <v>0</v>
      </c>
      <c r="N235" s="8"/>
      <c r="O235" s="8" t="n">
        <v>1</v>
      </c>
      <c r="P235" s="10" t="n">
        <v>10.95</v>
      </c>
      <c r="Q235" s="8" t="n">
        <v>608</v>
      </c>
      <c r="R235" s="8" t="n">
        <v>535</v>
      </c>
      <c r="S235" s="8" t="s">
        <v>388</v>
      </c>
      <c r="T235" s="8" t="s">
        <v>367</v>
      </c>
      <c r="U235" s="8" t="s">
        <v>368</v>
      </c>
      <c r="V235" s="8"/>
      <c r="W235" s="8" t="s">
        <v>389</v>
      </c>
      <c r="X235" s="8" t="s">
        <v>390</v>
      </c>
      <c r="Y235" s="8" t="s">
        <v>2559</v>
      </c>
      <c r="Z235" s="8" t="s">
        <v>2560</v>
      </c>
    </row>
    <row r="236" customFormat="false" ht="15" hidden="false" customHeight="false" outlineLevel="0" collapsed="false">
      <c r="A236" s="8" t="s">
        <v>391</v>
      </c>
      <c r="B236" s="8" t="s">
        <v>19</v>
      </c>
      <c r="C236" s="8" t="s">
        <v>20</v>
      </c>
      <c r="D236" s="8" t="s">
        <v>615</v>
      </c>
      <c r="E236" s="8" t="s">
        <v>37</v>
      </c>
      <c r="F236" s="8" t="s">
        <v>59</v>
      </c>
      <c r="G236" s="8" t="s">
        <v>31</v>
      </c>
      <c r="H236" s="8" t="s">
        <v>31</v>
      </c>
      <c r="I236" s="8" t="n">
        <f aca="false">IF(EXACT(G236,H236),1,0)</f>
        <v>1</v>
      </c>
      <c r="J236" s="8" t="n">
        <v>0</v>
      </c>
      <c r="K236" s="8" t="s">
        <v>2333</v>
      </c>
      <c r="L236" s="8" t="n">
        <v>2</v>
      </c>
      <c r="M236" s="8" t="n">
        <v>0</v>
      </c>
      <c r="N236" s="8"/>
      <c r="O236" s="8" t="n">
        <v>1</v>
      </c>
      <c r="P236" s="10" t="n">
        <v>15.94</v>
      </c>
      <c r="Q236" s="8" t="n">
        <v>697</v>
      </c>
      <c r="R236" s="8" t="n">
        <v>783</v>
      </c>
      <c r="S236" s="8" t="s">
        <v>392</v>
      </c>
      <c r="T236" s="8"/>
      <c r="U236" s="8"/>
      <c r="V236" s="8" t="s">
        <v>155</v>
      </c>
      <c r="W236" s="8"/>
      <c r="X236" s="8" t="s">
        <v>393</v>
      </c>
      <c r="Y236" s="8" t="s">
        <v>2561</v>
      </c>
      <c r="Z236" s="8" t="s">
        <v>2562</v>
      </c>
    </row>
    <row r="237" customFormat="false" ht="15" hidden="false" customHeight="false" outlineLevel="0" collapsed="false">
      <c r="A237" s="8" t="s">
        <v>391</v>
      </c>
      <c r="B237" s="8" t="s">
        <v>19</v>
      </c>
      <c r="C237" s="8" t="s">
        <v>20</v>
      </c>
      <c r="D237" s="8" t="s">
        <v>615</v>
      </c>
      <c r="E237" s="8" t="s">
        <v>37</v>
      </c>
      <c r="F237" s="8" t="s">
        <v>59</v>
      </c>
      <c r="G237" s="8" t="s">
        <v>31</v>
      </c>
      <c r="H237" s="8" t="s">
        <v>31</v>
      </c>
      <c r="I237" s="8" t="n">
        <f aca="false">IF(EXACT(G237,H237),1,0)</f>
        <v>1</v>
      </c>
      <c r="J237" s="8" t="n">
        <v>1</v>
      </c>
      <c r="K237" s="8" t="s">
        <v>2333</v>
      </c>
      <c r="L237" s="8" t="n">
        <v>2</v>
      </c>
      <c r="M237" s="8" t="n">
        <v>0</v>
      </c>
      <c r="N237" s="8"/>
      <c r="O237" s="8" t="n">
        <v>1</v>
      </c>
      <c r="P237" s="10" t="n">
        <v>18.73</v>
      </c>
      <c r="Q237" s="8" t="n">
        <v>697</v>
      </c>
      <c r="R237" s="8" t="n">
        <v>843</v>
      </c>
      <c r="S237" s="8" t="s">
        <v>392</v>
      </c>
      <c r="T237" s="8"/>
      <c r="U237" s="8"/>
      <c r="V237" s="8" t="s">
        <v>155</v>
      </c>
      <c r="W237" s="8"/>
      <c r="X237" s="8" t="s">
        <v>393</v>
      </c>
      <c r="Y237" s="8" t="s">
        <v>2563</v>
      </c>
      <c r="Z237" s="8" t="s">
        <v>2564</v>
      </c>
    </row>
    <row r="238" customFormat="false" ht="15" hidden="false" customHeight="false" outlineLevel="0" collapsed="false">
      <c r="A238" s="8" t="s">
        <v>391</v>
      </c>
      <c r="B238" s="8" t="s">
        <v>19</v>
      </c>
      <c r="C238" s="8" t="s">
        <v>20</v>
      </c>
      <c r="D238" s="8" t="s">
        <v>615</v>
      </c>
      <c r="E238" s="8" t="s">
        <v>37</v>
      </c>
      <c r="F238" s="8" t="s">
        <v>59</v>
      </c>
      <c r="G238" s="8" t="s">
        <v>31</v>
      </c>
      <c r="H238" s="8" t="s">
        <v>31</v>
      </c>
      <c r="I238" s="8" t="n">
        <f aca="false">IF(EXACT(G238,H238),1,0)</f>
        <v>1</v>
      </c>
      <c r="J238" s="8" t="n">
        <v>2</v>
      </c>
      <c r="K238" s="8" t="s">
        <v>2333</v>
      </c>
      <c r="L238" s="8" t="n">
        <v>2</v>
      </c>
      <c r="M238" s="8" t="n">
        <v>0</v>
      </c>
      <c r="N238" s="8"/>
      <c r="O238" s="8" t="n">
        <v>1</v>
      </c>
      <c r="P238" s="10" t="n">
        <v>16.84</v>
      </c>
      <c r="Q238" s="8" t="n">
        <v>697</v>
      </c>
      <c r="R238" s="8" t="n">
        <v>795</v>
      </c>
      <c r="S238" s="8" t="s">
        <v>392</v>
      </c>
      <c r="T238" s="8"/>
      <c r="U238" s="8"/>
      <c r="V238" s="8" t="s">
        <v>155</v>
      </c>
      <c r="W238" s="8"/>
      <c r="X238" s="8" t="s">
        <v>393</v>
      </c>
      <c r="Y238" s="8" t="s">
        <v>2565</v>
      </c>
      <c r="Z238" s="8" t="s">
        <v>2566</v>
      </c>
    </row>
    <row r="239" customFormat="false" ht="15" hidden="false" customHeight="false" outlineLevel="0" collapsed="false">
      <c r="A239" s="8" t="s">
        <v>395</v>
      </c>
      <c r="B239" s="8" t="s">
        <v>19</v>
      </c>
      <c r="C239" s="8" t="s">
        <v>20</v>
      </c>
      <c r="D239" s="8" t="s">
        <v>615</v>
      </c>
      <c r="E239" s="8" t="s">
        <v>37</v>
      </c>
      <c r="F239" s="8" t="s">
        <v>59</v>
      </c>
      <c r="G239" s="8" t="s">
        <v>31</v>
      </c>
      <c r="H239" s="8" t="s">
        <v>31</v>
      </c>
      <c r="I239" s="8" t="n">
        <f aca="false">IF(EXACT(G239,H239),1,0)</f>
        <v>1</v>
      </c>
      <c r="J239" s="8" t="n">
        <v>0</v>
      </c>
      <c r="K239" s="8" t="s">
        <v>737</v>
      </c>
      <c r="L239" s="8" t="n">
        <v>3</v>
      </c>
      <c r="M239" s="8" t="n">
        <v>0</v>
      </c>
      <c r="N239" s="8"/>
      <c r="O239" s="8" t="n">
        <v>1</v>
      </c>
      <c r="P239" s="10" t="n">
        <v>12.31</v>
      </c>
      <c r="Q239" s="8" t="n">
        <v>679</v>
      </c>
      <c r="R239" s="8" t="n">
        <v>609</v>
      </c>
      <c r="S239" s="8" t="s">
        <v>396</v>
      </c>
      <c r="T239" s="8"/>
      <c r="U239" s="8"/>
      <c r="V239" s="8" t="s">
        <v>155</v>
      </c>
      <c r="W239" s="8"/>
      <c r="X239" s="8" t="s">
        <v>397</v>
      </c>
      <c r="Y239" s="8" t="s">
        <v>2567</v>
      </c>
      <c r="Z239" s="8" t="s">
        <v>2568</v>
      </c>
    </row>
    <row r="240" customFormat="false" ht="15" hidden="false" customHeight="false" outlineLevel="0" collapsed="false">
      <c r="A240" s="8" t="s">
        <v>395</v>
      </c>
      <c r="B240" s="8" t="s">
        <v>19</v>
      </c>
      <c r="C240" s="8" t="s">
        <v>20</v>
      </c>
      <c r="D240" s="8" t="s">
        <v>615</v>
      </c>
      <c r="E240" s="8" t="s">
        <v>37</v>
      </c>
      <c r="F240" s="8" t="s">
        <v>59</v>
      </c>
      <c r="G240" s="8" t="s">
        <v>31</v>
      </c>
      <c r="H240" s="8" t="s">
        <v>31</v>
      </c>
      <c r="I240" s="8" t="n">
        <f aca="false">IF(EXACT(G240,H240),1,0)</f>
        <v>1</v>
      </c>
      <c r="J240" s="8" t="n">
        <v>1</v>
      </c>
      <c r="K240" s="8" t="s">
        <v>737</v>
      </c>
      <c r="L240" s="8" t="n">
        <v>3</v>
      </c>
      <c r="M240" s="8" t="n">
        <v>0</v>
      </c>
      <c r="N240" s="8"/>
      <c r="O240" s="8" t="n">
        <v>1</v>
      </c>
      <c r="P240" s="10" t="n">
        <v>10.49</v>
      </c>
      <c r="Q240" s="8" t="n">
        <v>679</v>
      </c>
      <c r="R240" s="8" t="n">
        <v>597</v>
      </c>
      <c r="S240" s="8" t="s">
        <v>396</v>
      </c>
      <c r="T240" s="8"/>
      <c r="U240" s="8"/>
      <c r="V240" s="8" t="s">
        <v>155</v>
      </c>
      <c r="W240" s="8"/>
      <c r="X240" s="8" t="s">
        <v>397</v>
      </c>
      <c r="Y240" s="8" t="s">
        <v>2569</v>
      </c>
      <c r="Z240" s="8" t="s">
        <v>2570</v>
      </c>
    </row>
    <row r="241" customFormat="false" ht="15" hidden="false" customHeight="false" outlineLevel="0" collapsed="false">
      <c r="A241" s="8" t="s">
        <v>395</v>
      </c>
      <c r="B241" s="8" t="s">
        <v>19</v>
      </c>
      <c r="C241" s="8" t="s">
        <v>20</v>
      </c>
      <c r="D241" s="8" t="s">
        <v>615</v>
      </c>
      <c r="E241" s="8" t="s">
        <v>37</v>
      </c>
      <c r="F241" s="8" t="s">
        <v>59</v>
      </c>
      <c r="G241" s="8" t="s">
        <v>31</v>
      </c>
      <c r="H241" s="8" t="s">
        <v>31</v>
      </c>
      <c r="I241" s="8" t="n">
        <f aca="false">IF(EXACT(G241,H241),1,0)</f>
        <v>1</v>
      </c>
      <c r="J241" s="8" t="n">
        <v>2</v>
      </c>
      <c r="K241" s="8" t="s">
        <v>737</v>
      </c>
      <c r="L241" s="8" t="n">
        <v>3</v>
      </c>
      <c r="M241" s="8" t="n">
        <v>0</v>
      </c>
      <c r="N241" s="8"/>
      <c r="O241" s="8" t="n">
        <v>1</v>
      </c>
      <c r="P241" s="10" t="n">
        <v>10.1</v>
      </c>
      <c r="Q241" s="8" t="n">
        <v>679</v>
      </c>
      <c r="R241" s="8" t="n">
        <v>587</v>
      </c>
      <c r="S241" s="8" t="s">
        <v>396</v>
      </c>
      <c r="T241" s="8"/>
      <c r="U241" s="8"/>
      <c r="V241" s="8" t="s">
        <v>155</v>
      </c>
      <c r="W241" s="8"/>
      <c r="X241" s="8" t="s">
        <v>397</v>
      </c>
      <c r="Y241" s="8" t="s">
        <v>2571</v>
      </c>
      <c r="Z241" s="8" t="s">
        <v>2568</v>
      </c>
    </row>
    <row r="242" customFormat="false" ht="15" hidden="false" customHeight="false" outlineLevel="0" collapsed="false">
      <c r="A242" s="8" t="s">
        <v>399</v>
      </c>
      <c r="B242" s="8" t="s">
        <v>19</v>
      </c>
      <c r="C242" s="8" t="s">
        <v>20</v>
      </c>
      <c r="D242" s="8" t="s">
        <v>615</v>
      </c>
      <c r="E242" s="8" t="s">
        <v>37</v>
      </c>
      <c r="F242" s="8" t="s">
        <v>59</v>
      </c>
      <c r="G242" s="8" t="s">
        <v>32</v>
      </c>
      <c r="H242" s="8" t="s">
        <v>30</v>
      </c>
      <c r="I242" s="8" t="n">
        <f aca="false">IF(EXACT(G242,H242),1,0)</f>
        <v>0</v>
      </c>
      <c r="J242" s="8" t="n">
        <v>0</v>
      </c>
      <c r="K242" s="8" t="s">
        <v>92</v>
      </c>
      <c r="L242" s="8" t="n">
        <v>0</v>
      </c>
      <c r="M242" s="8" t="n">
        <v>0</v>
      </c>
      <c r="N242" s="8"/>
      <c r="O242" s="8" t="n">
        <v>1</v>
      </c>
      <c r="P242" s="10" t="n">
        <v>6.95</v>
      </c>
      <c r="Q242" s="8" t="n">
        <v>684</v>
      </c>
      <c r="R242" s="8" t="n">
        <v>308</v>
      </c>
      <c r="S242" s="8" t="s">
        <v>400</v>
      </c>
      <c r="T242" s="8"/>
      <c r="U242" s="8"/>
      <c r="V242" s="8" t="s">
        <v>155</v>
      </c>
      <c r="W242" s="8"/>
      <c r="X242" s="8" t="s">
        <v>401</v>
      </c>
      <c r="Y242" s="8" t="s">
        <v>2572</v>
      </c>
      <c r="Z242" s="8"/>
    </row>
    <row r="243" customFormat="false" ht="15" hidden="false" customHeight="false" outlineLevel="0" collapsed="false">
      <c r="A243" s="8" t="s">
        <v>399</v>
      </c>
      <c r="B243" s="8" t="s">
        <v>19</v>
      </c>
      <c r="C243" s="8" t="s">
        <v>20</v>
      </c>
      <c r="D243" s="8" t="s">
        <v>615</v>
      </c>
      <c r="E243" s="8" t="s">
        <v>37</v>
      </c>
      <c r="F243" s="8" t="s">
        <v>59</v>
      </c>
      <c r="G243" s="8" t="s">
        <v>32</v>
      </c>
      <c r="H243" s="8" t="s">
        <v>30</v>
      </c>
      <c r="I243" s="8" t="n">
        <f aca="false">IF(EXACT(G243,H243),1,0)</f>
        <v>0</v>
      </c>
      <c r="J243" s="8" t="n">
        <v>1</v>
      </c>
      <c r="K243" s="8" t="s">
        <v>92</v>
      </c>
      <c r="L243" s="8" t="n">
        <v>0</v>
      </c>
      <c r="M243" s="8" t="n">
        <v>0</v>
      </c>
      <c r="N243" s="8"/>
      <c r="O243" s="8" t="n">
        <v>1</v>
      </c>
      <c r="P243" s="10" t="n">
        <v>7.37</v>
      </c>
      <c r="Q243" s="8" t="n">
        <v>684</v>
      </c>
      <c r="R243" s="8" t="n">
        <v>316</v>
      </c>
      <c r="S243" s="8" t="s">
        <v>400</v>
      </c>
      <c r="T243" s="8"/>
      <c r="U243" s="8"/>
      <c r="V243" s="8" t="s">
        <v>155</v>
      </c>
      <c r="W243" s="8"/>
      <c r="X243" s="8" t="s">
        <v>401</v>
      </c>
      <c r="Y243" s="8" t="s">
        <v>2573</v>
      </c>
      <c r="Z243" s="8"/>
    </row>
    <row r="244" customFormat="false" ht="15" hidden="false" customHeight="false" outlineLevel="0" collapsed="false">
      <c r="A244" s="8" t="s">
        <v>399</v>
      </c>
      <c r="B244" s="8" t="s">
        <v>19</v>
      </c>
      <c r="C244" s="8" t="s">
        <v>20</v>
      </c>
      <c r="D244" s="8" t="s">
        <v>615</v>
      </c>
      <c r="E244" s="8" t="s">
        <v>37</v>
      </c>
      <c r="F244" s="8" t="s">
        <v>59</v>
      </c>
      <c r="G244" s="8" t="s">
        <v>32</v>
      </c>
      <c r="H244" s="8" t="s">
        <v>30</v>
      </c>
      <c r="I244" s="8" t="n">
        <f aca="false">IF(EXACT(G244,H244),1,0)</f>
        <v>0</v>
      </c>
      <c r="J244" s="8" t="n">
        <v>2</v>
      </c>
      <c r="K244" s="8" t="s">
        <v>92</v>
      </c>
      <c r="L244" s="8" t="n">
        <v>0</v>
      </c>
      <c r="M244" s="8" t="n">
        <v>0</v>
      </c>
      <c r="N244" s="8"/>
      <c r="O244" s="8" t="n">
        <v>1</v>
      </c>
      <c r="P244" s="10" t="n">
        <v>7.06</v>
      </c>
      <c r="Q244" s="8" t="n">
        <v>684</v>
      </c>
      <c r="R244" s="8" t="n">
        <v>303</v>
      </c>
      <c r="S244" s="8" t="s">
        <v>400</v>
      </c>
      <c r="T244" s="8"/>
      <c r="U244" s="8"/>
      <c r="V244" s="8" t="s">
        <v>155</v>
      </c>
      <c r="W244" s="8"/>
      <c r="X244" s="8" t="s">
        <v>401</v>
      </c>
      <c r="Y244" s="8" t="s">
        <v>2574</v>
      </c>
      <c r="Z244" s="8"/>
    </row>
    <row r="245" customFormat="false" ht="15" hidden="false" customHeight="false" outlineLevel="0" collapsed="false">
      <c r="A245" s="8" t="s">
        <v>402</v>
      </c>
      <c r="B245" s="8" t="s">
        <v>19</v>
      </c>
      <c r="C245" s="8" t="s">
        <v>20</v>
      </c>
      <c r="D245" s="8" t="s">
        <v>615</v>
      </c>
      <c r="E245" s="8" t="s">
        <v>37</v>
      </c>
      <c r="F245" s="8" t="s">
        <v>59</v>
      </c>
      <c r="G245" s="8" t="s">
        <v>32</v>
      </c>
      <c r="H245" s="8" t="s">
        <v>30</v>
      </c>
      <c r="I245" s="8" t="n">
        <f aca="false">IF(EXACT(G245,H245),1,0)</f>
        <v>0</v>
      </c>
      <c r="J245" s="8" t="n">
        <v>0</v>
      </c>
      <c r="K245" s="8" t="s">
        <v>92</v>
      </c>
      <c r="L245" s="8" t="n">
        <v>0</v>
      </c>
      <c r="M245" s="8" t="n">
        <v>0</v>
      </c>
      <c r="N245" s="8"/>
      <c r="O245" s="8" t="n">
        <v>1</v>
      </c>
      <c r="P245" s="10" t="n">
        <v>10.69</v>
      </c>
      <c r="Q245" s="8" t="n">
        <v>653</v>
      </c>
      <c r="R245" s="8" t="n">
        <v>424</v>
      </c>
      <c r="S245" s="8" t="s">
        <v>403</v>
      </c>
      <c r="T245" s="8"/>
      <c r="U245" s="8"/>
      <c r="V245" s="8" t="s">
        <v>155</v>
      </c>
      <c r="W245" s="8"/>
      <c r="X245" s="8" t="s">
        <v>404</v>
      </c>
      <c r="Y245" s="8" t="s">
        <v>2575</v>
      </c>
      <c r="Z245" s="8"/>
    </row>
    <row r="246" customFormat="false" ht="15" hidden="false" customHeight="false" outlineLevel="0" collapsed="false">
      <c r="A246" s="8" t="s">
        <v>402</v>
      </c>
      <c r="B246" s="8" t="s">
        <v>19</v>
      </c>
      <c r="C246" s="8" t="s">
        <v>20</v>
      </c>
      <c r="D246" s="8" t="s">
        <v>615</v>
      </c>
      <c r="E246" s="8" t="s">
        <v>37</v>
      </c>
      <c r="F246" s="8" t="s">
        <v>59</v>
      </c>
      <c r="G246" s="8" t="s">
        <v>32</v>
      </c>
      <c r="H246" s="8" t="s">
        <v>30</v>
      </c>
      <c r="I246" s="8" t="n">
        <f aca="false">IF(EXACT(G246,H246),1,0)</f>
        <v>0</v>
      </c>
      <c r="J246" s="8" t="n">
        <v>1</v>
      </c>
      <c r="K246" s="8" t="s">
        <v>92</v>
      </c>
      <c r="L246" s="8" t="n">
        <v>0</v>
      </c>
      <c r="M246" s="8" t="n">
        <v>0</v>
      </c>
      <c r="N246" s="8"/>
      <c r="O246" s="8" t="n">
        <v>1</v>
      </c>
      <c r="P246" s="10" t="n">
        <v>7.02</v>
      </c>
      <c r="Q246" s="8" t="n">
        <v>653</v>
      </c>
      <c r="R246" s="8" t="n">
        <v>301</v>
      </c>
      <c r="S246" s="8" t="s">
        <v>403</v>
      </c>
      <c r="T246" s="8"/>
      <c r="U246" s="8"/>
      <c r="V246" s="8" t="s">
        <v>155</v>
      </c>
      <c r="W246" s="8"/>
      <c r="X246" s="8" t="s">
        <v>404</v>
      </c>
      <c r="Y246" s="8" t="s">
        <v>2576</v>
      </c>
      <c r="Z246" s="8"/>
    </row>
    <row r="247" customFormat="false" ht="15" hidden="false" customHeight="false" outlineLevel="0" collapsed="false">
      <c r="A247" s="8" t="s">
        <v>402</v>
      </c>
      <c r="B247" s="8" t="s">
        <v>19</v>
      </c>
      <c r="C247" s="8" t="s">
        <v>20</v>
      </c>
      <c r="D247" s="8" t="s">
        <v>615</v>
      </c>
      <c r="E247" s="8" t="s">
        <v>37</v>
      </c>
      <c r="F247" s="8" t="s">
        <v>59</v>
      </c>
      <c r="G247" s="8" t="s">
        <v>32</v>
      </c>
      <c r="H247" s="8" t="s">
        <v>30</v>
      </c>
      <c r="I247" s="8" t="n">
        <f aca="false">IF(EXACT(G247,H247),1,0)</f>
        <v>0</v>
      </c>
      <c r="J247" s="8" t="n">
        <v>2</v>
      </c>
      <c r="K247" s="8" t="s">
        <v>92</v>
      </c>
      <c r="L247" s="8" t="n">
        <v>0</v>
      </c>
      <c r="M247" s="8" t="n">
        <v>0</v>
      </c>
      <c r="N247" s="8"/>
      <c r="O247" s="8" t="n">
        <v>1</v>
      </c>
      <c r="P247" s="10" t="n">
        <v>7.48</v>
      </c>
      <c r="Q247" s="8" t="n">
        <v>653</v>
      </c>
      <c r="R247" s="8" t="n">
        <v>326</v>
      </c>
      <c r="S247" s="8" t="s">
        <v>403</v>
      </c>
      <c r="T247" s="8"/>
      <c r="U247" s="8"/>
      <c r="V247" s="8" t="s">
        <v>155</v>
      </c>
      <c r="W247" s="8"/>
      <c r="X247" s="8" t="s">
        <v>404</v>
      </c>
      <c r="Y247" s="8" t="s">
        <v>2577</v>
      </c>
      <c r="Z247" s="8"/>
    </row>
    <row r="248" customFormat="false" ht="15" hidden="false" customHeight="false" outlineLevel="0" collapsed="false">
      <c r="A248" s="8" t="s">
        <v>405</v>
      </c>
      <c r="B248" s="8" t="s">
        <v>19</v>
      </c>
      <c r="C248" s="8" t="s">
        <v>20</v>
      </c>
      <c r="D248" s="8" t="s">
        <v>615</v>
      </c>
      <c r="E248" s="8" t="s">
        <v>37</v>
      </c>
      <c r="F248" s="8" t="s">
        <v>59</v>
      </c>
      <c r="G248" s="8" t="s">
        <v>30</v>
      </c>
      <c r="H248" s="8" t="s">
        <v>30</v>
      </c>
      <c r="I248" s="8" t="n">
        <f aca="false">IF(EXACT(G248,H248),1,0)</f>
        <v>1</v>
      </c>
      <c r="J248" s="8" t="n">
        <v>0</v>
      </c>
      <c r="K248" s="8" t="s">
        <v>92</v>
      </c>
      <c r="L248" s="8" t="n">
        <v>0</v>
      </c>
      <c r="M248" s="8" t="n">
        <v>0</v>
      </c>
      <c r="N248" s="8"/>
      <c r="O248" s="8" t="n">
        <v>1</v>
      </c>
      <c r="P248" s="10" t="n">
        <v>9.03</v>
      </c>
      <c r="Q248" s="8" t="n">
        <v>713</v>
      </c>
      <c r="R248" s="8" t="n">
        <v>335</v>
      </c>
      <c r="S248" s="8" t="s">
        <v>406</v>
      </c>
      <c r="T248" s="8"/>
      <c r="U248" s="8"/>
      <c r="V248" s="8" t="s">
        <v>155</v>
      </c>
      <c r="W248" s="8"/>
      <c r="X248" s="8" t="s">
        <v>407</v>
      </c>
      <c r="Y248" s="8" t="s">
        <v>2578</v>
      </c>
      <c r="Z248" s="8"/>
    </row>
    <row r="249" customFormat="false" ht="15" hidden="false" customHeight="false" outlineLevel="0" collapsed="false">
      <c r="A249" s="8" t="s">
        <v>405</v>
      </c>
      <c r="B249" s="8" t="s">
        <v>19</v>
      </c>
      <c r="C249" s="8" t="s">
        <v>20</v>
      </c>
      <c r="D249" s="8" t="s">
        <v>615</v>
      </c>
      <c r="E249" s="8" t="s">
        <v>37</v>
      </c>
      <c r="F249" s="8" t="s">
        <v>59</v>
      </c>
      <c r="G249" s="8" t="s">
        <v>30</v>
      </c>
      <c r="H249" s="8" t="s">
        <v>30</v>
      </c>
      <c r="I249" s="8" t="n">
        <f aca="false">IF(EXACT(G249,H249),1,0)</f>
        <v>1</v>
      </c>
      <c r="J249" s="8" t="n">
        <v>1</v>
      </c>
      <c r="K249" s="8" t="s">
        <v>92</v>
      </c>
      <c r="L249" s="8" t="n">
        <v>0</v>
      </c>
      <c r="M249" s="8" t="n">
        <v>0</v>
      </c>
      <c r="N249" s="8"/>
      <c r="O249" s="8" t="n">
        <v>1</v>
      </c>
      <c r="P249" s="10" t="n">
        <v>8.78</v>
      </c>
      <c r="Q249" s="8" t="n">
        <v>713</v>
      </c>
      <c r="R249" s="8" t="n">
        <v>358</v>
      </c>
      <c r="S249" s="8" t="s">
        <v>406</v>
      </c>
      <c r="T249" s="8"/>
      <c r="U249" s="8"/>
      <c r="V249" s="8" t="s">
        <v>155</v>
      </c>
      <c r="W249" s="8"/>
      <c r="X249" s="8" t="s">
        <v>407</v>
      </c>
      <c r="Y249" s="8" t="s">
        <v>2579</v>
      </c>
      <c r="Z249" s="8"/>
    </row>
    <row r="250" customFormat="false" ht="15" hidden="false" customHeight="false" outlineLevel="0" collapsed="false">
      <c r="A250" s="8" t="s">
        <v>405</v>
      </c>
      <c r="B250" s="8" t="s">
        <v>19</v>
      </c>
      <c r="C250" s="8" t="s">
        <v>20</v>
      </c>
      <c r="D250" s="8" t="s">
        <v>615</v>
      </c>
      <c r="E250" s="8" t="s">
        <v>37</v>
      </c>
      <c r="F250" s="8" t="s">
        <v>59</v>
      </c>
      <c r="G250" s="8" t="s">
        <v>30</v>
      </c>
      <c r="H250" s="8" t="s">
        <v>30</v>
      </c>
      <c r="I250" s="8" t="n">
        <f aca="false">IF(EXACT(G250,H250),1,0)</f>
        <v>1</v>
      </c>
      <c r="J250" s="8" t="n">
        <v>2</v>
      </c>
      <c r="K250" s="8" t="s">
        <v>92</v>
      </c>
      <c r="L250" s="8" t="n">
        <v>0</v>
      </c>
      <c r="M250" s="8" t="n">
        <v>0</v>
      </c>
      <c r="N250" s="8"/>
      <c r="O250" s="8" t="n">
        <v>1</v>
      </c>
      <c r="P250" s="10" t="n">
        <v>8.42</v>
      </c>
      <c r="Q250" s="8" t="n">
        <v>713</v>
      </c>
      <c r="R250" s="8" t="n">
        <v>373</v>
      </c>
      <c r="S250" s="8" t="s">
        <v>406</v>
      </c>
      <c r="T250" s="8"/>
      <c r="U250" s="8"/>
      <c r="V250" s="8" t="s">
        <v>155</v>
      </c>
      <c r="W250" s="8"/>
      <c r="X250" s="8" t="s">
        <v>407</v>
      </c>
      <c r="Y250" s="8" t="s">
        <v>2580</v>
      </c>
      <c r="Z250" s="8"/>
    </row>
    <row r="251" customFormat="false" ht="15" hidden="false" customHeight="false" outlineLevel="0" collapsed="false">
      <c r="A251" s="8" t="s">
        <v>408</v>
      </c>
      <c r="B251" s="8" t="s">
        <v>19</v>
      </c>
      <c r="C251" s="8" t="s">
        <v>20</v>
      </c>
      <c r="D251" s="8" t="s">
        <v>615</v>
      </c>
      <c r="E251" s="8" t="s">
        <v>37</v>
      </c>
      <c r="F251" s="8" t="s">
        <v>59</v>
      </c>
      <c r="G251" s="8" t="s">
        <v>30</v>
      </c>
      <c r="H251" s="8" t="s">
        <v>31</v>
      </c>
      <c r="I251" s="8" t="n">
        <f aca="false">IF(EXACT(G251,H251),1,0)</f>
        <v>0</v>
      </c>
      <c r="J251" s="8" t="n">
        <v>0</v>
      </c>
      <c r="K251" s="8" t="s">
        <v>2333</v>
      </c>
      <c r="L251" s="8" t="n">
        <v>1</v>
      </c>
      <c r="M251" s="8" t="n">
        <v>0</v>
      </c>
      <c r="N251" s="8"/>
      <c r="O251" s="8" t="n">
        <v>1</v>
      </c>
      <c r="P251" s="10" t="n">
        <v>13.72</v>
      </c>
      <c r="Q251" s="8" t="n">
        <v>700</v>
      </c>
      <c r="R251" s="8" t="n">
        <v>571</v>
      </c>
      <c r="S251" s="8" t="s">
        <v>409</v>
      </c>
      <c r="T251" s="8"/>
      <c r="U251" s="8"/>
      <c r="V251" s="8" t="s">
        <v>155</v>
      </c>
      <c r="W251" s="8"/>
      <c r="X251" s="8" t="s">
        <v>410</v>
      </c>
      <c r="Y251" s="8" t="s">
        <v>2581</v>
      </c>
      <c r="Z251" s="8" t="s">
        <v>2582</v>
      </c>
    </row>
    <row r="252" customFormat="false" ht="15" hidden="false" customHeight="false" outlineLevel="0" collapsed="false">
      <c r="A252" s="8" t="s">
        <v>408</v>
      </c>
      <c r="B252" s="8" t="s">
        <v>19</v>
      </c>
      <c r="C252" s="8" t="s">
        <v>20</v>
      </c>
      <c r="D252" s="8" t="s">
        <v>615</v>
      </c>
      <c r="E252" s="8" t="s">
        <v>37</v>
      </c>
      <c r="F252" s="8" t="s">
        <v>59</v>
      </c>
      <c r="G252" s="8" t="s">
        <v>30</v>
      </c>
      <c r="H252" s="8" t="s">
        <v>31</v>
      </c>
      <c r="I252" s="8" t="n">
        <f aca="false">IF(EXACT(G252,H252),1,0)</f>
        <v>0</v>
      </c>
      <c r="J252" s="8" t="n">
        <v>1</v>
      </c>
      <c r="K252" s="8" t="s">
        <v>2333</v>
      </c>
      <c r="L252" s="8" t="n">
        <v>1</v>
      </c>
      <c r="M252" s="8" t="n">
        <v>0</v>
      </c>
      <c r="N252" s="8"/>
      <c r="O252" s="8" t="n">
        <v>1</v>
      </c>
      <c r="P252" s="10" t="n">
        <v>11.51</v>
      </c>
      <c r="Q252" s="8" t="n">
        <v>700</v>
      </c>
      <c r="R252" s="8" t="n">
        <v>496</v>
      </c>
      <c r="S252" s="8" t="s">
        <v>409</v>
      </c>
      <c r="T252" s="8"/>
      <c r="U252" s="8"/>
      <c r="V252" s="8" t="s">
        <v>155</v>
      </c>
      <c r="W252" s="8"/>
      <c r="X252" s="8" t="s">
        <v>410</v>
      </c>
      <c r="Y252" s="8" t="s">
        <v>2583</v>
      </c>
      <c r="Z252" s="8" t="s">
        <v>2584</v>
      </c>
    </row>
    <row r="253" customFormat="false" ht="15" hidden="false" customHeight="false" outlineLevel="0" collapsed="false">
      <c r="A253" s="8" t="s">
        <v>408</v>
      </c>
      <c r="B253" s="8" t="s">
        <v>19</v>
      </c>
      <c r="C253" s="8" t="s">
        <v>20</v>
      </c>
      <c r="D253" s="8" t="s">
        <v>615</v>
      </c>
      <c r="E253" s="8" t="s">
        <v>37</v>
      </c>
      <c r="F253" s="8" t="s">
        <v>59</v>
      </c>
      <c r="G253" s="8" t="s">
        <v>30</v>
      </c>
      <c r="H253" s="8" t="s">
        <v>31</v>
      </c>
      <c r="I253" s="8" t="n">
        <f aca="false">IF(EXACT(G253,H253),1,0)</f>
        <v>0</v>
      </c>
      <c r="J253" s="8" t="n">
        <v>2</v>
      </c>
      <c r="K253" s="8" t="s">
        <v>2333</v>
      </c>
      <c r="L253" s="8" t="n">
        <v>1</v>
      </c>
      <c r="M253" s="8" t="n">
        <v>0</v>
      </c>
      <c r="N253" s="8"/>
      <c r="O253" s="8" t="n">
        <v>1</v>
      </c>
      <c r="P253" s="10" t="n">
        <v>12.4</v>
      </c>
      <c r="Q253" s="8" t="n">
        <v>700</v>
      </c>
      <c r="R253" s="8" t="n">
        <v>540</v>
      </c>
      <c r="S253" s="8" t="s">
        <v>409</v>
      </c>
      <c r="T253" s="8"/>
      <c r="U253" s="8"/>
      <c r="V253" s="8" t="s">
        <v>155</v>
      </c>
      <c r="W253" s="8"/>
      <c r="X253" s="8" t="s">
        <v>410</v>
      </c>
      <c r="Y253" s="8" t="s">
        <v>2585</v>
      </c>
      <c r="Z253" s="8" t="s">
        <v>2586</v>
      </c>
    </row>
    <row r="254" customFormat="false" ht="15" hidden="false" customHeight="false" outlineLevel="0" collapsed="false">
      <c r="A254" s="8" t="s">
        <v>411</v>
      </c>
      <c r="B254" s="8" t="s">
        <v>19</v>
      </c>
      <c r="C254" s="8" t="s">
        <v>20</v>
      </c>
      <c r="D254" s="8" t="s">
        <v>615</v>
      </c>
      <c r="E254" s="8" t="s">
        <v>37</v>
      </c>
      <c r="F254" s="8" t="s">
        <v>60</v>
      </c>
      <c r="G254" s="8" t="s">
        <v>31</v>
      </c>
      <c r="H254" s="8" t="s">
        <v>31</v>
      </c>
      <c r="I254" s="8" t="n">
        <f aca="false">IF(EXACT(G254,H254),1,0)</f>
        <v>1</v>
      </c>
      <c r="J254" s="8" t="n">
        <v>0</v>
      </c>
      <c r="K254" s="8" t="s">
        <v>2333</v>
      </c>
      <c r="L254" s="8" t="n">
        <v>2</v>
      </c>
      <c r="M254" s="8" t="n">
        <v>0</v>
      </c>
      <c r="N254" s="8"/>
      <c r="O254" s="8" t="n">
        <v>1</v>
      </c>
      <c r="P254" s="10" t="n">
        <v>14.07</v>
      </c>
      <c r="Q254" s="8" t="n">
        <v>833</v>
      </c>
      <c r="R254" s="8" t="n">
        <v>667</v>
      </c>
      <c r="S254" s="8" t="s">
        <v>412</v>
      </c>
      <c r="T254" s="8"/>
      <c r="U254" s="8"/>
      <c r="V254" s="8" t="s">
        <v>155</v>
      </c>
      <c r="W254" s="8"/>
      <c r="X254" s="8" t="s">
        <v>413</v>
      </c>
      <c r="Y254" s="8" t="s">
        <v>2587</v>
      </c>
      <c r="Z254" s="8" t="s">
        <v>2588</v>
      </c>
    </row>
    <row r="255" customFormat="false" ht="15" hidden="false" customHeight="false" outlineLevel="0" collapsed="false">
      <c r="A255" s="8" t="s">
        <v>411</v>
      </c>
      <c r="B255" s="8" t="s">
        <v>19</v>
      </c>
      <c r="C255" s="8" t="s">
        <v>20</v>
      </c>
      <c r="D255" s="8" t="s">
        <v>615</v>
      </c>
      <c r="E255" s="8" t="s">
        <v>37</v>
      </c>
      <c r="F255" s="8" t="s">
        <v>60</v>
      </c>
      <c r="G255" s="8" t="s">
        <v>31</v>
      </c>
      <c r="H255" s="8" t="s">
        <v>31</v>
      </c>
      <c r="I255" s="8" t="n">
        <f aca="false">IF(EXACT(G255,H255),1,0)</f>
        <v>1</v>
      </c>
      <c r="J255" s="8" t="n">
        <v>1</v>
      </c>
      <c r="K255" s="8" t="s">
        <v>2333</v>
      </c>
      <c r="L255" s="8" t="n">
        <v>2</v>
      </c>
      <c r="M255" s="8" t="n">
        <v>0</v>
      </c>
      <c r="N255" s="8"/>
      <c r="O255" s="8" t="n">
        <v>1</v>
      </c>
      <c r="P255" s="10" t="n">
        <v>12.9</v>
      </c>
      <c r="Q255" s="8" t="n">
        <v>833</v>
      </c>
      <c r="R255" s="8" t="n">
        <v>665</v>
      </c>
      <c r="S255" s="8" t="s">
        <v>412</v>
      </c>
      <c r="T255" s="8"/>
      <c r="U255" s="8"/>
      <c r="V255" s="8" t="s">
        <v>155</v>
      </c>
      <c r="W255" s="8"/>
      <c r="X255" s="8" t="s">
        <v>413</v>
      </c>
      <c r="Y255" s="8" t="s">
        <v>2589</v>
      </c>
      <c r="Z255" s="8" t="s">
        <v>2590</v>
      </c>
    </row>
    <row r="256" customFormat="false" ht="15" hidden="false" customHeight="false" outlineLevel="0" collapsed="false">
      <c r="A256" s="8" t="s">
        <v>411</v>
      </c>
      <c r="B256" s="8" t="s">
        <v>19</v>
      </c>
      <c r="C256" s="8" t="s">
        <v>20</v>
      </c>
      <c r="D256" s="8" t="s">
        <v>615</v>
      </c>
      <c r="E256" s="8" t="s">
        <v>37</v>
      </c>
      <c r="F256" s="8" t="s">
        <v>60</v>
      </c>
      <c r="G256" s="8" t="s">
        <v>31</v>
      </c>
      <c r="H256" s="8" t="s">
        <v>31</v>
      </c>
      <c r="I256" s="8" t="n">
        <f aca="false">IF(EXACT(G256,H256),1,0)</f>
        <v>1</v>
      </c>
      <c r="J256" s="8" t="n">
        <v>2</v>
      </c>
      <c r="K256" s="8" t="s">
        <v>2333</v>
      </c>
      <c r="L256" s="8" t="n">
        <v>2</v>
      </c>
      <c r="M256" s="8" t="n">
        <v>0</v>
      </c>
      <c r="N256" s="8"/>
      <c r="O256" s="8" t="n">
        <v>1</v>
      </c>
      <c r="P256" s="10" t="n">
        <v>13.62</v>
      </c>
      <c r="Q256" s="8" t="n">
        <v>833</v>
      </c>
      <c r="R256" s="8" t="n">
        <v>712</v>
      </c>
      <c r="S256" s="8" t="s">
        <v>412</v>
      </c>
      <c r="T256" s="8"/>
      <c r="U256" s="8"/>
      <c r="V256" s="8" t="s">
        <v>155</v>
      </c>
      <c r="W256" s="8"/>
      <c r="X256" s="8" t="s">
        <v>413</v>
      </c>
      <c r="Y256" s="8" t="s">
        <v>2591</v>
      </c>
      <c r="Z256" s="8" t="s">
        <v>2592</v>
      </c>
    </row>
    <row r="257" customFormat="false" ht="15" hidden="false" customHeight="false" outlineLevel="0" collapsed="false">
      <c r="A257" s="8" t="s">
        <v>414</v>
      </c>
      <c r="B257" s="8" t="s">
        <v>19</v>
      </c>
      <c r="C257" s="8" t="s">
        <v>20</v>
      </c>
      <c r="D257" s="8" t="s">
        <v>615</v>
      </c>
      <c r="E257" s="8" t="s">
        <v>37</v>
      </c>
      <c r="F257" s="8" t="s">
        <v>60</v>
      </c>
      <c r="G257" s="8" t="s">
        <v>31</v>
      </c>
      <c r="H257" s="8" t="s">
        <v>31</v>
      </c>
      <c r="I257" s="8" t="n">
        <f aca="false">IF(EXACT(G257,H257),1,0)</f>
        <v>1</v>
      </c>
      <c r="J257" s="8" t="n">
        <v>0</v>
      </c>
      <c r="K257" s="8" t="s">
        <v>737</v>
      </c>
      <c r="L257" s="8" t="n">
        <v>5</v>
      </c>
      <c r="M257" s="8" t="n">
        <v>0</v>
      </c>
      <c r="N257" s="8"/>
      <c r="O257" s="8" t="n">
        <v>1</v>
      </c>
      <c r="P257" s="10" t="n">
        <v>19.76</v>
      </c>
      <c r="Q257" s="8" t="n">
        <v>759</v>
      </c>
      <c r="R257" s="8" t="n">
        <v>1048</v>
      </c>
      <c r="S257" s="8" t="s">
        <v>415</v>
      </c>
      <c r="T257" s="8"/>
      <c r="U257" s="8"/>
      <c r="V257" s="8" t="s">
        <v>155</v>
      </c>
      <c r="W257" s="8"/>
      <c r="X257" s="8" t="s">
        <v>416</v>
      </c>
      <c r="Y257" s="8" t="s">
        <v>2593</v>
      </c>
      <c r="Z257" s="8" t="s">
        <v>2594</v>
      </c>
    </row>
    <row r="258" customFormat="false" ht="15" hidden="false" customHeight="false" outlineLevel="0" collapsed="false">
      <c r="A258" s="8" t="s">
        <v>414</v>
      </c>
      <c r="B258" s="8" t="s">
        <v>19</v>
      </c>
      <c r="C258" s="8" t="s">
        <v>20</v>
      </c>
      <c r="D258" s="8" t="s">
        <v>615</v>
      </c>
      <c r="E258" s="8" t="s">
        <v>37</v>
      </c>
      <c r="F258" s="8" t="s">
        <v>60</v>
      </c>
      <c r="G258" s="8" t="s">
        <v>31</v>
      </c>
      <c r="H258" s="8" t="s">
        <v>31</v>
      </c>
      <c r="I258" s="8" t="n">
        <f aca="false">IF(EXACT(G258,H258),1,0)</f>
        <v>1</v>
      </c>
      <c r="J258" s="8" t="n">
        <v>1</v>
      </c>
      <c r="K258" s="8" t="s">
        <v>737</v>
      </c>
      <c r="L258" s="8" t="n">
        <v>2</v>
      </c>
      <c r="M258" s="8" t="n">
        <v>0</v>
      </c>
      <c r="N258" s="8"/>
      <c r="O258" s="8" t="n">
        <v>1</v>
      </c>
      <c r="P258" s="10" t="n">
        <v>15.05</v>
      </c>
      <c r="Q258" s="8" t="n">
        <v>759</v>
      </c>
      <c r="R258" s="8" t="n">
        <v>803</v>
      </c>
      <c r="S258" s="8" t="s">
        <v>415</v>
      </c>
      <c r="T258" s="8"/>
      <c r="U258" s="8"/>
      <c r="V258" s="8" t="s">
        <v>155</v>
      </c>
      <c r="W258" s="8"/>
      <c r="X258" s="8" t="s">
        <v>416</v>
      </c>
      <c r="Y258" s="8" t="s">
        <v>2595</v>
      </c>
      <c r="Z258" s="8" t="s">
        <v>2596</v>
      </c>
    </row>
    <row r="259" customFormat="false" ht="15" hidden="false" customHeight="false" outlineLevel="0" collapsed="false">
      <c r="A259" s="8" t="s">
        <v>414</v>
      </c>
      <c r="B259" s="8" t="s">
        <v>19</v>
      </c>
      <c r="C259" s="8" t="s">
        <v>20</v>
      </c>
      <c r="D259" s="8" t="s">
        <v>615</v>
      </c>
      <c r="E259" s="8" t="s">
        <v>37</v>
      </c>
      <c r="F259" s="8" t="s">
        <v>60</v>
      </c>
      <c r="G259" s="8" t="s">
        <v>31</v>
      </c>
      <c r="H259" s="8" t="s">
        <v>31</v>
      </c>
      <c r="I259" s="8" t="n">
        <f aca="false">IF(EXACT(G259,H259),1,0)</f>
        <v>1</v>
      </c>
      <c r="J259" s="8" t="n">
        <v>2</v>
      </c>
      <c r="K259" s="8" t="s">
        <v>737</v>
      </c>
      <c r="L259" s="8" t="n">
        <v>3</v>
      </c>
      <c r="M259" s="8" t="n">
        <v>0</v>
      </c>
      <c r="N259" s="8"/>
      <c r="O259" s="8" t="n">
        <v>1</v>
      </c>
      <c r="P259" s="10" t="n">
        <v>17.92</v>
      </c>
      <c r="Q259" s="8" t="n">
        <v>759</v>
      </c>
      <c r="R259" s="8" t="n">
        <v>913</v>
      </c>
      <c r="S259" s="8" t="s">
        <v>415</v>
      </c>
      <c r="T259" s="8"/>
      <c r="U259" s="8"/>
      <c r="V259" s="8" t="s">
        <v>155</v>
      </c>
      <c r="W259" s="8"/>
      <c r="X259" s="8" t="s">
        <v>416</v>
      </c>
      <c r="Y259" s="8" t="s">
        <v>2597</v>
      </c>
      <c r="Z259" s="8" t="s">
        <v>2598</v>
      </c>
    </row>
    <row r="260" customFormat="false" ht="15" hidden="false" customHeight="false" outlineLevel="0" collapsed="false">
      <c r="A260" s="8" t="s">
        <v>417</v>
      </c>
      <c r="B260" s="8" t="s">
        <v>19</v>
      </c>
      <c r="C260" s="8" t="s">
        <v>20</v>
      </c>
      <c r="D260" s="8" t="s">
        <v>615</v>
      </c>
      <c r="E260" s="8" t="s">
        <v>37</v>
      </c>
      <c r="F260" s="8" t="s">
        <v>60</v>
      </c>
      <c r="G260" s="8" t="s">
        <v>32</v>
      </c>
      <c r="H260" s="8" t="s">
        <v>30</v>
      </c>
      <c r="I260" s="8" t="n">
        <f aca="false">IF(EXACT(G260,H260),1,0)</f>
        <v>0</v>
      </c>
      <c r="J260" s="8" t="n">
        <v>0</v>
      </c>
      <c r="K260" s="8" t="s">
        <v>92</v>
      </c>
      <c r="L260" s="8" t="n">
        <v>0</v>
      </c>
      <c r="M260" s="8" t="n">
        <v>0</v>
      </c>
      <c r="N260" s="8"/>
      <c r="O260" s="8" t="n">
        <v>1</v>
      </c>
      <c r="P260" s="10" t="n">
        <v>6.99</v>
      </c>
      <c r="Q260" s="8" t="n">
        <v>723</v>
      </c>
      <c r="R260" s="8" t="n">
        <v>249</v>
      </c>
      <c r="S260" s="8" t="s">
        <v>418</v>
      </c>
      <c r="T260" s="8"/>
      <c r="U260" s="8"/>
      <c r="V260" s="8" t="s">
        <v>155</v>
      </c>
      <c r="W260" s="8"/>
      <c r="X260" s="8" t="s">
        <v>419</v>
      </c>
      <c r="Y260" s="8" t="s">
        <v>2599</v>
      </c>
      <c r="Z260" s="8"/>
    </row>
    <row r="261" customFormat="false" ht="15" hidden="false" customHeight="false" outlineLevel="0" collapsed="false">
      <c r="A261" s="8" t="s">
        <v>417</v>
      </c>
      <c r="B261" s="8" t="s">
        <v>19</v>
      </c>
      <c r="C261" s="8" t="s">
        <v>20</v>
      </c>
      <c r="D261" s="8" t="s">
        <v>615</v>
      </c>
      <c r="E261" s="8" t="s">
        <v>37</v>
      </c>
      <c r="F261" s="8" t="s">
        <v>60</v>
      </c>
      <c r="G261" s="8" t="s">
        <v>32</v>
      </c>
      <c r="H261" s="8" t="s">
        <v>30</v>
      </c>
      <c r="I261" s="8" t="n">
        <f aca="false">IF(EXACT(G261,H261),1,0)</f>
        <v>0</v>
      </c>
      <c r="J261" s="8" t="n">
        <v>1</v>
      </c>
      <c r="K261" s="8" t="s">
        <v>92</v>
      </c>
      <c r="L261" s="8" t="n">
        <v>0</v>
      </c>
      <c r="M261" s="8" t="n">
        <v>0</v>
      </c>
      <c r="N261" s="8"/>
      <c r="O261" s="8" t="n">
        <v>1</v>
      </c>
      <c r="P261" s="10" t="n">
        <v>5.93</v>
      </c>
      <c r="Q261" s="8" t="n">
        <v>723</v>
      </c>
      <c r="R261" s="8" t="n">
        <v>249</v>
      </c>
      <c r="S261" s="8" t="s">
        <v>418</v>
      </c>
      <c r="T261" s="8"/>
      <c r="U261" s="8"/>
      <c r="V261" s="8" t="s">
        <v>155</v>
      </c>
      <c r="W261" s="8"/>
      <c r="X261" s="8" t="s">
        <v>419</v>
      </c>
      <c r="Y261" s="8" t="s">
        <v>2600</v>
      </c>
      <c r="Z261" s="8"/>
    </row>
    <row r="262" customFormat="false" ht="15" hidden="false" customHeight="false" outlineLevel="0" collapsed="false">
      <c r="A262" s="8" t="s">
        <v>417</v>
      </c>
      <c r="B262" s="8" t="s">
        <v>19</v>
      </c>
      <c r="C262" s="8" t="s">
        <v>20</v>
      </c>
      <c r="D262" s="8" t="s">
        <v>615</v>
      </c>
      <c r="E262" s="8" t="s">
        <v>37</v>
      </c>
      <c r="F262" s="8" t="s">
        <v>60</v>
      </c>
      <c r="G262" s="8" t="s">
        <v>32</v>
      </c>
      <c r="H262" s="8" t="s">
        <v>30</v>
      </c>
      <c r="I262" s="8" t="n">
        <f aca="false">IF(EXACT(G262,H262),1,0)</f>
        <v>0</v>
      </c>
      <c r="J262" s="8" t="n">
        <v>2</v>
      </c>
      <c r="K262" s="8" t="s">
        <v>92</v>
      </c>
      <c r="L262" s="8" t="n">
        <v>0</v>
      </c>
      <c r="M262" s="8" t="n">
        <v>0</v>
      </c>
      <c r="N262" s="8"/>
      <c r="O262" s="8" t="n">
        <v>1</v>
      </c>
      <c r="P262" s="10" t="n">
        <v>6.12</v>
      </c>
      <c r="Q262" s="8" t="n">
        <v>723</v>
      </c>
      <c r="R262" s="8" t="n">
        <v>244</v>
      </c>
      <c r="S262" s="8" t="s">
        <v>418</v>
      </c>
      <c r="T262" s="8"/>
      <c r="U262" s="8"/>
      <c r="V262" s="8" t="s">
        <v>155</v>
      </c>
      <c r="W262" s="8"/>
      <c r="X262" s="8" t="s">
        <v>419</v>
      </c>
      <c r="Y262" s="8" t="s">
        <v>2601</v>
      </c>
      <c r="Z262" s="8"/>
    </row>
    <row r="263" customFormat="false" ht="15" hidden="false" customHeight="false" outlineLevel="0" collapsed="false">
      <c r="A263" s="8" t="s">
        <v>421</v>
      </c>
      <c r="B263" s="8" t="s">
        <v>19</v>
      </c>
      <c r="C263" s="8" t="s">
        <v>20</v>
      </c>
      <c r="D263" s="8" t="s">
        <v>615</v>
      </c>
      <c r="E263" s="8" t="s">
        <v>37</v>
      </c>
      <c r="F263" s="8" t="s">
        <v>60</v>
      </c>
      <c r="G263" s="8" t="s">
        <v>32</v>
      </c>
      <c r="H263" s="8" t="s">
        <v>31</v>
      </c>
      <c r="I263" s="8" t="n">
        <f aca="false">IF(EXACT(G263,H263),1,0)</f>
        <v>0</v>
      </c>
      <c r="J263" s="8" t="n">
        <v>0</v>
      </c>
      <c r="K263" s="8" t="s">
        <v>2333</v>
      </c>
      <c r="L263" s="8" t="n">
        <v>2</v>
      </c>
      <c r="M263" s="8" t="n">
        <v>0</v>
      </c>
      <c r="N263" s="8"/>
      <c r="O263" s="8" t="n">
        <v>1</v>
      </c>
      <c r="P263" s="10" t="n">
        <v>12.21</v>
      </c>
      <c r="Q263" s="8" t="n">
        <v>712</v>
      </c>
      <c r="R263" s="8" t="n">
        <v>585</v>
      </c>
      <c r="S263" s="8" t="s">
        <v>422</v>
      </c>
      <c r="T263" s="8"/>
      <c r="U263" s="8"/>
      <c r="V263" s="8" t="s">
        <v>155</v>
      </c>
      <c r="W263" s="8"/>
      <c r="X263" s="8" t="s">
        <v>423</v>
      </c>
      <c r="Y263" s="8" t="s">
        <v>2602</v>
      </c>
      <c r="Z263" s="8" t="s">
        <v>2603</v>
      </c>
    </row>
    <row r="264" customFormat="false" ht="15" hidden="false" customHeight="false" outlineLevel="0" collapsed="false">
      <c r="A264" s="8" t="s">
        <v>421</v>
      </c>
      <c r="B264" s="8" t="s">
        <v>19</v>
      </c>
      <c r="C264" s="8" t="s">
        <v>20</v>
      </c>
      <c r="D264" s="8" t="s">
        <v>615</v>
      </c>
      <c r="E264" s="8" t="s">
        <v>37</v>
      </c>
      <c r="F264" s="8" t="s">
        <v>60</v>
      </c>
      <c r="G264" s="8" t="s">
        <v>32</v>
      </c>
      <c r="H264" s="8" t="s">
        <v>31</v>
      </c>
      <c r="I264" s="8" t="n">
        <f aca="false">IF(EXACT(G264,H264),1,0)</f>
        <v>0</v>
      </c>
      <c r="J264" s="8" t="n">
        <v>1</v>
      </c>
      <c r="K264" s="8" t="s">
        <v>2333</v>
      </c>
      <c r="L264" s="8" t="n">
        <v>2</v>
      </c>
      <c r="M264" s="8" t="n">
        <v>0</v>
      </c>
      <c r="N264" s="8"/>
      <c r="O264" s="8" t="n">
        <v>1</v>
      </c>
      <c r="P264" s="10" t="n">
        <v>12.69</v>
      </c>
      <c r="Q264" s="8" t="n">
        <v>712</v>
      </c>
      <c r="R264" s="8" t="n">
        <v>597</v>
      </c>
      <c r="S264" s="8" t="s">
        <v>422</v>
      </c>
      <c r="T264" s="8"/>
      <c r="U264" s="8"/>
      <c r="V264" s="8" t="s">
        <v>155</v>
      </c>
      <c r="W264" s="8"/>
      <c r="X264" s="8" t="s">
        <v>423</v>
      </c>
      <c r="Y264" s="8" t="s">
        <v>2604</v>
      </c>
      <c r="Z264" s="8" t="s">
        <v>2605</v>
      </c>
    </row>
    <row r="265" customFormat="false" ht="15" hidden="false" customHeight="false" outlineLevel="0" collapsed="false">
      <c r="A265" s="8" t="s">
        <v>421</v>
      </c>
      <c r="B265" s="8" t="s">
        <v>19</v>
      </c>
      <c r="C265" s="8" t="s">
        <v>20</v>
      </c>
      <c r="D265" s="8" t="s">
        <v>615</v>
      </c>
      <c r="E265" s="8" t="s">
        <v>37</v>
      </c>
      <c r="F265" s="8" t="s">
        <v>60</v>
      </c>
      <c r="G265" s="8" t="s">
        <v>32</v>
      </c>
      <c r="H265" s="8" t="s">
        <v>30</v>
      </c>
      <c r="I265" s="8" t="n">
        <f aca="false">IF(EXACT(G265,H265),1,0)</f>
        <v>0</v>
      </c>
      <c r="J265" s="8" t="n">
        <v>2</v>
      </c>
      <c r="K265" s="8" t="s">
        <v>92</v>
      </c>
      <c r="L265" s="8" t="n">
        <v>0</v>
      </c>
      <c r="M265" s="8" t="n">
        <v>0</v>
      </c>
      <c r="N265" s="8"/>
      <c r="O265" s="8" t="n">
        <v>1</v>
      </c>
      <c r="P265" s="10" t="n">
        <v>6.97</v>
      </c>
      <c r="Q265" s="8" t="n">
        <v>712</v>
      </c>
      <c r="R265" s="8" t="n">
        <v>323</v>
      </c>
      <c r="S265" s="8" t="s">
        <v>422</v>
      </c>
      <c r="T265" s="8"/>
      <c r="U265" s="8"/>
      <c r="V265" s="8" t="s">
        <v>155</v>
      </c>
      <c r="W265" s="8"/>
      <c r="X265" s="8" t="s">
        <v>423</v>
      </c>
      <c r="Y265" s="8" t="s">
        <v>2606</v>
      </c>
      <c r="Z265" s="8"/>
    </row>
    <row r="266" customFormat="false" ht="15" hidden="false" customHeight="false" outlineLevel="0" collapsed="false">
      <c r="A266" s="8" t="s">
        <v>424</v>
      </c>
      <c r="B266" s="8" t="s">
        <v>19</v>
      </c>
      <c r="C266" s="8" t="s">
        <v>20</v>
      </c>
      <c r="D266" s="8" t="s">
        <v>615</v>
      </c>
      <c r="E266" s="8" t="s">
        <v>37</v>
      </c>
      <c r="F266" s="8" t="s">
        <v>60</v>
      </c>
      <c r="G266" s="8" t="s">
        <v>30</v>
      </c>
      <c r="H266" s="8" t="s">
        <v>30</v>
      </c>
      <c r="I266" s="8" t="n">
        <f aca="false">IF(EXACT(G266,H266),1,0)</f>
        <v>1</v>
      </c>
      <c r="J266" s="8" t="n">
        <v>0</v>
      </c>
      <c r="K266" s="8" t="s">
        <v>92</v>
      </c>
      <c r="L266" s="8" t="n">
        <v>0</v>
      </c>
      <c r="M266" s="8" t="n">
        <v>0</v>
      </c>
      <c r="N266" s="8"/>
      <c r="O266" s="8" t="n">
        <v>1</v>
      </c>
      <c r="P266" s="10" t="n">
        <v>9.72</v>
      </c>
      <c r="Q266" s="8" t="n">
        <v>804</v>
      </c>
      <c r="R266" s="8" t="n">
        <v>398</v>
      </c>
      <c r="S266" s="8" t="s">
        <v>425</v>
      </c>
      <c r="T266" s="8"/>
      <c r="U266" s="8"/>
      <c r="V266" s="8" t="s">
        <v>155</v>
      </c>
      <c r="W266" s="8"/>
      <c r="X266" s="8" t="s">
        <v>426</v>
      </c>
      <c r="Y266" s="8" t="s">
        <v>2607</v>
      </c>
      <c r="Z266" s="8"/>
    </row>
    <row r="267" customFormat="false" ht="15" hidden="false" customHeight="false" outlineLevel="0" collapsed="false">
      <c r="A267" s="8" t="s">
        <v>424</v>
      </c>
      <c r="B267" s="8" t="s">
        <v>19</v>
      </c>
      <c r="C267" s="8" t="s">
        <v>20</v>
      </c>
      <c r="D267" s="8" t="s">
        <v>615</v>
      </c>
      <c r="E267" s="8" t="s">
        <v>37</v>
      </c>
      <c r="F267" s="8" t="s">
        <v>60</v>
      </c>
      <c r="G267" s="8" t="s">
        <v>30</v>
      </c>
      <c r="H267" s="8" t="s">
        <v>30</v>
      </c>
      <c r="I267" s="8" t="n">
        <f aca="false">IF(EXACT(G267,H267),1,0)</f>
        <v>1</v>
      </c>
      <c r="J267" s="8" t="n">
        <v>1</v>
      </c>
      <c r="K267" s="8" t="s">
        <v>92</v>
      </c>
      <c r="L267" s="8" t="n">
        <v>0</v>
      </c>
      <c r="M267" s="8" t="n">
        <v>0</v>
      </c>
      <c r="N267" s="8"/>
      <c r="O267" s="8" t="n">
        <v>1</v>
      </c>
      <c r="P267" s="10" t="n">
        <v>11.48</v>
      </c>
      <c r="Q267" s="8" t="n">
        <v>804</v>
      </c>
      <c r="R267" s="8" t="n">
        <v>470</v>
      </c>
      <c r="S267" s="8" t="s">
        <v>425</v>
      </c>
      <c r="T267" s="8"/>
      <c r="U267" s="8"/>
      <c r="V267" s="8" t="s">
        <v>155</v>
      </c>
      <c r="W267" s="8"/>
      <c r="X267" s="8" t="s">
        <v>426</v>
      </c>
      <c r="Y267" s="8" t="s">
        <v>2608</v>
      </c>
      <c r="Z267" s="8"/>
    </row>
    <row r="268" customFormat="false" ht="15" hidden="false" customHeight="false" outlineLevel="0" collapsed="false">
      <c r="A268" s="8" t="s">
        <v>424</v>
      </c>
      <c r="B268" s="8" t="s">
        <v>19</v>
      </c>
      <c r="C268" s="8" t="s">
        <v>20</v>
      </c>
      <c r="D268" s="8" t="s">
        <v>615</v>
      </c>
      <c r="E268" s="8" t="s">
        <v>37</v>
      </c>
      <c r="F268" s="8" t="s">
        <v>60</v>
      </c>
      <c r="G268" s="8" t="s">
        <v>30</v>
      </c>
      <c r="H268" s="8" t="s">
        <v>30</v>
      </c>
      <c r="I268" s="8" t="n">
        <f aca="false">IF(EXACT(G268,H268),1,0)</f>
        <v>1</v>
      </c>
      <c r="J268" s="8" t="n">
        <v>2</v>
      </c>
      <c r="K268" s="8" t="s">
        <v>92</v>
      </c>
      <c r="L268" s="8" t="n">
        <v>0</v>
      </c>
      <c r="M268" s="8" t="n">
        <v>0</v>
      </c>
      <c r="N268" s="8"/>
      <c r="O268" s="8" t="n">
        <v>1</v>
      </c>
      <c r="P268" s="10" t="n">
        <v>8.9</v>
      </c>
      <c r="Q268" s="8" t="n">
        <v>804</v>
      </c>
      <c r="R268" s="8" t="n">
        <v>411</v>
      </c>
      <c r="S268" s="8" t="s">
        <v>425</v>
      </c>
      <c r="T268" s="8"/>
      <c r="U268" s="8"/>
      <c r="V268" s="8" t="s">
        <v>155</v>
      </c>
      <c r="W268" s="8"/>
      <c r="X268" s="8" t="s">
        <v>426</v>
      </c>
      <c r="Y268" s="8" t="s">
        <v>2609</v>
      </c>
      <c r="Z268" s="8"/>
    </row>
    <row r="269" customFormat="false" ht="15" hidden="false" customHeight="false" outlineLevel="0" collapsed="false">
      <c r="A269" s="8" t="s">
        <v>427</v>
      </c>
      <c r="B269" s="8" t="s">
        <v>19</v>
      </c>
      <c r="C269" s="8" t="s">
        <v>20</v>
      </c>
      <c r="D269" s="8" t="s">
        <v>615</v>
      </c>
      <c r="E269" s="8" t="s">
        <v>37</v>
      </c>
      <c r="F269" s="8" t="s">
        <v>60</v>
      </c>
      <c r="G269" s="8" t="s">
        <v>30</v>
      </c>
      <c r="H269" s="8" t="s">
        <v>30</v>
      </c>
      <c r="I269" s="8" t="n">
        <f aca="false">IF(EXACT(G269,H269),1,0)</f>
        <v>1</v>
      </c>
      <c r="J269" s="8" t="n">
        <v>0</v>
      </c>
      <c r="K269" s="8" t="s">
        <v>92</v>
      </c>
      <c r="L269" s="8" t="n">
        <v>0</v>
      </c>
      <c r="M269" s="8" t="n">
        <v>0</v>
      </c>
      <c r="N269" s="8"/>
      <c r="O269" s="8" t="n">
        <v>1</v>
      </c>
      <c r="P269" s="10" t="n">
        <v>7.94</v>
      </c>
      <c r="Q269" s="8" t="n">
        <v>763</v>
      </c>
      <c r="R269" s="8" t="n">
        <v>352</v>
      </c>
      <c r="S269" s="8" t="s">
        <v>428</v>
      </c>
      <c r="T269" s="8"/>
      <c r="U269" s="8"/>
      <c r="V269" s="8" t="s">
        <v>155</v>
      </c>
      <c r="W269" s="8"/>
      <c r="X269" s="8" t="s">
        <v>429</v>
      </c>
      <c r="Y269" s="8" t="s">
        <v>2610</v>
      </c>
      <c r="Z269" s="8"/>
    </row>
    <row r="270" customFormat="false" ht="15" hidden="false" customHeight="false" outlineLevel="0" collapsed="false">
      <c r="A270" s="8" t="s">
        <v>427</v>
      </c>
      <c r="B270" s="8" t="s">
        <v>19</v>
      </c>
      <c r="C270" s="8" t="s">
        <v>20</v>
      </c>
      <c r="D270" s="8" t="s">
        <v>615</v>
      </c>
      <c r="E270" s="8" t="s">
        <v>37</v>
      </c>
      <c r="F270" s="8" t="s">
        <v>60</v>
      </c>
      <c r="G270" s="8" t="s">
        <v>30</v>
      </c>
      <c r="H270" s="8" t="s">
        <v>30</v>
      </c>
      <c r="I270" s="8" t="n">
        <f aca="false">IF(EXACT(G270,H270),1,0)</f>
        <v>1</v>
      </c>
      <c r="J270" s="8" t="n">
        <v>1</v>
      </c>
      <c r="K270" s="8" t="s">
        <v>92</v>
      </c>
      <c r="L270" s="8" t="n">
        <v>0</v>
      </c>
      <c r="M270" s="8" t="n">
        <v>0</v>
      </c>
      <c r="N270" s="8"/>
      <c r="O270" s="8" t="n">
        <v>1</v>
      </c>
      <c r="P270" s="10" t="n">
        <v>8.48</v>
      </c>
      <c r="Q270" s="8" t="n">
        <v>763</v>
      </c>
      <c r="R270" s="8" t="n">
        <v>325</v>
      </c>
      <c r="S270" s="8" t="s">
        <v>428</v>
      </c>
      <c r="T270" s="8"/>
      <c r="U270" s="8"/>
      <c r="V270" s="8" t="s">
        <v>155</v>
      </c>
      <c r="W270" s="8"/>
      <c r="X270" s="8" t="s">
        <v>429</v>
      </c>
      <c r="Y270" s="8" t="s">
        <v>2611</v>
      </c>
      <c r="Z270" s="8"/>
    </row>
    <row r="271" customFormat="false" ht="15" hidden="false" customHeight="false" outlineLevel="0" collapsed="false">
      <c r="A271" s="8" t="s">
        <v>427</v>
      </c>
      <c r="B271" s="8" t="s">
        <v>19</v>
      </c>
      <c r="C271" s="8" t="s">
        <v>20</v>
      </c>
      <c r="D271" s="8" t="s">
        <v>615</v>
      </c>
      <c r="E271" s="8" t="s">
        <v>37</v>
      </c>
      <c r="F271" s="8" t="s">
        <v>60</v>
      </c>
      <c r="G271" s="8" t="s">
        <v>30</v>
      </c>
      <c r="H271" s="8" t="s">
        <v>30</v>
      </c>
      <c r="I271" s="8" t="n">
        <f aca="false">IF(EXACT(G271,H271),1,0)</f>
        <v>1</v>
      </c>
      <c r="J271" s="8" t="n">
        <v>2</v>
      </c>
      <c r="K271" s="8" t="s">
        <v>92</v>
      </c>
      <c r="L271" s="8" t="n">
        <v>0</v>
      </c>
      <c r="M271" s="8" t="n">
        <v>0</v>
      </c>
      <c r="N271" s="8"/>
      <c r="O271" s="8" t="n">
        <v>1</v>
      </c>
      <c r="P271" s="10" t="n">
        <v>7.24</v>
      </c>
      <c r="Q271" s="8" t="n">
        <v>763</v>
      </c>
      <c r="R271" s="8" t="n">
        <v>343</v>
      </c>
      <c r="S271" s="8" t="s">
        <v>428</v>
      </c>
      <c r="T271" s="8"/>
      <c r="U271" s="8"/>
      <c r="V271" s="8" t="s">
        <v>155</v>
      </c>
      <c r="W271" s="8"/>
      <c r="X271" s="8" t="s">
        <v>429</v>
      </c>
      <c r="Y271" s="8" t="s">
        <v>2612</v>
      </c>
      <c r="Z271" s="8"/>
    </row>
    <row r="272" customFormat="false" ht="15" hidden="false" customHeight="false" outlineLevel="0" collapsed="false">
      <c r="A272" s="8" t="s">
        <v>430</v>
      </c>
      <c r="B272" s="8" t="s">
        <v>19</v>
      </c>
      <c r="C272" s="8" t="s">
        <v>20</v>
      </c>
      <c r="D272" s="8" t="s">
        <v>615</v>
      </c>
      <c r="E272" s="8" t="s">
        <v>38</v>
      </c>
      <c r="F272" s="8" t="s">
        <v>44</v>
      </c>
      <c r="G272" s="8" t="s">
        <v>31</v>
      </c>
      <c r="H272" s="8" t="s">
        <v>31</v>
      </c>
      <c r="I272" s="8" t="n">
        <f aca="false">IF(EXACT(G272,H272),1,0)</f>
        <v>1</v>
      </c>
      <c r="J272" s="8" t="n">
        <v>0</v>
      </c>
      <c r="K272" s="8" t="s">
        <v>116</v>
      </c>
      <c r="L272" s="8" t="n">
        <v>2</v>
      </c>
      <c r="M272" s="8" t="n">
        <v>0</v>
      </c>
      <c r="N272" s="8"/>
      <c r="O272" s="8" t="n">
        <v>1</v>
      </c>
      <c r="P272" s="10" t="n">
        <v>8.38</v>
      </c>
      <c r="Q272" s="8" t="n">
        <v>622</v>
      </c>
      <c r="R272" s="8" t="n">
        <v>458</v>
      </c>
      <c r="S272" s="8" t="s">
        <v>117</v>
      </c>
      <c r="T272" s="8" t="s">
        <v>431</v>
      </c>
      <c r="U272" s="8" t="s">
        <v>432</v>
      </c>
      <c r="V272" s="8"/>
      <c r="W272" s="8" t="s">
        <v>433</v>
      </c>
      <c r="X272" s="8" t="s">
        <v>434</v>
      </c>
      <c r="Y272" s="8" t="s">
        <v>2613</v>
      </c>
      <c r="Z272" s="8" t="s">
        <v>2614</v>
      </c>
    </row>
    <row r="273" customFormat="false" ht="15" hidden="false" customHeight="false" outlineLevel="0" collapsed="false">
      <c r="A273" s="8" t="s">
        <v>430</v>
      </c>
      <c r="B273" s="8" t="s">
        <v>19</v>
      </c>
      <c r="C273" s="8" t="s">
        <v>20</v>
      </c>
      <c r="D273" s="8" t="s">
        <v>615</v>
      </c>
      <c r="E273" s="8" t="s">
        <v>38</v>
      </c>
      <c r="F273" s="8" t="s">
        <v>44</v>
      </c>
      <c r="G273" s="8" t="s">
        <v>31</v>
      </c>
      <c r="H273" s="8" t="s">
        <v>31</v>
      </c>
      <c r="I273" s="8" t="n">
        <f aca="false">IF(EXACT(G273,H273),1,0)</f>
        <v>1</v>
      </c>
      <c r="J273" s="8" t="n">
        <v>1</v>
      </c>
      <c r="K273" s="8" t="s">
        <v>116</v>
      </c>
      <c r="L273" s="8" t="n">
        <v>2</v>
      </c>
      <c r="M273" s="8" t="n">
        <v>0</v>
      </c>
      <c r="N273" s="8"/>
      <c r="O273" s="8" t="n">
        <v>1</v>
      </c>
      <c r="P273" s="10" t="n">
        <v>10.6</v>
      </c>
      <c r="Q273" s="8" t="n">
        <v>622</v>
      </c>
      <c r="R273" s="8" t="n">
        <v>524</v>
      </c>
      <c r="S273" s="8" t="s">
        <v>117</v>
      </c>
      <c r="T273" s="8" t="s">
        <v>431</v>
      </c>
      <c r="U273" s="8" t="s">
        <v>432</v>
      </c>
      <c r="V273" s="8"/>
      <c r="W273" s="8" t="s">
        <v>433</v>
      </c>
      <c r="X273" s="8" t="s">
        <v>434</v>
      </c>
      <c r="Y273" s="8" t="s">
        <v>2615</v>
      </c>
      <c r="Z273" s="8" t="s">
        <v>2616</v>
      </c>
    </row>
    <row r="274" customFormat="false" ht="15" hidden="false" customHeight="false" outlineLevel="0" collapsed="false">
      <c r="A274" s="8" t="s">
        <v>430</v>
      </c>
      <c r="B274" s="8" t="s">
        <v>19</v>
      </c>
      <c r="C274" s="8" t="s">
        <v>20</v>
      </c>
      <c r="D274" s="8" t="s">
        <v>615</v>
      </c>
      <c r="E274" s="8" t="s">
        <v>38</v>
      </c>
      <c r="F274" s="8" t="s">
        <v>44</v>
      </c>
      <c r="G274" s="8" t="s">
        <v>31</v>
      </c>
      <c r="H274" s="8" t="s">
        <v>31</v>
      </c>
      <c r="I274" s="8" t="n">
        <f aca="false">IF(EXACT(G274,H274),1,0)</f>
        <v>1</v>
      </c>
      <c r="J274" s="8" t="n">
        <v>2</v>
      </c>
      <c r="K274" s="8" t="s">
        <v>116</v>
      </c>
      <c r="L274" s="8" t="n">
        <v>2</v>
      </c>
      <c r="M274" s="8" t="n">
        <v>0</v>
      </c>
      <c r="N274" s="8"/>
      <c r="O274" s="8" t="n">
        <v>1</v>
      </c>
      <c r="P274" s="10" t="n">
        <v>11.62</v>
      </c>
      <c r="Q274" s="8" t="n">
        <v>622</v>
      </c>
      <c r="R274" s="8" t="n">
        <v>554</v>
      </c>
      <c r="S274" s="8" t="s">
        <v>117</v>
      </c>
      <c r="T274" s="8" t="s">
        <v>431</v>
      </c>
      <c r="U274" s="8" t="s">
        <v>432</v>
      </c>
      <c r="V274" s="8"/>
      <c r="W274" s="8" t="s">
        <v>433</v>
      </c>
      <c r="X274" s="8" t="s">
        <v>434</v>
      </c>
      <c r="Y274" s="8" t="s">
        <v>2617</v>
      </c>
      <c r="Z274" s="8" t="s">
        <v>2618</v>
      </c>
    </row>
    <row r="275" customFormat="false" ht="15" hidden="false" customHeight="false" outlineLevel="0" collapsed="false">
      <c r="A275" s="8" t="s">
        <v>436</v>
      </c>
      <c r="B275" s="8" t="s">
        <v>19</v>
      </c>
      <c r="C275" s="8" t="s">
        <v>20</v>
      </c>
      <c r="D275" s="8" t="s">
        <v>615</v>
      </c>
      <c r="E275" s="8" t="s">
        <v>38</v>
      </c>
      <c r="F275" s="8" t="s">
        <v>44</v>
      </c>
      <c r="G275" s="8" t="s">
        <v>32</v>
      </c>
      <c r="H275" s="8" t="s">
        <v>30</v>
      </c>
      <c r="I275" s="8" t="n">
        <f aca="false">IF(EXACT(G275,H275),1,0)</f>
        <v>0</v>
      </c>
      <c r="J275" s="8" t="n">
        <v>0</v>
      </c>
      <c r="K275" s="8" t="s">
        <v>92</v>
      </c>
      <c r="L275" s="8" t="n">
        <v>0</v>
      </c>
      <c r="M275" s="8" t="n">
        <v>0</v>
      </c>
      <c r="N275" s="8"/>
      <c r="O275" s="8" t="n">
        <v>1</v>
      </c>
      <c r="P275" s="10" t="n">
        <v>9.9</v>
      </c>
      <c r="Q275" s="8" t="n">
        <v>622</v>
      </c>
      <c r="R275" s="8" t="n">
        <v>232</v>
      </c>
      <c r="S275" s="8" t="s">
        <v>132</v>
      </c>
      <c r="T275" s="8" t="s">
        <v>437</v>
      </c>
      <c r="U275" s="8" t="s">
        <v>438</v>
      </c>
      <c r="V275" s="8"/>
      <c r="W275" s="8" t="s">
        <v>439</v>
      </c>
      <c r="X275" s="8" t="s">
        <v>440</v>
      </c>
      <c r="Y275" s="8" t="s">
        <v>2619</v>
      </c>
      <c r="Z275" s="8"/>
    </row>
    <row r="276" customFormat="false" ht="15" hidden="false" customHeight="false" outlineLevel="0" collapsed="false">
      <c r="A276" s="8" t="s">
        <v>436</v>
      </c>
      <c r="B276" s="8" t="s">
        <v>19</v>
      </c>
      <c r="C276" s="8" t="s">
        <v>20</v>
      </c>
      <c r="D276" s="8" t="s">
        <v>615</v>
      </c>
      <c r="E276" s="8" t="s">
        <v>38</v>
      </c>
      <c r="F276" s="8" t="s">
        <v>44</v>
      </c>
      <c r="G276" s="8" t="s">
        <v>32</v>
      </c>
      <c r="H276" s="8" t="s">
        <v>30</v>
      </c>
      <c r="I276" s="8" t="n">
        <f aca="false">IF(EXACT(G276,H276),1,0)</f>
        <v>0</v>
      </c>
      <c r="J276" s="8" t="n">
        <v>1</v>
      </c>
      <c r="K276" s="8" t="s">
        <v>92</v>
      </c>
      <c r="L276" s="8" t="n">
        <v>0</v>
      </c>
      <c r="M276" s="8" t="n">
        <v>0</v>
      </c>
      <c r="N276" s="8"/>
      <c r="O276" s="8" t="n">
        <v>1</v>
      </c>
      <c r="P276" s="10" t="n">
        <v>8.89</v>
      </c>
      <c r="Q276" s="8" t="n">
        <v>622</v>
      </c>
      <c r="R276" s="8" t="n">
        <v>210</v>
      </c>
      <c r="S276" s="8" t="s">
        <v>132</v>
      </c>
      <c r="T276" s="8" t="s">
        <v>437</v>
      </c>
      <c r="U276" s="8" t="s">
        <v>438</v>
      </c>
      <c r="V276" s="8"/>
      <c r="W276" s="8" t="s">
        <v>439</v>
      </c>
      <c r="X276" s="8" t="s">
        <v>440</v>
      </c>
      <c r="Y276" s="8" t="s">
        <v>2620</v>
      </c>
      <c r="Z276" s="8"/>
    </row>
    <row r="277" customFormat="false" ht="15" hidden="false" customHeight="false" outlineLevel="0" collapsed="false">
      <c r="A277" s="8" t="s">
        <v>436</v>
      </c>
      <c r="B277" s="8" t="s">
        <v>19</v>
      </c>
      <c r="C277" s="8" t="s">
        <v>20</v>
      </c>
      <c r="D277" s="8" t="s">
        <v>615</v>
      </c>
      <c r="E277" s="8" t="s">
        <v>38</v>
      </c>
      <c r="F277" s="8" t="s">
        <v>44</v>
      </c>
      <c r="G277" s="8" t="s">
        <v>32</v>
      </c>
      <c r="H277" s="8" t="s">
        <v>30</v>
      </c>
      <c r="I277" s="8" t="n">
        <f aca="false">IF(EXACT(G277,H277),1,0)</f>
        <v>0</v>
      </c>
      <c r="J277" s="8" t="n">
        <v>2</v>
      </c>
      <c r="K277" s="8" t="s">
        <v>92</v>
      </c>
      <c r="L277" s="8" t="n">
        <v>0</v>
      </c>
      <c r="M277" s="8" t="n">
        <v>0</v>
      </c>
      <c r="N277" s="8"/>
      <c r="O277" s="8" t="n">
        <v>1</v>
      </c>
      <c r="P277" s="10" t="n">
        <v>7.08</v>
      </c>
      <c r="Q277" s="8" t="n">
        <v>622</v>
      </c>
      <c r="R277" s="8" t="n">
        <v>215</v>
      </c>
      <c r="S277" s="8" t="s">
        <v>132</v>
      </c>
      <c r="T277" s="8" t="s">
        <v>437</v>
      </c>
      <c r="U277" s="8" t="s">
        <v>438</v>
      </c>
      <c r="V277" s="8"/>
      <c r="W277" s="8" t="s">
        <v>439</v>
      </c>
      <c r="X277" s="8" t="s">
        <v>440</v>
      </c>
      <c r="Y277" s="8" t="s">
        <v>2621</v>
      </c>
      <c r="Z277" s="8"/>
    </row>
    <row r="278" customFormat="false" ht="15" hidden="false" customHeight="false" outlineLevel="0" collapsed="false">
      <c r="A278" s="8" t="s">
        <v>441</v>
      </c>
      <c r="B278" s="8" t="s">
        <v>19</v>
      </c>
      <c r="C278" s="8" t="s">
        <v>20</v>
      </c>
      <c r="D278" s="8" t="s">
        <v>615</v>
      </c>
      <c r="E278" s="8" t="s">
        <v>38</v>
      </c>
      <c r="F278" s="8" t="s">
        <v>44</v>
      </c>
      <c r="G278" s="8" t="s">
        <v>31</v>
      </c>
      <c r="H278" s="8" t="s">
        <v>31</v>
      </c>
      <c r="I278" s="8" t="n">
        <f aca="false">IF(EXACT(G278,H278),1,0)</f>
        <v>1</v>
      </c>
      <c r="J278" s="8" t="n">
        <v>0</v>
      </c>
      <c r="K278" s="8" t="s">
        <v>116</v>
      </c>
      <c r="L278" s="8" t="n">
        <v>2</v>
      </c>
      <c r="M278" s="8" t="n">
        <v>0</v>
      </c>
      <c r="N278" s="8"/>
      <c r="O278" s="8" t="n">
        <v>1</v>
      </c>
      <c r="P278" s="10" t="n">
        <v>9.21</v>
      </c>
      <c r="Q278" s="8" t="n">
        <v>628</v>
      </c>
      <c r="R278" s="8" t="n">
        <v>510</v>
      </c>
      <c r="S278" s="8" t="s">
        <v>347</v>
      </c>
      <c r="T278" s="8" t="s">
        <v>431</v>
      </c>
      <c r="U278" s="8" t="s">
        <v>432</v>
      </c>
      <c r="V278" s="8"/>
      <c r="W278" s="8" t="s">
        <v>442</v>
      </c>
      <c r="X278" s="8" t="s">
        <v>443</v>
      </c>
      <c r="Y278" s="8" t="s">
        <v>2622</v>
      </c>
      <c r="Z278" s="8" t="s">
        <v>2623</v>
      </c>
    </row>
    <row r="279" customFormat="false" ht="15" hidden="false" customHeight="false" outlineLevel="0" collapsed="false">
      <c r="A279" s="8" t="s">
        <v>441</v>
      </c>
      <c r="B279" s="8" t="s">
        <v>19</v>
      </c>
      <c r="C279" s="8" t="s">
        <v>20</v>
      </c>
      <c r="D279" s="8" t="s">
        <v>615</v>
      </c>
      <c r="E279" s="8" t="s">
        <v>38</v>
      </c>
      <c r="F279" s="8" t="s">
        <v>44</v>
      </c>
      <c r="G279" s="8" t="s">
        <v>31</v>
      </c>
      <c r="H279" s="8" t="s">
        <v>31</v>
      </c>
      <c r="I279" s="8" t="n">
        <f aca="false">IF(EXACT(G279,H279),1,0)</f>
        <v>1</v>
      </c>
      <c r="J279" s="8" t="n">
        <v>1</v>
      </c>
      <c r="K279" s="8" t="s">
        <v>116</v>
      </c>
      <c r="L279" s="8" t="n">
        <v>2</v>
      </c>
      <c r="M279" s="8" t="n">
        <v>0</v>
      </c>
      <c r="N279" s="8"/>
      <c r="O279" s="8" t="n">
        <v>1</v>
      </c>
      <c r="P279" s="10" t="n">
        <v>9.79</v>
      </c>
      <c r="Q279" s="8" t="n">
        <v>628</v>
      </c>
      <c r="R279" s="8" t="n">
        <v>537</v>
      </c>
      <c r="S279" s="8" t="s">
        <v>347</v>
      </c>
      <c r="T279" s="8" t="s">
        <v>431</v>
      </c>
      <c r="U279" s="8" t="s">
        <v>432</v>
      </c>
      <c r="V279" s="8"/>
      <c r="W279" s="8" t="s">
        <v>442</v>
      </c>
      <c r="X279" s="8" t="s">
        <v>443</v>
      </c>
      <c r="Y279" s="8" t="s">
        <v>2624</v>
      </c>
      <c r="Z279" s="8" t="s">
        <v>2625</v>
      </c>
    </row>
    <row r="280" customFormat="false" ht="15" hidden="false" customHeight="false" outlineLevel="0" collapsed="false">
      <c r="A280" s="8" t="s">
        <v>441</v>
      </c>
      <c r="B280" s="8" t="s">
        <v>19</v>
      </c>
      <c r="C280" s="8" t="s">
        <v>20</v>
      </c>
      <c r="D280" s="8" t="s">
        <v>615</v>
      </c>
      <c r="E280" s="8" t="s">
        <v>38</v>
      </c>
      <c r="F280" s="8" t="s">
        <v>44</v>
      </c>
      <c r="G280" s="8" t="s">
        <v>31</v>
      </c>
      <c r="H280" s="8" t="s">
        <v>31</v>
      </c>
      <c r="I280" s="8" t="n">
        <f aca="false">IF(EXACT(G280,H280),1,0)</f>
        <v>1</v>
      </c>
      <c r="J280" s="8" t="n">
        <v>2</v>
      </c>
      <c r="K280" s="8" t="s">
        <v>116</v>
      </c>
      <c r="L280" s="8" t="n">
        <v>2</v>
      </c>
      <c r="M280" s="8" t="n">
        <v>0</v>
      </c>
      <c r="N280" s="8"/>
      <c r="O280" s="8" t="n">
        <v>1</v>
      </c>
      <c r="P280" s="10" t="n">
        <v>9.05</v>
      </c>
      <c r="Q280" s="8" t="n">
        <v>628</v>
      </c>
      <c r="R280" s="8" t="n">
        <v>486</v>
      </c>
      <c r="S280" s="8" t="s">
        <v>347</v>
      </c>
      <c r="T280" s="8" t="s">
        <v>431</v>
      </c>
      <c r="U280" s="8" t="s">
        <v>432</v>
      </c>
      <c r="V280" s="8"/>
      <c r="W280" s="8" t="s">
        <v>442</v>
      </c>
      <c r="X280" s="8" t="s">
        <v>443</v>
      </c>
      <c r="Y280" s="8" t="s">
        <v>2626</v>
      </c>
      <c r="Z280" s="8" t="s">
        <v>2627</v>
      </c>
    </row>
    <row r="281" customFormat="false" ht="15" hidden="false" customHeight="false" outlineLevel="0" collapsed="false">
      <c r="A281" s="8" t="s">
        <v>444</v>
      </c>
      <c r="B281" s="8" t="s">
        <v>19</v>
      </c>
      <c r="C281" s="8" t="s">
        <v>20</v>
      </c>
      <c r="D281" s="8" t="s">
        <v>615</v>
      </c>
      <c r="E281" s="8" t="s">
        <v>38</v>
      </c>
      <c r="F281" s="8" t="s">
        <v>44</v>
      </c>
      <c r="G281" s="8" t="s">
        <v>30</v>
      </c>
      <c r="H281" s="8" t="s">
        <v>30</v>
      </c>
      <c r="I281" s="8" t="n">
        <f aca="false">IF(EXACT(G281,H281),1,0)</f>
        <v>1</v>
      </c>
      <c r="J281" s="8" t="n">
        <v>0</v>
      </c>
      <c r="K281" s="8" t="s">
        <v>92</v>
      </c>
      <c r="L281" s="8" t="n">
        <v>0</v>
      </c>
      <c r="M281" s="8" t="n">
        <v>0</v>
      </c>
      <c r="N281" s="8"/>
      <c r="O281" s="8" t="n">
        <v>1</v>
      </c>
      <c r="P281" s="10" t="n">
        <v>5.64</v>
      </c>
      <c r="Q281" s="8" t="n">
        <v>617</v>
      </c>
      <c r="R281" s="8" t="n">
        <v>208</v>
      </c>
      <c r="S281" s="8" t="s">
        <v>366</v>
      </c>
      <c r="T281" s="8" t="s">
        <v>445</v>
      </c>
      <c r="U281" s="8" t="s">
        <v>446</v>
      </c>
      <c r="V281" s="8"/>
      <c r="W281" s="8" t="s">
        <v>447</v>
      </c>
      <c r="X281" s="8" t="s">
        <v>448</v>
      </c>
      <c r="Y281" s="8" t="s">
        <v>2628</v>
      </c>
      <c r="Z281" s="8"/>
    </row>
    <row r="282" customFormat="false" ht="15" hidden="false" customHeight="false" outlineLevel="0" collapsed="false">
      <c r="A282" s="8" t="s">
        <v>444</v>
      </c>
      <c r="B282" s="8" t="s">
        <v>19</v>
      </c>
      <c r="C282" s="8" t="s">
        <v>20</v>
      </c>
      <c r="D282" s="8" t="s">
        <v>615</v>
      </c>
      <c r="E282" s="8" t="s">
        <v>38</v>
      </c>
      <c r="F282" s="8" t="s">
        <v>44</v>
      </c>
      <c r="G282" s="8" t="s">
        <v>30</v>
      </c>
      <c r="H282" s="8" t="s">
        <v>30</v>
      </c>
      <c r="I282" s="8" t="n">
        <f aca="false">IF(EXACT(G282,H282),1,0)</f>
        <v>1</v>
      </c>
      <c r="J282" s="8" t="n">
        <v>1</v>
      </c>
      <c r="K282" s="8" t="s">
        <v>92</v>
      </c>
      <c r="L282" s="8" t="n">
        <v>0</v>
      </c>
      <c r="M282" s="8" t="n">
        <v>0</v>
      </c>
      <c r="N282" s="8"/>
      <c r="O282" s="8" t="n">
        <v>1</v>
      </c>
      <c r="P282" s="10" t="n">
        <v>4.59</v>
      </c>
      <c r="Q282" s="8" t="n">
        <v>617</v>
      </c>
      <c r="R282" s="8" t="n">
        <v>183</v>
      </c>
      <c r="S282" s="8" t="s">
        <v>366</v>
      </c>
      <c r="T282" s="8" t="s">
        <v>445</v>
      </c>
      <c r="U282" s="8" t="s">
        <v>446</v>
      </c>
      <c r="V282" s="8"/>
      <c r="W282" s="8" t="s">
        <v>447</v>
      </c>
      <c r="X282" s="8" t="s">
        <v>448</v>
      </c>
      <c r="Y282" s="8" t="s">
        <v>2629</v>
      </c>
      <c r="Z282" s="8"/>
    </row>
    <row r="283" customFormat="false" ht="15" hidden="false" customHeight="false" outlineLevel="0" collapsed="false">
      <c r="A283" s="8" t="s">
        <v>444</v>
      </c>
      <c r="B283" s="8" t="s">
        <v>19</v>
      </c>
      <c r="C283" s="8" t="s">
        <v>20</v>
      </c>
      <c r="D283" s="8" t="s">
        <v>615</v>
      </c>
      <c r="E283" s="8" t="s">
        <v>38</v>
      </c>
      <c r="F283" s="8" t="s">
        <v>44</v>
      </c>
      <c r="G283" s="8" t="s">
        <v>30</v>
      </c>
      <c r="H283" s="8" t="s">
        <v>30</v>
      </c>
      <c r="I283" s="8" t="n">
        <f aca="false">IF(EXACT(G283,H283),1,0)</f>
        <v>1</v>
      </c>
      <c r="J283" s="8" t="n">
        <v>2</v>
      </c>
      <c r="K283" s="8" t="s">
        <v>92</v>
      </c>
      <c r="L283" s="8" t="n">
        <v>0</v>
      </c>
      <c r="M283" s="8" t="n">
        <v>0</v>
      </c>
      <c r="N283" s="8"/>
      <c r="O283" s="8" t="n">
        <v>1</v>
      </c>
      <c r="P283" s="10" t="n">
        <v>5.94</v>
      </c>
      <c r="Q283" s="8" t="n">
        <v>617</v>
      </c>
      <c r="R283" s="8" t="n">
        <v>254</v>
      </c>
      <c r="S283" s="8" t="s">
        <v>366</v>
      </c>
      <c r="T283" s="8" t="s">
        <v>445</v>
      </c>
      <c r="U283" s="8" t="s">
        <v>446</v>
      </c>
      <c r="V283" s="8"/>
      <c r="W283" s="8" t="s">
        <v>447</v>
      </c>
      <c r="X283" s="8" t="s">
        <v>448</v>
      </c>
      <c r="Y283" s="8" t="s">
        <v>2630</v>
      </c>
      <c r="Z283" s="8"/>
    </row>
    <row r="284" customFormat="false" ht="15" hidden="false" customHeight="false" outlineLevel="0" collapsed="false">
      <c r="A284" s="8" t="s">
        <v>449</v>
      </c>
      <c r="B284" s="8" t="s">
        <v>19</v>
      </c>
      <c r="C284" s="8" t="s">
        <v>20</v>
      </c>
      <c r="D284" s="8" t="s">
        <v>615</v>
      </c>
      <c r="E284" s="8" t="s">
        <v>38</v>
      </c>
      <c r="F284" s="8" t="s">
        <v>44</v>
      </c>
      <c r="G284" s="8" t="s">
        <v>30</v>
      </c>
      <c r="H284" s="8" t="s">
        <v>30</v>
      </c>
      <c r="I284" s="8" t="n">
        <f aca="false">IF(EXACT(G284,H284),1,0)</f>
        <v>1</v>
      </c>
      <c r="J284" s="8" t="n">
        <v>0</v>
      </c>
      <c r="K284" s="8" t="s">
        <v>92</v>
      </c>
      <c r="L284" s="8" t="n">
        <v>0</v>
      </c>
      <c r="M284" s="8" t="n">
        <v>0</v>
      </c>
      <c r="N284" s="8"/>
      <c r="O284" s="8" t="n">
        <v>1</v>
      </c>
      <c r="P284" s="10" t="n">
        <v>7.5</v>
      </c>
      <c r="Q284" s="8" t="n">
        <v>639</v>
      </c>
      <c r="R284" s="8" t="n">
        <v>288</v>
      </c>
      <c r="S284" s="8" t="s">
        <v>150</v>
      </c>
      <c r="T284" s="8" t="s">
        <v>450</v>
      </c>
      <c r="U284" s="8" t="s">
        <v>451</v>
      </c>
      <c r="V284" s="8"/>
      <c r="W284" s="8" t="s">
        <v>452</v>
      </c>
      <c r="X284" s="8" t="s">
        <v>453</v>
      </c>
      <c r="Y284" s="8" t="s">
        <v>2631</v>
      </c>
      <c r="Z284" s="8"/>
    </row>
    <row r="285" customFormat="false" ht="15" hidden="false" customHeight="false" outlineLevel="0" collapsed="false">
      <c r="A285" s="8" t="s">
        <v>449</v>
      </c>
      <c r="B285" s="8" t="s">
        <v>19</v>
      </c>
      <c r="C285" s="8" t="s">
        <v>20</v>
      </c>
      <c r="D285" s="8" t="s">
        <v>615</v>
      </c>
      <c r="E285" s="8" t="s">
        <v>38</v>
      </c>
      <c r="F285" s="8" t="s">
        <v>44</v>
      </c>
      <c r="G285" s="8" t="s">
        <v>30</v>
      </c>
      <c r="H285" s="8" t="s">
        <v>30</v>
      </c>
      <c r="I285" s="8" t="n">
        <f aca="false">IF(EXACT(G285,H285),1,0)</f>
        <v>1</v>
      </c>
      <c r="J285" s="8" t="n">
        <v>1</v>
      </c>
      <c r="K285" s="8" t="s">
        <v>92</v>
      </c>
      <c r="L285" s="8" t="n">
        <v>0</v>
      </c>
      <c r="M285" s="8" t="n">
        <v>0</v>
      </c>
      <c r="N285" s="8"/>
      <c r="O285" s="8" t="n">
        <v>1</v>
      </c>
      <c r="P285" s="10" t="n">
        <v>7.96</v>
      </c>
      <c r="Q285" s="8" t="n">
        <v>639</v>
      </c>
      <c r="R285" s="8" t="n">
        <v>284</v>
      </c>
      <c r="S285" s="8" t="s">
        <v>150</v>
      </c>
      <c r="T285" s="8" t="s">
        <v>450</v>
      </c>
      <c r="U285" s="8" t="s">
        <v>451</v>
      </c>
      <c r="V285" s="8"/>
      <c r="W285" s="8" t="s">
        <v>452</v>
      </c>
      <c r="X285" s="8" t="s">
        <v>453</v>
      </c>
      <c r="Y285" s="8" t="s">
        <v>2632</v>
      </c>
      <c r="Z285" s="8"/>
    </row>
    <row r="286" customFormat="false" ht="15" hidden="false" customHeight="false" outlineLevel="0" collapsed="false">
      <c r="A286" s="8" t="s">
        <v>449</v>
      </c>
      <c r="B286" s="8" t="s">
        <v>19</v>
      </c>
      <c r="C286" s="8" t="s">
        <v>20</v>
      </c>
      <c r="D286" s="8" t="s">
        <v>615</v>
      </c>
      <c r="E286" s="8" t="s">
        <v>38</v>
      </c>
      <c r="F286" s="8" t="s">
        <v>44</v>
      </c>
      <c r="G286" s="8" t="s">
        <v>30</v>
      </c>
      <c r="H286" s="8" t="s">
        <v>30</v>
      </c>
      <c r="I286" s="8" t="n">
        <f aca="false">IF(EXACT(G286,H286),1,0)</f>
        <v>1</v>
      </c>
      <c r="J286" s="8" t="n">
        <v>2</v>
      </c>
      <c r="K286" s="8" t="s">
        <v>92</v>
      </c>
      <c r="L286" s="8" t="n">
        <v>0</v>
      </c>
      <c r="M286" s="8" t="n">
        <v>0</v>
      </c>
      <c r="N286" s="8"/>
      <c r="O286" s="8" t="n">
        <v>1</v>
      </c>
      <c r="P286" s="10" t="n">
        <v>6.08</v>
      </c>
      <c r="Q286" s="8" t="n">
        <v>639</v>
      </c>
      <c r="R286" s="8" t="n">
        <v>260</v>
      </c>
      <c r="S286" s="8" t="s">
        <v>150</v>
      </c>
      <c r="T286" s="8" t="s">
        <v>450</v>
      </c>
      <c r="U286" s="8" t="s">
        <v>451</v>
      </c>
      <c r="V286" s="8"/>
      <c r="W286" s="8" t="s">
        <v>452</v>
      </c>
      <c r="X286" s="8" t="s">
        <v>453</v>
      </c>
      <c r="Y286" s="8" t="s">
        <v>2633</v>
      </c>
      <c r="Z286" s="8"/>
    </row>
    <row r="287" customFormat="false" ht="15" hidden="false" customHeight="false" outlineLevel="0" collapsed="false">
      <c r="A287" s="8" t="s">
        <v>454</v>
      </c>
      <c r="B287" s="8" t="s">
        <v>19</v>
      </c>
      <c r="C287" s="8" t="s">
        <v>20</v>
      </c>
      <c r="D287" s="8" t="s">
        <v>615</v>
      </c>
      <c r="E287" s="8" t="s">
        <v>38</v>
      </c>
      <c r="F287" s="8" t="s">
        <v>44</v>
      </c>
      <c r="G287" s="8" t="s">
        <v>32</v>
      </c>
      <c r="H287" s="8" t="s">
        <v>32</v>
      </c>
      <c r="I287" s="8" t="n">
        <f aca="false">IF(EXACT(G287,H287),1,0)</f>
        <v>1</v>
      </c>
      <c r="J287" s="8" t="n">
        <v>0</v>
      </c>
      <c r="K287" s="8" t="s">
        <v>92</v>
      </c>
      <c r="L287" s="8" t="n">
        <v>0</v>
      </c>
      <c r="M287" s="8" t="n">
        <v>0</v>
      </c>
      <c r="N287" s="8"/>
      <c r="O287" s="8" t="n">
        <v>1</v>
      </c>
      <c r="P287" s="10" t="n">
        <v>7.82</v>
      </c>
      <c r="Q287" s="8" t="n">
        <v>632</v>
      </c>
      <c r="R287" s="8" t="n">
        <v>285</v>
      </c>
      <c r="S287" s="8" t="s">
        <v>132</v>
      </c>
      <c r="T287" s="8" t="s">
        <v>455</v>
      </c>
      <c r="U287" s="8" t="s">
        <v>456</v>
      </c>
      <c r="V287" s="8"/>
      <c r="W287" s="8" t="s">
        <v>457</v>
      </c>
      <c r="X287" s="8" t="s">
        <v>458</v>
      </c>
      <c r="Y287" s="8" t="s">
        <v>2634</v>
      </c>
      <c r="Z287" s="8"/>
    </row>
    <row r="288" customFormat="false" ht="15" hidden="false" customHeight="false" outlineLevel="0" collapsed="false">
      <c r="A288" s="8" t="s">
        <v>454</v>
      </c>
      <c r="B288" s="8" t="s">
        <v>19</v>
      </c>
      <c r="C288" s="8" t="s">
        <v>20</v>
      </c>
      <c r="D288" s="8" t="s">
        <v>615</v>
      </c>
      <c r="E288" s="8" t="s">
        <v>38</v>
      </c>
      <c r="F288" s="8" t="s">
        <v>44</v>
      </c>
      <c r="G288" s="8" t="s">
        <v>32</v>
      </c>
      <c r="H288" s="8" t="s">
        <v>32</v>
      </c>
      <c r="I288" s="8" t="n">
        <f aca="false">IF(EXACT(G288,H288),1,0)</f>
        <v>1</v>
      </c>
      <c r="J288" s="8" t="n">
        <v>1</v>
      </c>
      <c r="K288" s="8" t="s">
        <v>92</v>
      </c>
      <c r="L288" s="8" t="n">
        <v>0</v>
      </c>
      <c r="M288" s="8" t="n">
        <v>0</v>
      </c>
      <c r="N288" s="8"/>
      <c r="O288" s="8" t="n">
        <v>1</v>
      </c>
      <c r="P288" s="10" t="n">
        <v>7.08</v>
      </c>
      <c r="Q288" s="8" t="n">
        <v>632</v>
      </c>
      <c r="R288" s="8" t="n">
        <v>280</v>
      </c>
      <c r="S288" s="8" t="s">
        <v>132</v>
      </c>
      <c r="T288" s="8" t="s">
        <v>455</v>
      </c>
      <c r="U288" s="8" t="s">
        <v>456</v>
      </c>
      <c r="V288" s="8"/>
      <c r="W288" s="8" t="s">
        <v>457</v>
      </c>
      <c r="X288" s="8" t="s">
        <v>458</v>
      </c>
      <c r="Y288" s="8" t="s">
        <v>2635</v>
      </c>
      <c r="Z288" s="8"/>
    </row>
    <row r="289" customFormat="false" ht="15" hidden="false" customHeight="false" outlineLevel="0" collapsed="false">
      <c r="A289" s="8" t="s">
        <v>454</v>
      </c>
      <c r="B289" s="8" t="s">
        <v>19</v>
      </c>
      <c r="C289" s="8" t="s">
        <v>20</v>
      </c>
      <c r="D289" s="8" t="s">
        <v>615</v>
      </c>
      <c r="E289" s="8" t="s">
        <v>38</v>
      </c>
      <c r="F289" s="8" t="s">
        <v>44</v>
      </c>
      <c r="G289" s="8" t="s">
        <v>32</v>
      </c>
      <c r="H289" s="8" t="s">
        <v>32</v>
      </c>
      <c r="I289" s="8" t="n">
        <f aca="false">IF(EXACT(G289,H289),1,0)</f>
        <v>1</v>
      </c>
      <c r="J289" s="8" t="n">
        <v>2</v>
      </c>
      <c r="K289" s="8" t="s">
        <v>92</v>
      </c>
      <c r="L289" s="8" t="n">
        <v>0</v>
      </c>
      <c r="M289" s="8" t="n">
        <v>0</v>
      </c>
      <c r="N289" s="8"/>
      <c r="O289" s="8" t="n">
        <v>1</v>
      </c>
      <c r="P289" s="10" t="n">
        <v>7.56</v>
      </c>
      <c r="Q289" s="8" t="n">
        <v>632</v>
      </c>
      <c r="R289" s="8" t="n">
        <v>323</v>
      </c>
      <c r="S289" s="8" t="s">
        <v>132</v>
      </c>
      <c r="T289" s="8" t="s">
        <v>455</v>
      </c>
      <c r="U289" s="8" t="s">
        <v>456</v>
      </c>
      <c r="V289" s="8"/>
      <c r="W289" s="8" t="s">
        <v>457</v>
      </c>
      <c r="X289" s="8" t="s">
        <v>458</v>
      </c>
      <c r="Y289" s="8" t="s">
        <v>2636</v>
      </c>
      <c r="Z289" s="8"/>
    </row>
    <row r="290" customFormat="false" ht="15" hidden="false" customHeight="false" outlineLevel="0" collapsed="false">
      <c r="A290" s="8" t="s">
        <v>330</v>
      </c>
      <c r="B290" s="8" t="s">
        <v>19</v>
      </c>
      <c r="C290" s="8" t="s">
        <v>20</v>
      </c>
      <c r="D290" s="8" t="s">
        <v>615</v>
      </c>
      <c r="E290" s="8" t="s">
        <v>38</v>
      </c>
      <c r="F290" s="8" t="s">
        <v>45</v>
      </c>
      <c r="G290" s="8" t="s">
        <v>31</v>
      </c>
      <c r="H290" s="8" t="s">
        <v>31</v>
      </c>
      <c r="I290" s="8" t="n">
        <f aca="false">IF(EXACT(G290,H290),1,0)</f>
        <v>1</v>
      </c>
      <c r="J290" s="8" t="n">
        <v>0</v>
      </c>
      <c r="K290" s="8" t="s">
        <v>116</v>
      </c>
      <c r="L290" s="8" t="n">
        <v>2</v>
      </c>
      <c r="M290" s="8" t="n">
        <v>0</v>
      </c>
      <c r="N290" s="8"/>
      <c r="O290" s="8" t="n">
        <v>1</v>
      </c>
      <c r="P290" s="10" t="n">
        <v>13.41</v>
      </c>
      <c r="Q290" s="8" t="n">
        <v>610</v>
      </c>
      <c r="R290" s="8" t="n">
        <v>637</v>
      </c>
      <c r="S290" s="8" t="s">
        <v>255</v>
      </c>
      <c r="T290" s="8" t="s">
        <v>331</v>
      </c>
      <c r="U290" s="8" t="s">
        <v>332</v>
      </c>
      <c r="V290" s="8"/>
      <c r="W290" s="8" t="s">
        <v>333</v>
      </c>
      <c r="X290" s="8" t="s">
        <v>459</v>
      </c>
      <c r="Y290" s="8" t="s">
        <v>2637</v>
      </c>
      <c r="Z290" s="8" t="s">
        <v>2638</v>
      </c>
    </row>
    <row r="291" customFormat="false" ht="15" hidden="false" customHeight="false" outlineLevel="0" collapsed="false">
      <c r="A291" s="8" t="s">
        <v>330</v>
      </c>
      <c r="B291" s="8" t="s">
        <v>19</v>
      </c>
      <c r="C291" s="8" t="s">
        <v>20</v>
      </c>
      <c r="D291" s="8" t="s">
        <v>615</v>
      </c>
      <c r="E291" s="8" t="s">
        <v>38</v>
      </c>
      <c r="F291" s="8" t="s">
        <v>45</v>
      </c>
      <c r="G291" s="8" t="s">
        <v>31</v>
      </c>
      <c r="H291" s="8" t="s">
        <v>31</v>
      </c>
      <c r="I291" s="8" t="n">
        <f aca="false">IF(EXACT(G291,H291),1,0)</f>
        <v>1</v>
      </c>
      <c r="J291" s="8" t="n">
        <v>1</v>
      </c>
      <c r="K291" s="8" t="s">
        <v>116</v>
      </c>
      <c r="L291" s="8" t="n">
        <v>2</v>
      </c>
      <c r="M291" s="8" t="n">
        <v>0</v>
      </c>
      <c r="N291" s="8"/>
      <c r="O291" s="8" t="n">
        <v>1</v>
      </c>
      <c r="P291" s="10" t="n">
        <v>11.99</v>
      </c>
      <c r="Q291" s="8" t="n">
        <v>610</v>
      </c>
      <c r="R291" s="8" t="n">
        <v>589</v>
      </c>
      <c r="S291" s="8" t="s">
        <v>255</v>
      </c>
      <c r="T291" s="8" t="s">
        <v>331</v>
      </c>
      <c r="U291" s="8" t="s">
        <v>332</v>
      </c>
      <c r="V291" s="8"/>
      <c r="W291" s="8" t="s">
        <v>333</v>
      </c>
      <c r="X291" s="8" t="s">
        <v>459</v>
      </c>
      <c r="Y291" s="8" t="s">
        <v>2639</v>
      </c>
      <c r="Z291" s="8" t="s">
        <v>2640</v>
      </c>
    </row>
    <row r="292" customFormat="false" ht="15" hidden="false" customHeight="false" outlineLevel="0" collapsed="false">
      <c r="A292" s="8" t="s">
        <v>330</v>
      </c>
      <c r="B292" s="8" t="s">
        <v>19</v>
      </c>
      <c r="C292" s="8" t="s">
        <v>20</v>
      </c>
      <c r="D292" s="8" t="s">
        <v>615</v>
      </c>
      <c r="E292" s="8" t="s">
        <v>38</v>
      </c>
      <c r="F292" s="8" t="s">
        <v>45</v>
      </c>
      <c r="G292" s="8" t="s">
        <v>31</v>
      </c>
      <c r="H292" s="8" t="s">
        <v>31</v>
      </c>
      <c r="I292" s="8" t="n">
        <f aca="false">IF(EXACT(G292,H292),1,0)</f>
        <v>1</v>
      </c>
      <c r="J292" s="8" t="n">
        <v>2</v>
      </c>
      <c r="K292" s="8" t="s">
        <v>116</v>
      </c>
      <c r="L292" s="8" t="n">
        <v>2</v>
      </c>
      <c r="M292" s="8" t="n">
        <v>0</v>
      </c>
      <c r="N292" s="8"/>
      <c r="O292" s="8" t="n">
        <v>1</v>
      </c>
      <c r="P292" s="10" t="n">
        <v>12.59</v>
      </c>
      <c r="Q292" s="8" t="n">
        <v>610</v>
      </c>
      <c r="R292" s="8" t="n">
        <v>596</v>
      </c>
      <c r="S292" s="8" t="s">
        <v>255</v>
      </c>
      <c r="T292" s="8" t="s">
        <v>331</v>
      </c>
      <c r="U292" s="8" t="s">
        <v>332</v>
      </c>
      <c r="V292" s="8"/>
      <c r="W292" s="8" t="s">
        <v>333</v>
      </c>
      <c r="X292" s="8" t="s">
        <v>459</v>
      </c>
      <c r="Y292" s="8" t="s">
        <v>2641</v>
      </c>
      <c r="Z292" s="8" t="s">
        <v>2642</v>
      </c>
    </row>
    <row r="293" customFormat="false" ht="15" hidden="false" customHeight="false" outlineLevel="0" collapsed="false">
      <c r="A293" s="8" t="s">
        <v>336</v>
      </c>
      <c r="B293" s="8" t="s">
        <v>19</v>
      </c>
      <c r="C293" s="8" t="s">
        <v>20</v>
      </c>
      <c r="D293" s="8" t="s">
        <v>615</v>
      </c>
      <c r="E293" s="8" t="s">
        <v>38</v>
      </c>
      <c r="F293" s="8" t="s">
        <v>45</v>
      </c>
      <c r="G293" s="8" t="s">
        <v>32</v>
      </c>
      <c r="H293" s="8" t="s">
        <v>30</v>
      </c>
      <c r="I293" s="8" t="n">
        <f aca="false">IF(EXACT(G293,H293),1,0)</f>
        <v>0</v>
      </c>
      <c r="J293" s="8" t="n">
        <v>0</v>
      </c>
      <c r="K293" s="8" t="s">
        <v>92</v>
      </c>
      <c r="L293" s="8" t="n">
        <v>0</v>
      </c>
      <c r="M293" s="8" t="n">
        <v>0</v>
      </c>
      <c r="N293" s="8"/>
      <c r="O293" s="8" t="n">
        <v>1</v>
      </c>
      <c r="P293" s="10" t="n">
        <v>5.84</v>
      </c>
      <c r="Q293" s="8" t="n">
        <v>674</v>
      </c>
      <c r="R293" s="8" t="n">
        <v>225</v>
      </c>
      <c r="S293" s="8" t="s">
        <v>94</v>
      </c>
      <c r="T293" s="8" t="s">
        <v>337</v>
      </c>
      <c r="U293" s="8" t="s">
        <v>338</v>
      </c>
      <c r="V293" s="8"/>
      <c r="W293" s="8" t="s">
        <v>339</v>
      </c>
      <c r="X293" s="8" t="s">
        <v>460</v>
      </c>
      <c r="Y293" s="8" t="s">
        <v>2643</v>
      </c>
      <c r="Z293" s="8"/>
    </row>
    <row r="294" customFormat="false" ht="15" hidden="false" customHeight="false" outlineLevel="0" collapsed="false">
      <c r="A294" s="8" t="s">
        <v>336</v>
      </c>
      <c r="B294" s="8" t="s">
        <v>19</v>
      </c>
      <c r="C294" s="8" t="s">
        <v>20</v>
      </c>
      <c r="D294" s="8" t="s">
        <v>615</v>
      </c>
      <c r="E294" s="8" t="s">
        <v>38</v>
      </c>
      <c r="F294" s="8" t="s">
        <v>45</v>
      </c>
      <c r="G294" s="8" t="s">
        <v>32</v>
      </c>
      <c r="H294" s="8" t="s">
        <v>31</v>
      </c>
      <c r="I294" s="8" t="n">
        <f aca="false">IF(EXACT(G294,H294),1,0)</f>
        <v>0</v>
      </c>
      <c r="J294" s="8" t="n">
        <v>1</v>
      </c>
      <c r="K294" s="8" t="s">
        <v>116</v>
      </c>
      <c r="L294" s="8" t="n">
        <v>2</v>
      </c>
      <c r="M294" s="8" t="n">
        <v>0</v>
      </c>
      <c r="N294" s="8"/>
      <c r="O294" s="8" t="n">
        <v>1</v>
      </c>
      <c r="P294" s="10" t="n">
        <v>13.29</v>
      </c>
      <c r="Q294" s="8" t="n">
        <v>674</v>
      </c>
      <c r="R294" s="8" t="n">
        <v>645</v>
      </c>
      <c r="S294" s="8" t="s">
        <v>94</v>
      </c>
      <c r="T294" s="8" t="s">
        <v>337</v>
      </c>
      <c r="U294" s="8" t="s">
        <v>338</v>
      </c>
      <c r="V294" s="8"/>
      <c r="W294" s="8" t="s">
        <v>339</v>
      </c>
      <c r="X294" s="8" t="s">
        <v>460</v>
      </c>
      <c r="Y294" s="8" t="s">
        <v>2644</v>
      </c>
      <c r="Z294" s="8" t="s">
        <v>2645</v>
      </c>
    </row>
    <row r="295" customFormat="false" ht="15" hidden="false" customHeight="false" outlineLevel="0" collapsed="false">
      <c r="A295" s="8" t="s">
        <v>336</v>
      </c>
      <c r="B295" s="8" t="s">
        <v>19</v>
      </c>
      <c r="C295" s="8" t="s">
        <v>20</v>
      </c>
      <c r="D295" s="8" t="s">
        <v>615</v>
      </c>
      <c r="E295" s="8" t="s">
        <v>38</v>
      </c>
      <c r="F295" s="8" t="s">
        <v>45</v>
      </c>
      <c r="G295" s="8" t="s">
        <v>32</v>
      </c>
      <c r="H295" s="8" t="s">
        <v>31</v>
      </c>
      <c r="I295" s="8" t="n">
        <f aca="false">IF(EXACT(G295,H295),1,0)</f>
        <v>0</v>
      </c>
      <c r="J295" s="8" t="n">
        <v>2</v>
      </c>
      <c r="K295" s="8" t="s">
        <v>116</v>
      </c>
      <c r="L295" s="8" t="n">
        <v>1</v>
      </c>
      <c r="M295" s="8" t="n">
        <v>0</v>
      </c>
      <c r="N295" s="8"/>
      <c r="O295" s="8" t="n">
        <v>1</v>
      </c>
      <c r="P295" s="10" t="n">
        <v>42.43</v>
      </c>
      <c r="Q295" s="8" t="n">
        <v>674</v>
      </c>
      <c r="R295" s="8" t="n">
        <v>544</v>
      </c>
      <c r="S295" s="8" t="s">
        <v>94</v>
      </c>
      <c r="T295" s="8" t="s">
        <v>337</v>
      </c>
      <c r="U295" s="8" t="s">
        <v>338</v>
      </c>
      <c r="V295" s="8"/>
      <c r="W295" s="8" t="s">
        <v>339</v>
      </c>
      <c r="X295" s="8" t="s">
        <v>460</v>
      </c>
      <c r="Y295" s="8" t="s">
        <v>2646</v>
      </c>
      <c r="Z295" s="8" t="s">
        <v>2647</v>
      </c>
    </row>
    <row r="296" customFormat="false" ht="15" hidden="false" customHeight="false" outlineLevel="0" collapsed="false">
      <c r="A296" s="8" t="s">
        <v>341</v>
      </c>
      <c r="B296" s="8" t="s">
        <v>19</v>
      </c>
      <c r="C296" s="8" t="s">
        <v>20</v>
      </c>
      <c r="D296" s="8" t="s">
        <v>615</v>
      </c>
      <c r="E296" s="8" t="s">
        <v>38</v>
      </c>
      <c r="F296" s="8" t="s">
        <v>45</v>
      </c>
      <c r="G296" s="8" t="s">
        <v>32</v>
      </c>
      <c r="H296" s="8" t="s">
        <v>30</v>
      </c>
      <c r="I296" s="8" t="n">
        <f aca="false">IF(EXACT(G296,H296),1,0)</f>
        <v>0</v>
      </c>
      <c r="J296" s="8" t="n">
        <v>0</v>
      </c>
      <c r="K296" s="8" t="s">
        <v>92</v>
      </c>
      <c r="L296" s="8" t="n">
        <v>0</v>
      </c>
      <c r="M296" s="8" t="n">
        <v>0</v>
      </c>
      <c r="N296" s="8"/>
      <c r="O296" s="8" t="n">
        <v>1</v>
      </c>
      <c r="P296" s="10" t="n">
        <v>6.43</v>
      </c>
      <c r="Q296" s="8" t="n">
        <v>638</v>
      </c>
      <c r="R296" s="8" t="n">
        <v>222</v>
      </c>
      <c r="S296" s="8" t="s">
        <v>125</v>
      </c>
      <c r="T296" s="8" t="s">
        <v>342</v>
      </c>
      <c r="U296" s="8" t="s">
        <v>343</v>
      </c>
      <c r="V296" s="8"/>
      <c r="W296" s="8" t="s">
        <v>344</v>
      </c>
      <c r="X296" s="8" t="s">
        <v>461</v>
      </c>
      <c r="Y296" s="8" t="s">
        <v>2648</v>
      </c>
      <c r="Z296" s="8"/>
    </row>
    <row r="297" customFormat="false" ht="15" hidden="false" customHeight="false" outlineLevel="0" collapsed="false">
      <c r="A297" s="8" t="s">
        <v>341</v>
      </c>
      <c r="B297" s="8" t="s">
        <v>19</v>
      </c>
      <c r="C297" s="8" t="s">
        <v>20</v>
      </c>
      <c r="D297" s="8" t="s">
        <v>615</v>
      </c>
      <c r="E297" s="8" t="s">
        <v>38</v>
      </c>
      <c r="F297" s="8" t="s">
        <v>45</v>
      </c>
      <c r="G297" s="8" t="s">
        <v>32</v>
      </c>
      <c r="H297" s="8" t="s">
        <v>30</v>
      </c>
      <c r="I297" s="8" t="n">
        <f aca="false">IF(EXACT(G297,H297),1,0)</f>
        <v>0</v>
      </c>
      <c r="J297" s="8" t="n">
        <v>1</v>
      </c>
      <c r="K297" s="8" t="s">
        <v>92</v>
      </c>
      <c r="L297" s="8" t="n">
        <v>0</v>
      </c>
      <c r="M297" s="8" t="n">
        <v>0</v>
      </c>
      <c r="N297" s="8"/>
      <c r="O297" s="8" t="n">
        <v>1</v>
      </c>
      <c r="P297" s="10" t="n">
        <v>5.4</v>
      </c>
      <c r="Q297" s="8" t="n">
        <v>638</v>
      </c>
      <c r="R297" s="8" t="n">
        <v>229</v>
      </c>
      <c r="S297" s="8" t="s">
        <v>125</v>
      </c>
      <c r="T297" s="8" t="s">
        <v>342</v>
      </c>
      <c r="U297" s="8" t="s">
        <v>343</v>
      </c>
      <c r="V297" s="8"/>
      <c r="W297" s="8" t="s">
        <v>344</v>
      </c>
      <c r="X297" s="8" t="s">
        <v>461</v>
      </c>
      <c r="Y297" s="8" t="s">
        <v>2649</v>
      </c>
      <c r="Z297" s="8"/>
    </row>
    <row r="298" customFormat="false" ht="15" hidden="false" customHeight="false" outlineLevel="0" collapsed="false">
      <c r="A298" s="8" t="s">
        <v>341</v>
      </c>
      <c r="B298" s="8" t="s">
        <v>19</v>
      </c>
      <c r="C298" s="8" t="s">
        <v>20</v>
      </c>
      <c r="D298" s="8" t="s">
        <v>615</v>
      </c>
      <c r="E298" s="8" t="s">
        <v>38</v>
      </c>
      <c r="F298" s="8" t="s">
        <v>45</v>
      </c>
      <c r="G298" s="8" t="s">
        <v>32</v>
      </c>
      <c r="H298" s="8" t="s">
        <v>32</v>
      </c>
      <c r="I298" s="8" t="n">
        <f aca="false">IF(EXACT(G298,H298),1,0)</f>
        <v>1</v>
      </c>
      <c r="J298" s="8" t="n">
        <v>2</v>
      </c>
      <c r="K298" s="8" t="s">
        <v>92</v>
      </c>
      <c r="L298" s="8" t="n">
        <v>0</v>
      </c>
      <c r="M298" s="8" t="n">
        <v>0</v>
      </c>
      <c r="N298" s="8"/>
      <c r="O298" s="8" t="n">
        <v>1</v>
      </c>
      <c r="P298" s="10" t="n">
        <v>6.47</v>
      </c>
      <c r="Q298" s="8" t="n">
        <v>638</v>
      </c>
      <c r="R298" s="8" t="n">
        <v>233</v>
      </c>
      <c r="S298" s="8" t="s">
        <v>125</v>
      </c>
      <c r="T298" s="8" t="s">
        <v>342</v>
      </c>
      <c r="U298" s="8" t="s">
        <v>343</v>
      </c>
      <c r="V298" s="8"/>
      <c r="W298" s="8" t="s">
        <v>344</v>
      </c>
      <c r="X298" s="8" t="s">
        <v>461</v>
      </c>
      <c r="Y298" s="8" t="s">
        <v>2650</v>
      </c>
      <c r="Z298" s="8"/>
    </row>
    <row r="299" customFormat="false" ht="15" hidden="false" customHeight="false" outlineLevel="0" collapsed="false">
      <c r="A299" s="8" t="s">
        <v>346</v>
      </c>
      <c r="B299" s="8" t="s">
        <v>19</v>
      </c>
      <c r="C299" s="8" t="s">
        <v>20</v>
      </c>
      <c r="D299" s="8" t="s">
        <v>615</v>
      </c>
      <c r="E299" s="8" t="s">
        <v>38</v>
      </c>
      <c r="F299" s="8" t="s">
        <v>45</v>
      </c>
      <c r="G299" s="8" t="s">
        <v>31</v>
      </c>
      <c r="H299" s="8" t="s">
        <v>31</v>
      </c>
      <c r="I299" s="8" t="n">
        <f aca="false">IF(EXACT(G299,H299),1,0)</f>
        <v>1</v>
      </c>
      <c r="J299" s="8" t="n">
        <v>0</v>
      </c>
      <c r="K299" s="8" t="s">
        <v>116</v>
      </c>
      <c r="L299" s="8" t="n">
        <v>3</v>
      </c>
      <c r="M299" s="8" t="n">
        <v>0</v>
      </c>
      <c r="N299" s="8"/>
      <c r="O299" s="8" t="n">
        <v>1</v>
      </c>
      <c r="P299" s="10" t="n">
        <v>13</v>
      </c>
      <c r="Q299" s="8" t="n">
        <v>619</v>
      </c>
      <c r="R299" s="8" t="n">
        <v>666</v>
      </c>
      <c r="S299" s="8" t="s">
        <v>347</v>
      </c>
      <c r="T299" s="8" t="s">
        <v>331</v>
      </c>
      <c r="U299" s="8" t="s">
        <v>332</v>
      </c>
      <c r="V299" s="8"/>
      <c r="W299" s="8" t="s">
        <v>348</v>
      </c>
      <c r="X299" s="8" t="s">
        <v>462</v>
      </c>
      <c r="Y299" s="8" t="s">
        <v>2651</v>
      </c>
      <c r="Z299" s="8" t="s">
        <v>2652</v>
      </c>
    </row>
    <row r="300" customFormat="false" ht="15" hidden="false" customHeight="false" outlineLevel="0" collapsed="false">
      <c r="A300" s="8" t="s">
        <v>346</v>
      </c>
      <c r="B300" s="8" t="s">
        <v>19</v>
      </c>
      <c r="C300" s="8" t="s">
        <v>20</v>
      </c>
      <c r="D300" s="8" t="s">
        <v>615</v>
      </c>
      <c r="E300" s="8" t="s">
        <v>38</v>
      </c>
      <c r="F300" s="8" t="s">
        <v>45</v>
      </c>
      <c r="G300" s="8" t="s">
        <v>31</v>
      </c>
      <c r="H300" s="8" t="s">
        <v>31</v>
      </c>
      <c r="I300" s="8" t="n">
        <f aca="false">IF(EXACT(G300,H300),1,0)</f>
        <v>1</v>
      </c>
      <c r="J300" s="8" t="n">
        <v>1</v>
      </c>
      <c r="K300" s="8" t="s">
        <v>116</v>
      </c>
      <c r="L300" s="8" t="n">
        <v>4</v>
      </c>
      <c r="M300" s="8" t="n">
        <v>0</v>
      </c>
      <c r="N300" s="8"/>
      <c r="O300" s="8" t="n">
        <v>1</v>
      </c>
      <c r="P300" s="10" t="n">
        <v>15.36</v>
      </c>
      <c r="Q300" s="8" t="n">
        <v>619</v>
      </c>
      <c r="R300" s="8" t="n">
        <v>801</v>
      </c>
      <c r="S300" s="8" t="s">
        <v>347</v>
      </c>
      <c r="T300" s="8" t="s">
        <v>331</v>
      </c>
      <c r="U300" s="8" t="s">
        <v>332</v>
      </c>
      <c r="V300" s="8"/>
      <c r="W300" s="8" t="s">
        <v>348</v>
      </c>
      <c r="X300" s="8" t="s">
        <v>462</v>
      </c>
      <c r="Y300" s="8" t="s">
        <v>2653</v>
      </c>
      <c r="Z300" s="8" t="s">
        <v>2654</v>
      </c>
    </row>
    <row r="301" customFormat="false" ht="15" hidden="false" customHeight="false" outlineLevel="0" collapsed="false">
      <c r="A301" s="8" t="s">
        <v>346</v>
      </c>
      <c r="B301" s="8" t="s">
        <v>19</v>
      </c>
      <c r="C301" s="8" t="s">
        <v>20</v>
      </c>
      <c r="D301" s="8" t="s">
        <v>615</v>
      </c>
      <c r="E301" s="8" t="s">
        <v>38</v>
      </c>
      <c r="F301" s="8" t="s">
        <v>45</v>
      </c>
      <c r="G301" s="8" t="s">
        <v>31</v>
      </c>
      <c r="H301" s="8" t="s">
        <v>31</v>
      </c>
      <c r="I301" s="8" t="n">
        <f aca="false">IF(EXACT(G301,H301),1,0)</f>
        <v>1</v>
      </c>
      <c r="J301" s="8" t="n">
        <v>2</v>
      </c>
      <c r="K301" s="8" t="s">
        <v>116</v>
      </c>
      <c r="L301" s="8" t="n">
        <v>4</v>
      </c>
      <c r="M301" s="8" t="n">
        <v>0</v>
      </c>
      <c r="N301" s="8"/>
      <c r="O301" s="8" t="n">
        <v>1</v>
      </c>
      <c r="P301" s="10" t="n">
        <v>18.27</v>
      </c>
      <c r="Q301" s="8" t="n">
        <v>619</v>
      </c>
      <c r="R301" s="8" t="n">
        <v>992</v>
      </c>
      <c r="S301" s="8" t="s">
        <v>347</v>
      </c>
      <c r="T301" s="8" t="s">
        <v>331</v>
      </c>
      <c r="U301" s="8" t="s">
        <v>332</v>
      </c>
      <c r="V301" s="8"/>
      <c r="W301" s="8" t="s">
        <v>348</v>
      </c>
      <c r="X301" s="8" t="s">
        <v>462</v>
      </c>
      <c r="Y301" s="8" t="s">
        <v>2655</v>
      </c>
      <c r="Z301" s="8" t="s">
        <v>2656</v>
      </c>
    </row>
    <row r="302" customFormat="false" ht="15" hidden="false" customHeight="false" outlineLevel="0" collapsed="false">
      <c r="A302" s="8" t="s">
        <v>351</v>
      </c>
      <c r="B302" s="8" t="s">
        <v>19</v>
      </c>
      <c r="C302" s="8" t="s">
        <v>20</v>
      </c>
      <c r="D302" s="8" t="s">
        <v>615</v>
      </c>
      <c r="E302" s="8" t="s">
        <v>38</v>
      </c>
      <c r="F302" s="8" t="s">
        <v>45</v>
      </c>
      <c r="G302" s="8" t="s">
        <v>30</v>
      </c>
      <c r="H302" s="8" t="s">
        <v>30</v>
      </c>
      <c r="I302" s="8" t="n">
        <f aca="false">IF(EXACT(G302,H302),1,0)</f>
        <v>1</v>
      </c>
      <c r="J302" s="8" t="n">
        <v>0</v>
      </c>
      <c r="K302" s="8" t="s">
        <v>92</v>
      </c>
      <c r="L302" s="8" t="n">
        <v>0</v>
      </c>
      <c r="M302" s="8" t="n">
        <v>0</v>
      </c>
      <c r="N302" s="8"/>
      <c r="O302" s="8" t="n">
        <v>1</v>
      </c>
      <c r="P302" s="10" t="n">
        <v>6.28</v>
      </c>
      <c r="Q302" s="8" t="n">
        <v>681</v>
      </c>
      <c r="R302" s="8" t="n">
        <v>213</v>
      </c>
      <c r="S302" s="8" t="s">
        <v>110</v>
      </c>
      <c r="T302" s="8" t="s">
        <v>337</v>
      </c>
      <c r="U302" s="8" t="s">
        <v>338</v>
      </c>
      <c r="V302" s="8"/>
      <c r="W302" s="8" t="s">
        <v>352</v>
      </c>
      <c r="X302" s="8" t="s">
        <v>463</v>
      </c>
      <c r="Y302" s="8" t="s">
        <v>2657</v>
      </c>
      <c r="Z302" s="8"/>
    </row>
    <row r="303" customFormat="false" ht="15" hidden="false" customHeight="false" outlineLevel="0" collapsed="false">
      <c r="A303" s="8" t="s">
        <v>351</v>
      </c>
      <c r="B303" s="8" t="s">
        <v>19</v>
      </c>
      <c r="C303" s="8" t="s">
        <v>20</v>
      </c>
      <c r="D303" s="8" t="s">
        <v>615</v>
      </c>
      <c r="E303" s="8" t="s">
        <v>38</v>
      </c>
      <c r="F303" s="8" t="s">
        <v>45</v>
      </c>
      <c r="G303" s="8" t="s">
        <v>30</v>
      </c>
      <c r="H303" s="8" t="s">
        <v>30</v>
      </c>
      <c r="I303" s="8" t="n">
        <f aca="false">IF(EXACT(G303,H303),1,0)</f>
        <v>1</v>
      </c>
      <c r="J303" s="8" t="n">
        <v>1</v>
      </c>
      <c r="K303" s="8" t="s">
        <v>92</v>
      </c>
      <c r="L303" s="8" t="n">
        <v>0</v>
      </c>
      <c r="M303" s="8" t="n">
        <v>0</v>
      </c>
      <c r="N303" s="8"/>
      <c r="O303" s="8" t="n">
        <v>1</v>
      </c>
      <c r="P303" s="10" t="n">
        <v>5.59</v>
      </c>
      <c r="Q303" s="8" t="n">
        <v>681</v>
      </c>
      <c r="R303" s="8" t="n">
        <v>224</v>
      </c>
      <c r="S303" s="8" t="s">
        <v>110</v>
      </c>
      <c r="T303" s="8" t="s">
        <v>337</v>
      </c>
      <c r="U303" s="8" t="s">
        <v>338</v>
      </c>
      <c r="V303" s="8"/>
      <c r="W303" s="8" t="s">
        <v>352</v>
      </c>
      <c r="X303" s="8" t="s">
        <v>463</v>
      </c>
      <c r="Y303" s="8" t="s">
        <v>2658</v>
      </c>
      <c r="Z303" s="8"/>
    </row>
    <row r="304" customFormat="false" ht="15" hidden="false" customHeight="false" outlineLevel="0" collapsed="false">
      <c r="A304" s="8" t="s">
        <v>351</v>
      </c>
      <c r="B304" s="8" t="s">
        <v>19</v>
      </c>
      <c r="C304" s="8" t="s">
        <v>20</v>
      </c>
      <c r="D304" s="8" t="s">
        <v>615</v>
      </c>
      <c r="E304" s="8" t="s">
        <v>38</v>
      </c>
      <c r="F304" s="8" t="s">
        <v>45</v>
      </c>
      <c r="G304" s="8" t="s">
        <v>30</v>
      </c>
      <c r="H304" s="8" t="s">
        <v>30</v>
      </c>
      <c r="I304" s="8" t="n">
        <f aca="false">IF(EXACT(G304,H304),1,0)</f>
        <v>1</v>
      </c>
      <c r="J304" s="8" t="n">
        <v>2</v>
      </c>
      <c r="K304" s="8" t="s">
        <v>92</v>
      </c>
      <c r="L304" s="8" t="n">
        <v>0</v>
      </c>
      <c r="M304" s="8" t="n">
        <v>0</v>
      </c>
      <c r="N304" s="8"/>
      <c r="O304" s="8" t="n">
        <v>1</v>
      </c>
      <c r="P304" s="10" t="n">
        <v>6.76</v>
      </c>
      <c r="Q304" s="8" t="n">
        <v>681</v>
      </c>
      <c r="R304" s="8" t="n">
        <v>243</v>
      </c>
      <c r="S304" s="8" t="s">
        <v>110</v>
      </c>
      <c r="T304" s="8" t="s">
        <v>337</v>
      </c>
      <c r="U304" s="8" t="s">
        <v>338</v>
      </c>
      <c r="V304" s="8"/>
      <c r="W304" s="8" t="s">
        <v>352</v>
      </c>
      <c r="X304" s="8" t="s">
        <v>463</v>
      </c>
      <c r="Y304" s="8" t="s">
        <v>2659</v>
      </c>
      <c r="Z304" s="8"/>
    </row>
    <row r="305" customFormat="false" ht="15" hidden="false" customHeight="false" outlineLevel="0" collapsed="false">
      <c r="A305" s="8" t="s">
        <v>354</v>
      </c>
      <c r="B305" s="8" t="s">
        <v>19</v>
      </c>
      <c r="C305" s="8" t="s">
        <v>20</v>
      </c>
      <c r="D305" s="8" t="s">
        <v>615</v>
      </c>
      <c r="E305" s="8" t="s">
        <v>38</v>
      </c>
      <c r="F305" s="8" t="s">
        <v>45</v>
      </c>
      <c r="G305" s="8" t="s">
        <v>30</v>
      </c>
      <c r="H305" s="8" t="s">
        <v>30</v>
      </c>
      <c r="I305" s="8" t="n">
        <f aca="false">IF(EXACT(G305,H305),1,0)</f>
        <v>1</v>
      </c>
      <c r="J305" s="8" t="n">
        <v>0</v>
      </c>
      <c r="K305" s="8" t="s">
        <v>92</v>
      </c>
      <c r="L305" s="8" t="n">
        <v>0</v>
      </c>
      <c r="M305" s="8" t="n">
        <v>0</v>
      </c>
      <c r="N305" s="8"/>
      <c r="O305" s="8" t="n">
        <v>1</v>
      </c>
      <c r="P305" s="10" t="n">
        <v>18.19</v>
      </c>
      <c r="Q305" s="8" t="n">
        <v>672</v>
      </c>
      <c r="R305" s="8" t="n">
        <v>340</v>
      </c>
      <c r="S305" s="8" t="s">
        <v>216</v>
      </c>
      <c r="T305" s="8" t="s">
        <v>355</v>
      </c>
      <c r="U305" s="8" t="s">
        <v>356</v>
      </c>
      <c r="V305" s="8"/>
      <c r="W305" s="8" t="s">
        <v>357</v>
      </c>
      <c r="X305" s="8" t="s">
        <v>464</v>
      </c>
      <c r="Y305" s="8" t="s">
        <v>2660</v>
      </c>
      <c r="Z305" s="8"/>
    </row>
    <row r="306" customFormat="false" ht="15" hidden="false" customHeight="false" outlineLevel="0" collapsed="false">
      <c r="A306" s="8" t="s">
        <v>354</v>
      </c>
      <c r="B306" s="8" t="s">
        <v>19</v>
      </c>
      <c r="C306" s="8" t="s">
        <v>20</v>
      </c>
      <c r="D306" s="8" t="s">
        <v>615</v>
      </c>
      <c r="E306" s="8" t="s">
        <v>38</v>
      </c>
      <c r="F306" s="8" t="s">
        <v>45</v>
      </c>
      <c r="G306" s="8" t="s">
        <v>30</v>
      </c>
      <c r="H306" s="8" t="s">
        <v>30</v>
      </c>
      <c r="I306" s="8" t="n">
        <f aca="false">IF(EXACT(G306,H306),1,0)</f>
        <v>1</v>
      </c>
      <c r="J306" s="8" t="n">
        <v>1</v>
      </c>
      <c r="K306" s="8" t="s">
        <v>92</v>
      </c>
      <c r="L306" s="8" t="n">
        <v>0</v>
      </c>
      <c r="M306" s="8" t="n">
        <v>0</v>
      </c>
      <c r="N306" s="8"/>
      <c r="O306" s="8" t="n">
        <v>1</v>
      </c>
      <c r="P306" s="10" t="n">
        <v>5.79</v>
      </c>
      <c r="Q306" s="8" t="n">
        <v>672</v>
      </c>
      <c r="R306" s="8" t="n">
        <v>255</v>
      </c>
      <c r="S306" s="8" t="s">
        <v>216</v>
      </c>
      <c r="T306" s="8" t="s">
        <v>355</v>
      </c>
      <c r="U306" s="8" t="s">
        <v>356</v>
      </c>
      <c r="V306" s="8"/>
      <c r="W306" s="8" t="s">
        <v>357</v>
      </c>
      <c r="X306" s="8" t="s">
        <v>464</v>
      </c>
      <c r="Y306" s="8" t="s">
        <v>2661</v>
      </c>
      <c r="Z306" s="8"/>
    </row>
    <row r="307" customFormat="false" ht="15" hidden="false" customHeight="false" outlineLevel="0" collapsed="false">
      <c r="A307" s="8" t="s">
        <v>354</v>
      </c>
      <c r="B307" s="8" t="s">
        <v>19</v>
      </c>
      <c r="C307" s="8" t="s">
        <v>20</v>
      </c>
      <c r="D307" s="8" t="s">
        <v>615</v>
      </c>
      <c r="E307" s="8" t="s">
        <v>38</v>
      </c>
      <c r="F307" s="8" t="s">
        <v>45</v>
      </c>
      <c r="G307" s="8" t="s">
        <v>30</v>
      </c>
      <c r="H307" s="8" t="s">
        <v>30</v>
      </c>
      <c r="I307" s="8" t="n">
        <f aca="false">IF(EXACT(G307,H307),1,0)</f>
        <v>1</v>
      </c>
      <c r="J307" s="8" t="n">
        <v>2</v>
      </c>
      <c r="K307" s="8" t="s">
        <v>92</v>
      </c>
      <c r="L307" s="8" t="n">
        <v>0</v>
      </c>
      <c r="M307" s="8" t="n">
        <v>0</v>
      </c>
      <c r="N307" s="8"/>
      <c r="O307" s="8" t="n">
        <v>1</v>
      </c>
      <c r="P307" s="10" t="n">
        <v>6.04</v>
      </c>
      <c r="Q307" s="8" t="n">
        <v>672</v>
      </c>
      <c r="R307" s="8" t="n">
        <v>259</v>
      </c>
      <c r="S307" s="8" t="s">
        <v>216</v>
      </c>
      <c r="T307" s="8" t="s">
        <v>355</v>
      </c>
      <c r="U307" s="8" t="s">
        <v>356</v>
      </c>
      <c r="V307" s="8"/>
      <c r="W307" s="8" t="s">
        <v>357</v>
      </c>
      <c r="X307" s="8" t="s">
        <v>464</v>
      </c>
      <c r="Y307" s="8" t="s">
        <v>2662</v>
      </c>
      <c r="Z307" s="8"/>
    </row>
    <row r="308" customFormat="false" ht="15" hidden="false" customHeight="false" outlineLevel="0" collapsed="false">
      <c r="A308" s="8" t="s">
        <v>90</v>
      </c>
      <c r="B308" s="8" t="s">
        <v>19</v>
      </c>
      <c r="C308" s="8" t="s">
        <v>20</v>
      </c>
      <c r="D308" s="8" t="s">
        <v>615</v>
      </c>
      <c r="E308" s="8" t="s">
        <v>38</v>
      </c>
      <c r="F308" s="8" t="s">
        <v>49</v>
      </c>
      <c r="G308" s="8" t="s">
        <v>32</v>
      </c>
      <c r="H308" s="8" t="s">
        <v>32</v>
      </c>
      <c r="I308" s="8" t="n">
        <f aca="false">IF(EXACT(G308,H308),1,0)</f>
        <v>1</v>
      </c>
      <c r="J308" s="8" t="n">
        <v>0</v>
      </c>
      <c r="K308" s="8" t="s">
        <v>92</v>
      </c>
      <c r="L308" s="8" t="n">
        <v>0</v>
      </c>
      <c r="M308" s="8" t="n">
        <v>0</v>
      </c>
      <c r="N308" s="8"/>
      <c r="O308" s="8" t="n">
        <v>1</v>
      </c>
      <c r="P308" s="10" t="n">
        <v>9.05</v>
      </c>
      <c r="Q308" s="8" t="n">
        <v>612</v>
      </c>
      <c r="R308" s="8" t="n">
        <v>193</v>
      </c>
      <c r="S308" s="8" t="s">
        <v>94</v>
      </c>
      <c r="T308" s="8" t="s">
        <v>95</v>
      </c>
      <c r="U308" s="8" t="s">
        <v>96</v>
      </c>
      <c r="V308" s="8"/>
      <c r="W308" s="8" t="s">
        <v>97</v>
      </c>
      <c r="X308" s="8" t="s">
        <v>465</v>
      </c>
      <c r="Y308" s="8" t="s">
        <v>2663</v>
      </c>
      <c r="Z308" s="8"/>
    </row>
    <row r="309" customFormat="false" ht="15" hidden="false" customHeight="false" outlineLevel="0" collapsed="false">
      <c r="A309" s="8" t="s">
        <v>90</v>
      </c>
      <c r="B309" s="8" t="s">
        <v>19</v>
      </c>
      <c r="C309" s="8" t="s">
        <v>20</v>
      </c>
      <c r="D309" s="8" t="s">
        <v>615</v>
      </c>
      <c r="E309" s="8" t="s">
        <v>38</v>
      </c>
      <c r="F309" s="8" t="s">
        <v>49</v>
      </c>
      <c r="G309" s="8" t="s">
        <v>32</v>
      </c>
      <c r="H309" s="8" t="s">
        <v>32</v>
      </c>
      <c r="I309" s="8" t="n">
        <f aca="false">IF(EXACT(G309,H309),1,0)</f>
        <v>1</v>
      </c>
      <c r="J309" s="8" t="n">
        <v>1</v>
      </c>
      <c r="K309" s="8" t="s">
        <v>92</v>
      </c>
      <c r="L309" s="8" t="n">
        <v>0</v>
      </c>
      <c r="M309" s="8" t="n">
        <v>0</v>
      </c>
      <c r="N309" s="8"/>
      <c r="O309" s="8" t="n">
        <v>1</v>
      </c>
      <c r="P309" s="10" t="n">
        <v>8.53</v>
      </c>
      <c r="Q309" s="8" t="n">
        <v>612</v>
      </c>
      <c r="R309" s="8" t="n">
        <v>228</v>
      </c>
      <c r="S309" s="8" t="s">
        <v>94</v>
      </c>
      <c r="T309" s="8" t="s">
        <v>95</v>
      </c>
      <c r="U309" s="8" t="s">
        <v>96</v>
      </c>
      <c r="V309" s="8"/>
      <c r="W309" s="8" t="s">
        <v>97</v>
      </c>
      <c r="X309" s="8" t="s">
        <v>465</v>
      </c>
      <c r="Y309" s="8" t="s">
        <v>2664</v>
      </c>
      <c r="Z309" s="8"/>
    </row>
    <row r="310" customFormat="false" ht="15" hidden="false" customHeight="false" outlineLevel="0" collapsed="false">
      <c r="A310" s="8" t="s">
        <v>90</v>
      </c>
      <c r="B310" s="8" t="s">
        <v>19</v>
      </c>
      <c r="C310" s="8" t="s">
        <v>20</v>
      </c>
      <c r="D310" s="8" t="s">
        <v>615</v>
      </c>
      <c r="E310" s="8" t="s">
        <v>38</v>
      </c>
      <c r="F310" s="8" t="s">
        <v>49</v>
      </c>
      <c r="G310" s="8" t="s">
        <v>32</v>
      </c>
      <c r="H310" s="8" t="s">
        <v>32</v>
      </c>
      <c r="I310" s="8" t="n">
        <f aca="false">IF(EXACT(G310,H310),1,0)</f>
        <v>1</v>
      </c>
      <c r="J310" s="8" t="n">
        <v>2</v>
      </c>
      <c r="K310" s="8" t="s">
        <v>92</v>
      </c>
      <c r="L310" s="8" t="n">
        <v>0</v>
      </c>
      <c r="M310" s="8" t="n">
        <v>0</v>
      </c>
      <c r="N310" s="8"/>
      <c r="O310" s="8" t="n">
        <v>1</v>
      </c>
      <c r="P310" s="10" t="n">
        <v>7.69</v>
      </c>
      <c r="Q310" s="8" t="n">
        <v>612</v>
      </c>
      <c r="R310" s="8" t="n">
        <v>189</v>
      </c>
      <c r="S310" s="8" t="s">
        <v>94</v>
      </c>
      <c r="T310" s="8" t="s">
        <v>95</v>
      </c>
      <c r="U310" s="8" t="s">
        <v>96</v>
      </c>
      <c r="V310" s="8"/>
      <c r="W310" s="8" t="s">
        <v>97</v>
      </c>
      <c r="X310" s="8" t="s">
        <v>465</v>
      </c>
      <c r="Y310" s="8" t="s">
        <v>2665</v>
      </c>
      <c r="Z310" s="8"/>
    </row>
    <row r="311" customFormat="false" ht="15" hidden="false" customHeight="false" outlineLevel="0" collapsed="false">
      <c r="A311" s="8" t="s">
        <v>100</v>
      </c>
      <c r="B311" s="8" t="s">
        <v>19</v>
      </c>
      <c r="C311" s="8" t="s">
        <v>20</v>
      </c>
      <c r="D311" s="8" t="s">
        <v>615</v>
      </c>
      <c r="E311" s="8" t="s">
        <v>38</v>
      </c>
      <c r="F311" s="8" t="s">
        <v>49</v>
      </c>
      <c r="G311" s="8" t="s">
        <v>32</v>
      </c>
      <c r="H311" s="8" t="s">
        <v>32</v>
      </c>
      <c r="I311" s="8" t="n">
        <f aca="false">IF(EXACT(G311,H311),1,0)</f>
        <v>1</v>
      </c>
      <c r="J311" s="8" t="n">
        <v>0</v>
      </c>
      <c r="K311" s="8" t="s">
        <v>92</v>
      </c>
      <c r="L311" s="8" t="n">
        <v>0</v>
      </c>
      <c r="M311" s="8" t="n">
        <v>0</v>
      </c>
      <c r="N311" s="8"/>
      <c r="O311" s="8" t="n">
        <v>1</v>
      </c>
      <c r="P311" s="10" t="n">
        <v>6.06</v>
      </c>
      <c r="Q311" s="8" t="n">
        <v>613</v>
      </c>
      <c r="R311" s="8" t="n">
        <v>187</v>
      </c>
      <c r="S311" s="8" t="s">
        <v>101</v>
      </c>
      <c r="T311" s="8" t="s">
        <v>95</v>
      </c>
      <c r="U311" s="8" t="s">
        <v>96</v>
      </c>
      <c r="V311" s="8"/>
      <c r="W311" s="8" t="s">
        <v>102</v>
      </c>
      <c r="X311" s="8" t="s">
        <v>466</v>
      </c>
      <c r="Y311" s="8" t="s">
        <v>2666</v>
      </c>
      <c r="Z311" s="8"/>
    </row>
    <row r="312" customFormat="false" ht="15" hidden="false" customHeight="false" outlineLevel="0" collapsed="false">
      <c r="A312" s="8" t="s">
        <v>100</v>
      </c>
      <c r="B312" s="8" t="s">
        <v>19</v>
      </c>
      <c r="C312" s="8" t="s">
        <v>20</v>
      </c>
      <c r="D312" s="8" t="s">
        <v>615</v>
      </c>
      <c r="E312" s="8" t="s">
        <v>38</v>
      </c>
      <c r="F312" s="8" t="s">
        <v>49</v>
      </c>
      <c r="G312" s="8" t="s">
        <v>32</v>
      </c>
      <c r="H312" s="8" t="s">
        <v>30</v>
      </c>
      <c r="I312" s="8" t="n">
        <f aca="false">IF(EXACT(G312,H312),1,0)</f>
        <v>0</v>
      </c>
      <c r="J312" s="8" t="n">
        <v>1</v>
      </c>
      <c r="K312" s="8" t="s">
        <v>92</v>
      </c>
      <c r="L312" s="8" t="n">
        <v>0</v>
      </c>
      <c r="M312" s="8" t="n">
        <v>0</v>
      </c>
      <c r="N312" s="8"/>
      <c r="O312" s="8" t="n">
        <v>1</v>
      </c>
      <c r="P312" s="10" t="n">
        <v>4.91</v>
      </c>
      <c r="Q312" s="8" t="n">
        <v>613</v>
      </c>
      <c r="R312" s="8" t="n">
        <v>146</v>
      </c>
      <c r="S312" s="8" t="s">
        <v>101</v>
      </c>
      <c r="T312" s="8" t="s">
        <v>95</v>
      </c>
      <c r="U312" s="8" t="s">
        <v>96</v>
      </c>
      <c r="V312" s="8"/>
      <c r="W312" s="8" t="s">
        <v>102</v>
      </c>
      <c r="X312" s="8" t="s">
        <v>466</v>
      </c>
      <c r="Y312" s="8" t="s">
        <v>2667</v>
      </c>
      <c r="Z312" s="8"/>
    </row>
    <row r="313" customFormat="false" ht="15" hidden="false" customHeight="false" outlineLevel="0" collapsed="false">
      <c r="A313" s="8" t="s">
        <v>100</v>
      </c>
      <c r="B313" s="8" t="s">
        <v>19</v>
      </c>
      <c r="C313" s="8" t="s">
        <v>20</v>
      </c>
      <c r="D313" s="8" t="s">
        <v>615</v>
      </c>
      <c r="E313" s="8" t="s">
        <v>38</v>
      </c>
      <c r="F313" s="8" t="s">
        <v>49</v>
      </c>
      <c r="G313" s="8" t="s">
        <v>32</v>
      </c>
      <c r="H313" s="8" t="s">
        <v>30</v>
      </c>
      <c r="I313" s="8" t="n">
        <f aca="false">IF(EXACT(G313,H313),1,0)</f>
        <v>0</v>
      </c>
      <c r="J313" s="8" t="n">
        <v>2</v>
      </c>
      <c r="K313" s="8" t="s">
        <v>92</v>
      </c>
      <c r="L313" s="8" t="n">
        <v>0</v>
      </c>
      <c r="M313" s="8" t="n">
        <v>0</v>
      </c>
      <c r="N313" s="8"/>
      <c r="O313" s="8" t="n">
        <v>1</v>
      </c>
      <c r="P313" s="10" t="n">
        <v>7.06</v>
      </c>
      <c r="Q313" s="8" t="n">
        <v>613</v>
      </c>
      <c r="R313" s="8" t="n">
        <v>208</v>
      </c>
      <c r="S313" s="8" t="s">
        <v>101</v>
      </c>
      <c r="T313" s="8" t="s">
        <v>95</v>
      </c>
      <c r="U313" s="8" t="s">
        <v>96</v>
      </c>
      <c r="V313" s="8"/>
      <c r="W313" s="8" t="s">
        <v>102</v>
      </c>
      <c r="X313" s="8" t="s">
        <v>466</v>
      </c>
      <c r="Y313" s="8" t="s">
        <v>2668</v>
      </c>
      <c r="Z313" s="8"/>
    </row>
    <row r="314" customFormat="false" ht="15" hidden="false" customHeight="false" outlineLevel="0" collapsed="false">
      <c r="A314" s="8" t="s">
        <v>104</v>
      </c>
      <c r="B314" s="8" t="s">
        <v>19</v>
      </c>
      <c r="C314" s="8" t="s">
        <v>20</v>
      </c>
      <c r="D314" s="8" t="s">
        <v>615</v>
      </c>
      <c r="E314" s="8" t="s">
        <v>38</v>
      </c>
      <c r="F314" s="8" t="s">
        <v>49</v>
      </c>
      <c r="G314" s="8" t="s">
        <v>30</v>
      </c>
      <c r="H314" s="8" t="s">
        <v>30</v>
      </c>
      <c r="I314" s="8" t="n">
        <f aca="false">IF(EXACT(G314,H314),1,0)</f>
        <v>1</v>
      </c>
      <c r="J314" s="8" t="n">
        <v>0</v>
      </c>
      <c r="K314" s="8" t="s">
        <v>92</v>
      </c>
      <c r="L314" s="8" t="n">
        <v>0</v>
      </c>
      <c r="M314" s="8" t="n">
        <v>0</v>
      </c>
      <c r="N314" s="8"/>
      <c r="O314" s="8" t="n">
        <v>1</v>
      </c>
      <c r="P314" s="10" t="n">
        <v>8.91</v>
      </c>
      <c r="Q314" s="8" t="n">
        <v>602</v>
      </c>
      <c r="R314" s="8" t="n">
        <v>322</v>
      </c>
      <c r="S314" s="8" t="s">
        <v>105</v>
      </c>
      <c r="T314" s="8" t="s">
        <v>95</v>
      </c>
      <c r="U314" s="8" t="s">
        <v>96</v>
      </c>
      <c r="V314" s="8"/>
      <c r="W314" s="8" t="s">
        <v>106</v>
      </c>
      <c r="X314" s="8" t="s">
        <v>467</v>
      </c>
      <c r="Y314" s="8" t="s">
        <v>2669</v>
      </c>
      <c r="Z314" s="8"/>
    </row>
    <row r="315" customFormat="false" ht="15" hidden="false" customHeight="false" outlineLevel="0" collapsed="false">
      <c r="A315" s="8" t="s">
        <v>104</v>
      </c>
      <c r="B315" s="8" t="s">
        <v>19</v>
      </c>
      <c r="C315" s="8" t="s">
        <v>20</v>
      </c>
      <c r="D315" s="8" t="s">
        <v>615</v>
      </c>
      <c r="E315" s="8" t="s">
        <v>38</v>
      </c>
      <c r="F315" s="8" t="s">
        <v>49</v>
      </c>
      <c r="G315" s="8" t="s">
        <v>30</v>
      </c>
      <c r="H315" s="8" t="s">
        <v>30</v>
      </c>
      <c r="I315" s="8" t="n">
        <f aca="false">IF(EXACT(G315,H315),1,0)</f>
        <v>1</v>
      </c>
      <c r="J315" s="8" t="n">
        <v>1</v>
      </c>
      <c r="K315" s="8" t="s">
        <v>92</v>
      </c>
      <c r="L315" s="8" t="n">
        <v>0</v>
      </c>
      <c r="M315" s="8" t="n">
        <v>0</v>
      </c>
      <c r="N315" s="8"/>
      <c r="O315" s="8" t="n">
        <v>1</v>
      </c>
      <c r="P315" s="10" t="n">
        <v>7.99</v>
      </c>
      <c r="Q315" s="8" t="n">
        <v>602</v>
      </c>
      <c r="R315" s="8" t="n">
        <v>335</v>
      </c>
      <c r="S315" s="8" t="s">
        <v>105</v>
      </c>
      <c r="T315" s="8" t="s">
        <v>95</v>
      </c>
      <c r="U315" s="8" t="s">
        <v>96</v>
      </c>
      <c r="V315" s="8"/>
      <c r="W315" s="8" t="s">
        <v>106</v>
      </c>
      <c r="X315" s="8" t="s">
        <v>467</v>
      </c>
      <c r="Y315" s="8" t="s">
        <v>2670</v>
      </c>
      <c r="Z315" s="8"/>
    </row>
    <row r="316" customFormat="false" ht="15" hidden="false" customHeight="false" outlineLevel="0" collapsed="false">
      <c r="A316" s="8" t="s">
        <v>104</v>
      </c>
      <c r="B316" s="8" t="s">
        <v>19</v>
      </c>
      <c r="C316" s="8" t="s">
        <v>20</v>
      </c>
      <c r="D316" s="8" t="s">
        <v>615</v>
      </c>
      <c r="E316" s="8" t="s">
        <v>38</v>
      </c>
      <c r="F316" s="8" t="s">
        <v>49</v>
      </c>
      <c r="G316" s="8" t="s">
        <v>30</v>
      </c>
      <c r="H316" s="8" t="s">
        <v>30</v>
      </c>
      <c r="I316" s="8" t="n">
        <f aca="false">IF(EXACT(G316,H316),1,0)</f>
        <v>1</v>
      </c>
      <c r="J316" s="8" t="n">
        <v>2</v>
      </c>
      <c r="K316" s="8" t="s">
        <v>92</v>
      </c>
      <c r="L316" s="8" t="n">
        <v>0</v>
      </c>
      <c r="M316" s="8" t="n">
        <v>0</v>
      </c>
      <c r="N316" s="8"/>
      <c r="O316" s="8" t="n">
        <v>1</v>
      </c>
      <c r="P316" s="10" t="n">
        <v>9.11</v>
      </c>
      <c r="Q316" s="8" t="n">
        <v>602</v>
      </c>
      <c r="R316" s="8" t="n">
        <v>335</v>
      </c>
      <c r="S316" s="8" t="s">
        <v>105</v>
      </c>
      <c r="T316" s="8" t="s">
        <v>95</v>
      </c>
      <c r="U316" s="8" t="s">
        <v>96</v>
      </c>
      <c r="V316" s="8"/>
      <c r="W316" s="8" t="s">
        <v>106</v>
      </c>
      <c r="X316" s="8" t="s">
        <v>467</v>
      </c>
      <c r="Y316" s="8" t="s">
        <v>2671</v>
      </c>
      <c r="Z316" s="8"/>
    </row>
    <row r="317" customFormat="false" ht="15" hidden="false" customHeight="false" outlineLevel="0" collapsed="false">
      <c r="A317" s="8" t="s">
        <v>109</v>
      </c>
      <c r="B317" s="8" t="s">
        <v>19</v>
      </c>
      <c r="C317" s="8" t="s">
        <v>20</v>
      </c>
      <c r="D317" s="8" t="s">
        <v>615</v>
      </c>
      <c r="E317" s="8" t="s">
        <v>38</v>
      </c>
      <c r="F317" s="8" t="s">
        <v>49</v>
      </c>
      <c r="G317" s="8" t="s">
        <v>30</v>
      </c>
      <c r="H317" s="8" t="s">
        <v>31</v>
      </c>
      <c r="I317" s="8" t="n">
        <f aca="false">IF(EXACT(G317,H317),1,0)</f>
        <v>0</v>
      </c>
      <c r="J317" s="8" t="n">
        <v>0</v>
      </c>
      <c r="K317" s="8" t="s">
        <v>116</v>
      </c>
      <c r="L317" s="8" t="n">
        <v>1</v>
      </c>
      <c r="M317" s="8" t="n">
        <v>0</v>
      </c>
      <c r="N317" s="8"/>
      <c r="O317" s="8" t="n">
        <v>1</v>
      </c>
      <c r="P317" s="10" t="n">
        <v>15.25</v>
      </c>
      <c r="Q317" s="8" t="n">
        <v>825</v>
      </c>
      <c r="R317" s="8" t="n">
        <v>404</v>
      </c>
      <c r="S317" s="8" t="s">
        <v>110</v>
      </c>
      <c r="T317" s="8" t="s">
        <v>111</v>
      </c>
      <c r="U317" s="8" t="s">
        <v>112</v>
      </c>
      <c r="V317" s="8"/>
      <c r="W317" s="8" t="s">
        <v>113</v>
      </c>
      <c r="X317" s="8" t="s">
        <v>469</v>
      </c>
      <c r="Y317" s="8" t="s">
        <v>2672</v>
      </c>
      <c r="Z317" s="8" t="s">
        <v>2673</v>
      </c>
    </row>
    <row r="318" customFormat="false" ht="15" hidden="false" customHeight="false" outlineLevel="0" collapsed="false">
      <c r="A318" s="8" t="s">
        <v>109</v>
      </c>
      <c r="B318" s="8" t="s">
        <v>19</v>
      </c>
      <c r="C318" s="8" t="s">
        <v>20</v>
      </c>
      <c r="D318" s="8" t="s">
        <v>615</v>
      </c>
      <c r="E318" s="8" t="s">
        <v>38</v>
      </c>
      <c r="F318" s="8" t="s">
        <v>49</v>
      </c>
      <c r="G318" s="8" t="s">
        <v>30</v>
      </c>
      <c r="H318" s="8" t="s">
        <v>31</v>
      </c>
      <c r="I318" s="8" t="n">
        <f aca="false">IF(EXACT(G318,H318),1,0)</f>
        <v>0</v>
      </c>
      <c r="J318" s="8" t="n">
        <v>1</v>
      </c>
      <c r="K318" s="8" t="s">
        <v>116</v>
      </c>
      <c r="L318" s="8" t="n">
        <v>1</v>
      </c>
      <c r="M318" s="8" t="n">
        <v>0</v>
      </c>
      <c r="N318" s="8"/>
      <c r="O318" s="8" t="n">
        <v>1</v>
      </c>
      <c r="P318" s="10" t="n">
        <v>14.54</v>
      </c>
      <c r="Q318" s="8" t="n">
        <v>825</v>
      </c>
      <c r="R318" s="8" t="n">
        <v>375</v>
      </c>
      <c r="S318" s="8" t="s">
        <v>110</v>
      </c>
      <c r="T318" s="8" t="s">
        <v>111</v>
      </c>
      <c r="U318" s="8" t="s">
        <v>112</v>
      </c>
      <c r="V318" s="8"/>
      <c r="W318" s="8" t="s">
        <v>113</v>
      </c>
      <c r="X318" s="8" t="s">
        <v>469</v>
      </c>
      <c r="Y318" s="8" t="s">
        <v>2674</v>
      </c>
      <c r="Z318" s="8" t="s">
        <v>2675</v>
      </c>
    </row>
    <row r="319" customFormat="false" ht="15" hidden="false" customHeight="false" outlineLevel="0" collapsed="false">
      <c r="A319" s="8" t="s">
        <v>109</v>
      </c>
      <c r="B319" s="8" t="s">
        <v>19</v>
      </c>
      <c r="C319" s="8" t="s">
        <v>20</v>
      </c>
      <c r="D319" s="8" t="s">
        <v>615</v>
      </c>
      <c r="E319" s="8" t="s">
        <v>38</v>
      </c>
      <c r="F319" s="8" t="s">
        <v>49</v>
      </c>
      <c r="G319" s="8" t="s">
        <v>30</v>
      </c>
      <c r="H319" s="8" t="s">
        <v>31</v>
      </c>
      <c r="I319" s="8" t="n">
        <f aca="false">IF(EXACT(G319,H319),1,0)</f>
        <v>0</v>
      </c>
      <c r="J319" s="8" t="n">
        <v>2</v>
      </c>
      <c r="K319" s="8" t="s">
        <v>116</v>
      </c>
      <c r="L319" s="8" t="n">
        <v>1</v>
      </c>
      <c r="M319" s="8" t="n">
        <v>0</v>
      </c>
      <c r="N319" s="8"/>
      <c r="O319" s="8" t="n">
        <v>1</v>
      </c>
      <c r="P319" s="10" t="n">
        <v>14.95</v>
      </c>
      <c r="Q319" s="8" t="n">
        <v>825</v>
      </c>
      <c r="R319" s="8" t="n">
        <v>378</v>
      </c>
      <c r="S319" s="8" t="s">
        <v>110</v>
      </c>
      <c r="T319" s="8" t="s">
        <v>111</v>
      </c>
      <c r="U319" s="8" t="s">
        <v>112</v>
      </c>
      <c r="V319" s="8"/>
      <c r="W319" s="8" t="s">
        <v>113</v>
      </c>
      <c r="X319" s="8" t="s">
        <v>469</v>
      </c>
      <c r="Y319" s="8" t="s">
        <v>2676</v>
      </c>
      <c r="Z319" s="8" t="s">
        <v>2677</v>
      </c>
    </row>
    <row r="320" customFormat="false" ht="15" hidden="false" customHeight="false" outlineLevel="0" collapsed="false">
      <c r="A320" s="8" t="s">
        <v>115</v>
      </c>
      <c r="B320" s="8" t="s">
        <v>19</v>
      </c>
      <c r="C320" s="8" t="s">
        <v>20</v>
      </c>
      <c r="D320" s="8" t="s">
        <v>615</v>
      </c>
      <c r="E320" s="8" t="s">
        <v>38</v>
      </c>
      <c r="F320" s="8" t="s">
        <v>49</v>
      </c>
      <c r="G320" s="8" t="s">
        <v>31</v>
      </c>
      <c r="H320" s="8" t="s">
        <v>31</v>
      </c>
      <c r="I320" s="8" t="n">
        <f aca="false">IF(EXACT(G320,H320),1,0)</f>
        <v>1</v>
      </c>
      <c r="J320" s="8" t="n">
        <v>0</v>
      </c>
      <c r="K320" s="8" t="s">
        <v>116</v>
      </c>
      <c r="L320" s="8" t="n">
        <v>1</v>
      </c>
      <c r="M320" s="8" t="n">
        <v>0</v>
      </c>
      <c r="N320" s="8"/>
      <c r="O320" s="8" t="n">
        <v>1</v>
      </c>
      <c r="P320" s="10" t="n">
        <v>8.7</v>
      </c>
      <c r="Q320" s="8" t="n">
        <v>793</v>
      </c>
      <c r="R320" s="8" t="n">
        <v>420</v>
      </c>
      <c r="S320" s="8" t="s">
        <v>117</v>
      </c>
      <c r="T320" s="8" t="s">
        <v>111</v>
      </c>
      <c r="U320" s="8" t="s">
        <v>112</v>
      </c>
      <c r="V320" s="8"/>
      <c r="W320" s="8" t="s">
        <v>118</v>
      </c>
      <c r="X320" s="8" t="s">
        <v>470</v>
      </c>
      <c r="Y320" s="8" t="s">
        <v>2678</v>
      </c>
      <c r="Z320" s="8" t="s">
        <v>2679</v>
      </c>
    </row>
    <row r="321" customFormat="false" ht="15" hidden="false" customHeight="false" outlineLevel="0" collapsed="false">
      <c r="A321" s="8" t="s">
        <v>115</v>
      </c>
      <c r="B321" s="8" t="s">
        <v>19</v>
      </c>
      <c r="C321" s="8" t="s">
        <v>20</v>
      </c>
      <c r="D321" s="8" t="s">
        <v>615</v>
      </c>
      <c r="E321" s="8" t="s">
        <v>38</v>
      </c>
      <c r="F321" s="8" t="s">
        <v>49</v>
      </c>
      <c r="G321" s="8" t="s">
        <v>31</v>
      </c>
      <c r="H321" s="8" t="s">
        <v>31</v>
      </c>
      <c r="I321" s="8" t="n">
        <f aca="false">IF(EXACT(G321,H321),1,0)</f>
        <v>1</v>
      </c>
      <c r="J321" s="8" t="n">
        <v>1</v>
      </c>
      <c r="K321" s="8" t="s">
        <v>116</v>
      </c>
      <c r="L321" s="8" t="n">
        <v>1</v>
      </c>
      <c r="M321" s="8" t="n">
        <v>0</v>
      </c>
      <c r="N321" s="8"/>
      <c r="O321" s="8" t="n">
        <v>1</v>
      </c>
      <c r="P321" s="10" t="n">
        <v>7.58</v>
      </c>
      <c r="Q321" s="8" t="n">
        <v>793</v>
      </c>
      <c r="R321" s="8" t="n">
        <v>396</v>
      </c>
      <c r="S321" s="8" t="s">
        <v>117</v>
      </c>
      <c r="T321" s="8" t="s">
        <v>111</v>
      </c>
      <c r="U321" s="8" t="s">
        <v>112</v>
      </c>
      <c r="V321" s="8"/>
      <c r="W321" s="8" t="s">
        <v>118</v>
      </c>
      <c r="X321" s="8" t="s">
        <v>470</v>
      </c>
      <c r="Y321" s="8" t="s">
        <v>2680</v>
      </c>
      <c r="Z321" s="8" t="s">
        <v>2679</v>
      </c>
    </row>
    <row r="322" customFormat="false" ht="15" hidden="false" customHeight="false" outlineLevel="0" collapsed="false">
      <c r="A322" s="8" t="s">
        <v>115</v>
      </c>
      <c r="B322" s="8" t="s">
        <v>19</v>
      </c>
      <c r="C322" s="8" t="s">
        <v>20</v>
      </c>
      <c r="D322" s="8" t="s">
        <v>615</v>
      </c>
      <c r="E322" s="8" t="s">
        <v>38</v>
      </c>
      <c r="F322" s="8" t="s">
        <v>49</v>
      </c>
      <c r="G322" s="8" t="s">
        <v>31</v>
      </c>
      <c r="H322" s="8" t="s">
        <v>31</v>
      </c>
      <c r="I322" s="8" t="n">
        <f aca="false">IF(EXACT(G322,H322),1,0)</f>
        <v>1</v>
      </c>
      <c r="J322" s="8" t="n">
        <v>2</v>
      </c>
      <c r="K322" s="8" t="s">
        <v>116</v>
      </c>
      <c r="L322" s="8" t="n">
        <v>1</v>
      </c>
      <c r="M322" s="8" t="n">
        <v>0</v>
      </c>
      <c r="N322" s="8"/>
      <c r="O322" s="8" t="n">
        <v>1</v>
      </c>
      <c r="P322" s="10" t="n">
        <v>7.27</v>
      </c>
      <c r="Q322" s="8" t="n">
        <v>793</v>
      </c>
      <c r="R322" s="8" t="n">
        <v>390</v>
      </c>
      <c r="S322" s="8" t="s">
        <v>117</v>
      </c>
      <c r="T322" s="8" t="s">
        <v>111</v>
      </c>
      <c r="U322" s="8" t="s">
        <v>112</v>
      </c>
      <c r="V322" s="8"/>
      <c r="W322" s="8" t="s">
        <v>118</v>
      </c>
      <c r="X322" s="8" t="s">
        <v>470</v>
      </c>
      <c r="Y322" s="8" t="s">
        <v>2681</v>
      </c>
      <c r="Z322" s="8" t="s">
        <v>2682</v>
      </c>
    </row>
    <row r="323" customFormat="false" ht="15" hidden="false" customHeight="false" outlineLevel="0" collapsed="false">
      <c r="A323" s="8" t="s">
        <v>121</v>
      </c>
      <c r="B323" s="8" t="s">
        <v>19</v>
      </c>
      <c r="C323" s="8" t="s">
        <v>20</v>
      </c>
      <c r="D323" s="8" t="s">
        <v>615</v>
      </c>
      <c r="E323" s="8" t="s">
        <v>38</v>
      </c>
      <c r="F323" s="8" t="s">
        <v>49</v>
      </c>
      <c r="G323" s="8" t="s">
        <v>31</v>
      </c>
      <c r="H323" s="8" t="s">
        <v>31</v>
      </c>
      <c r="I323" s="8" t="n">
        <f aca="false">IF(EXACT(G323,H323),1,0)</f>
        <v>1</v>
      </c>
      <c r="J323" s="8" t="n">
        <v>0</v>
      </c>
      <c r="K323" s="8" t="s">
        <v>116</v>
      </c>
      <c r="L323" s="8" t="n">
        <v>3</v>
      </c>
      <c r="M323" s="8" t="n">
        <v>0</v>
      </c>
      <c r="N323" s="8"/>
      <c r="O323" s="8" t="n">
        <v>1</v>
      </c>
      <c r="P323" s="10" t="n">
        <v>14.45</v>
      </c>
      <c r="Q323" s="8" t="n">
        <v>607</v>
      </c>
      <c r="R323" s="8" t="n">
        <v>547</v>
      </c>
      <c r="S323" s="8" t="s">
        <v>117</v>
      </c>
      <c r="T323" s="8" t="s">
        <v>95</v>
      </c>
      <c r="U323" s="8" t="s">
        <v>96</v>
      </c>
      <c r="V323" s="8"/>
      <c r="W323" s="8" t="s">
        <v>122</v>
      </c>
      <c r="X323" s="8" t="s">
        <v>471</v>
      </c>
      <c r="Y323" s="8" t="s">
        <v>2683</v>
      </c>
      <c r="Z323" s="8" t="s">
        <v>2684</v>
      </c>
    </row>
    <row r="324" customFormat="false" ht="15" hidden="false" customHeight="false" outlineLevel="0" collapsed="false">
      <c r="A324" s="8" t="s">
        <v>121</v>
      </c>
      <c r="B324" s="8" t="s">
        <v>19</v>
      </c>
      <c r="C324" s="8" t="s">
        <v>20</v>
      </c>
      <c r="D324" s="8" t="s">
        <v>615</v>
      </c>
      <c r="E324" s="8" t="s">
        <v>38</v>
      </c>
      <c r="F324" s="8" t="s">
        <v>49</v>
      </c>
      <c r="G324" s="8" t="s">
        <v>31</v>
      </c>
      <c r="H324" s="8" t="s">
        <v>31</v>
      </c>
      <c r="I324" s="8" t="n">
        <f aca="false">IF(EXACT(G324,H324),1,0)</f>
        <v>1</v>
      </c>
      <c r="J324" s="8" t="n">
        <v>1</v>
      </c>
      <c r="K324" s="8" t="s">
        <v>116</v>
      </c>
      <c r="L324" s="8" t="n">
        <v>3</v>
      </c>
      <c r="M324" s="8" t="n">
        <v>0</v>
      </c>
      <c r="N324" s="8"/>
      <c r="O324" s="8" t="n">
        <v>1</v>
      </c>
      <c r="P324" s="10" t="n">
        <v>12.54</v>
      </c>
      <c r="Q324" s="8" t="n">
        <v>607</v>
      </c>
      <c r="R324" s="8" t="n">
        <v>555</v>
      </c>
      <c r="S324" s="8" t="s">
        <v>117</v>
      </c>
      <c r="T324" s="8" t="s">
        <v>95</v>
      </c>
      <c r="U324" s="8" t="s">
        <v>96</v>
      </c>
      <c r="V324" s="8"/>
      <c r="W324" s="8" t="s">
        <v>122</v>
      </c>
      <c r="X324" s="8" t="s">
        <v>471</v>
      </c>
      <c r="Y324" s="8" t="s">
        <v>2685</v>
      </c>
      <c r="Z324" s="8" t="s">
        <v>2686</v>
      </c>
    </row>
    <row r="325" customFormat="false" ht="15" hidden="false" customHeight="false" outlineLevel="0" collapsed="false">
      <c r="A325" s="8" t="s">
        <v>121</v>
      </c>
      <c r="B325" s="8" t="s">
        <v>19</v>
      </c>
      <c r="C325" s="8" t="s">
        <v>20</v>
      </c>
      <c r="D325" s="8" t="s">
        <v>615</v>
      </c>
      <c r="E325" s="8" t="s">
        <v>38</v>
      </c>
      <c r="F325" s="8" t="s">
        <v>49</v>
      </c>
      <c r="G325" s="8" t="s">
        <v>31</v>
      </c>
      <c r="H325" s="8" t="s">
        <v>31</v>
      </c>
      <c r="I325" s="8" t="n">
        <f aca="false">IF(EXACT(G325,H325),1,0)</f>
        <v>1</v>
      </c>
      <c r="J325" s="8" t="n">
        <v>2</v>
      </c>
      <c r="K325" s="8" t="s">
        <v>116</v>
      </c>
      <c r="L325" s="8" t="n">
        <v>3</v>
      </c>
      <c r="M325" s="8" t="n">
        <v>0</v>
      </c>
      <c r="N325" s="8"/>
      <c r="O325" s="8" t="n">
        <v>1</v>
      </c>
      <c r="P325" s="10" t="n">
        <v>10.7</v>
      </c>
      <c r="Q325" s="8" t="n">
        <v>607</v>
      </c>
      <c r="R325" s="8" t="n">
        <v>554</v>
      </c>
      <c r="S325" s="8" t="s">
        <v>117</v>
      </c>
      <c r="T325" s="8" t="s">
        <v>95</v>
      </c>
      <c r="U325" s="8" t="s">
        <v>96</v>
      </c>
      <c r="V325" s="8"/>
      <c r="W325" s="8" t="s">
        <v>122</v>
      </c>
      <c r="X325" s="8" t="s">
        <v>471</v>
      </c>
      <c r="Y325" s="8" t="s">
        <v>2687</v>
      </c>
      <c r="Z325" s="8" t="s">
        <v>2688</v>
      </c>
    </row>
    <row r="326" customFormat="false" ht="15" hidden="false" customHeight="false" outlineLevel="0" collapsed="false">
      <c r="A326" s="8" t="s">
        <v>472</v>
      </c>
      <c r="B326" s="8" t="s">
        <v>19</v>
      </c>
      <c r="C326" s="8" t="s">
        <v>20</v>
      </c>
      <c r="D326" s="8" t="s">
        <v>615</v>
      </c>
      <c r="E326" s="8" t="s">
        <v>38</v>
      </c>
      <c r="F326" s="8" t="s">
        <v>52</v>
      </c>
      <c r="G326" s="8" t="s">
        <v>30</v>
      </c>
      <c r="H326" s="8" t="s">
        <v>31</v>
      </c>
      <c r="I326" s="8" t="n">
        <f aca="false">IF(EXACT(G326,H326),1,0)</f>
        <v>0</v>
      </c>
      <c r="J326" s="8" t="n">
        <v>0</v>
      </c>
      <c r="K326" s="8" t="s">
        <v>116</v>
      </c>
      <c r="L326" s="8" t="n">
        <v>1</v>
      </c>
      <c r="M326" s="8" t="n">
        <v>0</v>
      </c>
      <c r="N326" s="8"/>
      <c r="O326" s="8" t="n">
        <v>1</v>
      </c>
      <c r="P326" s="10" t="n">
        <v>19.67</v>
      </c>
      <c r="Q326" s="8" t="n">
        <v>1010</v>
      </c>
      <c r="R326" s="8" t="n">
        <v>471</v>
      </c>
      <c r="S326" s="8" t="s">
        <v>473</v>
      </c>
      <c r="T326" s="8" t="s">
        <v>474</v>
      </c>
      <c r="U326" s="8" t="s">
        <v>475</v>
      </c>
      <c r="V326" s="8"/>
      <c r="W326" s="8" t="s">
        <v>476</v>
      </c>
      <c r="X326" s="8" t="s">
        <v>477</v>
      </c>
      <c r="Y326" s="8" t="s">
        <v>2689</v>
      </c>
      <c r="Z326" s="8" t="s">
        <v>2690</v>
      </c>
    </row>
    <row r="327" customFormat="false" ht="15" hidden="false" customHeight="false" outlineLevel="0" collapsed="false">
      <c r="A327" s="8" t="s">
        <v>472</v>
      </c>
      <c r="B327" s="8" t="s">
        <v>19</v>
      </c>
      <c r="C327" s="8" t="s">
        <v>20</v>
      </c>
      <c r="D327" s="8" t="s">
        <v>615</v>
      </c>
      <c r="E327" s="8" t="s">
        <v>38</v>
      </c>
      <c r="F327" s="8" t="s">
        <v>52</v>
      </c>
      <c r="G327" s="8" t="s">
        <v>30</v>
      </c>
      <c r="H327" s="8" t="s">
        <v>30</v>
      </c>
      <c r="I327" s="8" t="n">
        <f aca="false">IF(EXACT(G327,H327),1,0)</f>
        <v>1</v>
      </c>
      <c r="J327" s="8" t="n">
        <v>1</v>
      </c>
      <c r="K327" s="8" t="s">
        <v>92</v>
      </c>
      <c r="L327" s="8" t="n">
        <v>0</v>
      </c>
      <c r="M327" s="8" t="n">
        <v>0</v>
      </c>
      <c r="N327" s="8"/>
      <c r="O327" s="8" t="n">
        <v>1</v>
      </c>
      <c r="P327" s="10" t="n">
        <v>7.76</v>
      </c>
      <c r="Q327" s="8" t="n">
        <v>1010</v>
      </c>
      <c r="R327" s="8" t="n">
        <v>342</v>
      </c>
      <c r="S327" s="8" t="s">
        <v>473</v>
      </c>
      <c r="T327" s="8" t="s">
        <v>474</v>
      </c>
      <c r="U327" s="8" t="s">
        <v>475</v>
      </c>
      <c r="V327" s="8"/>
      <c r="W327" s="8" t="s">
        <v>476</v>
      </c>
      <c r="X327" s="8" t="s">
        <v>477</v>
      </c>
      <c r="Y327" s="8" t="s">
        <v>2691</v>
      </c>
      <c r="Z327" s="8"/>
    </row>
    <row r="328" customFormat="false" ht="15" hidden="false" customHeight="false" outlineLevel="0" collapsed="false">
      <c r="A328" s="8" t="s">
        <v>472</v>
      </c>
      <c r="B328" s="8" t="s">
        <v>19</v>
      </c>
      <c r="C328" s="8" t="s">
        <v>20</v>
      </c>
      <c r="D328" s="8" t="s">
        <v>615</v>
      </c>
      <c r="E328" s="8" t="s">
        <v>38</v>
      </c>
      <c r="F328" s="8" t="s">
        <v>52</v>
      </c>
      <c r="G328" s="8" t="s">
        <v>30</v>
      </c>
      <c r="H328" s="8" t="s">
        <v>30</v>
      </c>
      <c r="I328" s="8" t="n">
        <f aca="false">IF(EXACT(G328,H328),1,0)</f>
        <v>1</v>
      </c>
      <c r="J328" s="8" t="n">
        <v>2</v>
      </c>
      <c r="K328" s="8" t="s">
        <v>92</v>
      </c>
      <c r="L328" s="8" t="n">
        <v>0</v>
      </c>
      <c r="M328" s="8" t="n">
        <v>0</v>
      </c>
      <c r="N328" s="8"/>
      <c r="O328" s="8" t="n">
        <v>1</v>
      </c>
      <c r="P328" s="10" t="n">
        <v>16.62</v>
      </c>
      <c r="Q328" s="8" t="n">
        <v>1010</v>
      </c>
      <c r="R328" s="8" t="n">
        <v>342</v>
      </c>
      <c r="S328" s="8" t="s">
        <v>473</v>
      </c>
      <c r="T328" s="8" t="s">
        <v>474</v>
      </c>
      <c r="U328" s="8" t="s">
        <v>475</v>
      </c>
      <c r="V328" s="8"/>
      <c r="W328" s="8" t="s">
        <v>476</v>
      </c>
      <c r="X328" s="8" t="s">
        <v>477</v>
      </c>
      <c r="Y328" s="8" t="s">
        <v>2692</v>
      </c>
      <c r="Z328" s="8"/>
    </row>
    <row r="329" customFormat="false" ht="15" hidden="false" customHeight="false" outlineLevel="0" collapsed="false">
      <c r="A329" s="8" t="s">
        <v>478</v>
      </c>
      <c r="B329" s="8" t="s">
        <v>19</v>
      </c>
      <c r="C329" s="8" t="s">
        <v>20</v>
      </c>
      <c r="D329" s="8" t="s">
        <v>615</v>
      </c>
      <c r="E329" s="8" t="s">
        <v>38</v>
      </c>
      <c r="F329" s="8" t="s">
        <v>52</v>
      </c>
      <c r="G329" s="8" t="s">
        <v>30</v>
      </c>
      <c r="H329" s="8" t="s">
        <v>31</v>
      </c>
      <c r="I329" s="8" t="n">
        <f aca="false">IF(EXACT(G329,H329),1,0)</f>
        <v>0</v>
      </c>
      <c r="J329" s="8" t="n">
        <v>0</v>
      </c>
      <c r="K329" s="8" t="s">
        <v>737</v>
      </c>
      <c r="L329" s="8" t="n">
        <v>1</v>
      </c>
      <c r="M329" s="8" t="n">
        <v>0</v>
      </c>
      <c r="N329" s="8"/>
      <c r="O329" s="8" t="n">
        <v>1</v>
      </c>
      <c r="P329" s="10" t="n">
        <v>11.58</v>
      </c>
      <c r="Q329" s="8" t="n">
        <v>744</v>
      </c>
      <c r="R329" s="8" t="n">
        <v>450</v>
      </c>
      <c r="S329" s="8" t="s">
        <v>232</v>
      </c>
      <c r="T329" s="8" t="s">
        <v>474</v>
      </c>
      <c r="U329" s="8" t="s">
        <v>475</v>
      </c>
      <c r="V329" s="8"/>
      <c r="W329" s="8" t="s">
        <v>479</v>
      </c>
      <c r="X329" s="8" t="s">
        <v>480</v>
      </c>
      <c r="Y329" s="8" t="s">
        <v>2693</v>
      </c>
      <c r="Z329" s="8" t="s">
        <v>2694</v>
      </c>
    </row>
    <row r="330" customFormat="false" ht="15" hidden="false" customHeight="false" outlineLevel="0" collapsed="false">
      <c r="A330" s="8" t="s">
        <v>478</v>
      </c>
      <c r="B330" s="8" t="s">
        <v>19</v>
      </c>
      <c r="C330" s="8" t="s">
        <v>20</v>
      </c>
      <c r="D330" s="8" t="s">
        <v>615</v>
      </c>
      <c r="E330" s="8" t="s">
        <v>38</v>
      </c>
      <c r="F330" s="8" t="s">
        <v>52</v>
      </c>
      <c r="G330" s="8" t="s">
        <v>30</v>
      </c>
      <c r="H330" s="8" t="s">
        <v>31</v>
      </c>
      <c r="I330" s="8" t="n">
        <f aca="false">IF(EXACT(G330,H330),1,0)</f>
        <v>0</v>
      </c>
      <c r="J330" s="8" t="n">
        <v>1</v>
      </c>
      <c r="K330" s="8" t="s">
        <v>737</v>
      </c>
      <c r="L330" s="8" t="n">
        <v>1</v>
      </c>
      <c r="M330" s="8" t="n">
        <v>0</v>
      </c>
      <c r="N330" s="8"/>
      <c r="O330" s="8" t="n">
        <v>1</v>
      </c>
      <c r="P330" s="10" t="n">
        <v>9.2</v>
      </c>
      <c r="Q330" s="8" t="n">
        <v>744</v>
      </c>
      <c r="R330" s="8" t="n">
        <v>420</v>
      </c>
      <c r="S330" s="8" t="s">
        <v>232</v>
      </c>
      <c r="T330" s="8" t="s">
        <v>474</v>
      </c>
      <c r="U330" s="8" t="s">
        <v>475</v>
      </c>
      <c r="V330" s="8"/>
      <c r="W330" s="8" t="s">
        <v>479</v>
      </c>
      <c r="X330" s="8" t="s">
        <v>480</v>
      </c>
      <c r="Y330" s="8" t="s">
        <v>2695</v>
      </c>
      <c r="Z330" s="8" t="s">
        <v>2696</v>
      </c>
    </row>
    <row r="331" customFormat="false" ht="15" hidden="false" customHeight="false" outlineLevel="0" collapsed="false">
      <c r="A331" s="8" t="s">
        <v>478</v>
      </c>
      <c r="B331" s="8" t="s">
        <v>19</v>
      </c>
      <c r="C331" s="8" t="s">
        <v>20</v>
      </c>
      <c r="D331" s="8" t="s">
        <v>615</v>
      </c>
      <c r="E331" s="8" t="s">
        <v>38</v>
      </c>
      <c r="F331" s="8" t="s">
        <v>52</v>
      </c>
      <c r="G331" s="8" t="s">
        <v>30</v>
      </c>
      <c r="H331" s="8" t="s">
        <v>31</v>
      </c>
      <c r="I331" s="8" t="n">
        <f aca="false">IF(EXACT(G331,H331),1,0)</f>
        <v>0</v>
      </c>
      <c r="J331" s="8" t="n">
        <v>2</v>
      </c>
      <c r="K331" s="8" t="s">
        <v>737</v>
      </c>
      <c r="L331" s="8" t="n">
        <v>2</v>
      </c>
      <c r="M331" s="8" t="n">
        <v>0</v>
      </c>
      <c r="N331" s="8"/>
      <c r="O331" s="8" t="n">
        <v>1</v>
      </c>
      <c r="P331" s="10" t="n">
        <v>11.98</v>
      </c>
      <c r="Q331" s="8" t="n">
        <v>744</v>
      </c>
      <c r="R331" s="8" t="n">
        <v>544</v>
      </c>
      <c r="S331" s="8" t="s">
        <v>232</v>
      </c>
      <c r="T331" s="8" t="s">
        <v>474</v>
      </c>
      <c r="U331" s="8" t="s">
        <v>475</v>
      </c>
      <c r="V331" s="8"/>
      <c r="W331" s="8" t="s">
        <v>479</v>
      </c>
      <c r="X331" s="8" t="s">
        <v>480</v>
      </c>
      <c r="Y331" s="8" t="s">
        <v>2697</v>
      </c>
      <c r="Z331" s="8" t="s">
        <v>2698</v>
      </c>
    </row>
    <row r="332" customFormat="false" ht="15" hidden="false" customHeight="false" outlineLevel="0" collapsed="false">
      <c r="A332" s="8" t="s">
        <v>481</v>
      </c>
      <c r="B332" s="8" t="s">
        <v>19</v>
      </c>
      <c r="C332" s="8" t="s">
        <v>20</v>
      </c>
      <c r="D332" s="8" t="s">
        <v>615</v>
      </c>
      <c r="E332" s="8" t="s">
        <v>38</v>
      </c>
      <c r="F332" s="8" t="s">
        <v>52</v>
      </c>
      <c r="G332" s="8" t="s">
        <v>31</v>
      </c>
      <c r="H332" s="8" t="s">
        <v>31</v>
      </c>
      <c r="I332" s="8" t="n">
        <f aca="false">IF(EXACT(G332,H332),1,0)</f>
        <v>1</v>
      </c>
      <c r="J332" s="8" t="n">
        <v>0</v>
      </c>
      <c r="K332" s="8" t="s">
        <v>737</v>
      </c>
      <c r="L332" s="8" t="n">
        <v>2</v>
      </c>
      <c r="M332" s="8" t="n">
        <v>0</v>
      </c>
      <c r="N332" s="8"/>
      <c r="O332" s="8" t="n">
        <v>1</v>
      </c>
      <c r="P332" s="10" t="n">
        <v>12.9</v>
      </c>
      <c r="Q332" s="8" t="n">
        <v>752</v>
      </c>
      <c r="R332" s="8" t="n">
        <v>633</v>
      </c>
      <c r="S332" s="8" t="s">
        <v>117</v>
      </c>
      <c r="T332" s="8" t="s">
        <v>474</v>
      </c>
      <c r="U332" s="8" t="s">
        <v>475</v>
      </c>
      <c r="V332" s="8"/>
      <c r="W332" s="8" t="s">
        <v>482</v>
      </c>
      <c r="X332" s="8" t="s">
        <v>483</v>
      </c>
      <c r="Y332" s="8" t="s">
        <v>2699</v>
      </c>
      <c r="Z332" s="8" t="s">
        <v>2700</v>
      </c>
    </row>
    <row r="333" customFormat="false" ht="15" hidden="false" customHeight="false" outlineLevel="0" collapsed="false">
      <c r="A333" s="8" t="s">
        <v>481</v>
      </c>
      <c r="B333" s="8" t="s">
        <v>19</v>
      </c>
      <c r="C333" s="8" t="s">
        <v>20</v>
      </c>
      <c r="D333" s="8" t="s">
        <v>615</v>
      </c>
      <c r="E333" s="8" t="s">
        <v>38</v>
      </c>
      <c r="F333" s="8" t="s">
        <v>52</v>
      </c>
      <c r="G333" s="8" t="s">
        <v>31</v>
      </c>
      <c r="H333" s="8" t="s">
        <v>31</v>
      </c>
      <c r="I333" s="8" t="n">
        <f aca="false">IF(EXACT(G333,H333),1,0)</f>
        <v>1</v>
      </c>
      <c r="J333" s="8" t="n">
        <v>1</v>
      </c>
      <c r="K333" s="8" t="s">
        <v>116</v>
      </c>
      <c r="L333" s="8" t="n">
        <v>2</v>
      </c>
      <c r="M333" s="8" t="n">
        <v>0</v>
      </c>
      <c r="N333" s="8"/>
      <c r="O333" s="8" t="n">
        <v>1</v>
      </c>
      <c r="P333" s="10" t="n">
        <v>19.66</v>
      </c>
      <c r="Q333" s="8" t="n">
        <v>752</v>
      </c>
      <c r="R333" s="8" t="n">
        <v>646</v>
      </c>
      <c r="S333" s="8" t="s">
        <v>117</v>
      </c>
      <c r="T333" s="8" t="s">
        <v>474</v>
      </c>
      <c r="U333" s="8" t="s">
        <v>475</v>
      </c>
      <c r="V333" s="8"/>
      <c r="W333" s="8" t="s">
        <v>482</v>
      </c>
      <c r="X333" s="8" t="s">
        <v>483</v>
      </c>
      <c r="Y333" s="8" t="s">
        <v>2701</v>
      </c>
      <c r="Z333" s="8" t="s">
        <v>2702</v>
      </c>
    </row>
    <row r="334" customFormat="false" ht="15" hidden="false" customHeight="false" outlineLevel="0" collapsed="false">
      <c r="A334" s="8" t="s">
        <v>481</v>
      </c>
      <c r="B334" s="8" t="s">
        <v>19</v>
      </c>
      <c r="C334" s="8" t="s">
        <v>20</v>
      </c>
      <c r="D334" s="8" t="s">
        <v>615</v>
      </c>
      <c r="E334" s="8" t="s">
        <v>38</v>
      </c>
      <c r="F334" s="8" t="s">
        <v>52</v>
      </c>
      <c r="G334" s="8" t="s">
        <v>31</v>
      </c>
      <c r="H334" s="8" t="s">
        <v>31</v>
      </c>
      <c r="I334" s="8" t="n">
        <f aca="false">IF(EXACT(G334,H334),1,0)</f>
        <v>1</v>
      </c>
      <c r="J334" s="8" t="n">
        <v>2</v>
      </c>
      <c r="K334" s="8" t="s">
        <v>116</v>
      </c>
      <c r="L334" s="8" t="n">
        <v>2</v>
      </c>
      <c r="M334" s="8" t="n">
        <v>0</v>
      </c>
      <c r="N334" s="8"/>
      <c r="O334" s="8" t="n">
        <v>1</v>
      </c>
      <c r="P334" s="10" t="n">
        <v>16.59</v>
      </c>
      <c r="Q334" s="8" t="n">
        <v>752</v>
      </c>
      <c r="R334" s="8" t="n">
        <v>682</v>
      </c>
      <c r="S334" s="8" t="s">
        <v>117</v>
      </c>
      <c r="T334" s="8" t="s">
        <v>474</v>
      </c>
      <c r="U334" s="8" t="s">
        <v>475</v>
      </c>
      <c r="V334" s="8"/>
      <c r="W334" s="8" t="s">
        <v>482</v>
      </c>
      <c r="X334" s="8" t="s">
        <v>483</v>
      </c>
      <c r="Y334" s="8" t="s">
        <v>2703</v>
      </c>
      <c r="Z334" s="8" t="s">
        <v>2704</v>
      </c>
    </row>
    <row r="335" customFormat="false" ht="15" hidden="false" customHeight="false" outlineLevel="0" collapsed="false">
      <c r="A335" s="8" t="s">
        <v>484</v>
      </c>
      <c r="B335" s="8" t="s">
        <v>19</v>
      </c>
      <c r="C335" s="8" t="s">
        <v>20</v>
      </c>
      <c r="D335" s="8" t="s">
        <v>615</v>
      </c>
      <c r="E335" s="8" t="s">
        <v>38</v>
      </c>
      <c r="F335" s="8" t="s">
        <v>52</v>
      </c>
      <c r="G335" s="8" t="s">
        <v>32</v>
      </c>
      <c r="H335" s="8" t="s">
        <v>30</v>
      </c>
      <c r="I335" s="8" t="n">
        <f aca="false">IF(EXACT(G335,H335),1,0)</f>
        <v>0</v>
      </c>
      <c r="J335" s="8" t="n">
        <v>0</v>
      </c>
      <c r="K335" s="8" t="s">
        <v>92</v>
      </c>
      <c r="L335" s="8" t="n">
        <v>0</v>
      </c>
      <c r="M335" s="8" t="n">
        <v>0</v>
      </c>
      <c r="N335" s="8"/>
      <c r="O335" s="8" t="n">
        <v>1</v>
      </c>
      <c r="P335" s="10" t="n">
        <v>7.18</v>
      </c>
      <c r="Q335" s="8" t="n">
        <v>573</v>
      </c>
      <c r="R335" s="8" t="n">
        <v>195</v>
      </c>
      <c r="S335" s="8" t="s">
        <v>132</v>
      </c>
      <c r="T335" s="8" t="s">
        <v>474</v>
      </c>
      <c r="U335" s="8" t="s">
        <v>475</v>
      </c>
      <c r="V335" s="8"/>
      <c r="W335" s="8" t="s">
        <v>485</v>
      </c>
      <c r="X335" s="8" t="s">
        <v>486</v>
      </c>
      <c r="Y335" s="8" t="s">
        <v>2705</v>
      </c>
      <c r="Z335" s="8"/>
    </row>
    <row r="336" customFormat="false" ht="15" hidden="false" customHeight="false" outlineLevel="0" collapsed="false">
      <c r="A336" s="8" t="s">
        <v>484</v>
      </c>
      <c r="B336" s="8" t="s">
        <v>19</v>
      </c>
      <c r="C336" s="8" t="s">
        <v>20</v>
      </c>
      <c r="D336" s="8" t="s">
        <v>615</v>
      </c>
      <c r="E336" s="8" t="s">
        <v>38</v>
      </c>
      <c r="F336" s="8" t="s">
        <v>52</v>
      </c>
      <c r="G336" s="8" t="s">
        <v>32</v>
      </c>
      <c r="H336" s="8" t="s">
        <v>30</v>
      </c>
      <c r="I336" s="8" t="n">
        <f aca="false">IF(EXACT(G336,H336),1,0)</f>
        <v>0</v>
      </c>
      <c r="J336" s="8" t="n">
        <v>1</v>
      </c>
      <c r="K336" s="8" t="s">
        <v>92</v>
      </c>
      <c r="L336" s="8" t="n">
        <v>0</v>
      </c>
      <c r="M336" s="8" t="n">
        <v>0</v>
      </c>
      <c r="N336" s="8"/>
      <c r="O336" s="8" t="n">
        <v>1</v>
      </c>
      <c r="P336" s="10" t="n">
        <v>3.68</v>
      </c>
      <c r="Q336" s="8" t="n">
        <v>573</v>
      </c>
      <c r="R336" s="8" t="n">
        <v>140</v>
      </c>
      <c r="S336" s="8" t="s">
        <v>132</v>
      </c>
      <c r="T336" s="8" t="s">
        <v>474</v>
      </c>
      <c r="U336" s="8" t="s">
        <v>475</v>
      </c>
      <c r="V336" s="8"/>
      <c r="W336" s="8" t="s">
        <v>485</v>
      </c>
      <c r="X336" s="8" t="s">
        <v>486</v>
      </c>
      <c r="Y336" s="8" t="s">
        <v>2706</v>
      </c>
      <c r="Z336" s="8"/>
    </row>
    <row r="337" customFormat="false" ht="15" hidden="false" customHeight="false" outlineLevel="0" collapsed="false">
      <c r="A337" s="8" t="s">
        <v>484</v>
      </c>
      <c r="B337" s="8" t="s">
        <v>19</v>
      </c>
      <c r="C337" s="8" t="s">
        <v>20</v>
      </c>
      <c r="D337" s="8" t="s">
        <v>615</v>
      </c>
      <c r="E337" s="8" t="s">
        <v>38</v>
      </c>
      <c r="F337" s="8" t="s">
        <v>52</v>
      </c>
      <c r="G337" s="8" t="s">
        <v>32</v>
      </c>
      <c r="H337" s="8" t="s">
        <v>30</v>
      </c>
      <c r="I337" s="8" t="n">
        <f aca="false">IF(EXACT(G337,H337),1,0)</f>
        <v>0</v>
      </c>
      <c r="J337" s="8" t="n">
        <v>2</v>
      </c>
      <c r="K337" s="8" t="s">
        <v>92</v>
      </c>
      <c r="L337" s="8" t="n">
        <v>0</v>
      </c>
      <c r="M337" s="8" t="n">
        <v>0</v>
      </c>
      <c r="N337" s="8"/>
      <c r="O337" s="8" t="n">
        <v>1</v>
      </c>
      <c r="P337" s="10" t="n">
        <v>3.99</v>
      </c>
      <c r="Q337" s="8" t="n">
        <v>573</v>
      </c>
      <c r="R337" s="8" t="n">
        <v>138</v>
      </c>
      <c r="S337" s="8" t="s">
        <v>132</v>
      </c>
      <c r="T337" s="8" t="s">
        <v>474</v>
      </c>
      <c r="U337" s="8" t="s">
        <v>475</v>
      </c>
      <c r="V337" s="8"/>
      <c r="W337" s="8" t="s">
        <v>485</v>
      </c>
      <c r="X337" s="8" t="s">
        <v>486</v>
      </c>
      <c r="Y337" s="8" t="s">
        <v>2707</v>
      </c>
      <c r="Z337" s="8"/>
    </row>
    <row r="338" customFormat="false" ht="15" hidden="false" customHeight="false" outlineLevel="0" collapsed="false">
      <c r="A338" s="8" t="s">
        <v>487</v>
      </c>
      <c r="B338" s="8" t="s">
        <v>19</v>
      </c>
      <c r="C338" s="8" t="s">
        <v>20</v>
      </c>
      <c r="D338" s="8" t="s">
        <v>615</v>
      </c>
      <c r="E338" s="8" t="s">
        <v>38</v>
      </c>
      <c r="F338" s="8" t="s">
        <v>52</v>
      </c>
      <c r="G338" s="8" t="s">
        <v>31</v>
      </c>
      <c r="H338" s="8" t="s">
        <v>31</v>
      </c>
      <c r="I338" s="8" t="n">
        <f aca="false">IF(EXACT(G338,H338),1,0)</f>
        <v>1</v>
      </c>
      <c r="J338" s="8" t="n">
        <v>0</v>
      </c>
      <c r="K338" s="8" t="s">
        <v>737</v>
      </c>
      <c r="L338" s="8" t="n">
        <v>2</v>
      </c>
      <c r="M338" s="8" t="n">
        <v>0</v>
      </c>
      <c r="N338" s="8"/>
      <c r="O338" s="8" t="n">
        <v>1</v>
      </c>
      <c r="P338" s="10" t="n">
        <v>13.76</v>
      </c>
      <c r="Q338" s="8" t="n">
        <v>754</v>
      </c>
      <c r="R338" s="8" t="n">
        <v>634</v>
      </c>
      <c r="S338" s="8" t="s">
        <v>488</v>
      </c>
      <c r="T338" s="8"/>
      <c r="U338" s="8"/>
      <c r="V338" s="8" t="s">
        <v>155</v>
      </c>
      <c r="W338" s="8"/>
      <c r="X338" s="8" t="s">
        <v>489</v>
      </c>
      <c r="Y338" s="8" t="s">
        <v>2708</v>
      </c>
      <c r="Z338" s="8" t="s">
        <v>2709</v>
      </c>
    </row>
    <row r="339" customFormat="false" ht="15" hidden="false" customHeight="false" outlineLevel="0" collapsed="false">
      <c r="A339" s="8" t="s">
        <v>487</v>
      </c>
      <c r="B339" s="8" t="s">
        <v>19</v>
      </c>
      <c r="C339" s="8" t="s">
        <v>20</v>
      </c>
      <c r="D339" s="8" t="s">
        <v>615</v>
      </c>
      <c r="E339" s="8" t="s">
        <v>38</v>
      </c>
      <c r="F339" s="8" t="s">
        <v>52</v>
      </c>
      <c r="G339" s="8" t="s">
        <v>31</v>
      </c>
      <c r="H339" s="8" t="s">
        <v>31</v>
      </c>
      <c r="I339" s="8" t="n">
        <f aca="false">IF(EXACT(G339,H339),1,0)</f>
        <v>1</v>
      </c>
      <c r="J339" s="8" t="n">
        <v>1</v>
      </c>
      <c r="K339" s="8" t="s">
        <v>737</v>
      </c>
      <c r="L339" s="8" t="n">
        <v>3</v>
      </c>
      <c r="M339" s="8" t="n">
        <v>0</v>
      </c>
      <c r="N339" s="8"/>
      <c r="O339" s="8" t="n">
        <v>1</v>
      </c>
      <c r="P339" s="10" t="n">
        <v>17.92</v>
      </c>
      <c r="Q339" s="8" t="n">
        <v>754</v>
      </c>
      <c r="R339" s="8" t="n">
        <v>807</v>
      </c>
      <c r="S339" s="8" t="s">
        <v>488</v>
      </c>
      <c r="T339" s="8"/>
      <c r="U339" s="8"/>
      <c r="V339" s="8" t="s">
        <v>155</v>
      </c>
      <c r="W339" s="8"/>
      <c r="X339" s="8" t="s">
        <v>489</v>
      </c>
      <c r="Y339" s="8" t="s">
        <v>2710</v>
      </c>
      <c r="Z339" s="8" t="s">
        <v>2711</v>
      </c>
    </row>
    <row r="340" customFormat="false" ht="15" hidden="false" customHeight="false" outlineLevel="0" collapsed="false">
      <c r="A340" s="8" t="s">
        <v>487</v>
      </c>
      <c r="B340" s="8" t="s">
        <v>19</v>
      </c>
      <c r="C340" s="8" t="s">
        <v>20</v>
      </c>
      <c r="D340" s="8" t="s">
        <v>615</v>
      </c>
      <c r="E340" s="8" t="s">
        <v>38</v>
      </c>
      <c r="F340" s="8" t="s">
        <v>52</v>
      </c>
      <c r="G340" s="8" t="s">
        <v>31</v>
      </c>
      <c r="H340" s="8" t="s">
        <v>31</v>
      </c>
      <c r="I340" s="8" t="n">
        <f aca="false">IF(EXACT(G340,H340),1,0)</f>
        <v>1</v>
      </c>
      <c r="J340" s="8" t="n">
        <v>2</v>
      </c>
      <c r="K340" s="8" t="s">
        <v>116</v>
      </c>
      <c r="L340" s="8" t="n">
        <v>2</v>
      </c>
      <c r="M340" s="8" t="n">
        <v>0</v>
      </c>
      <c r="N340" s="8"/>
      <c r="O340" s="8" t="n">
        <v>1</v>
      </c>
      <c r="P340" s="10" t="n">
        <v>13.82</v>
      </c>
      <c r="Q340" s="8" t="n">
        <v>754</v>
      </c>
      <c r="R340" s="8" t="n">
        <v>642</v>
      </c>
      <c r="S340" s="8" t="s">
        <v>488</v>
      </c>
      <c r="T340" s="8"/>
      <c r="U340" s="8"/>
      <c r="V340" s="8" t="s">
        <v>155</v>
      </c>
      <c r="W340" s="8"/>
      <c r="X340" s="8" t="s">
        <v>489</v>
      </c>
      <c r="Y340" s="8" t="s">
        <v>2712</v>
      </c>
      <c r="Z340" s="8" t="s">
        <v>2713</v>
      </c>
    </row>
    <row r="341" customFormat="false" ht="15" hidden="false" customHeight="false" outlineLevel="0" collapsed="false">
      <c r="A341" s="8" t="s">
        <v>490</v>
      </c>
      <c r="B341" s="8" t="s">
        <v>19</v>
      </c>
      <c r="C341" s="8" t="s">
        <v>20</v>
      </c>
      <c r="D341" s="8" t="s">
        <v>615</v>
      </c>
      <c r="E341" s="8" t="s">
        <v>38</v>
      </c>
      <c r="F341" s="8" t="s">
        <v>52</v>
      </c>
      <c r="G341" s="8" t="s">
        <v>32</v>
      </c>
      <c r="H341" s="8" t="s">
        <v>30</v>
      </c>
      <c r="I341" s="8" t="n">
        <f aca="false">IF(EXACT(G341,H341),1,0)</f>
        <v>0</v>
      </c>
      <c r="J341" s="8" t="n">
        <v>0</v>
      </c>
      <c r="K341" s="8" t="s">
        <v>92</v>
      </c>
      <c r="L341" s="8" t="n">
        <v>0</v>
      </c>
      <c r="M341" s="8" t="n">
        <v>0</v>
      </c>
      <c r="N341" s="8"/>
      <c r="O341" s="8" t="n">
        <v>1</v>
      </c>
      <c r="P341" s="10" t="n">
        <v>7.55</v>
      </c>
      <c r="Q341" s="8" t="n">
        <v>646</v>
      </c>
      <c r="R341" s="8" t="n">
        <v>301</v>
      </c>
      <c r="S341" s="8" t="s">
        <v>491</v>
      </c>
      <c r="T341" s="8"/>
      <c r="U341" s="8"/>
      <c r="V341" s="8" t="s">
        <v>155</v>
      </c>
      <c r="W341" s="8"/>
      <c r="X341" s="8" t="s">
        <v>492</v>
      </c>
      <c r="Y341" s="8" t="s">
        <v>2714</v>
      </c>
      <c r="Z341" s="8"/>
    </row>
    <row r="342" customFormat="false" ht="15" hidden="false" customHeight="false" outlineLevel="0" collapsed="false">
      <c r="A342" s="8" t="s">
        <v>490</v>
      </c>
      <c r="B342" s="8" t="s">
        <v>19</v>
      </c>
      <c r="C342" s="8" t="s">
        <v>20</v>
      </c>
      <c r="D342" s="8" t="s">
        <v>615</v>
      </c>
      <c r="E342" s="8" t="s">
        <v>38</v>
      </c>
      <c r="F342" s="8" t="s">
        <v>52</v>
      </c>
      <c r="G342" s="8" t="s">
        <v>32</v>
      </c>
      <c r="H342" s="8" t="s">
        <v>30</v>
      </c>
      <c r="I342" s="8" t="n">
        <f aca="false">IF(EXACT(G342,H342),1,0)</f>
        <v>0</v>
      </c>
      <c r="J342" s="8" t="n">
        <v>1</v>
      </c>
      <c r="K342" s="8" t="s">
        <v>92</v>
      </c>
      <c r="L342" s="8" t="n">
        <v>0</v>
      </c>
      <c r="M342" s="8" t="n">
        <v>0</v>
      </c>
      <c r="N342" s="8"/>
      <c r="O342" s="8" t="n">
        <v>1</v>
      </c>
      <c r="P342" s="10" t="n">
        <v>5.21</v>
      </c>
      <c r="Q342" s="8" t="n">
        <v>646</v>
      </c>
      <c r="R342" s="8" t="n">
        <v>212</v>
      </c>
      <c r="S342" s="8" t="s">
        <v>491</v>
      </c>
      <c r="T342" s="8"/>
      <c r="U342" s="8"/>
      <c r="V342" s="8" t="s">
        <v>155</v>
      </c>
      <c r="W342" s="8"/>
      <c r="X342" s="8" t="s">
        <v>492</v>
      </c>
      <c r="Y342" s="8" t="s">
        <v>2715</v>
      </c>
      <c r="Z342" s="8"/>
    </row>
    <row r="343" customFormat="false" ht="15" hidden="false" customHeight="false" outlineLevel="0" collapsed="false">
      <c r="A343" s="8" t="s">
        <v>490</v>
      </c>
      <c r="B343" s="8" t="s">
        <v>19</v>
      </c>
      <c r="C343" s="8" t="s">
        <v>20</v>
      </c>
      <c r="D343" s="8" t="s">
        <v>615</v>
      </c>
      <c r="E343" s="8" t="s">
        <v>38</v>
      </c>
      <c r="F343" s="8" t="s">
        <v>52</v>
      </c>
      <c r="G343" s="8" t="s">
        <v>32</v>
      </c>
      <c r="H343" s="8" t="s">
        <v>30</v>
      </c>
      <c r="I343" s="8" t="n">
        <f aca="false">IF(EXACT(G343,H343),1,0)</f>
        <v>0</v>
      </c>
      <c r="J343" s="8" t="n">
        <v>2</v>
      </c>
      <c r="K343" s="8" t="s">
        <v>92</v>
      </c>
      <c r="L343" s="8" t="n">
        <v>0</v>
      </c>
      <c r="M343" s="8" t="n">
        <v>0</v>
      </c>
      <c r="N343" s="8"/>
      <c r="O343" s="8" t="n">
        <v>1</v>
      </c>
      <c r="P343" s="10" t="n">
        <v>5.24</v>
      </c>
      <c r="Q343" s="8" t="n">
        <v>646</v>
      </c>
      <c r="R343" s="8" t="n">
        <v>212</v>
      </c>
      <c r="S343" s="8" t="s">
        <v>491</v>
      </c>
      <c r="T343" s="8"/>
      <c r="U343" s="8"/>
      <c r="V343" s="8" t="s">
        <v>155</v>
      </c>
      <c r="W343" s="8"/>
      <c r="X343" s="8" t="s">
        <v>492</v>
      </c>
      <c r="Y343" s="8" t="s">
        <v>2715</v>
      </c>
      <c r="Z343" s="8"/>
    </row>
    <row r="344" customFormat="false" ht="15" hidden="false" customHeight="false" outlineLevel="0" collapsed="false">
      <c r="A344" s="8" t="s">
        <v>493</v>
      </c>
      <c r="B344" s="8" t="s">
        <v>19</v>
      </c>
      <c r="C344" s="8" t="s">
        <v>20</v>
      </c>
      <c r="D344" s="8" t="s">
        <v>615</v>
      </c>
      <c r="E344" s="8" t="s">
        <v>38</v>
      </c>
      <c r="F344" s="8" t="s">
        <v>63</v>
      </c>
      <c r="G344" s="8" t="s">
        <v>31</v>
      </c>
      <c r="H344" s="8" t="s">
        <v>31</v>
      </c>
      <c r="I344" s="8" t="n">
        <f aca="false">IF(EXACT(G344,H344),1,0)</f>
        <v>1</v>
      </c>
      <c r="J344" s="8" t="n">
        <v>0</v>
      </c>
      <c r="K344" s="8" t="s">
        <v>116</v>
      </c>
      <c r="L344" s="8" t="n">
        <v>2</v>
      </c>
      <c r="M344" s="8" t="n">
        <v>0</v>
      </c>
      <c r="N344" s="8"/>
      <c r="O344" s="8" t="n">
        <v>1</v>
      </c>
      <c r="P344" s="10" t="n">
        <v>9.93</v>
      </c>
      <c r="Q344" s="8" t="n">
        <v>596</v>
      </c>
      <c r="R344" s="8" t="n">
        <v>436</v>
      </c>
      <c r="S344" s="8" t="s">
        <v>117</v>
      </c>
      <c r="T344" s="8" t="s">
        <v>494</v>
      </c>
      <c r="U344" s="8" t="s">
        <v>495</v>
      </c>
      <c r="V344" s="8"/>
      <c r="W344" s="8" t="s">
        <v>496</v>
      </c>
      <c r="X344" s="8" t="s">
        <v>497</v>
      </c>
      <c r="Y344" s="8" t="s">
        <v>2716</v>
      </c>
      <c r="Z344" s="8" t="s">
        <v>2717</v>
      </c>
    </row>
    <row r="345" customFormat="false" ht="15" hidden="false" customHeight="false" outlineLevel="0" collapsed="false">
      <c r="A345" s="8" t="s">
        <v>493</v>
      </c>
      <c r="B345" s="8" t="s">
        <v>19</v>
      </c>
      <c r="C345" s="8" t="s">
        <v>20</v>
      </c>
      <c r="D345" s="8" t="s">
        <v>615</v>
      </c>
      <c r="E345" s="8" t="s">
        <v>38</v>
      </c>
      <c r="F345" s="8" t="s">
        <v>63</v>
      </c>
      <c r="G345" s="8" t="s">
        <v>31</v>
      </c>
      <c r="H345" s="8" t="s">
        <v>31</v>
      </c>
      <c r="I345" s="8" t="n">
        <f aca="false">IF(EXACT(G345,H345),1,0)</f>
        <v>1</v>
      </c>
      <c r="J345" s="8" t="n">
        <v>1</v>
      </c>
      <c r="K345" s="8" t="s">
        <v>116</v>
      </c>
      <c r="L345" s="8" t="n">
        <v>2</v>
      </c>
      <c r="M345" s="8" t="n">
        <v>0</v>
      </c>
      <c r="N345" s="8"/>
      <c r="O345" s="8" t="n">
        <v>1</v>
      </c>
      <c r="P345" s="10" t="n">
        <v>8.9</v>
      </c>
      <c r="Q345" s="8" t="n">
        <v>596</v>
      </c>
      <c r="R345" s="8" t="n">
        <v>452</v>
      </c>
      <c r="S345" s="8" t="s">
        <v>117</v>
      </c>
      <c r="T345" s="8" t="s">
        <v>494</v>
      </c>
      <c r="U345" s="8" t="s">
        <v>495</v>
      </c>
      <c r="V345" s="8"/>
      <c r="W345" s="8" t="s">
        <v>496</v>
      </c>
      <c r="X345" s="8" t="s">
        <v>497</v>
      </c>
      <c r="Y345" s="8" t="s">
        <v>2718</v>
      </c>
      <c r="Z345" s="8" t="s">
        <v>2719</v>
      </c>
    </row>
    <row r="346" customFormat="false" ht="15" hidden="false" customHeight="false" outlineLevel="0" collapsed="false">
      <c r="A346" s="8" t="s">
        <v>493</v>
      </c>
      <c r="B346" s="8" t="s">
        <v>19</v>
      </c>
      <c r="C346" s="8" t="s">
        <v>20</v>
      </c>
      <c r="D346" s="8" t="s">
        <v>615</v>
      </c>
      <c r="E346" s="8" t="s">
        <v>38</v>
      </c>
      <c r="F346" s="8" t="s">
        <v>63</v>
      </c>
      <c r="G346" s="8" t="s">
        <v>31</v>
      </c>
      <c r="H346" s="8" t="s">
        <v>31</v>
      </c>
      <c r="I346" s="8" t="n">
        <f aca="false">IF(EXACT(G346,H346),1,0)</f>
        <v>1</v>
      </c>
      <c r="J346" s="8" t="n">
        <v>2</v>
      </c>
      <c r="K346" s="8" t="s">
        <v>116</v>
      </c>
      <c r="L346" s="8" t="n">
        <v>2</v>
      </c>
      <c r="M346" s="8" t="n">
        <v>0</v>
      </c>
      <c r="N346" s="8"/>
      <c r="O346" s="8" t="n">
        <v>1</v>
      </c>
      <c r="P346" s="10" t="n">
        <v>8.95</v>
      </c>
      <c r="Q346" s="8" t="n">
        <v>596</v>
      </c>
      <c r="R346" s="8" t="n">
        <v>470</v>
      </c>
      <c r="S346" s="8" t="s">
        <v>117</v>
      </c>
      <c r="T346" s="8" t="s">
        <v>494</v>
      </c>
      <c r="U346" s="8" t="s">
        <v>495</v>
      </c>
      <c r="V346" s="8"/>
      <c r="W346" s="8" t="s">
        <v>496</v>
      </c>
      <c r="X346" s="8" t="s">
        <v>497</v>
      </c>
      <c r="Y346" s="8" t="s">
        <v>2720</v>
      </c>
      <c r="Z346" s="8" t="s">
        <v>2721</v>
      </c>
    </row>
    <row r="347" customFormat="false" ht="15" hidden="false" customHeight="false" outlineLevel="0" collapsed="false">
      <c r="A347" s="8" t="s">
        <v>499</v>
      </c>
      <c r="B347" s="8" t="s">
        <v>19</v>
      </c>
      <c r="C347" s="8" t="s">
        <v>20</v>
      </c>
      <c r="D347" s="8" t="s">
        <v>615</v>
      </c>
      <c r="E347" s="8" t="s">
        <v>38</v>
      </c>
      <c r="F347" s="8" t="s">
        <v>63</v>
      </c>
      <c r="G347" s="8" t="s">
        <v>30</v>
      </c>
      <c r="H347" s="8" t="s">
        <v>31</v>
      </c>
      <c r="I347" s="8" t="n">
        <f aca="false">IF(EXACT(G347,H347),1,0)</f>
        <v>0</v>
      </c>
      <c r="J347" s="8" t="n">
        <v>0</v>
      </c>
      <c r="K347" s="8" t="s">
        <v>116</v>
      </c>
      <c r="L347" s="8" t="n">
        <v>1</v>
      </c>
      <c r="M347" s="8" t="n">
        <v>0</v>
      </c>
      <c r="N347" s="8"/>
      <c r="O347" s="8" t="n">
        <v>1</v>
      </c>
      <c r="P347" s="10" t="n">
        <v>13.31</v>
      </c>
      <c r="Q347" s="8" t="n">
        <v>618</v>
      </c>
      <c r="R347" s="8" t="n">
        <v>406</v>
      </c>
      <c r="S347" s="8" t="s">
        <v>216</v>
      </c>
      <c r="T347" s="8" t="s">
        <v>500</v>
      </c>
      <c r="U347" s="8" t="s">
        <v>501</v>
      </c>
      <c r="V347" s="8"/>
      <c r="W347" s="8" t="s">
        <v>502</v>
      </c>
      <c r="X347" s="8" t="s">
        <v>503</v>
      </c>
      <c r="Y347" s="8" t="s">
        <v>2722</v>
      </c>
      <c r="Z347" s="8" t="s">
        <v>2723</v>
      </c>
    </row>
    <row r="348" customFormat="false" ht="15" hidden="false" customHeight="false" outlineLevel="0" collapsed="false">
      <c r="A348" s="8" t="s">
        <v>499</v>
      </c>
      <c r="B348" s="8" t="s">
        <v>19</v>
      </c>
      <c r="C348" s="8" t="s">
        <v>20</v>
      </c>
      <c r="D348" s="8" t="s">
        <v>615</v>
      </c>
      <c r="E348" s="8" t="s">
        <v>38</v>
      </c>
      <c r="F348" s="8" t="s">
        <v>63</v>
      </c>
      <c r="G348" s="8" t="s">
        <v>30</v>
      </c>
      <c r="H348" s="8" t="s">
        <v>30</v>
      </c>
      <c r="I348" s="8" t="n">
        <f aca="false">IF(EXACT(G348,H348),1,0)</f>
        <v>1</v>
      </c>
      <c r="J348" s="8" t="n">
        <v>1</v>
      </c>
      <c r="K348" s="8" t="s">
        <v>92</v>
      </c>
      <c r="L348" s="8" t="n">
        <v>0</v>
      </c>
      <c r="M348" s="8" t="n">
        <v>0</v>
      </c>
      <c r="N348" s="8"/>
      <c r="O348" s="8" t="n">
        <v>1</v>
      </c>
      <c r="P348" s="10" t="n">
        <v>10.13</v>
      </c>
      <c r="Q348" s="8" t="n">
        <v>618</v>
      </c>
      <c r="R348" s="8" t="n">
        <v>298</v>
      </c>
      <c r="S348" s="8" t="s">
        <v>216</v>
      </c>
      <c r="T348" s="8" t="s">
        <v>500</v>
      </c>
      <c r="U348" s="8" t="s">
        <v>501</v>
      </c>
      <c r="V348" s="8"/>
      <c r="W348" s="8" t="s">
        <v>502</v>
      </c>
      <c r="X348" s="8" t="s">
        <v>503</v>
      </c>
      <c r="Y348" s="8" t="s">
        <v>2724</v>
      </c>
      <c r="Z348" s="8"/>
    </row>
    <row r="349" customFormat="false" ht="15" hidden="false" customHeight="false" outlineLevel="0" collapsed="false">
      <c r="A349" s="8" t="s">
        <v>499</v>
      </c>
      <c r="B349" s="8" t="s">
        <v>19</v>
      </c>
      <c r="C349" s="8" t="s">
        <v>20</v>
      </c>
      <c r="D349" s="8" t="s">
        <v>615</v>
      </c>
      <c r="E349" s="8" t="s">
        <v>38</v>
      </c>
      <c r="F349" s="8" t="s">
        <v>63</v>
      </c>
      <c r="G349" s="8" t="s">
        <v>30</v>
      </c>
      <c r="H349" s="8" t="s">
        <v>30</v>
      </c>
      <c r="I349" s="8" t="n">
        <f aca="false">IF(EXACT(G349,H349),1,0)</f>
        <v>1</v>
      </c>
      <c r="J349" s="8" t="n">
        <v>2</v>
      </c>
      <c r="K349" s="8" t="s">
        <v>92</v>
      </c>
      <c r="L349" s="8" t="n">
        <v>0</v>
      </c>
      <c r="M349" s="8" t="n">
        <v>0</v>
      </c>
      <c r="N349" s="8"/>
      <c r="O349" s="8" t="n">
        <v>1</v>
      </c>
      <c r="P349" s="10" t="n">
        <v>13.72</v>
      </c>
      <c r="Q349" s="8" t="n">
        <v>618</v>
      </c>
      <c r="R349" s="8" t="n">
        <v>264</v>
      </c>
      <c r="S349" s="8" t="s">
        <v>216</v>
      </c>
      <c r="T349" s="8" t="s">
        <v>500</v>
      </c>
      <c r="U349" s="8" t="s">
        <v>501</v>
      </c>
      <c r="V349" s="8"/>
      <c r="W349" s="8" t="s">
        <v>502</v>
      </c>
      <c r="X349" s="8" t="s">
        <v>503</v>
      </c>
      <c r="Y349" s="8" t="s">
        <v>2725</v>
      </c>
      <c r="Z349" s="8"/>
    </row>
    <row r="350" customFormat="false" ht="15" hidden="false" customHeight="false" outlineLevel="0" collapsed="false">
      <c r="A350" s="8" t="s">
        <v>504</v>
      </c>
      <c r="B350" s="8" t="s">
        <v>19</v>
      </c>
      <c r="C350" s="8" t="s">
        <v>20</v>
      </c>
      <c r="D350" s="8" t="s">
        <v>615</v>
      </c>
      <c r="E350" s="8" t="s">
        <v>38</v>
      </c>
      <c r="F350" s="8" t="s">
        <v>63</v>
      </c>
      <c r="G350" s="8" t="s">
        <v>32</v>
      </c>
      <c r="H350" s="8" t="s">
        <v>31</v>
      </c>
      <c r="I350" s="8" t="n">
        <f aca="false">IF(EXACT(G350,H350),1,0)</f>
        <v>0</v>
      </c>
      <c r="J350" s="8" t="n">
        <v>0</v>
      </c>
      <c r="K350" s="8" t="s">
        <v>116</v>
      </c>
      <c r="L350" s="8" t="n">
        <v>1</v>
      </c>
      <c r="M350" s="8" t="n">
        <v>0</v>
      </c>
      <c r="N350" s="8"/>
      <c r="O350" s="8" t="n">
        <v>1</v>
      </c>
      <c r="P350" s="10" t="n">
        <v>8.4</v>
      </c>
      <c r="Q350" s="8" t="n">
        <v>629</v>
      </c>
      <c r="R350" s="8" t="n">
        <v>382</v>
      </c>
      <c r="S350" s="8" t="s">
        <v>384</v>
      </c>
      <c r="T350" s="8" t="s">
        <v>505</v>
      </c>
      <c r="U350" s="8" t="s">
        <v>506</v>
      </c>
      <c r="V350" s="8"/>
      <c r="W350" s="8" t="s">
        <v>507</v>
      </c>
      <c r="X350" s="8" t="s">
        <v>508</v>
      </c>
      <c r="Y350" s="8" t="s">
        <v>2726</v>
      </c>
      <c r="Z350" s="8" t="s">
        <v>2727</v>
      </c>
    </row>
    <row r="351" customFormat="false" ht="15" hidden="false" customHeight="false" outlineLevel="0" collapsed="false">
      <c r="A351" s="8" t="s">
        <v>504</v>
      </c>
      <c r="B351" s="8" t="s">
        <v>19</v>
      </c>
      <c r="C351" s="8" t="s">
        <v>20</v>
      </c>
      <c r="D351" s="8" t="s">
        <v>615</v>
      </c>
      <c r="E351" s="8" t="s">
        <v>38</v>
      </c>
      <c r="F351" s="8" t="s">
        <v>63</v>
      </c>
      <c r="G351" s="8" t="s">
        <v>32</v>
      </c>
      <c r="H351" s="8" t="s">
        <v>31</v>
      </c>
      <c r="I351" s="8" t="n">
        <f aca="false">IF(EXACT(G351,H351),1,0)</f>
        <v>0</v>
      </c>
      <c r="J351" s="8" t="n">
        <v>1</v>
      </c>
      <c r="K351" s="8" t="s">
        <v>116</v>
      </c>
      <c r="L351" s="8" t="n">
        <v>1</v>
      </c>
      <c r="M351" s="8" t="n">
        <v>0</v>
      </c>
      <c r="N351" s="8"/>
      <c r="O351" s="8" t="n">
        <v>1</v>
      </c>
      <c r="P351" s="10" t="n">
        <v>8.21</v>
      </c>
      <c r="Q351" s="8" t="n">
        <v>629</v>
      </c>
      <c r="R351" s="8" t="n">
        <v>409</v>
      </c>
      <c r="S351" s="8" t="s">
        <v>384</v>
      </c>
      <c r="T351" s="8" t="s">
        <v>505</v>
      </c>
      <c r="U351" s="8" t="s">
        <v>506</v>
      </c>
      <c r="V351" s="8"/>
      <c r="W351" s="8" t="s">
        <v>507</v>
      </c>
      <c r="X351" s="8" t="s">
        <v>508</v>
      </c>
      <c r="Y351" s="8" t="s">
        <v>2728</v>
      </c>
      <c r="Z351" s="8" t="s">
        <v>2729</v>
      </c>
    </row>
    <row r="352" customFormat="false" ht="15" hidden="false" customHeight="false" outlineLevel="0" collapsed="false">
      <c r="A352" s="8" t="s">
        <v>504</v>
      </c>
      <c r="B352" s="8" t="s">
        <v>19</v>
      </c>
      <c r="C352" s="8" t="s">
        <v>20</v>
      </c>
      <c r="D352" s="8" t="s">
        <v>615</v>
      </c>
      <c r="E352" s="8" t="s">
        <v>38</v>
      </c>
      <c r="F352" s="8" t="s">
        <v>63</v>
      </c>
      <c r="G352" s="8" t="s">
        <v>32</v>
      </c>
      <c r="H352" s="8" t="s">
        <v>31</v>
      </c>
      <c r="I352" s="8" t="n">
        <f aca="false">IF(EXACT(G352,H352),1,0)</f>
        <v>0</v>
      </c>
      <c r="J352" s="8" t="n">
        <v>2</v>
      </c>
      <c r="K352" s="8" t="s">
        <v>116</v>
      </c>
      <c r="L352" s="8" t="n">
        <v>1</v>
      </c>
      <c r="M352" s="8" t="n">
        <v>0</v>
      </c>
      <c r="N352" s="8"/>
      <c r="O352" s="8" t="n">
        <v>1</v>
      </c>
      <c r="P352" s="10" t="n">
        <v>7.51</v>
      </c>
      <c r="Q352" s="8" t="n">
        <v>629</v>
      </c>
      <c r="R352" s="8" t="n">
        <v>377</v>
      </c>
      <c r="S352" s="8" t="s">
        <v>384</v>
      </c>
      <c r="T352" s="8" t="s">
        <v>505</v>
      </c>
      <c r="U352" s="8" t="s">
        <v>506</v>
      </c>
      <c r="V352" s="8"/>
      <c r="W352" s="8" t="s">
        <v>507</v>
      </c>
      <c r="X352" s="8" t="s">
        <v>508</v>
      </c>
      <c r="Y352" s="8" t="s">
        <v>2730</v>
      </c>
      <c r="Z352" s="8" t="s">
        <v>2731</v>
      </c>
    </row>
    <row r="353" customFormat="false" ht="15" hidden="false" customHeight="false" outlineLevel="0" collapsed="false">
      <c r="A353" s="8" t="s">
        <v>509</v>
      </c>
      <c r="B353" s="8" t="s">
        <v>19</v>
      </c>
      <c r="C353" s="8" t="s">
        <v>20</v>
      </c>
      <c r="D353" s="8" t="s">
        <v>615</v>
      </c>
      <c r="E353" s="8" t="s">
        <v>38</v>
      </c>
      <c r="F353" s="8" t="s">
        <v>63</v>
      </c>
      <c r="G353" s="8" t="s">
        <v>32</v>
      </c>
      <c r="H353" s="8" t="s">
        <v>30</v>
      </c>
      <c r="I353" s="8" t="n">
        <f aca="false">IF(EXACT(G353,H353),1,0)</f>
        <v>0</v>
      </c>
      <c r="J353" s="8" t="n">
        <v>0</v>
      </c>
      <c r="K353" s="8" t="s">
        <v>92</v>
      </c>
      <c r="L353" s="8" t="n">
        <v>0</v>
      </c>
      <c r="M353" s="8" t="n">
        <v>0</v>
      </c>
      <c r="N353" s="8"/>
      <c r="O353" s="8" t="n">
        <v>1</v>
      </c>
      <c r="P353" s="10" t="n">
        <v>13.78</v>
      </c>
      <c r="Q353" s="8" t="n">
        <v>602</v>
      </c>
      <c r="R353" s="8" t="n">
        <v>265</v>
      </c>
      <c r="S353" s="8" t="s">
        <v>132</v>
      </c>
      <c r="T353" s="8" t="s">
        <v>500</v>
      </c>
      <c r="U353" s="8" t="s">
        <v>501</v>
      </c>
      <c r="V353" s="8"/>
      <c r="W353" s="8" t="s">
        <v>510</v>
      </c>
      <c r="X353" s="8" t="s">
        <v>511</v>
      </c>
      <c r="Y353" s="8" t="s">
        <v>2732</v>
      </c>
      <c r="Z353" s="8"/>
    </row>
    <row r="354" customFormat="false" ht="15" hidden="false" customHeight="false" outlineLevel="0" collapsed="false">
      <c r="A354" s="8" t="s">
        <v>509</v>
      </c>
      <c r="B354" s="8" t="s">
        <v>19</v>
      </c>
      <c r="C354" s="8" t="s">
        <v>20</v>
      </c>
      <c r="D354" s="8" t="s">
        <v>615</v>
      </c>
      <c r="E354" s="8" t="s">
        <v>38</v>
      </c>
      <c r="F354" s="8" t="s">
        <v>63</v>
      </c>
      <c r="G354" s="8" t="s">
        <v>32</v>
      </c>
      <c r="H354" s="8" t="s">
        <v>30</v>
      </c>
      <c r="I354" s="8" t="n">
        <f aca="false">IF(EXACT(G354,H354),1,0)</f>
        <v>0</v>
      </c>
      <c r="J354" s="8" t="n">
        <v>1</v>
      </c>
      <c r="K354" s="8" t="s">
        <v>92</v>
      </c>
      <c r="L354" s="8" t="n">
        <v>0</v>
      </c>
      <c r="M354" s="8" t="n">
        <v>0</v>
      </c>
      <c r="N354" s="8"/>
      <c r="O354" s="8" t="n">
        <v>1</v>
      </c>
      <c r="P354" s="10" t="n">
        <v>8.11</v>
      </c>
      <c r="Q354" s="8" t="n">
        <v>602</v>
      </c>
      <c r="R354" s="8" t="n">
        <v>208</v>
      </c>
      <c r="S354" s="8" t="s">
        <v>132</v>
      </c>
      <c r="T354" s="8" t="s">
        <v>500</v>
      </c>
      <c r="U354" s="8" t="s">
        <v>501</v>
      </c>
      <c r="V354" s="8"/>
      <c r="W354" s="8" t="s">
        <v>510</v>
      </c>
      <c r="X354" s="8" t="s">
        <v>511</v>
      </c>
      <c r="Y354" s="8" t="s">
        <v>2733</v>
      </c>
      <c r="Z354" s="8"/>
    </row>
    <row r="355" customFormat="false" ht="15" hidden="false" customHeight="false" outlineLevel="0" collapsed="false">
      <c r="A355" s="8" t="s">
        <v>509</v>
      </c>
      <c r="B355" s="8" t="s">
        <v>19</v>
      </c>
      <c r="C355" s="8" t="s">
        <v>20</v>
      </c>
      <c r="D355" s="8" t="s">
        <v>615</v>
      </c>
      <c r="E355" s="8" t="s">
        <v>38</v>
      </c>
      <c r="F355" s="8" t="s">
        <v>63</v>
      </c>
      <c r="G355" s="8" t="s">
        <v>32</v>
      </c>
      <c r="H355" s="8" t="s">
        <v>30</v>
      </c>
      <c r="I355" s="8" t="n">
        <f aca="false">IF(EXACT(G355,H355),1,0)</f>
        <v>0</v>
      </c>
      <c r="J355" s="8" t="n">
        <v>2</v>
      </c>
      <c r="K355" s="8" t="s">
        <v>92</v>
      </c>
      <c r="L355" s="8" t="n">
        <v>0</v>
      </c>
      <c r="M355" s="8" t="n">
        <v>0</v>
      </c>
      <c r="N355" s="8"/>
      <c r="O355" s="8" t="n">
        <v>1</v>
      </c>
      <c r="P355" s="10" t="n">
        <v>9.67</v>
      </c>
      <c r="Q355" s="8" t="n">
        <v>602</v>
      </c>
      <c r="R355" s="8" t="n">
        <v>241</v>
      </c>
      <c r="S355" s="8" t="s">
        <v>132</v>
      </c>
      <c r="T355" s="8" t="s">
        <v>500</v>
      </c>
      <c r="U355" s="8" t="s">
        <v>501</v>
      </c>
      <c r="V355" s="8"/>
      <c r="W355" s="8" t="s">
        <v>510</v>
      </c>
      <c r="X355" s="8" t="s">
        <v>511</v>
      </c>
      <c r="Y355" s="8" t="s">
        <v>2734</v>
      </c>
      <c r="Z355" s="8"/>
    </row>
    <row r="356" customFormat="false" ht="15" hidden="false" customHeight="false" outlineLevel="0" collapsed="false">
      <c r="A356" s="8" t="s">
        <v>512</v>
      </c>
      <c r="B356" s="8" t="s">
        <v>19</v>
      </c>
      <c r="C356" s="8" t="s">
        <v>20</v>
      </c>
      <c r="D356" s="8" t="s">
        <v>615</v>
      </c>
      <c r="E356" s="8" t="s">
        <v>38</v>
      </c>
      <c r="F356" s="8" t="s">
        <v>63</v>
      </c>
      <c r="G356" s="8" t="s">
        <v>30</v>
      </c>
      <c r="H356" s="8" t="s">
        <v>31</v>
      </c>
      <c r="I356" s="8" t="n">
        <f aca="false">IF(EXACT(G356,H356),1,0)</f>
        <v>0</v>
      </c>
      <c r="J356" s="8" t="n">
        <v>0</v>
      </c>
      <c r="K356" s="8" t="s">
        <v>116</v>
      </c>
      <c r="L356" s="8" t="n">
        <v>2</v>
      </c>
      <c r="M356" s="8" t="n">
        <v>0</v>
      </c>
      <c r="N356" s="8"/>
      <c r="O356" s="8" t="n">
        <v>1</v>
      </c>
      <c r="P356" s="10" t="n">
        <v>17.11</v>
      </c>
      <c r="Q356" s="8" t="n">
        <v>657</v>
      </c>
      <c r="R356" s="8" t="n">
        <v>687</v>
      </c>
      <c r="S356" s="8" t="s">
        <v>105</v>
      </c>
      <c r="T356" s="8" t="s">
        <v>513</v>
      </c>
      <c r="U356" s="8" t="s">
        <v>514</v>
      </c>
      <c r="V356" s="8"/>
      <c r="W356" s="8" t="s">
        <v>515</v>
      </c>
      <c r="X356" s="8" t="s">
        <v>516</v>
      </c>
      <c r="Y356" s="8" t="s">
        <v>2735</v>
      </c>
      <c r="Z356" s="8" t="s">
        <v>2736</v>
      </c>
    </row>
    <row r="357" customFormat="false" ht="15" hidden="false" customHeight="false" outlineLevel="0" collapsed="false">
      <c r="A357" s="8" t="s">
        <v>512</v>
      </c>
      <c r="B357" s="8" t="s">
        <v>19</v>
      </c>
      <c r="C357" s="8" t="s">
        <v>20</v>
      </c>
      <c r="D357" s="8" t="s">
        <v>615</v>
      </c>
      <c r="E357" s="8" t="s">
        <v>38</v>
      </c>
      <c r="F357" s="8" t="s">
        <v>63</v>
      </c>
      <c r="G357" s="8" t="s">
        <v>30</v>
      </c>
      <c r="H357" s="8" t="s">
        <v>30</v>
      </c>
      <c r="I357" s="8" t="n">
        <f aca="false">IF(EXACT(G357,H357),1,0)</f>
        <v>1</v>
      </c>
      <c r="J357" s="8" t="n">
        <v>1</v>
      </c>
      <c r="K357" s="8" t="s">
        <v>92</v>
      </c>
      <c r="L357" s="8" t="n">
        <v>0</v>
      </c>
      <c r="M357" s="8" t="n">
        <v>0</v>
      </c>
      <c r="N357" s="8"/>
      <c r="O357" s="8" t="n">
        <v>1</v>
      </c>
      <c r="P357" s="10" t="n">
        <v>8.3</v>
      </c>
      <c r="Q357" s="8" t="n">
        <v>657</v>
      </c>
      <c r="R357" s="8" t="n">
        <v>260</v>
      </c>
      <c r="S357" s="8" t="s">
        <v>105</v>
      </c>
      <c r="T357" s="8" t="s">
        <v>513</v>
      </c>
      <c r="U357" s="8" t="s">
        <v>514</v>
      </c>
      <c r="V357" s="8"/>
      <c r="W357" s="8" t="s">
        <v>515</v>
      </c>
      <c r="X357" s="8" t="s">
        <v>516</v>
      </c>
      <c r="Y357" s="8" t="s">
        <v>2737</v>
      </c>
      <c r="Z357" s="8"/>
    </row>
    <row r="358" customFormat="false" ht="15" hidden="false" customHeight="false" outlineLevel="0" collapsed="false">
      <c r="A358" s="8" t="s">
        <v>512</v>
      </c>
      <c r="B358" s="8" t="s">
        <v>19</v>
      </c>
      <c r="C358" s="8" t="s">
        <v>20</v>
      </c>
      <c r="D358" s="8" t="s">
        <v>615</v>
      </c>
      <c r="E358" s="8" t="s">
        <v>38</v>
      </c>
      <c r="F358" s="8" t="s">
        <v>63</v>
      </c>
      <c r="G358" s="8" t="s">
        <v>30</v>
      </c>
      <c r="H358" s="8" t="s">
        <v>31</v>
      </c>
      <c r="I358" s="8" t="n">
        <f aca="false">IF(EXACT(G358,H358),1,0)</f>
        <v>0</v>
      </c>
      <c r="J358" s="8" t="n">
        <v>2</v>
      </c>
      <c r="K358" s="8" t="s">
        <v>737</v>
      </c>
      <c r="L358" s="8" t="n">
        <v>3</v>
      </c>
      <c r="M358" s="8" t="n">
        <v>0</v>
      </c>
      <c r="N358" s="8"/>
      <c r="O358" s="8" t="n">
        <v>1</v>
      </c>
      <c r="P358" s="10" t="n">
        <v>18.16</v>
      </c>
      <c r="Q358" s="8" t="n">
        <v>657</v>
      </c>
      <c r="R358" s="8" t="n">
        <v>936</v>
      </c>
      <c r="S358" s="8" t="s">
        <v>105</v>
      </c>
      <c r="T358" s="8" t="s">
        <v>513</v>
      </c>
      <c r="U358" s="8" t="s">
        <v>514</v>
      </c>
      <c r="V358" s="8"/>
      <c r="W358" s="8" t="s">
        <v>515</v>
      </c>
      <c r="X358" s="8" t="s">
        <v>516</v>
      </c>
      <c r="Y358" s="8" t="s">
        <v>2738</v>
      </c>
      <c r="Z358" s="8" t="s">
        <v>2739</v>
      </c>
    </row>
    <row r="359" customFormat="false" ht="15" hidden="false" customHeight="false" outlineLevel="0" collapsed="false">
      <c r="A359" s="8" t="s">
        <v>124</v>
      </c>
      <c r="B359" s="8" t="s">
        <v>19</v>
      </c>
      <c r="C359" s="8" t="s">
        <v>20</v>
      </c>
      <c r="D359" s="8" t="s">
        <v>615</v>
      </c>
      <c r="E359" s="8" t="s">
        <v>39</v>
      </c>
      <c r="F359" s="8" t="s">
        <v>50</v>
      </c>
      <c r="G359" s="8" t="s">
        <v>32</v>
      </c>
      <c r="H359" s="8" t="s">
        <v>31</v>
      </c>
      <c r="I359" s="8" t="n">
        <f aca="false">IF(EXACT(G359,H359),1,0)</f>
        <v>0</v>
      </c>
      <c r="J359" s="8" t="n">
        <v>0</v>
      </c>
      <c r="K359" s="8" t="s">
        <v>140</v>
      </c>
      <c r="L359" s="8" t="n">
        <v>1</v>
      </c>
      <c r="M359" s="8" t="n">
        <v>0</v>
      </c>
      <c r="N359" s="8"/>
      <c r="O359" s="8" t="n">
        <v>1</v>
      </c>
      <c r="P359" s="10" t="n">
        <v>11.93</v>
      </c>
      <c r="Q359" s="8" t="n">
        <v>603</v>
      </c>
      <c r="R359" s="8" t="n">
        <v>387</v>
      </c>
      <c r="S359" s="8" t="s">
        <v>125</v>
      </c>
      <c r="T359" s="8" t="s">
        <v>126</v>
      </c>
      <c r="U359" s="8" t="s">
        <v>127</v>
      </c>
      <c r="V359" s="8"/>
      <c r="W359" s="8" t="s">
        <v>128</v>
      </c>
      <c r="X359" s="8" t="s">
        <v>517</v>
      </c>
      <c r="Y359" s="8" t="s">
        <v>2740</v>
      </c>
      <c r="Z359" s="8" t="s">
        <v>2741</v>
      </c>
    </row>
    <row r="360" customFormat="false" ht="15" hidden="false" customHeight="false" outlineLevel="0" collapsed="false">
      <c r="A360" s="8" t="s">
        <v>124</v>
      </c>
      <c r="B360" s="8" t="s">
        <v>19</v>
      </c>
      <c r="C360" s="8" t="s">
        <v>20</v>
      </c>
      <c r="D360" s="8" t="s">
        <v>615</v>
      </c>
      <c r="E360" s="8" t="s">
        <v>39</v>
      </c>
      <c r="F360" s="8" t="s">
        <v>50</v>
      </c>
      <c r="G360" s="8" t="s">
        <v>32</v>
      </c>
      <c r="H360" s="8" t="s">
        <v>31</v>
      </c>
      <c r="I360" s="8" t="n">
        <f aca="false">IF(EXACT(G360,H360),1,0)</f>
        <v>0</v>
      </c>
      <c r="J360" s="8" t="n">
        <v>1</v>
      </c>
      <c r="K360" s="8" t="s">
        <v>140</v>
      </c>
      <c r="L360" s="8" t="n">
        <v>1</v>
      </c>
      <c r="M360" s="8" t="n">
        <v>0</v>
      </c>
      <c r="N360" s="8"/>
      <c r="O360" s="8" t="n">
        <v>1</v>
      </c>
      <c r="P360" s="10" t="n">
        <v>11.96</v>
      </c>
      <c r="Q360" s="8" t="n">
        <v>603</v>
      </c>
      <c r="R360" s="8" t="n">
        <v>423</v>
      </c>
      <c r="S360" s="8" t="s">
        <v>125</v>
      </c>
      <c r="T360" s="8" t="s">
        <v>126</v>
      </c>
      <c r="U360" s="8" t="s">
        <v>127</v>
      </c>
      <c r="V360" s="8"/>
      <c r="W360" s="8" t="s">
        <v>128</v>
      </c>
      <c r="X360" s="8" t="s">
        <v>517</v>
      </c>
      <c r="Y360" s="8" t="s">
        <v>2742</v>
      </c>
      <c r="Z360" s="8" t="s">
        <v>2743</v>
      </c>
    </row>
    <row r="361" customFormat="false" ht="15" hidden="false" customHeight="false" outlineLevel="0" collapsed="false">
      <c r="A361" s="8" t="s">
        <v>124</v>
      </c>
      <c r="B361" s="8" t="s">
        <v>19</v>
      </c>
      <c r="C361" s="8" t="s">
        <v>20</v>
      </c>
      <c r="D361" s="8" t="s">
        <v>615</v>
      </c>
      <c r="E361" s="8" t="s">
        <v>39</v>
      </c>
      <c r="F361" s="8" t="s">
        <v>50</v>
      </c>
      <c r="G361" s="8" t="s">
        <v>32</v>
      </c>
      <c r="H361" s="8" t="s">
        <v>31</v>
      </c>
      <c r="I361" s="8" t="n">
        <f aca="false">IF(EXACT(G361,H361),1,0)</f>
        <v>0</v>
      </c>
      <c r="J361" s="8" t="n">
        <v>2</v>
      </c>
      <c r="K361" s="8" t="s">
        <v>140</v>
      </c>
      <c r="L361" s="8" t="n">
        <v>1</v>
      </c>
      <c r="M361" s="8" t="n">
        <v>0</v>
      </c>
      <c r="N361" s="8"/>
      <c r="O361" s="8" t="n">
        <v>1</v>
      </c>
      <c r="P361" s="10" t="n">
        <v>11.96</v>
      </c>
      <c r="Q361" s="8" t="n">
        <v>603</v>
      </c>
      <c r="R361" s="8" t="n">
        <v>413</v>
      </c>
      <c r="S361" s="8" t="s">
        <v>125</v>
      </c>
      <c r="T361" s="8" t="s">
        <v>126</v>
      </c>
      <c r="U361" s="8" t="s">
        <v>127</v>
      </c>
      <c r="V361" s="8"/>
      <c r="W361" s="8" t="s">
        <v>128</v>
      </c>
      <c r="X361" s="8" t="s">
        <v>517</v>
      </c>
      <c r="Y361" s="8" t="s">
        <v>2744</v>
      </c>
      <c r="Z361" s="8" t="s">
        <v>2745</v>
      </c>
    </row>
    <row r="362" customFormat="false" ht="15" hidden="false" customHeight="false" outlineLevel="0" collapsed="false">
      <c r="A362" s="8" t="s">
        <v>131</v>
      </c>
      <c r="B362" s="8" t="s">
        <v>19</v>
      </c>
      <c r="C362" s="8" t="s">
        <v>20</v>
      </c>
      <c r="D362" s="8" t="s">
        <v>615</v>
      </c>
      <c r="E362" s="8" t="s">
        <v>39</v>
      </c>
      <c r="F362" s="8" t="s">
        <v>50</v>
      </c>
      <c r="G362" s="8" t="s">
        <v>32</v>
      </c>
      <c r="H362" s="8" t="s">
        <v>30</v>
      </c>
      <c r="I362" s="8" t="n">
        <f aca="false">IF(EXACT(G362,H362),1,0)</f>
        <v>0</v>
      </c>
      <c r="J362" s="8" t="n">
        <v>0</v>
      </c>
      <c r="K362" s="8" t="s">
        <v>92</v>
      </c>
      <c r="L362" s="8" t="n">
        <v>0</v>
      </c>
      <c r="M362" s="8" t="n">
        <v>0</v>
      </c>
      <c r="N362" s="8"/>
      <c r="O362" s="8" t="n">
        <v>1</v>
      </c>
      <c r="P362" s="10" t="n">
        <v>5.32</v>
      </c>
      <c r="Q362" s="8" t="n">
        <v>591</v>
      </c>
      <c r="R362" s="8" t="n">
        <v>205</v>
      </c>
      <c r="S362" s="8" t="s">
        <v>132</v>
      </c>
      <c r="T362" s="8" t="s">
        <v>126</v>
      </c>
      <c r="U362" s="8" t="s">
        <v>127</v>
      </c>
      <c r="V362" s="8"/>
      <c r="W362" s="8" t="s">
        <v>133</v>
      </c>
      <c r="X362" s="8" t="s">
        <v>518</v>
      </c>
      <c r="Y362" s="8" t="s">
        <v>2746</v>
      </c>
      <c r="Z362" s="8"/>
    </row>
    <row r="363" customFormat="false" ht="15" hidden="false" customHeight="false" outlineLevel="0" collapsed="false">
      <c r="A363" s="8" t="s">
        <v>131</v>
      </c>
      <c r="B363" s="8" t="s">
        <v>19</v>
      </c>
      <c r="C363" s="8" t="s">
        <v>20</v>
      </c>
      <c r="D363" s="8" t="s">
        <v>615</v>
      </c>
      <c r="E363" s="8" t="s">
        <v>39</v>
      </c>
      <c r="F363" s="8" t="s">
        <v>50</v>
      </c>
      <c r="G363" s="8" t="s">
        <v>32</v>
      </c>
      <c r="H363" s="8" t="s">
        <v>30</v>
      </c>
      <c r="I363" s="8" t="n">
        <f aca="false">IF(EXACT(G363,H363),1,0)</f>
        <v>0</v>
      </c>
      <c r="J363" s="8" t="n">
        <v>1</v>
      </c>
      <c r="K363" s="8" t="s">
        <v>92</v>
      </c>
      <c r="L363" s="8" t="n">
        <v>0</v>
      </c>
      <c r="M363" s="8" t="n">
        <v>0</v>
      </c>
      <c r="N363" s="8"/>
      <c r="O363" s="8" t="n">
        <v>1</v>
      </c>
      <c r="P363" s="10" t="n">
        <v>8.36</v>
      </c>
      <c r="Q363" s="8" t="n">
        <v>591</v>
      </c>
      <c r="R363" s="8" t="n">
        <v>202</v>
      </c>
      <c r="S363" s="8" t="s">
        <v>132</v>
      </c>
      <c r="T363" s="8" t="s">
        <v>126</v>
      </c>
      <c r="U363" s="8" t="s">
        <v>127</v>
      </c>
      <c r="V363" s="8"/>
      <c r="W363" s="8" t="s">
        <v>133</v>
      </c>
      <c r="X363" s="8" t="s">
        <v>518</v>
      </c>
      <c r="Y363" s="8" t="s">
        <v>2747</v>
      </c>
      <c r="Z363" s="8"/>
    </row>
    <row r="364" customFormat="false" ht="15" hidden="false" customHeight="false" outlineLevel="0" collapsed="false">
      <c r="A364" s="8" t="s">
        <v>131</v>
      </c>
      <c r="B364" s="8" t="s">
        <v>19</v>
      </c>
      <c r="C364" s="8" t="s">
        <v>20</v>
      </c>
      <c r="D364" s="8" t="s">
        <v>615</v>
      </c>
      <c r="E364" s="8" t="s">
        <v>39</v>
      </c>
      <c r="F364" s="8" t="s">
        <v>50</v>
      </c>
      <c r="G364" s="8" t="s">
        <v>32</v>
      </c>
      <c r="H364" s="8" t="s">
        <v>30</v>
      </c>
      <c r="I364" s="8" t="n">
        <f aca="false">IF(EXACT(G364,H364),1,0)</f>
        <v>0</v>
      </c>
      <c r="J364" s="8" t="n">
        <v>2</v>
      </c>
      <c r="K364" s="8" t="s">
        <v>92</v>
      </c>
      <c r="L364" s="8" t="n">
        <v>0</v>
      </c>
      <c r="M364" s="8" t="n">
        <v>0</v>
      </c>
      <c r="N364" s="8"/>
      <c r="O364" s="8" t="n">
        <v>1</v>
      </c>
      <c r="P364" s="10" t="n">
        <v>6.92</v>
      </c>
      <c r="Q364" s="8" t="n">
        <v>591</v>
      </c>
      <c r="R364" s="8" t="n">
        <v>215</v>
      </c>
      <c r="S364" s="8" t="s">
        <v>132</v>
      </c>
      <c r="T364" s="8" t="s">
        <v>126</v>
      </c>
      <c r="U364" s="8" t="s">
        <v>127</v>
      </c>
      <c r="V364" s="8"/>
      <c r="W364" s="8" t="s">
        <v>133</v>
      </c>
      <c r="X364" s="8" t="s">
        <v>518</v>
      </c>
      <c r="Y364" s="8" t="s">
        <v>2748</v>
      </c>
      <c r="Z364" s="8"/>
    </row>
    <row r="365" customFormat="false" ht="15" hidden="false" customHeight="false" outlineLevel="0" collapsed="false">
      <c r="A365" s="8" t="s">
        <v>135</v>
      </c>
      <c r="B365" s="8" t="s">
        <v>19</v>
      </c>
      <c r="C365" s="8" t="s">
        <v>20</v>
      </c>
      <c r="D365" s="8" t="s">
        <v>615</v>
      </c>
      <c r="E365" s="8" t="s">
        <v>39</v>
      </c>
      <c r="F365" s="8" t="s">
        <v>50</v>
      </c>
      <c r="G365" s="8" t="s">
        <v>30</v>
      </c>
      <c r="H365" s="8" t="s">
        <v>31</v>
      </c>
      <c r="I365" s="8" t="n">
        <f aca="false">IF(EXACT(G365,H365),1,0)</f>
        <v>0</v>
      </c>
      <c r="J365" s="8" t="n">
        <v>0</v>
      </c>
      <c r="K365" s="8" t="s">
        <v>140</v>
      </c>
      <c r="L365" s="8" t="n">
        <v>1</v>
      </c>
      <c r="M365" s="8" t="n">
        <v>0</v>
      </c>
      <c r="N365" s="8"/>
      <c r="O365" s="8" t="n">
        <v>1</v>
      </c>
      <c r="P365" s="10" t="n">
        <v>7.93</v>
      </c>
      <c r="Q365" s="8" t="n">
        <v>582</v>
      </c>
      <c r="R365" s="8" t="n">
        <v>388</v>
      </c>
      <c r="S365" s="8" t="s">
        <v>105</v>
      </c>
      <c r="T365" s="8" t="s">
        <v>126</v>
      </c>
      <c r="U365" s="8" t="s">
        <v>127</v>
      </c>
      <c r="V365" s="8"/>
      <c r="W365" s="8" t="s">
        <v>136</v>
      </c>
      <c r="X365" s="8" t="s">
        <v>519</v>
      </c>
      <c r="Y365" s="8" t="s">
        <v>2749</v>
      </c>
      <c r="Z365" s="8" t="s">
        <v>2750</v>
      </c>
    </row>
    <row r="366" customFormat="false" ht="15" hidden="false" customHeight="false" outlineLevel="0" collapsed="false">
      <c r="A366" s="8" t="s">
        <v>135</v>
      </c>
      <c r="B366" s="8" t="s">
        <v>19</v>
      </c>
      <c r="C366" s="8" t="s">
        <v>20</v>
      </c>
      <c r="D366" s="8" t="s">
        <v>615</v>
      </c>
      <c r="E366" s="8" t="s">
        <v>39</v>
      </c>
      <c r="F366" s="8" t="s">
        <v>50</v>
      </c>
      <c r="G366" s="8" t="s">
        <v>30</v>
      </c>
      <c r="H366" s="8" t="s">
        <v>31</v>
      </c>
      <c r="I366" s="8" t="n">
        <f aca="false">IF(EXACT(G366,H366),1,0)</f>
        <v>0</v>
      </c>
      <c r="J366" s="8" t="n">
        <v>1</v>
      </c>
      <c r="K366" s="8" t="s">
        <v>140</v>
      </c>
      <c r="L366" s="8" t="n">
        <v>5</v>
      </c>
      <c r="M366" s="8" t="n">
        <v>0</v>
      </c>
      <c r="N366" s="8"/>
      <c r="O366" s="8" t="n">
        <v>1</v>
      </c>
      <c r="P366" s="10" t="n">
        <v>14.01</v>
      </c>
      <c r="Q366" s="8" t="n">
        <v>582</v>
      </c>
      <c r="R366" s="8" t="n">
        <v>811</v>
      </c>
      <c r="S366" s="8" t="s">
        <v>105</v>
      </c>
      <c r="T366" s="8" t="s">
        <v>126</v>
      </c>
      <c r="U366" s="8" t="s">
        <v>127</v>
      </c>
      <c r="V366" s="8"/>
      <c r="W366" s="8" t="s">
        <v>136</v>
      </c>
      <c r="X366" s="8" t="s">
        <v>519</v>
      </c>
      <c r="Y366" s="8" t="s">
        <v>2751</v>
      </c>
      <c r="Z366" s="8" t="s">
        <v>2752</v>
      </c>
    </row>
    <row r="367" customFormat="false" ht="15" hidden="false" customHeight="false" outlineLevel="0" collapsed="false">
      <c r="A367" s="8" t="s">
        <v>135</v>
      </c>
      <c r="B367" s="8" t="s">
        <v>19</v>
      </c>
      <c r="C367" s="8" t="s">
        <v>20</v>
      </c>
      <c r="D367" s="8" t="s">
        <v>615</v>
      </c>
      <c r="E367" s="8" t="s">
        <v>39</v>
      </c>
      <c r="F367" s="8" t="s">
        <v>50</v>
      </c>
      <c r="G367" s="8" t="s">
        <v>30</v>
      </c>
      <c r="H367" s="8" t="s">
        <v>31</v>
      </c>
      <c r="I367" s="8" t="n">
        <f aca="false">IF(EXACT(G367,H367),1,0)</f>
        <v>0</v>
      </c>
      <c r="J367" s="8" t="n">
        <v>2</v>
      </c>
      <c r="K367" s="8" t="s">
        <v>140</v>
      </c>
      <c r="L367" s="8" t="n">
        <v>1</v>
      </c>
      <c r="M367" s="8" t="n">
        <v>0</v>
      </c>
      <c r="N367" s="8"/>
      <c r="O367" s="8" t="n">
        <v>1</v>
      </c>
      <c r="P367" s="10" t="n">
        <v>8.13</v>
      </c>
      <c r="Q367" s="8" t="n">
        <v>582</v>
      </c>
      <c r="R367" s="8" t="n">
        <v>383</v>
      </c>
      <c r="S367" s="8" t="s">
        <v>105</v>
      </c>
      <c r="T367" s="8" t="s">
        <v>126</v>
      </c>
      <c r="U367" s="8" t="s">
        <v>127</v>
      </c>
      <c r="V367" s="8"/>
      <c r="W367" s="8" t="s">
        <v>136</v>
      </c>
      <c r="X367" s="8" t="s">
        <v>519</v>
      </c>
      <c r="Y367" s="8" t="s">
        <v>2753</v>
      </c>
      <c r="Z367" s="8" t="s">
        <v>2754</v>
      </c>
    </row>
    <row r="368" customFormat="false" ht="15" hidden="false" customHeight="false" outlineLevel="0" collapsed="false">
      <c r="A368" s="8" t="s">
        <v>139</v>
      </c>
      <c r="B368" s="8" t="s">
        <v>19</v>
      </c>
      <c r="C368" s="8" t="s">
        <v>20</v>
      </c>
      <c r="D368" s="8" t="s">
        <v>615</v>
      </c>
      <c r="E368" s="8" t="s">
        <v>39</v>
      </c>
      <c r="F368" s="8" t="s">
        <v>50</v>
      </c>
      <c r="G368" s="8" t="s">
        <v>31</v>
      </c>
      <c r="H368" s="8" t="s">
        <v>31</v>
      </c>
      <c r="I368" s="8" t="n">
        <f aca="false">IF(EXACT(G368,H368),1,0)</f>
        <v>1</v>
      </c>
      <c r="J368" s="8" t="n">
        <v>0</v>
      </c>
      <c r="K368" s="8" t="s">
        <v>116</v>
      </c>
      <c r="L368" s="8" t="n">
        <v>1</v>
      </c>
      <c r="M368" s="8" t="n">
        <v>0</v>
      </c>
      <c r="N368" s="8"/>
      <c r="O368" s="8" t="n">
        <v>1</v>
      </c>
      <c r="P368" s="10" t="n">
        <v>8.34</v>
      </c>
      <c r="Q368" s="8" t="n">
        <v>599</v>
      </c>
      <c r="R368" s="8" t="n">
        <v>381</v>
      </c>
      <c r="S368" s="8" t="s">
        <v>117</v>
      </c>
      <c r="T368" s="8" t="s">
        <v>126</v>
      </c>
      <c r="U368" s="8" t="s">
        <v>127</v>
      </c>
      <c r="V368" s="8"/>
      <c r="W368" s="8" t="s">
        <v>141</v>
      </c>
      <c r="X368" s="8" t="s">
        <v>520</v>
      </c>
      <c r="Y368" s="8" t="s">
        <v>2755</v>
      </c>
      <c r="Z368" s="8" t="s">
        <v>2756</v>
      </c>
    </row>
    <row r="369" customFormat="false" ht="15" hidden="false" customHeight="false" outlineLevel="0" collapsed="false">
      <c r="A369" s="8" t="s">
        <v>139</v>
      </c>
      <c r="B369" s="8" t="s">
        <v>19</v>
      </c>
      <c r="C369" s="8" t="s">
        <v>20</v>
      </c>
      <c r="D369" s="8" t="s">
        <v>615</v>
      </c>
      <c r="E369" s="8" t="s">
        <v>39</v>
      </c>
      <c r="F369" s="8" t="s">
        <v>50</v>
      </c>
      <c r="G369" s="8" t="s">
        <v>31</v>
      </c>
      <c r="H369" s="8" t="s">
        <v>31</v>
      </c>
      <c r="I369" s="8" t="n">
        <f aca="false">IF(EXACT(G369,H369),1,0)</f>
        <v>1</v>
      </c>
      <c r="J369" s="8" t="n">
        <v>1</v>
      </c>
      <c r="K369" s="8" t="s">
        <v>116</v>
      </c>
      <c r="L369" s="8" t="n">
        <v>1</v>
      </c>
      <c r="M369" s="8" t="n">
        <v>0</v>
      </c>
      <c r="N369" s="8"/>
      <c r="O369" s="8" t="n">
        <v>1</v>
      </c>
      <c r="P369" s="10" t="n">
        <v>7.61</v>
      </c>
      <c r="Q369" s="8" t="n">
        <v>599</v>
      </c>
      <c r="R369" s="8" t="n">
        <v>357</v>
      </c>
      <c r="S369" s="8" t="s">
        <v>117</v>
      </c>
      <c r="T369" s="8" t="s">
        <v>126</v>
      </c>
      <c r="U369" s="8" t="s">
        <v>127</v>
      </c>
      <c r="V369" s="8"/>
      <c r="W369" s="8" t="s">
        <v>141</v>
      </c>
      <c r="X369" s="8" t="s">
        <v>520</v>
      </c>
      <c r="Y369" s="8" t="s">
        <v>2757</v>
      </c>
      <c r="Z369" s="8" t="s">
        <v>2758</v>
      </c>
    </row>
    <row r="370" customFormat="false" ht="15" hidden="false" customHeight="false" outlineLevel="0" collapsed="false">
      <c r="A370" s="8" t="s">
        <v>139</v>
      </c>
      <c r="B370" s="8" t="s">
        <v>19</v>
      </c>
      <c r="C370" s="8" t="s">
        <v>20</v>
      </c>
      <c r="D370" s="8" t="s">
        <v>615</v>
      </c>
      <c r="E370" s="8" t="s">
        <v>39</v>
      </c>
      <c r="F370" s="8" t="s">
        <v>50</v>
      </c>
      <c r="G370" s="8" t="s">
        <v>31</v>
      </c>
      <c r="H370" s="8" t="s">
        <v>31</v>
      </c>
      <c r="I370" s="8" t="n">
        <f aca="false">IF(EXACT(G370,H370),1,0)</f>
        <v>1</v>
      </c>
      <c r="J370" s="8" t="n">
        <v>2</v>
      </c>
      <c r="K370" s="8" t="s">
        <v>116</v>
      </c>
      <c r="L370" s="8" t="n">
        <v>1</v>
      </c>
      <c r="M370" s="8" t="n">
        <v>0</v>
      </c>
      <c r="N370" s="8"/>
      <c r="O370" s="8" t="n">
        <v>1</v>
      </c>
      <c r="P370" s="10" t="n">
        <v>9.16</v>
      </c>
      <c r="Q370" s="8" t="n">
        <v>599</v>
      </c>
      <c r="R370" s="8" t="n">
        <v>422</v>
      </c>
      <c r="S370" s="8" t="s">
        <v>117</v>
      </c>
      <c r="T370" s="8" t="s">
        <v>126</v>
      </c>
      <c r="U370" s="8" t="s">
        <v>127</v>
      </c>
      <c r="V370" s="8"/>
      <c r="W370" s="8" t="s">
        <v>141</v>
      </c>
      <c r="X370" s="8" t="s">
        <v>520</v>
      </c>
      <c r="Y370" s="8" t="s">
        <v>2759</v>
      </c>
      <c r="Z370" s="8" t="s">
        <v>2760</v>
      </c>
    </row>
    <row r="371" customFormat="false" ht="15" hidden="false" customHeight="false" outlineLevel="0" collapsed="false">
      <c r="A371" s="8" t="s">
        <v>145</v>
      </c>
      <c r="B371" s="8" t="s">
        <v>19</v>
      </c>
      <c r="C371" s="8" t="s">
        <v>20</v>
      </c>
      <c r="D371" s="8" t="s">
        <v>615</v>
      </c>
      <c r="E371" s="8" t="s">
        <v>39</v>
      </c>
      <c r="F371" s="8" t="s">
        <v>50</v>
      </c>
      <c r="G371" s="8" t="s">
        <v>31</v>
      </c>
      <c r="H371" s="8" t="s">
        <v>31</v>
      </c>
      <c r="I371" s="8" t="n">
        <f aca="false">IF(EXACT(G371,H371),1,0)</f>
        <v>1</v>
      </c>
      <c r="J371" s="8" t="n">
        <v>0</v>
      </c>
      <c r="K371" s="8" t="s">
        <v>140</v>
      </c>
      <c r="L371" s="8" t="n">
        <v>5</v>
      </c>
      <c r="M371" s="8" t="n">
        <v>0</v>
      </c>
      <c r="N371" s="8"/>
      <c r="O371" s="8" t="n">
        <v>1</v>
      </c>
      <c r="P371" s="10" t="n">
        <v>18.66</v>
      </c>
      <c r="Q371" s="8" t="n">
        <v>608</v>
      </c>
      <c r="R371" s="8" t="n">
        <v>831</v>
      </c>
      <c r="S371" s="8" t="s">
        <v>146</v>
      </c>
      <c r="T371" s="8" t="s">
        <v>126</v>
      </c>
      <c r="U371" s="8" t="s">
        <v>127</v>
      </c>
      <c r="V371" s="8"/>
      <c r="W371" s="8" t="s">
        <v>147</v>
      </c>
      <c r="X371" s="8" t="s">
        <v>521</v>
      </c>
      <c r="Y371" s="8" t="s">
        <v>2761</v>
      </c>
      <c r="Z371" s="8" t="s">
        <v>2762</v>
      </c>
    </row>
    <row r="372" customFormat="false" ht="15" hidden="false" customHeight="false" outlineLevel="0" collapsed="false">
      <c r="A372" s="8" t="s">
        <v>145</v>
      </c>
      <c r="B372" s="8" t="s">
        <v>19</v>
      </c>
      <c r="C372" s="8" t="s">
        <v>20</v>
      </c>
      <c r="D372" s="8" t="s">
        <v>615</v>
      </c>
      <c r="E372" s="8" t="s">
        <v>39</v>
      </c>
      <c r="F372" s="8" t="s">
        <v>50</v>
      </c>
      <c r="G372" s="8" t="s">
        <v>31</v>
      </c>
      <c r="H372" s="8" t="s">
        <v>31</v>
      </c>
      <c r="I372" s="8" t="n">
        <f aca="false">IF(EXACT(G372,H372),1,0)</f>
        <v>1</v>
      </c>
      <c r="J372" s="8" t="n">
        <v>1</v>
      </c>
      <c r="K372" s="8" t="s">
        <v>116</v>
      </c>
      <c r="L372" s="8" t="n">
        <v>1</v>
      </c>
      <c r="M372" s="8" t="n">
        <v>0</v>
      </c>
      <c r="N372" s="8"/>
      <c r="O372" s="8" t="n">
        <v>1</v>
      </c>
      <c r="P372" s="10" t="n">
        <v>12.38</v>
      </c>
      <c r="Q372" s="8" t="n">
        <v>608</v>
      </c>
      <c r="R372" s="8" t="n">
        <v>437</v>
      </c>
      <c r="S372" s="8" t="s">
        <v>146</v>
      </c>
      <c r="T372" s="8" t="s">
        <v>126</v>
      </c>
      <c r="U372" s="8" t="s">
        <v>127</v>
      </c>
      <c r="V372" s="8"/>
      <c r="W372" s="8" t="s">
        <v>147</v>
      </c>
      <c r="X372" s="8" t="s">
        <v>521</v>
      </c>
      <c r="Y372" s="8" t="s">
        <v>2763</v>
      </c>
      <c r="Z372" s="8" t="s">
        <v>2764</v>
      </c>
    </row>
    <row r="373" customFormat="false" ht="15" hidden="false" customHeight="false" outlineLevel="0" collapsed="false">
      <c r="A373" s="8" t="s">
        <v>145</v>
      </c>
      <c r="B373" s="8" t="s">
        <v>19</v>
      </c>
      <c r="C373" s="8" t="s">
        <v>20</v>
      </c>
      <c r="D373" s="8" t="s">
        <v>615</v>
      </c>
      <c r="E373" s="8" t="s">
        <v>39</v>
      </c>
      <c r="F373" s="8" t="s">
        <v>50</v>
      </c>
      <c r="G373" s="8" t="s">
        <v>31</v>
      </c>
      <c r="H373" s="8" t="s">
        <v>31</v>
      </c>
      <c r="I373" s="8" t="n">
        <f aca="false">IF(EXACT(G373,H373),1,0)</f>
        <v>1</v>
      </c>
      <c r="J373" s="8" t="n">
        <v>2</v>
      </c>
      <c r="K373" s="8" t="s">
        <v>116</v>
      </c>
      <c r="L373" s="8" t="n">
        <v>1</v>
      </c>
      <c r="M373" s="8" t="n">
        <v>0</v>
      </c>
      <c r="N373" s="8"/>
      <c r="O373" s="8" t="n">
        <v>1</v>
      </c>
      <c r="P373" s="10" t="n">
        <v>12.23</v>
      </c>
      <c r="Q373" s="8" t="n">
        <v>608</v>
      </c>
      <c r="R373" s="8" t="n">
        <v>416</v>
      </c>
      <c r="S373" s="8" t="s">
        <v>146</v>
      </c>
      <c r="T373" s="8" t="s">
        <v>126</v>
      </c>
      <c r="U373" s="8" t="s">
        <v>127</v>
      </c>
      <c r="V373" s="8"/>
      <c r="W373" s="8" t="s">
        <v>147</v>
      </c>
      <c r="X373" s="8" t="s">
        <v>521</v>
      </c>
      <c r="Y373" s="8" t="s">
        <v>2765</v>
      </c>
      <c r="Z373" s="8" t="s">
        <v>2766</v>
      </c>
    </row>
    <row r="374" customFormat="false" ht="15" hidden="false" customHeight="false" outlineLevel="0" collapsed="false">
      <c r="A374" s="8" t="s">
        <v>149</v>
      </c>
      <c r="B374" s="8" t="s">
        <v>19</v>
      </c>
      <c r="C374" s="8" t="s">
        <v>20</v>
      </c>
      <c r="D374" s="8" t="s">
        <v>615</v>
      </c>
      <c r="E374" s="8" t="s">
        <v>39</v>
      </c>
      <c r="F374" s="8" t="s">
        <v>50</v>
      </c>
      <c r="G374" s="8" t="s">
        <v>30</v>
      </c>
      <c r="H374" s="8" t="s">
        <v>30</v>
      </c>
      <c r="I374" s="8" t="n">
        <f aca="false">IF(EXACT(G374,H374),1,0)</f>
        <v>1</v>
      </c>
      <c r="J374" s="8" t="n">
        <v>0</v>
      </c>
      <c r="K374" s="8" t="s">
        <v>92</v>
      </c>
      <c r="L374" s="8" t="n">
        <v>0</v>
      </c>
      <c r="M374" s="8" t="n">
        <v>0</v>
      </c>
      <c r="N374" s="8"/>
      <c r="O374" s="8" t="n">
        <v>1</v>
      </c>
      <c r="P374" s="10" t="n">
        <v>8.53</v>
      </c>
      <c r="Q374" s="8" t="n">
        <v>582</v>
      </c>
      <c r="R374" s="8" t="n">
        <v>281</v>
      </c>
      <c r="S374" s="8" t="s">
        <v>150</v>
      </c>
      <c r="T374" s="8" t="s">
        <v>126</v>
      </c>
      <c r="U374" s="8" t="s">
        <v>127</v>
      </c>
      <c r="V374" s="8"/>
      <c r="W374" s="8" t="s">
        <v>151</v>
      </c>
      <c r="X374" s="8" t="s">
        <v>522</v>
      </c>
      <c r="Y374" s="8" t="s">
        <v>2767</v>
      </c>
      <c r="Z374" s="8"/>
    </row>
    <row r="375" customFormat="false" ht="15" hidden="false" customHeight="false" outlineLevel="0" collapsed="false">
      <c r="A375" s="8" t="s">
        <v>149</v>
      </c>
      <c r="B375" s="8" t="s">
        <v>19</v>
      </c>
      <c r="C375" s="8" t="s">
        <v>20</v>
      </c>
      <c r="D375" s="8" t="s">
        <v>615</v>
      </c>
      <c r="E375" s="8" t="s">
        <v>39</v>
      </c>
      <c r="F375" s="8" t="s">
        <v>50</v>
      </c>
      <c r="G375" s="8" t="s">
        <v>30</v>
      </c>
      <c r="H375" s="8" t="s">
        <v>30</v>
      </c>
      <c r="I375" s="8" t="n">
        <f aca="false">IF(EXACT(G375,H375),1,0)</f>
        <v>1</v>
      </c>
      <c r="J375" s="8" t="n">
        <v>1</v>
      </c>
      <c r="K375" s="8" t="s">
        <v>92</v>
      </c>
      <c r="L375" s="8" t="n">
        <v>0</v>
      </c>
      <c r="M375" s="8" t="n">
        <v>0</v>
      </c>
      <c r="N375" s="8"/>
      <c r="O375" s="8" t="n">
        <v>1</v>
      </c>
      <c r="P375" s="10" t="n">
        <v>6.67</v>
      </c>
      <c r="Q375" s="8" t="n">
        <v>582</v>
      </c>
      <c r="R375" s="8" t="n">
        <v>251</v>
      </c>
      <c r="S375" s="8" t="s">
        <v>150</v>
      </c>
      <c r="T375" s="8" t="s">
        <v>126</v>
      </c>
      <c r="U375" s="8" t="s">
        <v>127</v>
      </c>
      <c r="V375" s="8"/>
      <c r="W375" s="8" t="s">
        <v>151</v>
      </c>
      <c r="X375" s="8" t="s">
        <v>522</v>
      </c>
      <c r="Y375" s="8" t="s">
        <v>2768</v>
      </c>
      <c r="Z375" s="8"/>
    </row>
    <row r="376" customFormat="false" ht="15" hidden="false" customHeight="false" outlineLevel="0" collapsed="false">
      <c r="A376" s="8" t="s">
        <v>149</v>
      </c>
      <c r="B376" s="8" t="s">
        <v>19</v>
      </c>
      <c r="C376" s="8" t="s">
        <v>20</v>
      </c>
      <c r="D376" s="8" t="s">
        <v>615</v>
      </c>
      <c r="E376" s="8" t="s">
        <v>39</v>
      </c>
      <c r="F376" s="8" t="s">
        <v>50</v>
      </c>
      <c r="G376" s="8" t="s">
        <v>30</v>
      </c>
      <c r="H376" s="8" t="s">
        <v>30</v>
      </c>
      <c r="I376" s="8" t="n">
        <f aca="false">IF(EXACT(G376,H376),1,0)</f>
        <v>1</v>
      </c>
      <c r="J376" s="8" t="n">
        <v>2</v>
      </c>
      <c r="K376" s="8" t="s">
        <v>92</v>
      </c>
      <c r="L376" s="8" t="n">
        <v>0</v>
      </c>
      <c r="M376" s="8" t="n">
        <v>0</v>
      </c>
      <c r="N376" s="8"/>
      <c r="O376" s="8" t="n">
        <v>1</v>
      </c>
      <c r="P376" s="10" t="n">
        <v>6.13</v>
      </c>
      <c r="Q376" s="8" t="n">
        <v>582</v>
      </c>
      <c r="R376" s="8" t="n">
        <v>270</v>
      </c>
      <c r="S376" s="8" t="s">
        <v>150</v>
      </c>
      <c r="T376" s="8" t="s">
        <v>126</v>
      </c>
      <c r="U376" s="8" t="s">
        <v>127</v>
      </c>
      <c r="V376" s="8"/>
      <c r="W376" s="8" t="s">
        <v>151</v>
      </c>
      <c r="X376" s="8" t="s">
        <v>522</v>
      </c>
      <c r="Y376" s="8" t="s">
        <v>2769</v>
      </c>
      <c r="Z376" s="8"/>
    </row>
    <row r="377" customFormat="false" ht="15" hidden="false" customHeight="false" outlineLevel="0" collapsed="false">
      <c r="A377" s="8" t="s">
        <v>312</v>
      </c>
      <c r="B377" s="8" t="s">
        <v>19</v>
      </c>
      <c r="C377" s="8" t="s">
        <v>20</v>
      </c>
      <c r="D377" s="8" t="s">
        <v>615</v>
      </c>
      <c r="E377" s="8" t="s">
        <v>39</v>
      </c>
      <c r="F377" s="8" t="s">
        <v>57</v>
      </c>
      <c r="G377" s="8" t="s">
        <v>31</v>
      </c>
      <c r="H377" s="8" t="s">
        <v>32</v>
      </c>
      <c r="I377" s="8" t="n">
        <f aca="false">IF(EXACT(G377,H377),1,0)</f>
        <v>0</v>
      </c>
      <c r="J377" s="8" t="n">
        <v>0</v>
      </c>
      <c r="K377" s="8" t="s">
        <v>92</v>
      </c>
      <c r="L377" s="8" t="n">
        <v>0</v>
      </c>
      <c r="M377" s="8" t="n">
        <v>0</v>
      </c>
      <c r="N377" s="8"/>
      <c r="O377" s="8" t="n">
        <v>1</v>
      </c>
      <c r="P377" s="10" t="n">
        <v>6.89</v>
      </c>
      <c r="Q377" s="8" t="n">
        <v>692</v>
      </c>
      <c r="R377" s="8" t="n">
        <v>308</v>
      </c>
      <c r="S377" s="8" t="s">
        <v>313</v>
      </c>
      <c r="T377" s="8"/>
      <c r="U377" s="8"/>
      <c r="V377" s="8" t="s">
        <v>155</v>
      </c>
      <c r="W377" s="8"/>
      <c r="X377" s="8" t="s">
        <v>523</v>
      </c>
      <c r="Y377" s="8" t="s">
        <v>2770</v>
      </c>
      <c r="Z377" s="8"/>
    </row>
    <row r="378" customFormat="false" ht="15" hidden="false" customHeight="false" outlineLevel="0" collapsed="false">
      <c r="A378" s="8" t="s">
        <v>312</v>
      </c>
      <c r="B378" s="8" t="s">
        <v>19</v>
      </c>
      <c r="C378" s="8" t="s">
        <v>20</v>
      </c>
      <c r="D378" s="8" t="s">
        <v>615</v>
      </c>
      <c r="E378" s="8" t="s">
        <v>39</v>
      </c>
      <c r="F378" s="8" t="s">
        <v>57</v>
      </c>
      <c r="G378" s="8" t="s">
        <v>31</v>
      </c>
      <c r="H378" s="8" t="s">
        <v>32</v>
      </c>
      <c r="I378" s="8" t="n">
        <f aca="false">IF(EXACT(G378,H378),1,0)</f>
        <v>0</v>
      </c>
      <c r="J378" s="8" t="n">
        <v>1</v>
      </c>
      <c r="K378" s="8" t="s">
        <v>92</v>
      </c>
      <c r="L378" s="8" t="n">
        <v>0</v>
      </c>
      <c r="M378" s="8" t="n">
        <v>0</v>
      </c>
      <c r="N378" s="8"/>
      <c r="O378" s="8" t="n">
        <v>1</v>
      </c>
      <c r="P378" s="10" t="n">
        <v>8.76</v>
      </c>
      <c r="Q378" s="8" t="n">
        <v>692</v>
      </c>
      <c r="R378" s="8" t="n">
        <v>370</v>
      </c>
      <c r="S378" s="8" t="s">
        <v>313</v>
      </c>
      <c r="T378" s="8"/>
      <c r="U378" s="8"/>
      <c r="V378" s="8" t="s">
        <v>155</v>
      </c>
      <c r="W378" s="8"/>
      <c r="X378" s="8" t="s">
        <v>523</v>
      </c>
      <c r="Y378" s="8" t="s">
        <v>2771</v>
      </c>
      <c r="Z378" s="8"/>
    </row>
    <row r="379" customFormat="false" ht="15" hidden="false" customHeight="false" outlineLevel="0" collapsed="false">
      <c r="A379" s="8" t="s">
        <v>312</v>
      </c>
      <c r="B379" s="8" t="s">
        <v>19</v>
      </c>
      <c r="C379" s="8" t="s">
        <v>20</v>
      </c>
      <c r="D379" s="8" t="s">
        <v>615</v>
      </c>
      <c r="E379" s="8" t="s">
        <v>39</v>
      </c>
      <c r="F379" s="8" t="s">
        <v>57</v>
      </c>
      <c r="G379" s="8" t="s">
        <v>31</v>
      </c>
      <c r="H379" s="8" t="s">
        <v>32</v>
      </c>
      <c r="I379" s="8" t="n">
        <f aca="false">IF(EXACT(G379,H379),1,0)</f>
        <v>0</v>
      </c>
      <c r="J379" s="8" t="n">
        <v>2</v>
      </c>
      <c r="K379" s="8" t="s">
        <v>92</v>
      </c>
      <c r="L379" s="8" t="n">
        <v>0</v>
      </c>
      <c r="M379" s="8" t="n">
        <v>0</v>
      </c>
      <c r="N379" s="8"/>
      <c r="O379" s="8" t="n">
        <v>1</v>
      </c>
      <c r="P379" s="10" t="n">
        <v>6.35</v>
      </c>
      <c r="Q379" s="8" t="n">
        <v>692</v>
      </c>
      <c r="R379" s="8" t="n">
        <v>283</v>
      </c>
      <c r="S379" s="8" t="s">
        <v>313</v>
      </c>
      <c r="T379" s="8"/>
      <c r="U379" s="8"/>
      <c r="V379" s="8" t="s">
        <v>155</v>
      </c>
      <c r="W379" s="8"/>
      <c r="X379" s="8" t="s">
        <v>523</v>
      </c>
      <c r="Y379" s="8" t="s">
        <v>2772</v>
      </c>
      <c r="Z379" s="8"/>
    </row>
    <row r="380" customFormat="false" ht="15" hidden="false" customHeight="false" outlineLevel="0" collapsed="false">
      <c r="A380" s="8" t="s">
        <v>315</v>
      </c>
      <c r="B380" s="8" t="s">
        <v>19</v>
      </c>
      <c r="C380" s="8" t="s">
        <v>20</v>
      </c>
      <c r="D380" s="8" t="s">
        <v>615</v>
      </c>
      <c r="E380" s="8" t="s">
        <v>39</v>
      </c>
      <c r="F380" s="8" t="s">
        <v>57</v>
      </c>
      <c r="G380" s="8" t="s">
        <v>31</v>
      </c>
      <c r="H380" s="8" t="s">
        <v>30</v>
      </c>
      <c r="I380" s="8" t="n">
        <f aca="false">IF(EXACT(G380,H380),1,0)</f>
        <v>0</v>
      </c>
      <c r="J380" s="8" t="n">
        <v>0</v>
      </c>
      <c r="K380" s="8" t="s">
        <v>92</v>
      </c>
      <c r="L380" s="8" t="n">
        <v>0</v>
      </c>
      <c r="M380" s="8" t="n">
        <v>0</v>
      </c>
      <c r="N380" s="8"/>
      <c r="O380" s="8" t="n">
        <v>1</v>
      </c>
      <c r="P380" s="10" t="n">
        <v>6.5</v>
      </c>
      <c r="Q380" s="8" t="n">
        <v>690</v>
      </c>
      <c r="R380" s="8" t="n">
        <v>259</v>
      </c>
      <c r="S380" s="8" t="s">
        <v>316</v>
      </c>
      <c r="T380" s="8"/>
      <c r="U380" s="8"/>
      <c r="V380" s="8" t="s">
        <v>155</v>
      </c>
      <c r="W380" s="8"/>
      <c r="X380" s="8" t="s">
        <v>524</v>
      </c>
      <c r="Y380" s="8" t="s">
        <v>2773</v>
      </c>
      <c r="Z380" s="8"/>
    </row>
    <row r="381" customFormat="false" ht="15" hidden="false" customHeight="false" outlineLevel="0" collapsed="false">
      <c r="A381" s="8" t="s">
        <v>315</v>
      </c>
      <c r="B381" s="8" t="s">
        <v>19</v>
      </c>
      <c r="C381" s="8" t="s">
        <v>20</v>
      </c>
      <c r="D381" s="8" t="s">
        <v>615</v>
      </c>
      <c r="E381" s="8" t="s">
        <v>39</v>
      </c>
      <c r="F381" s="8" t="s">
        <v>57</v>
      </c>
      <c r="G381" s="8" t="s">
        <v>31</v>
      </c>
      <c r="H381" s="8" t="s">
        <v>30</v>
      </c>
      <c r="I381" s="8" t="n">
        <f aca="false">IF(EXACT(G381,H381),1,0)</f>
        <v>0</v>
      </c>
      <c r="J381" s="8" t="n">
        <v>1</v>
      </c>
      <c r="K381" s="8" t="s">
        <v>92</v>
      </c>
      <c r="L381" s="8" t="n">
        <v>0</v>
      </c>
      <c r="M381" s="8" t="n">
        <v>0</v>
      </c>
      <c r="N381" s="8"/>
      <c r="O381" s="8" t="n">
        <v>1</v>
      </c>
      <c r="P381" s="10" t="n">
        <v>6.23</v>
      </c>
      <c r="Q381" s="8" t="n">
        <v>690</v>
      </c>
      <c r="R381" s="8" t="n">
        <v>303</v>
      </c>
      <c r="S381" s="8" t="s">
        <v>316</v>
      </c>
      <c r="T381" s="8"/>
      <c r="U381" s="8"/>
      <c r="V381" s="8" t="s">
        <v>155</v>
      </c>
      <c r="W381" s="8"/>
      <c r="X381" s="8" t="s">
        <v>524</v>
      </c>
      <c r="Y381" s="8" t="s">
        <v>2774</v>
      </c>
      <c r="Z381" s="8"/>
    </row>
    <row r="382" customFormat="false" ht="15" hidden="false" customHeight="false" outlineLevel="0" collapsed="false">
      <c r="A382" s="8" t="s">
        <v>315</v>
      </c>
      <c r="B382" s="8" t="s">
        <v>19</v>
      </c>
      <c r="C382" s="8" t="s">
        <v>20</v>
      </c>
      <c r="D382" s="8" t="s">
        <v>615</v>
      </c>
      <c r="E382" s="8" t="s">
        <v>39</v>
      </c>
      <c r="F382" s="8" t="s">
        <v>57</v>
      </c>
      <c r="G382" s="8" t="s">
        <v>31</v>
      </c>
      <c r="H382" s="8" t="s">
        <v>30</v>
      </c>
      <c r="I382" s="8" t="n">
        <f aca="false">IF(EXACT(G382,H382),1,0)</f>
        <v>0</v>
      </c>
      <c r="J382" s="8" t="n">
        <v>2</v>
      </c>
      <c r="K382" s="8" t="s">
        <v>92</v>
      </c>
      <c r="L382" s="8" t="n">
        <v>0</v>
      </c>
      <c r="M382" s="8" t="n">
        <v>0</v>
      </c>
      <c r="N382" s="8"/>
      <c r="O382" s="8" t="n">
        <v>1</v>
      </c>
      <c r="P382" s="10" t="n">
        <v>5.3</v>
      </c>
      <c r="Q382" s="8" t="n">
        <v>690</v>
      </c>
      <c r="R382" s="8" t="n">
        <v>248</v>
      </c>
      <c r="S382" s="8" t="s">
        <v>316</v>
      </c>
      <c r="T382" s="8"/>
      <c r="U382" s="8"/>
      <c r="V382" s="8" t="s">
        <v>155</v>
      </c>
      <c r="W382" s="8"/>
      <c r="X382" s="8" t="s">
        <v>524</v>
      </c>
      <c r="Y382" s="8" t="s">
        <v>2775</v>
      </c>
      <c r="Z382" s="8"/>
    </row>
    <row r="383" customFormat="false" ht="15" hidden="false" customHeight="false" outlineLevel="0" collapsed="false">
      <c r="A383" s="8" t="s">
        <v>318</v>
      </c>
      <c r="B383" s="8" t="s">
        <v>19</v>
      </c>
      <c r="C383" s="8" t="s">
        <v>20</v>
      </c>
      <c r="D383" s="8" t="s">
        <v>615</v>
      </c>
      <c r="E383" s="8" t="s">
        <v>39</v>
      </c>
      <c r="F383" s="8" t="s">
        <v>57</v>
      </c>
      <c r="G383" s="8" t="s">
        <v>32</v>
      </c>
      <c r="H383" s="8" t="s">
        <v>32</v>
      </c>
      <c r="I383" s="8" t="n">
        <f aca="false">IF(EXACT(G383,H383),1,0)</f>
        <v>1</v>
      </c>
      <c r="J383" s="8" t="n">
        <v>0</v>
      </c>
      <c r="K383" s="8" t="s">
        <v>92</v>
      </c>
      <c r="L383" s="8" t="n">
        <v>0</v>
      </c>
      <c r="M383" s="8" t="n">
        <v>0</v>
      </c>
      <c r="N383" s="8"/>
      <c r="O383" s="8" t="n">
        <v>1</v>
      </c>
      <c r="P383" s="10" t="n">
        <v>5.87</v>
      </c>
      <c r="Q383" s="8" t="n">
        <v>636</v>
      </c>
      <c r="R383" s="8" t="n">
        <v>199</v>
      </c>
      <c r="S383" s="8" t="s">
        <v>319</v>
      </c>
      <c r="T383" s="8"/>
      <c r="U383" s="8"/>
      <c r="V383" s="8" t="s">
        <v>155</v>
      </c>
      <c r="W383" s="8"/>
      <c r="X383" s="8" t="s">
        <v>525</v>
      </c>
      <c r="Y383" s="8" t="s">
        <v>2776</v>
      </c>
      <c r="Z383" s="8"/>
    </row>
    <row r="384" customFormat="false" ht="15" hidden="false" customHeight="false" outlineLevel="0" collapsed="false">
      <c r="A384" s="8" t="s">
        <v>318</v>
      </c>
      <c r="B384" s="8" t="s">
        <v>19</v>
      </c>
      <c r="C384" s="8" t="s">
        <v>20</v>
      </c>
      <c r="D384" s="8" t="s">
        <v>615</v>
      </c>
      <c r="E384" s="8" t="s">
        <v>39</v>
      </c>
      <c r="F384" s="8" t="s">
        <v>57</v>
      </c>
      <c r="G384" s="8" t="s">
        <v>32</v>
      </c>
      <c r="H384" s="8" t="s">
        <v>32</v>
      </c>
      <c r="I384" s="8" t="n">
        <f aca="false">IF(EXACT(G384,H384),1,0)</f>
        <v>1</v>
      </c>
      <c r="J384" s="8" t="n">
        <v>1</v>
      </c>
      <c r="K384" s="8" t="s">
        <v>92</v>
      </c>
      <c r="L384" s="8" t="n">
        <v>0</v>
      </c>
      <c r="M384" s="8" t="n">
        <v>0</v>
      </c>
      <c r="N384" s="8"/>
      <c r="O384" s="8" t="n">
        <v>1</v>
      </c>
      <c r="P384" s="10" t="n">
        <v>4.37</v>
      </c>
      <c r="Q384" s="8" t="n">
        <v>636</v>
      </c>
      <c r="R384" s="8" t="n">
        <v>182</v>
      </c>
      <c r="S384" s="8" t="s">
        <v>319</v>
      </c>
      <c r="T384" s="8"/>
      <c r="U384" s="8"/>
      <c r="V384" s="8" t="s">
        <v>155</v>
      </c>
      <c r="W384" s="8"/>
      <c r="X384" s="8" t="s">
        <v>525</v>
      </c>
      <c r="Y384" s="8" t="s">
        <v>2777</v>
      </c>
      <c r="Z384" s="8"/>
    </row>
    <row r="385" customFormat="false" ht="15" hidden="false" customHeight="false" outlineLevel="0" collapsed="false">
      <c r="A385" s="8" t="s">
        <v>318</v>
      </c>
      <c r="B385" s="8" t="s">
        <v>19</v>
      </c>
      <c r="C385" s="8" t="s">
        <v>20</v>
      </c>
      <c r="D385" s="8" t="s">
        <v>615</v>
      </c>
      <c r="E385" s="8" t="s">
        <v>39</v>
      </c>
      <c r="F385" s="8" t="s">
        <v>57</v>
      </c>
      <c r="G385" s="8" t="s">
        <v>32</v>
      </c>
      <c r="H385" s="8" t="s">
        <v>32</v>
      </c>
      <c r="I385" s="8" t="n">
        <f aca="false">IF(EXACT(G385,H385),1,0)</f>
        <v>1</v>
      </c>
      <c r="J385" s="8" t="n">
        <v>2</v>
      </c>
      <c r="K385" s="8" t="s">
        <v>92</v>
      </c>
      <c r="L385" s="8" t="n">
        <v>0</v>
      </c>
      <c r="M385" s="8" t="n">
        <v>0</v>
      </c>
      <c r="N385" s="8"/>
      <c r="O385" s="8" t="n">
        <v>1</v>
      </c>
      <c r="P385" s="10" t="n">
        <v>4.59</v>
      </c>
      <c r="Q385" s="8" t="n">
        <v>636</v>
      </c>
      <c r="R385" s="8" t="n">
        <v>197</v>
      </c>
      <c r="S385" s="8" t="s">
        <v>319</v>
      </c>
      <c r="T385" s="8"/>
      <c r="U385" s="8"/>
      <c r="V385" s="8" t="s">
        <v>155</v>
      </c>
      <c r="W385" s="8"/>
      <c r="X385" s="8" t="s">
        <v>525</v>
      </c>
      <c r="Y385" s="8" t="s">
        <v>2778</v>
      </c>
      <c r="Z385" s="8"/>
    </row>
    <row r="386" customFormat="false" ht="15" hidden="false" customHeight="false" outlineLevel="0" collapsed="false">
      <c r="A386" s="8" t="s">
        <v>321</v>
      </c>
      <c r="B386" s="8" t="s">
        <v>19</v>
      </c>
      <c r="C386" s="8" t="s">
        <v>20</v>
      </c>
      <c r="D386" s="8" t="s">
        <v>615</v>
      </c>
      <c r="E386" s="8" t="s">
        <v>39</v>
      </c>
      <c r="F386" s="8" t="s">
        <v>57</v>
      </c>
      <c r="G386" s="8" t="s">
        <v>32</v>
      </c>
      <c r="H386" s="8" t="s">
        <v>31</v>
      </c>
      <c r="I386" s="8" t="n">
        <f aca="false">IF(EXACT(G386,H386),1,0)</f>
        <v>0</v>
      </c>
      <c r="J386" s="8" t="n">
        <v>0</v>
      </c>
      <c r="K386" s="8" t="s">
        <v>737</v>
      </c>
      <c r="L386" s="8" t="n">
        <v>4</v>
      </c>
      <c r="M386" s="8" t="n">
        <v>0</v>
      </c>
      <c r="N386" s="8"/>
      <c r="O386" s="8" t="n">
        <v>1</v>
      </c>
      <c r="P386" s="10" t="n">
        <v>17.22</v>
      </c>
      <c r="Q386" s="8" t="n">
        <v>681</v>
      </c>
      <c r="R386" s="8" t="n">
        <v>887</v>
      </c>
      <c r="S386" s="8" t="s">
        <v>322</v>
      </c>
      <c r="T386" s="8"/>
      <c r="U386" s="8"/>
      <c r="V386" s="8" t="s">
        <v>155</v>
      </c>
      <c r="W386" s="8"/>
      <c r="X386" s="8" t="s">
        <v>526</v>
      </c>
      <c r="Y386" s="8" t="s">
        <v>2779</v>
      </c>
      <c r="Z386" s="8" t="s">
        <v>2780</v>
      </c>
    </row>
    <row r="387" customFormat="false" ht="15" hidden="false" customHeight="false" outlineLevel="0" collapsed="false">
      <c r="A387" s="8" t="s">
        <v>321</v>
      </c>
      <c r="B387" s="8" t="s">
        <v>19</v>
      </c>
      <c r="C387" s="8" t="s">
        <v>20</v>
      </c>
      <c r="D387" s="8" t="s">
        <v>615</v>
      </c>
      <c r="E387" s="8" t="s">
        <v>39</v>
      </c>
      <c r="F387" s="8" t="s">
        <v>57</v>
      </c>
      <c r="G387" s="8" t="s">
        <v>32</v>
      </c>
      <c r="H387" s="8" t="s">
        <v>31</v>
      </c>
      <c r="I387" s="8" t="n">
        <f aca="false">IF(EXACT(G387,H387),1,0)</f>
        <v>0</v>
      </c>
      <c r="J387" s="8" t="n">
        <v>1</v>
      </c>
      <c r="K387" s="8" t="s">
        <v>737</v>
      </c>
      <c r="L387" s="8" t="n">
        <v>4</v>
      </c>
      <c r="M387" s="8" t="n">
        <v>0</v>
      </c>
      <c r="N387" s="8"/>
      <c r="O387" s="8" t="n">
        <v>1</v>
      </c>
      <c r="P387" s="10" t="n">
        <v>17.94</v>
      </c>
      <c r="Q387" s="8" t="n">
        <v>681</v>
      </c>
      <c r="R387" s="8" t="n">
        <v>920</v>
      </c>
      <c r="S387" s="8" t="s">
        <v>322</v>
      </c>
      <c r="T387" s="8"/>
      <c r="U387" s="8"/>
      <c r="V387" s="8" t="s">
        <v>155</v>
      </c>
      <c r="W387" s="8"/>
      <c r="X387" s="8" t="s">
        <v>526</v>
      </c>
      <c r="Y387" s="8" t="s">
        <v>2781</v>
      </c>
      <c r="Z387" s="8" t="s">
        <v>2782</v>
      </c>
    </row>
    <row r="388" customFormat="false" ht="15" hidden="false" customHeight="false" outlineLevel="0" collapsed="false">
      <c r="A388" s="8" t="s">
        <v>321</v>
      </c>
      <c r="B388" s="8" t="s">
        <v>19</v>
      </c>
      <c r="C388" s="8" t="s">
        <v>20</v>
      </c>
      <c r="D388" s="8" t="s">
        <v>615</v>
      </c>
      <c r="E388" s="8" t="s">
        <v>39</v>
      </c>
      <c r="F388" s="8" t="s">
        <v>57</v>
      </c>
      <c r="G388" s="8" t="s">
        <v>32</v>
      </c>
      <c r="H388" s="8" t="s">
        <v>31</v>
      </c>
      <c r="I388" s="8" t="n">
        <f aca="false">IF(EXACT(G388,H388),1,0)</f>
        <v>0</v>
      </c>
      <c r="J388" s="8" t="n">
        <v>2</v>
      </c>
      <c r="K388" s="8" t="s">
        <v>116</v>
      </c>
      <c r="L388" s="8" t="n">
        <v>4</v>
      </c>
      <c r="M388" s="8" t="n">
        <v>0</v>
      </c>
      <c r="N388" s="8"/>
      <c r="O388" s="8" t="n">
        <v>1</v>
      </c>
      <c r="P388" s="10" t="n">
        <v>19.25</v>
      </c>
      <c r="Q388" s="8" t="n">
        <v>681</v>
      </c>
      <c r="R388" s="8" t="n">
        <v>995</v>
      </c>
      <c r="S388" s="8" t="s">
        <v>322</v>
      </c>
      <c r="T388" s="8"/>
      <c r="U388" s="8"/>
      <c r="V388" s="8" t="s">
        <v>155</v>
      </c>
      <c r="W388" s="8"/>
      <c r="X388" s="8" t="s">
        <v>526</v>
      </c>
      <c r="Y388" s="8" t="s">
        <v>2783</v>
      </c>
      <c r="Z388" s="8" t="s">
        <v>2784</v>
      </c>
    </row>
    <row r="389" customFormat="false" ht="15" hidden="false" customHeight="false" outlineLevel="0" collapsed="false">
      <c r="A389" s="8" t="s">
        <v>324</v>
      </c>
      <c r="B389" s="8" t="s">
        <v>19</v>
      </c>
      <c r="C389" s="8" t="s">
        <v>20</v>
      </c>
      <c r="D389" s="8" t="s">
        <v>615</v>
      </c>
      <c r="E389" s="8" t="s">
        <v>39</v>
      </c>
      <c r="F389" s="8" t="s">
        <v>57</v>
      </c>
      <c r="G389" s="8" t="s">
        <v>30</v>
      </c>
      <c r="H389" s="8" t="s">
        <v>30</v>
      </c>
      <c r="I389" s="8" t="n">
        <f aca="false">IF(EXACT(G389,H389),1,0)</f>
        <v>1</v>
      </c>
      <c r="J389" s="8" t="n">
        <v>0</v>
      </c>
      <c r="K389" s="8" t="s">
        <v>92</v>
      </c>
      <c r="L389" s="8" t="n">
        <v>0</v>
      </c>
      <c r="M389" s="8" t="n">
        <v>0</v>
      </c>
      <c r="N389" s="8"/>
      <c r="O389" s="8" t="n">
        <v>1</v>
      </c>
      <c r="P389" s="10" t="n">
        <v>6.72</v>
      </c>
      <c r="Q389" s="8" t="n">
        <v>724</v>
      </c>
      <c r="R389" s="8" t="n">
        <v>285</v>
      </c>
      <c r="S389" s="8" t="s">
        <v>325</v>
      </c>
      <c r="T389" s="8"/>
      <c r="U389" s="8"/>
      <c r="V389" s="8" t="s">
        <v>155</v>
      </c>
      <c r="W389" s="8"/>
      <c r="X389" s="8" t="s">
        <v>527</v>
      </c>
      <c r="Y389" s="8" t="s">
        <v>2785</v>
      </c>
      <c r="Z389" s="8"/>
    </row>
    <row r="390" customFormat="false" ht="15" hidden="false" customHeight="false" outlineLevel="0" collapsed="false">
      <c r="A390" s="8" t="s">
        <v>324</v>
      </c>
      <c r="B390" s="8" t="s">
        <v>19</v>
      </c>
      <c r="C390" s="8" t="s">
        <v>20</v>
      </c>
      <c r="D390" s="8" t="s">
        <v>615</v>
      </c>
      <c r="E390" s="8" t="s">
        <v>39</v>
      </c>
      <c r="F390" s="8" t="s">
        <v>57</v>
      </c>
      <c r="G390" s="8" t="s">
        <v>30</v>
      </c>
      <c r="H390" s="8" t="s">
        <v>30</v>
      </c>
      <c r="I390" s="8" t="n">
        <f aca="false">IF(EXACT(G390,H390),1,0)</f>
        <v>1</v>
      </c>
      <c r="J390" s="8" t="n">
        <v>1</v>
      </c>
      <c r="K390" s="8" t="s">
        <v>92</v>
      </c>
      <c r="L390" s="8" t="n">
        <v>0</v>
      </c>
      <c r="M390" s="8" t="n">
        <v>0</v>
      </c>
      <c r="N390" s="8"/>
      <c r="O390" s="8" t="n">
        <v>1</v>
      </c>
      <c r="P390" s="10" t="n">
        <v>4.96</v>
      </c>
      <c r="Q390" s="8" t="n">
        <v>724</v>
      </c>
      <c r="R390" s="8" t="n">
        <v>254</v>
      </c>
      <c r="S390" s="8" t="s">
        <v>325</v>
      </c>
      <c r="T390" s="8"/>
      <c r="U390" s="8"/>
      <c r="V390" s="8" t="s">
        <v>155</v>
      </c>
      <c r="W390" s="8"/>
      <c r="X390" s="8" t="s">
        <v>527</v>
      </c>
      <c r="Y390" s="8" t="s">
        <v>2786</v>
      </c>
      <c r="Z390" s="8"/>
    </row>
    <row r="391" customFormat="false" ht="15" hidden="false" customHeight="false" outlineLevel="0" collapsed="false">
      <c r="A391" s="8" t="s">
        <v>324</v>
      </c>
      <c r="B391" s="8" t="s">
        <v>19</v>
      </c>
      <c r="C391" s="8" t="s">
        <v>20</v>
      </c>
      <c r="D391" s="8" t="s">
        <v>615</v>
      </c>
      <c r="E391" s="8" t="s">
        <v>39</v>
      </c>
      <c r="F391" s="8" t="s">
        <v>57</v>
      </c>
      <c r="G391" s="8" t="s">
        <v>30</v>
      </c>
      <c r="H391" s="8" t="s">
        <v>30</v>
      </c>
      <c r="I391" s="8" t="n">
        <f aca="false">IF(EXACT(G391,H391),1,0)</f>
        <v>1</v>
      </c>
      <c r="J391" s="8" t="n">
        <v>2</v>
      </c>
      <c r="K391" s="8" t="s">
        <v>92</v>
      </c>
      <c r="L391" s="8" t="n">
        <v>0</v>
      </c>
      <c r="M391" s="8" t="n">
        <v>0</v>
      </c>
      <c r="N391" s="8"/>
      <c r="O391" s="8" t="n">
        <v>1</v>
      </c>
      <c r="P391" s="10" t="n">
        <v>6.17</v>
      </c>
      <c r="Q391" s="8" t="n">
        <v>724</v>
      </c>
      <c r="R391" s="8" t="n">
        <v>318</v>
      </c>
      <c r="S391" s="8" t="s">
        <v>325</v>
      </c>
      <c r="T391" s="8"/>
      <c r="U391" s="8"/>
      <c r="V391" s="8" t="s">
        <v>155</v>
      </c>
      <c r="W391" s="8"/>
      <c r="X391" s="8" t="s">
        <v>527</v>
      </c>
      <c r="Y391" s="8" t="s">
        <v>2787</v>
      </c>
      <c r="Z391" s="8"/>
    </row>
    <row r="392" customFormat="false" ht="15" hidden="false" customHeight="false" outlineLevel="0" collapsed="false">
      <c r="A392" s="8" t="s">
        <v>327</v>
      </c>
      <c r="B392" s="8" t="s">
        <v>19</v>
      </c>
      <c r="C392" s="8" t="s">
        <v>20</v>
      </c>
      <c r="D392" s="8" t="s">
        <v>615</v>
      </c>
      <c r="E392" s="8" t="s">
        <v>39</v>
      </c>
      <c r="F392" s="8" t="s">
        <v>57</v>
      </c>
      <c r="G392" s="8" t="s">
        <v>30</v>
      </c>
      <c r="H392" s="8" t="s">
        <v>30</v>
      </c>
      <c r="I392" s="8" t="n">
        <f aca="false">IF(EXACT(G392,H392),1,0)</f>
        <v>1</v>
      </c>
      <c r="J392" s="8" t="n">
        <v>0</v>
      </c>
      <c r="K392" s="8" t="s">
        <v>92</v>
      </c>
      <c r="L392" s="8" t="n">
        <v>0</v>
      </c>
      <c r="M392" s="8" t="n">
        <v>0</v>
      </c>
      <c r="N392" s="8"/>
      <c r="O392" s="8" t="n">
        <v>1</v>
      </c>
      <c r="P392" s="10" t="n">
        <v>6.33</v>
      </c>
      <c r="Q392" s="8" t="n">
        <v>722</v>
      </c>
      <c r="R392" s="8" t="n">
        <v>247</v>
      </c>
      <c r="S392" s="8" t="s">
        <v>328</v>
      </c>
      <c r="T392" s="8"/>
      <c r="U392" s="8"/>
      <c r="V392" s="8" t="s">
        <v>155</v>
      </c>
      <c r="W392" s="8"/>
      <c r="X392" s="8" t="s">
        <v>528</v>
      </c>
      <c r="Y392" s="8" t="s">
        <v>2788</v>
      </c>
      <c r="Z392" s="8"/>
    </row>
    <row r="393" customFormat="false" ht="15" hidden="false" customHeight="false" outlineLevel="0" collapsed="false">
      <c r="A393" s="8" t="s">
        <v>327</v>
      </c>
      <c r="B393" s="8" t="s">
        <v>19</v>
      </c>
      <c r="C393" s="8" t="s">
        <v>20</v>
      </c>
      <c r="D393" s="8" t="s">
        <v>615</v>
      </c>
      <c r="E393" s="8" t="s">
        <v>39</v>
      </c>
      <c r="F393" s="8" t="s">
        <v>57</v>
      </c>
      <c r="G393" s="8" t="s">
        <v>30</v>
      </c>
      <c r="H393" s="8" t="s">
        <v>30</v>
      </c>
      <c r="I393" s="8" t="n">
        <f aca="false">IF(EXACT(G393,H393),1,0)</f>
        <v>1</v>
      </c>
      <c r="J393" s="8" t="n">
        <v>1</v>
      </c>
      <c r="K393" s="8" t="s">
        <v>92</v>
      </c>
      <c r="L393" s="8" t="n">
        <v>0</v>
      </c>
      <c r="M393" s="8" t="n">
        <v>0</v>
      </c>
      <c r="N393" s="8"/>
      <c r="O393" s="8" t="n">
        <v>1</v>
      </c>
      <c r="P393" s="10" t="n">
        <v>5.05</v>
      </c>
      <c r="Q393" s="8" t="n">
        <v>722</v>
      </c>
      <c r="R393" s="8" t="n">
        <v>246</v>
      </c>
      <c r="S393" s="8" t="s">
        <v>328</v>
      </c>
      <c r="T393" s="8"/>
      <c r="U393" s="8"/>
      <c r="V393" s="8" t="s">
        <v>155</v>
      </c>
      <c r="W393" s="8"/>
      <c r="X393" s="8" t="s">
        <v>528</v>
      </c>
      <c r="Y393" s="8" t="s">
        <v>2789</v>
      </c>
      <c r="Z393" s="8"/>
    </row>
    <row r="394" customFormat="false" ht="15" hidden="false" customHeight="false" outlineLevel="0" collapsed="false">
      <c r="A394" s="8" t="s">
        <v>327</v>
      </c>
      <c r="B394" s="8" t="s">
        <v>19</v>
      </c>
      <c r="C394" s="8" t="s">
        <v>20</v>
      </c>
      <c r="D394" s="8" t="s">
        <v>615</v>
      </c>
      <c r="E394" s="8" t="s">
        <v>39</v>
      </c>
      <c r="F394" s="8" t="s">
        <v>57</v>
      </c>
      <c r="G394" s="8" t="s">
        <v>30</v>
      </c>
      <c r="H394" s="8" t="s">
        <v>30</v>
      </c>
      <c r="I394" s="8" t="n">
        <f aca="false">IF(EXACT(G394,H394),1,0)</f>
        <v>1</v>
      </c>
      <c r="J394" s="8" t="n">
        <v>2</v>
      </c>
      <c r="K394" s="8" t="s">
        <v>92</v>
      </c>
      <c r="L394" s="8" t="n">
        <v>0</v>
      </c>
      <c r="M394" s="8" t="n">
        <v>0</v>
      </c>
      <c r="N394" s="8"/>
      <c r="O394" s="8" t="n">
        <v>1</v>
      </c>
      <c r="P394" s="10" t="n">
        <v>5.14</v>
      </c>
      <c r="Q394" s="8" t="n">
        <v>722</v>
      </c>
      <c r="R394" s="8" t="n">
        <v>250</v>
      </c>
      <c r="S394" s="8" t="s">
        <v>328</v>
      </c>
      <c r="T394" s="8"/>
      <c r="U394" s="8"/>
      <c r="V394" s="8" t="s">
        <v>155</v>
      </c>
      <c r="W394" s="8"/>
      <c r="X394" s="8" t="s">
        <v>528</v>
      </c>
      <c r="Y394" s="8" t="s">
        <v>2790</v>
      </c>
      <c r="Z394" s="8"/>
    </row>
    <row r="395" customFormat="false" ht="15" hidden="false" customHeight="false" outlineLevel="0" collapsed="false">
      <c r="A395" s="8" t="s">
        <v>391</v>
      </c>
      <c r="B395" s="8" t="s">
        <v>19</v>
      </c>
      <c r="C395" s="8" t="s">
        <v>20</v>
      </c>
      <c r="D395" s="8" t="s">
        <v>615</v>
      </c>
      <c r="E395" s="8" t="s">
        <v>39</v>
      </c>
      <c r="F395" s="8" t="s">
        <v>59</v>
      </c>
      <c r="G395" s="8" t="s">
        <v>31</v>
      </c>
      <c r="H395" s="8" t="s">
        <v>31</v>
      </c>
      <c r="I395" s="8" t="n">
        <f aca="false">IF(EXACT(G395,H395),1,0)</f>
        <v>1</v>
      </c>
      <c r="J395" s="8" t="n">
        <v>0</v>
      </c>
      <c r="K395" s="8" t="s">
        <v>2333</v>
      </c>
      <c r="L395" s="8" t="n">
        <v>2</v>
      </c>
      <c r="M395" s="8" t="n">
        <v>0</v>
      </c>
      <c r="N395" s="8"/>
      <c r="O395" s="8" t="n">
        <v>1</v>
      </c>
      <c r="P395" s="10" t="n">
        <v>15.62</v>
      </c>
      <c r="Q395" s="8" t="n">
        <v>692</v>
      </c>
      <c r="R395" s="8" t="n">
        <v>870</v>
      </c>
      <c r="S395" s="8" t="s">
        <v>392</v>
      </c>
      <c r="T395" s="8"/>
      <c r="U395" s="8"/>
      <c r="V395" s="8" t="s">
        <v>155</v>
      </c>
      <c r="W395" s="8"/>
      <c r="X395" s="8" t="s">
        <v>529</v>
      </c>
      <c r="Y395" s="8" t="s">
        <v>2791</v>
      </c>
      <c r="Z395" s="8" t="s">
        <v>2792</v>
      </c>
    </row>
    <row r="396" customFormat="false" ht="15" hidden="false" customHeight="false" outlineLevel="0" collapsed="false">
      <c r="A396" s="8" t="s">
        <v>391</v>
      </c>
      <c r="B396" s="8" t="s">
        <v>19</v>
      </c>
      <c r="C396" s="8" t="s">
        <v>20</v>
      </c>
      <c r="D396" s="8" t="s">
        <v>615</v>
      </c>
      <c r="E396" s="8" t="s">
        <v>39</v>
      </c>
      <c r="F396" s="8" t="s">
        <v>59</v>
      </c>
      <c r="G396" s="8" t="s">
        <v>31</v>
      </c>
      <c r="H396" s="8" t="s">
        <v>31</v>
      </c>
      <c r="I396" s="8" t="n">
        <f aca="false">IF(EXACT(G396,H396),1,0)</f>
        <v>1</v>
      </c>
      <c r="J396" s="8" t="n">
        <v>1</v>
      </c>
      <c r="K396" s="8" t="s">
        <v>2333</v>
      </c>
      <c r="L396" s="8" t="n">
        <v>2</v>
      </c>
      <c r="M396" s="8" t="n">
        <v>0</v>
      </c>
      <c r="N396" s="8"/>
      <c r="O396" s="8" t="n">
        <v>1</v>
      </c>
      <c r="P396" s="10" t="n">
        <v>13.1</v>
      </c>
      <c r="Q396" s="8" t="n">
        <v>692</v>
      </c>
      <c r="R396" s="8" t="n">
        <v>757</v>
      </c>
      <c r="S396" s="8" t="s">
        <v>392</v>
      </c>
      <c r="T396" s="8"/>
      <c r="U396" s="8"/>
      <c r="V396" s="8" t="s">
        <v>155</v>
      </c>
      <c r="W396" s="8"/>
      <c r="X396" s="8" t="s">
        <v>529</v>
      </c>
      <c r="Y396" s="8" t="s">
        <v>2793</v>
      </c>
      <c r="Z396" s="8" t="s">
        <v>2794</v>
      </c>
    </row>
    <row r="397" customFormat="false" ht="15" hidden="false" customHeight="false" outlineLevel="0" collapsed="false">
      <c r="A397" s="8" t="s">
        <v>391</v>
      </c>
      <c r="B397" s="8" t="s">
        <v>19</v>
      </c>
      <c r="C397" s="8" t="s">
        <v>20</v>
      </c>
      <c r="D397" s="8" t="s">
        <v>615</v>
      </c>
      <c r="E397" s="8" t="s">
        <v>39</v>
      </c>
      <c r="F397" s="8" t="s">
        <v>59</v>
      </c>
      <c r="G397" s="8" t="s">
        <v>31</v>
      </c>
      <c r="H397" s="8" t="s">
        <v>31</v>
      </c>
      <c r="I397" s="8" t="n">
        <f aca="false">IF(EXACT(G397,H397),1,0)</f>
        <v>1</v>
      </c>
      <c r="J397" s="8" t="n">
        <v>2</v>
      </c>
      <c r="K397" s="8" t="s">
        <v>2333</v>
      </c>
      <c r="L397" s="8" t="n">
        <v>5</v>
      </c>
      <c r="M397" s="8" t="n">
        <v>0</v>
      </c>
      <c r="N397" s="8"/>
      <c r="O397" s="8" t="n">
        <v>1</v>
      </c>
      <c r="P397" s="10" t="n">
        <v>16.82</v>
      </c>
      <c r="Q397" s="8" t="n">
        <v>692</v>
      </c>
      <c r="R397" s="8" t="n">
        <v>1012</v>
      </c>
      <c r="S397" s="8" t="s">
        <v>392</v>
      </c>
      <c r="T397" s="8"/>
      <c r="U397" s="8"/>
      <c r="V397" s="8" t="s">
        <v>155</v>
      </c>
      <c r="W397" s="8"/>
      <c r="X397" s="8" t="s">
        <v>529</v>
      </c>
      <c r="Y397" s="8" t="s">
        <v>2795</v>
      </c>
      <c r="Z397" s="8" t="s">
        <v>2796</v>
      </c>
    </row>
    <row r="398" customFormat="false" ht="15" hidden="false" customHeight="false" outlineLevel="0" collapsed="false">
      <c r="A398" s="8" t="s">
        <v>395</v>
      </c>
      <c r="B398" s="8" t="s">
        <v>19</v>
      </c>
      <c r="C398" s="8" t="s">
        <v>20</v>
      </c>
      <c r="D398" s="8" t="s">
        <v>615</v>
      </c>
      <c r="E398" s="8" t="s">
        <v>39</v>
      </c>
      <c r="F398" s="8" t="s">
        <v>59</v>
      </c>
      <c r="G398" s="8" t="s">
        <v>31</v>
      </c>
      <c r="H398" s="8" t="s">
        <v>31</v>
      </c>
      <c r="I398" s="8" t="n">
        <f aca="false">IF(EXACT(G398,H398),1,0)</f>
        <v>1</v>
      </c>
      <c r="J398" s="8" t="n">
        <v>0</v>
      </c>
      <c r="K398" s="8" t="s">
        <v>737</v>
      </c>
      <c r="L398" s="8" t="n">
        <v>3</v>
      </c>
      <c r="M398" s="8" t="n">
        <v>0</v>
      </c>
      <c r="N398" s="8"/>
      <c r="O398" s="8" t="n">
        <v>1</v>
      </c>
      <c r="P398" s="10" t="n">
        <v>9.86</v>
      </c>
      <c r="Q398" s="8" t="n">
        <v>674</v>
      </c>
      <c r="R398" s="8" t="n">
        <v>564</v>
      </c>
      <c r="S398" s="8" t="s">
        <v>396</v>
      </c>
      <c r="T398" s="8"/>
      <c r="U398" s="8"/>
      <c r="V398" s="8" t="s">
        <v>155</v>
      </c>
      <c r="W398" s="8"/>
      <c r="X398" s="8" t="s">
        <v>530</v>
      </c>
      <c r="Y398" s="8" t="s">
        <v>2797</v>
      </c>
      <c r="Z398" s="8" t="s">
        <v>2798</v>
      </c>
    </row>
    <row r="399" customFormat="false" ht="15" hidden="false" customHeight="false" outlineLevel="0" collapsed="false">
      <c r="A399" s="8" t="s">
        <v>395</v>
      </c>
      <c r="B399" s="8" t="s">
        <v>19</v>
      </c>
      <c r="C399" s="8" t="s">
        <v>20</v>
      </c>
      <c r="D399" s="8" t="s">
        <v>615</v>
      </c>
      <c r="E399" s="8" t="s">
        <v>39</v>
      </c>
      <c r="F399" s="8" t="s">
        <v>59</v>
      </c>
      <c r="G399" s="8" t="s">
        <v>31</v>
      </c>
      <c r="H399" s="8" t="s">
        <v>31</v>
      </c>
      <c r="I399" s="8" t="n">
        <f aca="false">IF(EXACT(G399,H399),1,0)</f>
        <v>1</v>
      </c>
      <c r="J399" s="8" t="n">
        <v>1</v>
      </c>
      <c r="K399" s="8" t="s">
        <v>737</v>
      </c>
      <c r="L399" s="8" t="n">
        <v>3</v>
      </c>
      <c r="M399" s="8" t="n">
        <v>0</v>
      </c>
      <c r="N399" s="8"/>
      <c r="O399" s="8" t="n">
        <v>1</v>
      </c>
      <c r="P399" s="10" t="n">
        <v>9.51</v>
      </c>
      <c r="Q399" s="8" t="n">
        <v>674</v>
      </c>
      <c r="R399" s="8" t="n">
        <v>558</v>
      </c>
      <c r="S399" s="8" t="s">
        <v>396</v>
      </c>
      <c r="T399" s="8"/>
      <c r="U399" s="8"/>
      <c r="V399" s="8" t="s">
        <v>155</v>
      </c>
      <c r="W399" s="8"/>
      <c r="X399" s="8" t="s">
        <v>530</v>
      </c>
      <c r="Y399" s="8" t="s">
        <v>2799</v>
      </c>
      <c r="Z399" s="8" t="s">
        <v>2800</v>
      </c>
    </row>
    <row r="400" customFormat="false" ht="15" hidden="false" customHeight="false" outlineLevel="0" collapsed="false">
      <c r="A400" s="8" t="s">
        <v>395</v>
      </c>
      <c r="B400" s="8" t="s">
        <v>19</v>
      </c>
      <c r="C400" s="8" t="s">
        <v>20</v>
      </c>
      <c r="D400" s="8" t="s">
        <v>615</v>
      </c>
      <c r="E400" s="8" t="s">
        <v>39</v>
      </c>
      <c r="F400" s="8" t="s">
        <v>59</v>
      </c>
      <c r="G400" s="8" t="s">
        <v>31</v>
      </c>
      <c r="H400" s="8" t="s">
        <v>31</v>
      </c>
      <c r="I400" s="8" t="n">
        <f aca="false">IF(EXACT(G400,H400),1,0)</f>
        <v>1</v>
      </c>
      <c r="J400" s="8" t="n">
        <v>2</v>
      </c>
      <c r="K400" s="8" t="s">
        <v>737</v>
      </c>
      <c r="L400" s="8" t="n">
        <v>3</v>
      </c>
      <c r="M400" s="8" t="n">
        <v>0</v>
      </c>
      <c r="N400" s="8"/>
      <c r="O400" s="8" t="n">
        <v>1</v>
      </c>
      <c r="P400" s="10" t="n">
        <v>9.38</v>
      </c>
      <c r="Q400" s="8" t="n">
        <v>674</v>
      </c>
      <c r="R400" s="8" t="n">
        <v>556</v>
      </c>
      <c r="S400" s="8" t="s">
        <v>396</v>
      </c>
      <c r="T400" s="8"/>
      <c r="U400" s="8"/>
      <c r="V400" s="8" t="s">
        <v>155</v>
      </c>
      <c r="W400" s="8"/>
      <c r="X400" s="8" t="s">
        <v>530</v>
      </c>
      <c r="Y400" s="8" t="s">
        <v>2801</v>
      </c>
      <c r="Z400" s="8" t="s">
        <v>2802</v>
      </c>
    </row>
    <row r="401" customFormat="false" ht="15" hidden="false" customHeight="false" outlineLevel="0" collapsed="false">
      <c r="A401" s="8" t="s">
        <v>399</v>
      </c>
      <c r="B401" s="8" t="s">
        <v>19</v>
      </c>
      <c r="C401" s="8" t="s">
        <v>20</v>
      </c>
      <c r="D401" s="8" t="s">
        <v>615</v>
      </c>
      <c r="E401" s="8" t="s">
        <v>39</v>
      </c>
      <c r="F401" s="8" t="s">
        <v>59</v>
      </c>
      <c r="G401" s="8" t="s">
        <v>32</v>
      </c>
      <c r="H401" s="8" t="s">
        <v>32</v>
      </c>
      <c r="I401" s="8" t="n">
        <f aca="false">IF(EXACT(G401,H401),1,0)</f>
        <v>1</v>
      </c>
      <c r="J401" s="8" t="n">
        <v>0</v>
      </c>
      <c r="K401" s="8" t="s">
        <v>92</v>
      </c>
      <c r="L401" s="8" t="n">
        <v>0</v>
      </c>
      <c r="M401" s="8" t="n">
        <v>0</v>
      </c>
      <c r="N401" s="8"/>
      <c r="O401" s="8" t="n">
        <v>1</v>
      </c>
      <c r="P401" s="10" t="n">
        <v>5.49</v>
      </c>
      <c r="Q401" s="8" t="n">
        <v>679</v>
      </c>
      <c r="R401" s="8" t="n">
        <v>257</v>
      </c>
      <c r="S401" s="8" t="s">
        <v>400</v>
      </c>
      <c r="T401" s="8"/>
      <c r="U401" s="8"/>
      <c r="V401" s="8" t="s">
        <v>155</v>
      </c>
      <c r="W401" s="8"/>
      <c r="X401" s="8" t="s">
        <v>531</v>
      </c>
      <c r="Y401" s="8" t="s">
        <v>2803</v>
      </c>
      <c r="Z401" s="8"/>
    </row>
    <row r="402" customFormat="false" ht="15" hidden="false" customHeight="false" outlineLevel="0" collapsed="false">
      <c r="A402" s="8" t="s">
        <v>399</v>
      </c>
      <c r="B402" s="8" t="s">
        <v>19</v>
      </c>
      <c r="C402" s="8" t="s">
        <v>20</v>
      </c>
      <c r="D402" s="8" t="s">
        <v>615</v>
      </c>
      <c r="E402" s="8" t="s">
        <v>39</v>
      </c>
      <c r="F402" s="8" t="s">
        <v>59</v>
      </c>
      <c r="G402" s="8" t="s">
        <v>32</v>
      </c>
      <c r="H402" s="8" t="s">
        <v>32</v>
      </c>
      <c r="I402" s="8" t="n">
        <f aca="false">IF(EXACT(G402,H402),1,0)</f>
        <v>1</v>
      </c>
      <c r="J402" s="8" t="n">
        <v>1</v>
      </c>
      <c r="K402" s="8" t="s">
        <v>92</v>
      </c>
      <c r="L402" s="8" t="n">
        <v>0</v>
      </c>
      <c r="M402" s="8" t="n">
        <v>0</v>
      </c>
      <c r="N402" s="8"/>
      <c r="O402" s="8" t="n">
        <v>1</v>
      </c>
      <c r="P402" s="10" t="n">
        <v>5.67</v>
      </c>
      <c r="Q402" s="8" t="n">
        <v>679</v>
      </c>
      <c r="R402" s="8" t="n">
        <v>275</v>
      </c>
      <c r="S402" s="8" t="s">
        <v>400</v>
      </c>
      <c r="T402" s="8"/>
      <c r="U402" s="8"/>
      <c r="V402" s="8" t="s">
        <v>155</v>
      </c>
      <c r="W402" s="8"/>
      <c r="X402" s="8" t="s">
        <v>531</v>
      </c>
      <c r="Y402" s="8" t="s">
        <v>2804</v>
      </c>
      <c r="Z402" s="8"/>
    </row>
    <row r="403" customFormat="false" ht="15" hidden="false" customHeight="false" outlineLevel="0" collapsed="false">
      <c r="A403" s="8" t="s">
        <v>399</v>
      </c>
      <c r="B403" s="8" t="s">
        <v>19</v>
      </c>
      <c r="C403" s="8" t="s">
        <v>20</v>
      </c>
      <c r="D403" s="8" t="s">
        <v>615</v>
      </c>
      <c r="E403" s="8" t="s">
        <v>39</v>
      </c>
      <c r="F403" s="8" t="s">
        <v>59</v>
      </c>
      <c r="G403" s="8" t="s">
        <v>32</v>
      </c>
      <c r="H403" s="8" t="s">
        <v>32</v>
      </c>
      <c r="I403" s="8" t="n">
        <f aca="false">IF(EXACT(G403,H403),1,0)</f>
        <v>1</v>
      </c>
      <c r="J403" s="8" t="n">
        <v>2</v>
      </c>
      <c r="K403" s="8" t="s">
        <v>92</v>
      </c>
      <c r="L403" s="8" t="n">
        <v>0</v>
      </c>
      <c r="M403" s="8" t="n">
        <v>0</v>
      </c>
      <c r="N403" s="8"/>
      <c r="O403" s="8" t="n">
        <v>1</v>
      </c>
      <c r="P403" s="10" t="n">
        <v>5.21</v>
      </c>
      <c r="Q403" s="8" t="n">
        <v>679</v>
      </c>
      <c r="R403" s="8" t="n">
        <v>247</v>
      </c>
      <c r="S403" s="8" t="s">
        <v>400</v>
      </c>
      <c r="T403" s="8"/>
      <c r="U403" s="8"/>
      <c r="V403" s="8" t="s">
        <v>155</v>
      </c>
      <c r="W403" s="8"/>
      <c r="X403" s="8" t="s">
        <v>531</v>
      </c>
      <c r="Y403" s="8" t="s">
        <v>2805</v>
      </c>
      <c r="Z403" s="8"/>
    </row>
    <row r="404" customFormat="false" ht="15" hidden="false" customHeight="false" outlineLevel="0" collapsed="false">
      <c r="A404" s="8" t="s">
        <v>402</v>
      </c>
      <c r="B404" s="8" t="s">
        <v>19</v>
      </c>
      <c r="C404" s="8" t="s">
        <v>20</v>
      </c>
      <c r="D404" s="8" t="s">
        <v>615</v>
      </c>
      <c r="E404" s="8" t="s">
        <v>39</v>
      </c>
      <c r="F404" s="8" t="s">
        <v>59</v>
      </c>
      <c r="G404" s="8" t="s">
        <v>32</v>
      </c>
      <c r="H404" s="8" t="s">
        <v>32</v>
      </c>
      <c r="I404" s="8" t="n">
        <f aca="false">IF(EXACT(G404,H404),1,0)</f>
        <v>1</v>
      </c>
      <c r="J404" s="8" t="n">
        <v>0</v>
      </c>
      <c r="K404" s="8" t="s">
        <v>92</v>
      </c>
      <c r="L404" s="8" t="n">
        <v>0</v>
      </c>
      <c r="M404" s="8" t="n">
        <v>0</v>
      </c>
      <c r="N404" s="8"/>
      <c r="O404" s="8" t="n">
        <v>1</v>
      </c>
      <c r="P404" s="10" t="n">
        <v>5.84</v>
      </c>
      <c r="Q404" s="8" t="n">
        <v>648</v>
      </c>
      <c r="R404" s="8" t="n">
        <v>258</v>
      </c>
      <c r="S404" s="8" t="s">
        <v>403</v>
      </c>
      <c r="T404" s="8"/>
      <c r="U404" s="8"/>
      <c r="V404" s="8" t="s">
        <v>155</v>
      </c>
      <c r="W404" s="8"/>
      <c r="X404" s="8" t="s">
        <v>532</v>
      </c>
      <c r="Y404" s="8" t="s">
        <v>2806</v>
      </c>
      <c r="Z404" s="8"/>
    </row>
    <row r="405" customFormat="false" ht="15" hidden="false" customHeight="false" outlineLevel="0" collapsed="false">
      <c r="A405" s="8" t="s">
        <v>402</v>
      </c>
      <c r="B405" s="8" t="s">
        <v>19</v>
      </c>
      <c r="C405" s="8" t="s">
        <v>20</v>
      </c>
      <c r="D405" s="8" t="s">
        <v>615</v>
      </c>
      <c r="E405" s="8" t="s">
        <v>39</v>
      </c>
      <c r="F405" s="8" t="s">
        <v>59</v>
      </c>
      <c r="G405" s="8" t="s">
        <v>32</v>
      </c>
      <c r="H405" s="8" t="s">
        <v>32</v>
      </c>
      <c r="I405" s="8" t="n">
        <f aca="false">IF(EXACT(G405,H405),1,0)</f>
        <v>1</v>
      </c>
      <c r="J405" s="8" t="n">
        <v>1</v>
      </c>
      <c r="K405" s="8" t="s">
        <v>92</v>
      </c>
      <c r="L405" s="8" t="n">
        <v>0</v>
      </c>
      <c r="M405" s="8" t="n">
        <v>0</v>
      </c>
      <c r="N405" s="8"/>
      <c r="O405" s="8" t="n">
        <v>1</v>
      </c>
      <c r="P405" s="10" t="n">
        <v>10.06</v>
      </c>
      <c r="Q405" s="8" t="n">
        <v>648</v>
      </c>
      <c r="R405" s="8" t="n">
        <v>282</v>
      </c>
      <c r="S405" s="8" t="s">
        <v>403</v>
      </c>
      <c r="T405" s="8"/>
      <c r="U405" s="8"/>
      <c r="V405" s="8" t="s">
        <v>155</v>
      </c>
      <c r="W405" s="8"/>
      <c r="X405" s="8" t="s">
        <v>532</v>
      </c>
      <c r="Y405" s="8" t="s">
        <v>2807</v>
      </c>
      <c r="Z405" s="8"/>
    </row>
    <row r="406" customFormat="false" ht="15" hidden="false" customHeight="false" outlineLevel="0" collapsed="false">
      <c r="A406" s="8" t="s">
        <v>402</v>
      </c>
      <c r="B406" s="8" t="s">
        <v>19</v>
      </c>
      <c r="C406" s="8" t="s">
        <v>20</v>
      </c>
      <c r="D406" s="8" t="s">
        <v>615</v>
      </c>
      <c r="E406" s="8" t="s">
        <v>39</v>
      </c>
      <c r="F406" s="8" t="s">
        <v>59</v>
      </c>
      <c r="G406" s="8" t="s">
        <v>32</v>
      </c>
      <c r="H406" s="8" t="s">
        <v>32</v>
      </c>
      <c r="I406" s="8" t="n">
        <f aca="false">IF(EXACT(G406,H406),1,0)</f>
        <v>1</v>
      </c>
      <c r="J406" s="8" t="n">
        <v>2</v>
      </c>
      <c r="K406" s="8" t="s">
        <v>92</v>
      </c>
      <c r="L406" s="8" t="n">
        <v>0</v>
      </c>
      <c r="M406" s="8" t="n">
        <v>0</v>
      </c>
      <c r="N406" s="8"/>
      <c r="O406" s="8" t="n">
        <v>1</v>
      </c>
      <c r="P406" s="10" t="n">
        <v>5.77</v>
      </c>
      <c r="Q406" s="8" t="n">
        <v>648</v>
      </c>
      <c r="R406" s="8" t="n">
        <v>251</v>
      </c>
      <c r="S406" s="8" t="s">
        <v>403</v>
      </c>
      <c r="T406" s="8"/>
      <c r="U406" s="8"/>
      <c r="V406" s="8" t="s">
        <v>155</v>
      </c>
      <c r="W406" s="8"/>
      <c r="X406" s="8" t="s">
        <v>532</v>
      </c>
      <c r="Y406" s="8" t="s">
        <v>2808</v>
      </c>
      <c r="Z406" s="8"/>
    </row>
    <row r="407" customFormat="false" ht="15" hidden="false" customHeight="false" outlineLevel="0" collapsed="false">
      <c r="A407" s="8" t="s">
        <v>405</v>
      </c>
      <c r="B407" s="8" t="s">
        <v>19</v>
      </c>
      <c r="C407" s="8" t="s">
        <v>20</v>
      </c>
      <c r="D407" s="8" t="s">
        <v>615</v>
      </c>
      <c r="E407" s="8" t="s">
        <v>39</v>
      </c>
      <c r="F407" s="8" t="s">
        <v>59</v>
      </c>
      <c r="G407" s="8" t="s">
        <v>30</v>
      </c>
      <c r="H407" s="8" t="s">
        <v>30</v>
      </c>
      <c r="I407" s="8" t="n">
        <f aca="false">IF(EXACT(G407,H407),1,0)</f>
        <v>1</v>
      </c>
      <c r="J407" s="8" t="n">
        <v>0</v>
      </c>
      <c r="K407" s="8" t="s">
        <v>92</v>
      </c>
      <c r="L407" s="8" t="n">
        <v>0</v>
      </c>
      <c r="M407" s="8" t="n">
        <v>0</v>
      </c>
      <c r="N407" s="8"/>
      <c r="O407" s="8" t="n">
        <v>1</v>
      </c>
      <c r="P407" s="10" t="n">
        <v>7.55</v>
      </c>
      <c r="Q407" s="8" t="n">
        <v>708</v>
      </c>
      <c r="R407" s="8" t="n">
        <v>330</v>
      </c>
      <c r="S407" s="8" t="s">
        <v>406</v>
      </c>
      <c r="T407" s="8"/>
      <c r="U407" s="8"/>
      <c r="V407" s="8" t="s">
        <v>155</v>
      </c>
      <c r="W407" s="8"/>
      <c r="X407" s="8" t="s">
        <v>533</v>
      </c>
      <c r="Y407" s="8" t="s">
        <v>2809</v>
      </c>
      <c r="Z407" s="8"/>
    </row>
    <row r="408" customFormat="false" ht="15" hidden="false" customHeight="false" outlineLevel="0" collapsed="false">
      <c r="A408" s="8" t="s">
        <v>405</v>
      </c>
      <c r="B408" s="8" t="s">
        <v>19</v>
      </c>
      <c r="C408" s="8" t="s">
        <v>20</v>
      </c>
      <c r="D408" s="8" t="s">
        <v>615</v>
      </c>
      <c r="E408" s="8" t="s">
        <v>39</v>
      </c>
      <c r="F408" s="8" t="s">
        <v>59</v>
      </c>
      <c r="G408" s="8" t="s">
        <v>30</v>
      </c>
      <c r="H408" s="8" t="s">
        <v>30</v>
      </c>
      <c r="I408" s="8" t="n">
        <f aca="false">IF(EXACT(G408,H408),1,0)</f>
        <v>1</v>
      </c>
      <c r="J408" s="8" t="n">
        <v>1</v>
      </c>
      <c r="K408" s="8" t="s">
        <v>92</v>
      </c>
      <c r="L408" s="8" t="n">
        <v>0</v>
      </c>
      <c r="M408" s="8" t="n">
        <v>0</v>
      </c>
      <c r="N408" s="8"/>
      <c r="O408" s="8" t="n">
        <v>1</v>
      </c>
      <c r="P408" s="10" t="n">
        <v>5.58</v>
      </c>
      <c r="Q408" s="8" t="n">
        <v>708</v>
      </c>
      <c r="R408" s="8" t="n">
        <v>288</v>
      </c>
      <c r="S408" s="8" t="s">
        <v>406</v>
      </c>
      <c r="T408" s="8"/>
      <c r="U408" s="8"/>
      <c r="V408" s="8" t="s">
        <v>155</v>
      </c>
      <c r="W408" s="8"/>
      <c r="X408" s="8" t="s">
        <v>533</v>
      </c>
      <c r="Y408" s="8" t="s">
        <v>2810</v>
      </c>
      <c r="Z408" s="8"/>
    </row>
    <row r="409" customFormat="false" ht="15" hidden="false" customHeight="false" outlineLevel="0" collapsed="false">
      <c r="A409" s="8" t="s">
        <v>405</v>
      </c>
      <c r="B409" s="8" t="s">
        <v>19</v>
      </c>
      <c r="C409" s="8" t="s">
        <v>20</v>
      </c>
      <c r="D409" s="8" t="s">
        <v>615</v>
      </c>
      <c r="E409" s="8" t="s">
        <v>39</v>
      </c>
      <c r="F409" s="8" t="s">
        <v>59</v>
      </c>
      <c r="G409" s="8" t="s">
        <v>30</v>
      </c>
      <c r="H409" s="8" t="s">
        <v>30</v>
      </c>
      <c r="I409" s="8" t="n">
        <f aca="false">IF(EXACT(G409,H409),1,0)</f>
        <v>1</v>
      </c>
      <c r="J409" s="8" t="n">
        <v>2</v>
      </c>
      <c r="K409" s="8" t="s">
        <v>92</v>
      </c>
      <c r="L409" s="8" t="n">
        <v>0</v>
      </c>
      <c r="M409" s="8" t="n">
        <v>0</v>
      </c>
      <c r="N409" s="8"/>
      <c r="O409" s="8" t="n">
        <v>1</v>
      </c>
      <c r="P409" s="10" t="n">
        <v>5.66</v>
      </c>
      <c r="Q409" s="8" t="n">
        <v>708</v>
      </c>
      <c r="R409" s="8" t="n">
        <v>272</v>
      </c>
      <c r="S409" s="8" t="s">
        <v>406</v>
      </c>
      <c r="T409" s="8"/>
      <c r="U409" s="8"/>
      <c r="V409" s="8" t="s">
        <v>155</v>
      </c>
      <c r="W409" s="8"/>
      <c r="X409" s="8" t="s">
        <v>533</v>
      </c>
      <c r="Y409" s="8" t="s">
        <v>2811</v>
      </c>
      <c r="Z409" s="8"/>
    </row>
    <row r="410" customFormat="false" ht="15" hidden="false" customHeight="false" outlineLevel="0" collapsed="false">
      <c r="A410" s="8" t="s">
        <v>408</v>
      </c>
      <c r="B410" s="8" t="s">
        <v>19</v>
      </c>
      <c r="C410" s="8" t="s">
        <v>20</v>
      </c>
      <c r="D410" s="8" t="s">
        <v>615</v>
      </c>
      <c r="E410" s="8" t="s">
        <v>39</v>
      </c>
      <c r="F410" s="8" t="s">
        <v>59</v>
      </c>
      <c r="G410" s="8" t="s">
        <v>30</v>
      </c>
      <c r="H410" s="8" t="s">
        <v>31</v>
      </c>
      <c r="I410" s="8" t="n">
        <f aca="false">IF(EXACT(G410,H410),1,0)</f>
        <v>0</v>
      </c>
      <c r="J410" s="8" t="n">
        <v>0</v>
      </c>
      <c r="K410" s="8" t="s">
        <v>2333</v>
      </c>
      <c r="L410" s="8" t="n">
        <v>2</v>
      </c>
      <c r="M410" s="8" t="n">
        <v>0</v>
      </c>
      <c r="N410" s="8"/>
      <c r="O410" s="8" t="n">
        <v>1</v>
      </c>
      <c r="P410" s="10" t="n">
        <v>14.17</v>
      </c>
      <c r="Q410" s="8" t="n">
        <v>695</v>
      </c>
      <c r="R410" s="8" t="n">
        <v>752</v>
      </c>
      <c r="S410" s="8" t="s">
        <v>409</v>
      </c>
      <c r="T410" s="8"/>
      <c r="U410" s="8"/>
      <c r="V410" s="8" t="s">
        <v>155</v>
      </c>
      <c r="W410" s="8"/>
      <c r="X410" s="8" t="s">
        <v>534</v>
      </c>
      <c r="Y410" s="8" t="s">
        <v>2812</v>
      </c>
      <c r="Z410" s="8" t="s">
        <v>2813</v>
      </c>
    </row>
    <row r="411" customFormat="false" ht="15" hidden="false" customHeight="false" outlineLevel="0" collapsed="false">
      <c r="A411" s="8" t="s">
        <v>408</v>
      </c>
      <c r="B411" s="8" t="s">
        <v>19</v>
      </c>
      <c r="C411" s="8" t="s">
        <v>20</v>
      </c>
      <c r="D411" s="8" t="s">
        <v>615</v>
      </c>
      <c r="E411" s="8" t="s">
        <v>39</v>
      </c>
      <c r="F411" s="8" t="s">
        <v>59</v>
      </c>
      <c r="G411" s="8" t="s">
        <v>30</v>
      </c>
      <c r="H411" s="8" t="s">
        <v>31</v>
      </c>
      <c r="I411" s="8" t="n">
        <f aca="false">IF(EXACT(G411,H411),1,0)</f>
        <v>0</v>
      </c>
      <c r="J411" s="8" t="n">
        <v>1</v>
      </c>
      <c r="K411" s="8" t="s">
        <v>2333</v>
      </c>
      <c r="L411" s="8" t="n">
        <v>1</v>
      </c>
      <c r="M411" s="8" t="n">
        <v>0</v>
      </c>
      <c r="N411" s="8"/>
      <c r="O411" s="8" t="n">
        <v>1</v>
      </c>
      <c r="P411" s="10" t="n">
        <v>10.1</v>
      </c>
      <c r="Q411" s="8" t="n">
        <v>695</v>
      </c>
      <c r="R411" s="8" t="n">
        <v>536</v>
      </c>
      <c r="S411" s="8" t="s">
        <v>409</v>
      </c>
      <c r="T411" s="8"/>
      <c r="U411" s="8"/>
      <c r="V411" s="8" t="s">
        <v>155</v>
      </c>
      <c r="W411" s="8"/>
      <c r="X411" s="8" t="s">
        <v>534</v>
      </c>
      <c r="Y411" s="8" t="s">
        <v>2814</v>
      </c>
      <c r="Z411" s="8" t="s">
        <v>2815</v>
      </c>
    </row>
    <row r="412" customFormat="false" ht="15" hidden="false" customHeight="false" outlineLevel="0" collapsed="false">
      <c r="A412" s="8" t="s">
        <v>408</v>
      </c>
      <c r="B412" s="8" t="s">
        <v>19</v>
      </c>
      <c r="C412" s="8" t="s">
        <v>20</v>
      </c>
      <c r="D412" s="8" t="s">
        <v>615</v>
      </c>
      <c r="E412" s="8" t="s">
        <v>39</v>
      </c>
      <c r="F412" s="8" t="s">
        <v>59</v>
      </c>
      <c r="G412" s="8" t="s">
        <v>30</v>
      </c>
      <c r="H412" s="8" t="s">
        <v>31</v>
      </c>
      <c r="I412" s="8" t="n">
        <f aca="false">IF(EXACT(G412,H412),1,0)</f>
        <v>0</v>
      </c>
      <c r="J412" s="8" t="n">
        <v>2</v>
      </c>
      <c r="K412" s="8" t="s">
        <v>2333</v>
      </c>
      <c r="L412" s="8" t="n">
        <v>2</v>
      </c>
      <c r="M412" s="8" t="n">
        <v>0</v>
      </c>
      <c r="N412" s="8"/>
      <c r="O412" s="8" t="n">
        <v>1</v>
      </c>
      <c r="P412" s="10" t="n">
        <v>13.35</v>
      </c>
      <c r="Q412" s="8" t="n">
        <v>695</v>
      </c>
      <c r="R412" s="8" t="n">
        <v>650</v>
      </c>
      <c r="S412" s="8" t="s">
        <v>409</v>
      </c>
      <c r="T412" s="8"/>
      <c r="U412" s="8"/>
      <c r="V412" s="8" t="s">
        <v>155</v>
      </c>
      <c r="W412" s="8"/>
      <c r="X412" s="8" t="s">
        <v>534</v>
      </c>
      <c r="Y412" s="8" t="s">
        <v>2816</v>
      </c>
      <c r="Z412" s="8" t="s">
        <v>2817</v>
      </c>
    </row>
    <row r="413" customFormat="false" ht="15" hidden="false" customHeight="false" outlineLevel="0" collapsed="false">
      <c r="A413" s="8" t="s">
        <v>535</v>
      </c>
      <c r="B413" s="8" t="s">
        <v>19</v>
      </c>
      <c r="C413" s="8" t="s">
        <v>20</v>
      </c>
      <c r="D413" s="8" t="s">
        <v>615</v>
      </c>
      <c r="E413" s="8" t="s">
        <v>39</v>
      </c>
      <c r="F413" s="8" t="s">
        <v>61</v>
      </c>
      <c r="G413" s="8" t="s">
        <v>30</v>
      </c>
      <c r="H413" s="8" t="s">
        <v>30</v>
      </c>
      <c r="I413" s="8" t="n">
        <f aca="false">IF(EXACT(G413,H413),1,0)</f>
        <v>1</v>
      </c>
      <c r="J413" s="8" t="n">
        <v>0</v>
      </c>
      <c r="K413" s="8" t="s">
        <v>92</v>
      </c>
      <c r="L413" s="8" t="n">
        <v>0</v>
      </c>
      <c r="M413" s="8" t="n">
        <v>0</v>
      </c>
      <c r="N413" s="8"/>
      <c r="O413" s="8" t="n">
        <v>1</v>
      </c>
      <c r="P413" s="10" t="n">
        <v>5.58</v>
      </c>
      <c r="Q413" s="8" t="n">
        <v>801</v>
      </c>
      <c r="R413" s="8" t="n">
        <v>243</v>
      </c>
      <c r="S413" s="8" t="s">
        <v>110</v>
      </c>
      <c r="T413" s="8" t="s">
        <v>536</v>
      </c>
      <c r="U413" s="8" t="s">
        <v>537</v>
      </c>
      <c r="V413" s="8"/>
      <c r="W413" s="8" t="s">
        <v>538</v>
      </c>
      <c r="X413" s="8" t="s">
        <v>539</v>
      </c>
      <c r="Y413" s="8" t="s">
        <v>2818</v>
      </c>
      <c r="Z413" s="8"/>
    </row>
    <row r="414" customFormat="false" ht="15" hidden="false" customHeight="false" outlineLevel="0" collapsed="false">
      <c r="A414" s="8" t="s">
        <v>535</v>
      </c>
      <c r="B414" s="8" t="s">
        <v>19</v>
      </c>
      <c r="C414" s="8" t="s">
        <v>20</v>
      </c>
      <c r="D414" s="8" t="s">
        <v>615</v>
      </c>
      <c r="E414" s="8" t="s">
        <v>39</v>
      </c>
      <c r="F414" s="8" t="s">
        <v>61</v>
      </c>
      <c r="G414" s="8" t="s">
        <v>30</v>
      </c>
      <c r="H414" s="8" t="s">
        <v>30</v>
      </c>
      <c r="I414" s="8" t="n">
        <f aca="false">IF(EXACT(G414,H414),1,0)</f>
        <v>1</v>
      </c>
      <c r="J414" s="8" t="n">
        <v>1</v>
      </c>
      <c r="K414" s="8" t="s">
        <v>92</v>
      </c>
      <c r="L414" s="8" t="n">
        <v>0</v>
      </c>
      <c r="M414" s="8" t="n">
        <v>0</v>
      </c>
      <c r="N414" s="8"/>
      <c r="O414" s="8" t="n">
        <v>1</v>
      </c>
      <c r="P414" s="10" t="n">
        <v>7.22</v>
      </c>
      <c r="Q414" s="8" t="n">
        <v>801</v>
      </c>
      <c r="R414" s="8" t="n">
        <v>304</v>
      </c>
      <c r="S414" s="8" t="s">
        <v>110</v>
      </c>
      <c r="T414" s="8" t="s">
        <v>536</v>
      </c>
      <c r="U414" s="8" t="s">
        <v>537</v>
      </c>
      <c r="V414" s="8"/>
      <c r="W414" s="8" t="s">
        <v>538</v>
      </c>
      <c r="X414" s="8" t="s">
        <v>539</v>
      </c>
      <c r="Y414" s="8" t="s">
        <v>2819</v>
      </c>
      <c r="Z414" s="8"/>
    </row>
    <row r="415" customFormat="false" ht="15" hidden="false" customHeight="false" outlineLevel="0" collapsed="false">
      <c r="A415" s="8" t="s">
        <v>535</v>
      </c>
      <c r="B415" s="8" t="s">
        <v>19</v>
      </c>
      <c r="C415" s="8" t="s">
        <v>20</v>
      </c>
      <c r="D415" s="8" t="s">
        <v>615</v>
      </c>
      <c r="E415" s="8" t="s">
        <v>39</v>
      </c>
      <c r="F415" s="8" t="s">
        <v>61</v>
      </c>
      <c r="G415" s="8" t="s">
        <v>30</v>
      </c>
      <c r="H415" s="8" t="s">
        <v>30</v>
      </c>
      <c r="I415" s="8" t="n">
        <f aca="false">IF(EXACT(G415,H415),1,0)</f>
        <v>1</v>
      </c>
      <c r="J415" s="8" t="n">
        <v>2</v>
      </c>
      <c r="K415" s="8" t="s">
        <v>92</v>
      </c>
      <c r="L415" s="8" t="n">
        <v>0</v>
      </c>
      <c r="M415" s="8" t="n">
        <v>0</v>
      </c>
      <c r="N415" s="8"/>
      <c r="O415" s="8" t="n">
        <v>1</v>
      </c>
      <c r="P415" s="10" t="n">
        <v>6.63</v>
      </c>
      <c r="Q415" s="8" t="n">
        <v>801</v>
      </c>
      <c r="R415" s="8" t="n">
        <v>294</v>
      </c>
      <c r="S415" s="8" t="s">
        <v>110</v>
      </c>
      <c r="T415" s="8" t="s">
        <v>536</v>
      </c>
      <c r="U415" s="8" t="s">
        <v>537</v>
      </c>
      <c r="V415" s="8"/>
      <c r="W415" s="8" t="s">
        <v>538</v>
      </c>
      <c r="X415" s="8" t="s">
        <v>539</v>
      </c>
      <c r="Y415" s="8" t="s">
        <v>2820</v>
      </c>
      <c r="Z415" s="8"/>
    </row>
    <row r="416" customFormat="false" ht="15" hidden="false" customHeight="false" outlineLevel="0" collapsed="false">
      <c r="A416" s="8" t="s">
        <v>540</v>
      </c>
      <c r="B416" s="8" t="s">
        <v>19</v>
      </c>
      <c r="C416" s="8" t="s">
        <v>20</v>
      </c>
      <c r="D416" s="8" t="s">
        <v>615</v>
      </c>
      <c r="E416" s="8" t="s">
        <v>39</v>
      </c>
      <c r="F416" s="8" t="s">
        <v>61</v>
      </c>
      <c r="G416" s="8" t="s">
        <v>31</v>
      </c>
      <c r="H416" s="8" t="s">
        <v>31</v>
      </c>
      <c r="I416" s="8" t="n">
        <f aca="false">IF(EXACT(G416,H416),1,0)</f>
        <v>1</v>
      </c>
      <c r="J416" s="8" t="n">
        <v>0</v>
      </c>
      <c r="K416" s="8" t="s">
        <v>116</v>
      </c>
      <c r="L416" s="8" t="n">
        <v>2</v>
      </c>
      <c r="M416" s="8" t="n">
        <v>0</v>
      </c>
      <c r="N416" s="8"/>
      <c r="O416" s="8" t="n">
        <v>1</v>
      </c>
      <c r="P416" s="10" t="n">
        <v>11.93</v>
      </c>
      <c r="Q416" s="8" t="n">
        <v>670</v>
      </c>
      <c r="R416" s="8" t="n">
        <v>618</v>
      </c>
      <c r="S416" s="8" t="s">
        <v>117</v>
      </c>
      <c r="T416" s="8" t="s">
        <v>536</v>
      </c>
      <c r="U416" s="8" t="s">
        <v>537</v>
      </c>
      <c r="V416" s="8"/>
      <c r="W416" s="8" t="s">
        <v>541</v>
      </c>
      <c r="X416" s="8" t="s">
        <v>542</v>
      </c>
      <c r="Y416" s="8" t="s">
        <v>2821</v>
      </c>
      <c r="Z416" s="8" t="s">
        <v>2822</v>
      </c>
    </row>
    <row r="417" customFormat="false" ht="15" hidden="false" customHeight="false" outlineLevel="0" collapsed="false">
      <c r="A417" s="8" t="s">
        <v>540</v>
      </c>
      <c r="B417" s="8" t="s">
        <v>19</v>
      </c>
      <c r="C417" s="8" t="s">
        <v>20</v>
      </c>
      <c r="D417" s="8" t="s">
        <v>615</v>
      </c>
      <c r="E417" s="8" t="s">
        <v>39</v>
      </c>
      <c r="F417" s="8" t="s">
        <v>61</v>
      </c>
      <c r="G417" s="8" t="s">
        <v>31</v>
      </c>
      <c r="H417" s="8" t="s">
        <v>31</v>
      </c>
      <c r="I417" s="8" t="n">
        <f aca="false">IF(EXACT(G417,H417),1,0)</f>
        <v>1</v>
      </c>
      <c r="J417" s="8" t="n">
        <v>1</v>
      </c>
      <c r="K417" s="8" t="s">
        <v>116</v>
      </c>
      <c r="L417" s="8" t="n">
        <v>2</v>
      </c>
      <c r="M417" s="8" t="n">
        <v>0</v>
      </c>
      <c r="N417" s="8"/>
      <c r="O417" s="8" t="n">
        <v>1</v>
      </c>
      <c r="P417" s="10" t="n">
        <v>10.37</v>
      </c>
      <c r="Q417" s="8" t="n">
        <v>670</v>
      </c>
      <c r="R417" s="8" t="n">
        <v>576</v>
      </c>
      <c r="S417" s="8" t="s">
        <v>117</v>
      </c>
      <c r="T417" s="8" t="s">
        <v>536</v>
      </c>
      <c r="U417" s="8" t="s">
        <v>537</v>
      </c>
      <c r="V417" s="8"/>
      <c r="W417" s="8" t="s">
        <v>541</v>
      </c>
      <c r="X417" s="8" t="s">
        <v>542</v>
      </c>
      <c r="Y417" s="8" t="s">
        <v>2823</v>
      </c>
      <c r="Z417" s="8" t="s">
        <v>2824</v>
      </c>
    </row>
    <row r="418" customFormat="false" ht="15" hidden="false" customHeight="false" outlineLevel="0" collapsed="false">
      <c r="A418" s="8" t="s">
        <v>540</v>
      </c>
      <c r="B418" s="8" t="s">
        <v>19</v>
      </c>
      <c r="C418" s="8" t="s">
        <v>20</v>
      </c>
      <c r="D418" s="8" t="s">
        <v>615</v>
      </c>
      <c r="E418" s="8" t="s">
        <v>39</v>
      </c>
      <c r="F418" s="8" t="s">
        <v>61</v>
      </c>
      <c r="G418" s="8" t="s">
        <v>31</v>
      </c>
      <c r="H418" s="8" t="s">
        <v>31</v>
      </c>
      <c r="I418" s="8" t="n">
        <f aca="false">IF(EXACT(G418,H418),1,0)</f>
        <v>1</v>
      </c>
      <c r="J418" s="8" t="n">
        <v>2</v>
      </c>
      <c r="K418" s="8" t="s">
        <v>116</v>
      </c>
      <c r="L418" s="8" t="n">
        <v>2</v>
      </c>
      <c r="M418" s="8" t="n">
        <v>0</v>
      </c>
      <c r="N418" s="8"/>
      <c r="O418" s="8" t="n">
        <v>1</v>
      </c>
      <c r="P418" s="10" t="n">
        <v>13</v>
      </c>
      <c r="Q418" s="8" t="n">
        <v>670</v>
      </c>
      <c r="R418" s="8" t="n">
        <v>648</v>
      </c>
      <c r="S418" s="8" t="s">
        <v>117</v>
      </c>
      <c r="T418" s="8" t="s">
        <v>536</v>
      </c>
      <c r="U418" s="8" t="s">
        <v>537</v>
      </c>
      <c r="V418" s="8"/>
      <c r="W418" s="8" t="s">
        <v>541</v>
      </c>
      <c r="X418" s="8" t="s">
        <v>542</v>
      </c>
      <c r="Y418" s="8" t="s">
        <v>2825</v>
      </c>
      <c r="Z418" s="8" t="s">
        <v>2826</v>
      </c>
    </row>
    <row r="419" customFormat="false" ht="15" hidden="false" customHeight="false" outlineLevel="0" collapsed="false">
      <c r="A419" s="8" t="s">
        <v>544</v>
      </c>
      <c r="B419" s="8" t="s">
        <v>19</v>
      </c>
      <c r="C419" s="8" t="s">
        <v>20</v>
      </c>
      <c r="D419" s="8" t="s">
        <v>615</v>
      </c>
      <c r="E419" s="8" t="s">
        <v>39</v>
      </c>
      <c r="F419" s="8" t="s">
        <v>61</v>
      </c>
      <c r="G419" s="8" t="s">
        <v>31</v>
      </c>
      <c r="H419" s="8" t="s">
        <v>31</v>
      </c>
      <c r="I419" s="8" t="n">
        <f aca="false">IF(EXACT(G419,H419),1,0)</f>
        <v>1</v>
      </c>
      <c r="J419" s="8" t="n">
        <v>0</v>
      </c>
      <c r="K419" s="8" t="s">
        <v>116</v>
      </c>
      <c r="L419" s="8" t="n">
        <v>1</v>
      </c>
      <c r="M419" s="8" t="n">
        <v>0</v>
      </c>
      <c r="N419" s="8"/>
      <c r="O419" s="8" t="n">
        <v>1</v>
      </c>
      <c r="P419" s="10" t="n">
        <v>10.82</v>
      </c>
      <c r="Q419" s="8" t="n">
        <v>646</v>
      </c>
      <c r="R419" s="8" t="n">
        <v>465</v>
      </c>
      <c r="S419" s="8" t="s">
        <v>255</v>
      </c>
      <c r="T419" s="8" t="s">
        <v>536</v>
      </c>
      <c r="U419" s="8" t="s">
        <v>537</v>
      </c>
      <c r="V419" s="8"/>
      <c r="W419" s="8" t="s">
        <v>545</v>
      </c>
      <c r="X419" s="8" t="s">
        <v>546</v>
      </c>
      <c r="Y419" s="8" t="s">
        <v>2827</v>
      </c>
      <c r="Z419" s="8" t="s">
        <v>2828</v>
      </c>
    </row>
    <row r="420" customFormat="false" ht="15" hidden="false" customHeight="false" outlineLevel="0" collapsed="false">
      <c r="A420" s="8" t="s">
        <v>544</v>
      </c>
      <c r="B420" s="8" t="s">
        <v>19</v>
      </c>
      <c r="C420" s="8" t="s">
        <v>20</v>
      </c>
      <c r="D420" s="8" t="s">
        <v>615</v>
      </c>
      <c r="E420" s="8" t="s">
        <v>39</v>
      </c>
      <c r="F420" s="8" t="s">
        <v>61</v>
      </c>
      <c r="G420" s="8" t="s">
        <v>31</v>
      </c>
      <c r="H420" s="8" t="s">
        <v>31</v>
      </c>
      <c r="I420" s="8" t="n">
        <f aca="false">IF(EXACT(G420,H420),1,0)</f>
        <v>1</v>
      </c>
      <c r="J420" s="8" t="n">
        <v>1</v>
      </c>
      <c r="K420" s="8" t="s">
        <v>116</v>
      </c>
      <c r="L420" s="8" t="n">
        <v>1</v>
      </c>
      <c r="M420" s="8" t="n">
        <v>0</v>
      </c>
      <c r="N420" s="8"/>
      <c r="O420" s="8" t="n">
        <v>1</v>
      </c>
      <c r="P420" s="10" t="n">
        <v>10.03</v>
      </c>
      <c r="Q420" s="8" t="n">
        <v>646</v>
      </c>
      <c r="R420" s="8" t="n">
        <v>463</v>
      </c>
      <c r="S420" s="8" t="s">
        <v>255</v>
      </c>
      <c r="T420" s="8" t="s">
        <v>536</v>
      </c>
      <c r="U420" s="8" t="s">
        <v>537</v>
      </c>
      <c r="V420" s="8"/>
      <c r="W420" s="8" t="s">
        <v>545</v>
      </c>
      <c r="X420" s="8" t="s">
        <v>546</v>
      </c>
      <c r="Y420" s="8" t="s">
        <v>2829</v>
      </c>
      <c r="Z420" s="8" t="s">
        <v>2830</v>
      </c>
    </row>
    <row r="421" customFormat="false" ht="15" hidden="false" customHeight="false" outlineLevel="0" collapsed="false">
      <c r="A421" s="8" t="s">
        <v>544</v>
      </c>
      <c r="B421" s="8" t="s">
        <v>19</v>
      </c>
      <c r="C421" s="8" t="s">
        <v>20</v>
      </c>
      <c r="D421" s="8" t="s">
        <v>615</v>
      </c>
      <c r="E421" s="8" t="s">
        <v>39</v>
      </c>
      <c r="F421" s="8" t="s">
        <v>61</v>
      </c>
      <c r="G421" s="8" t="s">
        <v>31</v>
      </c>
      <c r="H421" s="8" t="s">
        <v>31</v>
      </c>
      <c r="I421" s="8" t="n">
        <f aca="false">IF(EXACT(G421,H421),1,0)</f>
        <v>1</v>
      </c>
      <c r="J421" s="8" t="n">
        <v>2</v>
      </c>
      <c r="K421" s="8" t="s">
        <v>116</v>
      </c>
      <c r="L421" s="8" t="n">
        <v>1</v>
      </c>
      <c r="M421" s="8" t="n">
        <v>0</v>
      </c>
      <c r="N421" s="8"/>
      <c r="O421" s="8" t="n">
        <v>1</v>
      </c>
      <c r="P421" s="10" t="n">
        <v>9.66</v>
      </c>
      <c r="Q421" s="8" t="n">
        <v>646</v>
      </c>
      <c r="R421" s="8" t="n">
        <v>464</v>
      </c>
      <c r="S421" s="8" t="s">
        <v>255</v>
      </c>
      <c r="T421" s="8" t="s">
        <v>536</v>
      </c>
      <c r="U421" s="8" t="s">
        <v>537</v>
      </c>
      <c r="V421" s="8"/>
      <c r="W421" s="8" t="s">
        <v>545</v>
      </c>
      <c r="X421" s="8" t="s">
        <v>546</v>
      </c>
      <c r="Y421" s="8" t="s">
        <v>2831</v>
      </c>
      <c r="Z421" s="8" t="s">
        <v>2832</v>
      </c>
    </row>
    <row r="422" customFormat="false" ht="15" hidden="false" customHeight="false" outlineLevel="0" collapsed="false">
      <c r="A422" s="8" t="s">
        <v>547</v>
      </c>
      <c r="B422" s="8" t="s">
        <v>19</v>
      </c>
      <c r="C422" s="8" t="s">
        <v>20</v>
      </c>
      <c r="D422" s="8" t="s">
        <v>615</v>
      </c>
      <c r="E422" s="8" t="s">
        <v>39</v>
      </c>
      <c r="F422" s="8" t="s">
        <v>61</v>
      </c>
      <c r="G422" s="8" t="s">
        <v>32</v>
      </c>
      <c r="H422" s="8" t="s">
        <v>32</v>
      </c>
      <c r="I422" s="8" t="n">
        <f aca="false">IF(EXACT(G422,H422),1,0)</f>
        <v>1</v>
      </c>
      <c r="J422" s="8" t="n">
        <v>0</v>
      </c>
      <c r="K422" s="8" t="s">
        <v>92</v>
      </c>
      <c r="L422" s="8" t="n">
        <v>0</v>
      </c>
      <c r="M422" s="8" t="n">
        <v>0</v>
      </c>
      <c r="N422" s="8"/>
      <c r="O422" s="8" t="n">
        <v>1</v>
      </c>
      <c r="P422" s="10" t="n">
        <v>4.2</v>
      </c>
      <c r="Q422" s="8" t="n">
        <v>595</v>
      </c>
      <c r="R422" s="8" t="n">
        <v>192</v>
      </c>
      <c r="S422" s="8" t="s">
        <v>132</v>
      </c>
      <c r="T422" s="8" t="s">
        <v>536</v>
      </c>
      <c r="U422" s="8" t="s">
        <v>537</v>
      </c>
      <c r="V422" s="8"/>
      <c r="W422" s="8" t="s">
        <v>548</v>
      </c>
      <c r="X422" s="8" t="s">
        <v>549</v>
      </c>
      <c r="Y422" s="8" t="s">
        <v>2833</v>
      </c>
      <c r="Z422" s="8"/>
    </row>
    <row r="423" customFormat="false" ht="15" hidden="false" customHeight="false" outlineLevel="0" collapsed="false">
      <c r="A423" s="8" t="s">
        <v>547</v>
      </c>
      <c r="B423" s="8" t="s">
        <v>19</v>
      </c>
      <c r="C423" s="8" t="s">
        <v>20</v>
      </c>
      <c r="D423" s="8" t="s">
        <v>615</v>
      </c>
      <c r="E423" s="8" t="s">
        <v>39</v>
      </c>
      <c r="F423" s="8" t="s">
        <v>61</v>
      </c>
      <c r="G423" s="8" t="s">
        <v>32</v>
      </c>
      <c r="H423" s="8" t="s">
        <v>32</v>
      </c>
      <c r="I423" s="8" t="n">
        <f aca="false">IF(EXACT(G423,H423),1,0)</f>
        <v>1</v>
      </c>
      <c r="J423" s="8" t="n">
        <v>1</v>
      </c>
      <c r="K423" s="8" t="s">
        <v>92</v>
      </c>
      <c r="L423" s="8" t="n">
        <v>0</v>
      </c>
      <c r="M423" s="8" t="n">
        <v>0</v>
      </c>
      <c r="N423" s="8"/>
      <c r="O423" s="8" t="n">
        <v>1</v>
      </c>
      <c r="P423" s="10" t="n">
        <v>4.1</v>
      </c>
      <c r="Q423" s="8" t="n">
        <v>595</v>
      </c>
      <c r="R423" s="8" t="n">
        <v>187</v>
      </c>
      <c r="S423" s="8" t="s">
        <v>132</v>
      </c>
      <c r="T423" s="8" t="s">
        <v>536</v>
      </c>
      <c r="U423" s="8" t="s">
        <v>537</v>
      </c>
      <c r="V423" s="8"/>
      <c r="W423" s="8" t="s">
        <v>548</v>
      </c>
      <c r="X423" s="8" t="s">
        <v>549</v>
      </c>
      <c r="Y423" s="8" t="s">
        <v>2834</v>
      </c>
      <c r="Z423" s="8"/>
    </row>
    <row r="424" customFormat="false" ht="15" hidden="false" customHeight="false" outlineLevel="0" collapsed="false">
      <c r="A424" s="8" t="s">
        <v>547</v>
      </c>
      <c r="B424" s="8" t="s">
        <v>19</v>
      </c>
      <c r="C424" s="8" t="s">
        <v>20</v>
      </c>
      <c r="D424" s="8" t="s">
        <v>615</v>
      </c>
      <c r="E424" s="8" t="s">
        <v>39</v>
      </c>
      <c r="F424" s="8" t="s">
        <v>61</v>
      </c>
      <c r="G424" s="8" t="s">
        <v>32</v>
      </c>
      <c r="H424" s="8" t="s">
        <v>32</v>
      </c>
      <c r="I424" s="8" t="n">
        <f aca="false">IF(EXACT(G424,H424),1,0)</f>
        <v>1</v>
      </c>
      <c r="J424" s="8" t="n">
        <v>2</v>
      </c>
      <c r="K424" s="8" t="s">
        <v>92</v>
      </c>
      <c r="L424" s="8" t="n">
        <v>0</v>
      </c>
      <c r="M424" s="8" t="n">
        <v>0</v>
      </c>
      <c r="N424" s="8"/>
      <c r="O424" s="8" t="n">
        <v>1</v>
      </c>
      <c r="P424" s="10" t="n">
        <v>4.43</v>
      </c>
      <c r="Q424" s="8" t="n">
        <v>595</v>
      </c>
      <c r="R424" s="8" t="n">
        <v>188</v>
      </c>
      <c r="S424" s="8" t="s">
        <v>132</v>
      </c>
      <c r="T424" s="8" t="s">
        <v>536</v>
      </c>
      <c r="U424" s="8" t="s">
        <v>537</v>
      </c>
      <c r="V424" s="8"/>
      <c r="W424" s="8" t="s">
        <v>548</v>
      </c>
      <c r="X424" s="8" t="s">
        <v>549</v>
      </c>
      <c r="Y424" s="8" t="s">
        <v>2835</v>
      </c>
      <c r="Z424" s="8"/>
    </row>
    <row r="425" customFormat="false" ht="15" hidden="false" customHeight="false" outlineLevel="0" collapsed="false">
      <c r="A425" s="8" t="s">
        <v>550</v>
      </c>
      <c r="B425" s="8" t="s">
        <v>19</v>
      </c>
      <c r="C425" s="8" t="s">
        <v>20</v>
      </c>
      <c r="D425" s="8" t="s">
        <v>615</v>
      </c>
      <c r="E425" s="8" t="s">
        <v>39</v>
      </c>
      <c r="F425" s="8" t="s">
        <v>61</v>
      </c>
      <c r="G425" s="8" t="s">
        <v>30</v>
      </c>
      <c r="H425" s="8" t="s">
        <v>30</v>
      </c>
      <c r="I425" s="8" t="n">
        <f aca="false">IF(EXACT(G425,H425),1,0)</f>
        <v>1</v>
      </c>
      <c r="J425" s="8" t="n">
        <v>0</v>
      </c>
      <c r="K425" s="8" t="s">
        <v>92</v>
      </c>
      <c r="L425" s="8" t="n">
        <v>0</v>
      </c>
      <c r="M425" s="8" t="n">
        <v>0</v>
      </c>
      <c r="N425" s="8"/>
      <c r="O425" s="8" t="n">
        <v>1</v>
      </c>
      <c r="P425" s="10" t="n">
        <v>8.86</v>
      </c>
      <c r="Q425" s="8" t="n">
        <v>646</v>
      </c>
      <c r="R425" s="8" t="n">
        <v>378</v>
      </c>
      <c r="S425" s="8" t="s">
        <v>150</v>
      </c>
      <c r="T425" s="8" t="s">
        <v>536</v>
      </c>
      <c r="U425" s="8" t="s">
        <v>537</v>
      </c>
      <c r="V425" s="8"/>
      <c r="W425" s="8" t="s">
        <v>551</v>
      </c>
      <c r="X425" s="8" t="s">
        <v>552</v>
      </c>
      <c r="Y425" s="8" t="s">
        <v>2836</v>
      </c>
      <c r="Z425" s="8"/>
    </row>
    <row r="426" customFormat="false" ht="15" hidden="false" customHeight="false" outlineLevel="0" collapsed="false">
      <c r="A426" s="8" t="s">
        <v>550</v>
      </c>
      <c r="B426" s="8" t="s">
        <v>19</v>
      </c>
      <c r="C426" s="8" t="s">
        <v>20</v>
      </c>
      <c r="D426" s="8" t="s">
        <v>615</v>
      </c>
      <c r="E426" s="8" t="s">
        <v>39</v>
      </c>
      <c r="F426" s="8" t="s">
        <v>61</v>
      </c>
      <c r="G426" s="8" t="s">
        <v>30</v>
      </c>
      <c r="H426" s="8" t="s">
        <v>30</v>
      </c>
      <c r="I426" s="8" t="n">
        <f aca="false">IF(EXACT(G426,H426),1,0)</f>
        <v>1</v>
      </c>
      <c r="J426" s="8" t="n">
        <v>1</v>
      </c>
      <c r="K426" s="8" t="s">
        <v>92</v>
      </c>
      <c r="L426" s="8" t="n">
        <v>0</v>
      </c>
      <c r="M426" s="8" t="n">
        <v>0</v>
      </c>
      <c r="N426" s="8"/>
      <c r="O426" s="8" t="n">
        <v>1</v>
      </c>
      <c r="P426" s="10" t="n">
        <v>7.12</v>
      </c>
      <c r="Q426" s="8" t="n">
        <v>646</v>
      </c>
      <c r="R426" s="8" t="n">
        <v>349</v>
      </c>
      <c r="S426" s="8" t="s">
        <v>150</v>
      </c>
      <c r="T426" s="8" t="s">
        <v>536</v>
      </c>
      <c r="U426" s="8" t="s">
        <v>537</v>
      </c>
      <c r="V426" s="8"/>
      <c r="W426" s="8" t="s">
        <v>551</v>
      </c>
      <c r="X426" s="8" t="s">
        <v>552</v>
      </c>
      <c r="Y426" s="8" t="s">
        <v>2837</v>
      </c>
      <c r="Z426" s="8"/>
    </row>
    <row r="427" customFormat="false" ht="15" hidden="false" customHeight="false" outlineLevel="0" collapsed="false">
      <c r="A427" s="8" t="s">
        <v>550</v>
      </c>
      <c r="B427" s="8" t="s">
        <v>19</v>
      </c>
      <c r="C427" s="8" t="s">
        <v>20</v>
      </c>
      <c r="D427" s="8" t="s">
        <v>615</v>
      </c>
      <c r="E427" s="8" t="s">
        <v>39</v>
      </c>
      <c r="F427" s="8" t="s">
        <v>61</v>
      </c>
      <c r="G427" s="8" t="s">
        <v>30</v>
      </c>
      <c r="H427" s="8" t="s">
        <v>30</v>
      </c>
      <c r="I427" s="8" t="n">
        <f aca="false">IF(EXACT(G427,H427),1,0)</f>
        <v>1</v>
      </c>
      <c r="J427" s="8" t="n">
        <v>2</v>
      </c>
      <c r="K427" s="8" t="s">
        <v>92</v>
      </c>
      <c r="L427" s="8" t="n">
        <v>0</v>
      </c>
      <c r="M427" s="8" t="n">
        <v>0</v>
      </c>
      <c r="N427" s="8"/>
      <c r="O427" s="8" t="n">
        <v>1</v>
      </c>
      <c r="P427" s="10" t="n">
        <v>8.61</v>
      </c>
      <c r="Q427" s="8" t="n">
        <v>646</v>
      </c>
      <c r="R427" s="8" t="n">
        <v>375</v>
      </c>
      <c r="S427" s="8" t="s">
        <v>150</v>
      </c>
      <c r="T427" s="8" t="s">
        <v>536</v>
      </c>
      <c r="U427" s="8" t="s">
        <v>537</v>
      </c>
      <c r="V427" s="8"/>
      <c r="W427" s="8" t="s">
        <v>551</v>
      </c>
      <c r="X427" s="8" t="s">
        <v>552</v>
      </c>
      <c r="Y427" s="8" t="s">
        <v>2838</v>
      </c>
      <c r="Z427" s="8"/>
    </row>
    <row r="428" customFormat="false" ht="15" hidden="false" customHeight="false" outlineLevel="0" collapsed="false">
      <c r="A428" s="8" t="s">
        <v>553</v>
      </c>
      <c r="B428" s="8" t="s">
        <v>19</v>
      </c>
      <c r="C428" s="8" t="s">
        <v>20</v>
      </c>
      <c r="D428" s="8" t="s">
        <v>615</v>
      </c>
      <c r="E428" s="8" t="s">
        <v>39</v>
      </c>
      <c r="F428" s="8" t="s">
        <v>61</v>
      </c>
      <c r="G428" s="8" t="s">
        <v>32</v>
      </c>
      <c r="H428" s="8" t="s">
        <v>32</v>
      </c>
      <c r="I428" s="8" t="n">
        <f aca="false">IF(EXACT(G428,H428),1,0)</f>
        <v>1</v>
      </c>
      <c r="J428" s="8" t="n">
        <v>0</v>
      </c>
      <c r="K428" s="8" t="s">
        <v>92</v>
      </c>
      <c r="L428" s="8" t="n">
        <v>0</v>
      </c>
      <c r="M428" s="8" t="n">
        <v>0</v>
      </c>
      <c r="N428" s="8"/>
      <c r="O428" s="8" t="n">
        <v>1</v>
      </c>
      <c r="P428" s="10" t="n">
        <v>5.12</v>
      </c>
      <c r="Q428" s="8" t="n">
        <v>655</v>
      </c>
      <c r="R428" s="8" t="n">
        <v>200</v>
      </c>
      <c r="S428" s="8" t="s">
        <v>554</v>
      </c>
      <c r="T428" s="8"/>
      <c r="U428" s="8"/>
      <c r="V428" s="8" t="s">
        <v>155</v>
      </c>
      <c r="W428" s="8"/>
      <c r="X428" s="8" t="s">
        <v>555</v>
      </c>
      <c r="Y428" s="8" t="s">
        <v>2839</v>
      </c>
      <c r="Z428" s="8"/>
    </row>
    <row r="429" customFormat="false" ht="15" hidden="false" customHeight="false" outlineLevel="0" collapsed="false">
      <c r="A429" s="8" t="s">
        <v>553</v>
      </c>
      <c r="B429" s="8" t="s">
        <v>19</v>
      </c>
      <c r="C429" s="8" t="s">
        <v>20</v>
      </c>
      <c r="D429" s="8" t="s">
        <v>615</v>
      </c>
      <c r="E429" s="8" t="s">
        <v>39</v>
      </c>
      <c r="F429" s="8" t="s">
        <v>61</v>
      </c>
      <c r="G429" s="8" t="s">
        <v>32</v>
      </c>
      <c r="H429" s="8" t="s">
        <v>32</v>
      </c>
      <c r="I429" s="8" t="n">
        <f aca="false">IF(EXACT(G429,H429),1,0)</f>
        <v>1</v>
      </c>
      <c r="J429" s="8" t="n">
        <v>1</v>
      </c>
      <c r="K429" s="8" t="s">
        <v>92</v>
      </c>
      <c r="L429" s="8" t="n">
        <v>0</v>
      </c>
      <c r="M429" s="8" t="n">
        <v>0</v>
      </c>
      <c r="N429" s="8"/>
      <c r="O429" s="8" t="n">
        <v>1</v>
      </c>
      <c r="P429" s="10" t="n">
        <v>6.57</v>
      </c>
      <c r="Q429" s="8" t="n">
        <v>655</v>
      </c>
      <c r="R429" s="8" t="n">
        <v>269</v>
      </c>
      <c r="S429" s="8" t="s">
        <v>554</v>
      </c>
      <c r="T429" s="8"/>
      <c r="U429" s="8"/>
      <c r="V429" s="8" t="s">
        <v>155</v>
      </c>
      <c r="W429" s="8"/>
      <c r="X429" s="8" t="s">
        <v>555</v>
      </c>
      <c r="Y429" s="8" t="s">
        <v>2840</v>
      </c>
      <c r="Z429" s="8"/>
    </row>
    <row r="430" customFormat="false" ht="15" hidden="false" customHeight="false" outlineLevel="0" collapsed="false">
      <c r="A430" s="8" t="s">
        <v>553</v>
      </c>
      <c r="B430" s="8" t="s">
        <v>19</v>
      </c>
      <c r="C430" s="8" t="s">
        <v>20</v>
      </c>
      <c r="D430" s="8" t="s">
        <v>615</v>
      </c>
      <c r="E430" s="8" t="s">
        <v>39</v>
      </c>
      <c r="F430" s="8" t="s">
        <v>61</v>
      </c>
      <c r="G430" s="8" t="s">
        <v>32</v>
      </c>
      <c r="H430" s="8" t="s">
        <v>32</v>
      </c>
      <c r="I430" s="8" t="n">
        <f aca="false">IF(EXACT(G430,H430),1,0)</f>
        <v>1</v>
      </c>
      <c r="J430" s="8" t="n">
        <v>2</v>
      </c>
      <c r="K430" s="8" t="s">
        <v>92</v>
      </c>
      <c r="L430" s="8" t="n">
        <v>0</v>
      </c>
      <c r="M430" s="8" t="n">
        <v>0</v>
      </c>
      <c r="N430" s="8"/>
      <c r="O430" s="8" t="n">
        <v>1</v>
      </c>
      <c r="P430" s="10" t="n">
        <v>5.02</v>
      </c>
      <c r="Q430" s="8" t="n">
        <v>655</v>
      </c>
      <c r="R430" s="8" t="n">
        <v>200</v>
      </c>
      <c r="S430" s="8" t="s">
        <v>554</v>
      </c>
      <c r="T430" s="8"/>
      <c r="U430" s="8"/>
      <c r="V430" s="8" t="s">
        <v>155</v>
      </c>
      <c r="W430" s="8"/>
      <c r="X430" s="8" t="s">
        <v>555</v>
      </c>
      <c r="Y430" s="8" t="s">
        <v>2841</v>
      </c>
      <c r="Z430" s="8"/>
    </row>
    <row r="431" customFormat="false" ht="15" hidden="false" customHeight="false" outlineLevel="0" collapsed="false">
      <c r="A431" s="8" t="s">
        <v>556</v>
      </c>
      <c r="B431" s="8" t="s">
        <v>19</v>
      </c>
      <c r="C431" s="8" t="s">
        <v>20</v>
      </c>
      <c r="D431" s="8" t="s">
        <v>615</v>
      </c>
      <c r="E431" s="8" t="s">
        <v>39</v>
      </c>
      <c r="F431" s="8" t="s">
        <v>62</v>
      </c>
      <c r="G431" s="8" t="s">
        <v>30</v>
      </c>
      <c r="H431" s="8" t="s">
        <v>31</v>
      </c>
      <c r="I431" s="8" t="n">
        <f aca="false">IF(EXACT(G431,H431),1,0)</f>
        <v>0</v>
      </c>
      <c r="J431" s="8" t="n">
        <v>0</v>
      </c>
      <c r="K431" s="8" t="s">
        <v>116</v>
      </c>
      <c r="L431" s="8" t="n">
        <v>1</v>
      </c>
      <c r="M431" s="8" t="n">
        <v>0</v>
      </c>
      <c r="N431" s="8"/>
      <c r="O431" s="8" t="n">
        <v>1</v>
      </c>
      <c r="P431" s="10" t="n">
        <v>7.28</v>
      </c>
      <c r="Q431" s="8" t="n">
        <v>634</v>
      </c>
      <c r="R431" s="8" t="n">
        <v>340</v>
      </c>
      <c r="S431" s="8" t="s">
        <v>557</v>
      </c>
      <c r="T431" s="8"/>
      <c r="U431" s="8"/>
      <c r="V431" s="8" t="s">
        <v>309</v>
      </c>
      <c r="W431" s="8"/>
      <c r="X431" s="8" t="s">
        <v>558</v>
      </c>
      <c r="Y431" s="8" t="s">
        <v>2842</v>
      </c>
      <c r="Z431" s="8" t="s">
        <v>2843</v>
      </c>
    </row>
    <row r="432" customFormat="false" ht="15" hidden="false" customHeight="false" outlineLevel="0" collapsed="false">
      <c r="A432" s="8" t="s">
        <v>556</v>
      </c>
      <c r="B432" s="8" t="s">
        <v>19</v>
      </c>
      <c r="C432" s="8" t="s">
        <v>20</v>
      </c>
      <c r="D432" s="8" t="s">
        <v>615</v>
      </c>
      <c r="E432" s="8" t="s">
        <v>39</v>
      </c>
      <c r="F432" s="8" t="s">
        <v>62</v>
      </c>
      <c r="G432" s="8" t="s">
        <v>30</v>
      </c>
      <c r="H432" s="8" t="s">
        <v>31</v>
      </c>
      <c r="I432" s="8" t="n">
        <f aca="false">IF(EXACT(G432,H432),1,0)</f>
        <v>0</v>
      </c>
      <c r="J432" s="8" t="n">
        <v>1</v>
      </c>
      <c r="K432" s="8" t="s">
        <v>116</v>
      </c>
      <c r="L432" s="8" t="n">
        <v>1</v>
      </c>
      <c r="M432" s="8" t="n">
        <v>0</v>
      </c>
      <c r="N432" s="8"/>
      <c r="O432" s="8" t="n">
        <v>1</v>
      </c>
      <c r="P432" s="10" t="n">
        <v>6.81</v>
      </c>
      <c r="Q432" s="8" t="n">
        <v>634</v>
      </c>
      <c r="R432" s="8" t="n">
        <v>339</v>
      </c>
      <c r="S432" s="8" t="s">
        <v>557</v>
      </c>
      <c r="T432" s="8"/>
      <c r="U432" s="8"/>
      <c r="V432" s="8" t="s">
        <v>309</v>
      </c>
      <c r="W432" s="8"/>
      <c r="X432" s="8" t="s">
        <v>558</v>
      </c>
      <c r="Y432" s="8" t="s">
        <v>2844</v>
      </c>
      <c r="Z432" s="8" t="s">
        <v>2845</v>
      </c>
    </row>
    <row r="433" customFormat="false" ht="15" hidden="false" customHeight="false" outlineLevel="0" collapsed="false">
      <c r="A433" s="8" t="s">
        <v>556</v>
      </c>
      <c r="B433" s="8" t="s">
        <v>19</v>
      </c>
      <c r="C433" s="8" t="s">
        <v>20</v>
      </c>
      <c r="D433" s="8" t="s">
        <v>615</v>
      </c>
      <c r="E433" s="8" t="s">
        <v>39</v>
      </c>
      <c r="F433" s="8" t="s">
        <v>62</v>
      </c>
      <c r="G433" s="8" t="s">
        <v>30</v>
      </c>
      <c r="H433" s="8" t="s">
        <v>31</v>
      </c>
      <c r="I433" s="8" t="n">
        <f aca="false">IF(EXACT(G433,H433),1,0)</f>
        <v>0</v>
      </c>
      <c r="J433" s="8" t="n">
        <v>2</v>
      </c>
      <c r="K433" s="8" t="s">
        <v>116</v>
      </c>
      <c r="L433" s="8" t="n">
        <v>1</v>
      </c>
      <c r="M433" s="8" t="n">
        <v>0</v>
      </c>
      <c r="N433" s="8"/>
      <c r="O433" s="8" t="n">
        <v>1</v>
      </c>
      <c r="P433" s="10" t="n">
        <v>6.63</v>
      </c>
      <c r="Q433" s="8" t="n">
        <v>634</v>
      </c>
      <c r="R433" s="8" t="n">
        <v>334</v>
      </c>
      <c r="S433" s="8" t="s">
        <v>557</v>
      </c>
      <c r="T433" s="8"/>
      <c r="U433" s="8"/>
      <c r="V433" s="8" t="s">
        <v>309</v>
      </c>
      <c r="W433" s="8"/>
      <c r="X433" s="8" t="s">
        <v>558</v>
      </c>
      <c r="Y433" s="8" t="s">
        <v>2846</v>
      </c>
      <c r="Z433" s="8" t="s">
        <v>2847</v>
      </c>
    </row>
    <row r="434" customFormat="false" ht="15" hidden="false" customHeight="false" outlineLevel="0" collapsed="false">
      <c r="A434" s="8" t="s">
        <v>559</v>
      </c>
      <c r="B434" s="8" t="s">
        <v>19</v>
      </c>
      <c r="C434" s="8" t="s">
        <v>20</v>
      </c>
      <c r="D434" s="8" t="s">
        <v>615</v>
      </c>
      <c r="E434" s="8" t="s">
        <v>39</v>
      </c>
      <c r="F434" s="8" t="s">
        <v>62</v>
      </c>
      <c r="G434" s="8" t="s">
        <v>30</v>
      </c>
      <c r="H434" s="8" t="s">
        <v>30</v>
      </c>
      <c r="I434" s="8" t="n">
        <f aca="false">IF(EXACT(G434,H434),1,0)</f>
        <v>1</v>
      </c>
      <c r="J434" s="8" t="n">
        <v>0</v>
      </c>
      <c r="K434" s="8" t="s">
        <v>92</v>
      </c>
      <c r="L434" s="8" t="n">
        <v>0</v>
      </c>
      <c r="M434" s="8" t="n">
        <v>0</v>
      </c>
      <c r="N434" s="8"/>
      <c r="O434" s="8" t="n">
        <v>1</v>
      </c>
      <c r="P434" s="10" t="n">
        <v>5.79</v>
      </c>
      <c r="Q434" s="8" t="n">
        <v>635</v>
      </c>
      <c r="R434" s="8" t="n">
        <v>216</v>
      </c>
      <c r="S434" s="8" t="s">
        <v>557</v>
      </c>
      <c r="T434" s="8"/>
      <c r="U434" s="8"/>
      <c r="V434" s="8" t="s">
        <v>309</v>
      </c>
      <c r="W434" s="8"/>
      <c r="X434" s="8" t="s">
        <v>560</v>
      </c>
      <c r="Y434" s="8" t="s">
        <v>2848</v>
      </c>
      <c r="Z434" s="8"/>
    </row>
    <row r="435" customFormat="false" ht="15" hidden="false" customHeight="false" outlineLevel="0" collapsed="false">
      <c r="A435" s="8" t="s">
        <v>559</v>
      </c>
      <c r="B435" s="8" t="s">
        <v>19</v>
      </c>
      <c r="C435" s="8" t="s">
        <v>20</v>
      </c>
      <c r="D435" s="8" t="s">
        <v>615</v>
      </c>
      <c r="E435" s="8" t="s">
        <v>39</v>
      </c>
      <c r="F435" s="8" t="s">
        <v>62</v>
      </c>
      <c r="G435" s="8" t="s">
        <v>30</v>
      </c>
      <c r="H435" s="8" t="s">
        <v>30</v>
      </c>
      <c r="I435" s="8" t="n">
        <f aca="false">IF(EXACT(G435,H435),1,0)</f>
        <v>1</v>
      </c>
      <c r="J435" s="8" t="n">
        <v>1</v>
      </c>
      <c r="K435" s="8" t="s">
        <v>92</v>
      </c>
      <c r="L435" s="8" t="n">
        <v>0</v>
      </c>
      <c r="M435" s="8" t="n">
        <v>0</v>
      </c>
      <c r="N435" s="8"/>
      <c r="O435" s="8" t="n">
        <v>1</v>
      </c>
      <c r="P435" s="10" t="n">
        <v>5.66</v>
      </c>
      <c r="Q435" s="8" t="n">
        <v>635</v>
      </c>
      <c r="R435" s="8" t="n">
        <v>209</v>
      </c>
      <c r="S435" s="8" t="s">
        <v>557</v>
      </c>
      <c r="T435" s="8"/>
      <c r="U435" s="8"/>
      <c r="V435" s="8" t="s">
        <v>309</v>
      </c>
      <c r="W435" s="8"/>
      <c r="X435" s="8" t="s">
        <v>560</v>
      </c>
      <c r="Y435" s="8" t="s">
        <v>2849</v>
      </c>
      <c r="Z435" s="8"/>
    </row>
    <row r="436" customFormat="false" ht="15" hidden="false" customHeight="false" outlineLevel="0" collapsed="false">
      <c r="A436" s="8" t="s">
        <v>559</v>
      </c>
      <c r="B436" s="8" t="s">
        <v>19</v>
      </c>
      <c r="C436" s="8" t="s">
        <v>20</v>
      </c>
      <c r="D436" s="8" t="s">
        <v>615</v>
      </c>
      <c r="E436" s="8" t="s">
        <v>39</v>
      </c>
      <c r="F436" s="8" t="s">
        <v>62</v>
      </c>
      <c r="G436" s="8" t="s">
        <v>30</v>
      </c>
      <c r="H436" s="8" t="s">
        <v>30</v>
      </c>
      <c r="I436" s="8" t="n">
        <f aca="false">IF(EXACT(G436,H436),1,0)</f>
        <v>1</v>
      </c>
      <c r="J436" s="8" t="n">
        <v>2</v>
      </c>
      <c r="K436" s="8" t="s">
        <v>92</v>
      </c>
      <c r="L436" s="8" t="n">
        <v>0</v>
      </c>
      <c r="M436" s="8" t="n">
        <v>0</v>
      </c>
      <c r="N436" s="8"/>
      <c r="O436" s="8" t="n">
        <v>1</v>
      </c>
      <c r="P436" s="10" t="n">
        <v>4.37</v>
      </c>
      <c r="Q436" s="8" t="n">
        <v>635</v>
      </c>
      <c r="R436" s="8" t="n">
        <v>194</v>
      </c>
      <c r="S436" s="8" t="s">
        <v>557</v>
      </c>
      <c r="T436" s="8"/>
      <c r="U436" s="8"/>
      <c r="V436" s="8" t="s">
        <v>309</v>
      </c>
      <c r="W436" s="8"/>
      <c r="X436" s="8" t="s">
        <v>560</v>
      </c>
      <c r="Y436" s="8" t="s">
        <v>2850</v>
      </c>
      <c r="Z436" s="8"/>
    </row>
    <row r="437" customFormat="false" ht="15" hidden="false" customHeight="false" outlineLevel="0" collapsed="false">
      <c r="A437" s="8" t="s">
        <v>561</v>
      </c>
      <c r="B437" s="8" t="s">
        <v>19</v>
      </c>
      <c r="C437" s="8" t="s">
        <v>20</v>
      </c>
      <c r="D437" s="8" t="s">
        <v>615</v>
      </c>
      <c r="E437" s="8" t="s">
        <v>39</v>
      </c>
      <c r="F437" s="8" t="s">
        <v>62</v>
      </c>
      <c r="G437" s="8" t="s">
        <v>31</v>
      </c>
      <c r="H437" s="8" t="s">
        <v>31</v>
      </c>
      <c r="I437" s="8" t="n">
        <f aca="false">IF(EXACT(G437,H437),1,0)</f>
        <v>1</v>
      </c>
      <c r="J437" s="8" t="n">
        <v>0</v>
      </c>
      <c r="K437" s="8" t="s">
        <v>116</v>
      </c>
      <c r="L437" s="8" t="n">
        <v>5</v>
      </c>
      <c r="M437" s="8" t="n">
        <v>0</v>
      </c>
      <c r="N437" s="8"/>
      <c r="O437" s="8" t="n">
        <v>1</v>
      </c>
      <c r="P437" s="10" t="n">
        <v>17.41</v>
      </c>
      <c r="Q437" s="8" t="n">
        <v>713</v>
      </c>
      <c r="R437" s="8" t="n">
        <v>894</v>
      </c>
      <c r="S437" s="8" t="s">
        <v>562</v>
      </c>
      <c r="T437" s="8"/>
      <c r="U437" s="8"/>
      <c r="V437" s="8" t="s">
        <v>155</v>
      </c>
      <c r="W437" s="8"/>
      <c r="X437" s="8" t="s">
        <v>563</v>
      </c>
      <c r="Y437" s="8" t="s">
        <v>2851</v>
      </c>
      <c r="Z437" s="8" t="s">
        <v>2852</v>
      </c>
    </row>
    <row r="438" customFormat="false" ht="15" hidden="false" customHeight="false" outlineLevel="0" collapsed="false">
      <c r="A438" s="8" t="s">
        <v>561</v>
      </c>
      <c r="B438" s="8" t="s">
        <v>19</v>
      </c>
      <c r="C438" s="8" t="s">
        <v>20</v>
      </c>
      <c r="D438" s="8" t="s">
        <v>615</v>
      </c>
      <c r="E438" s="8" t="s">
        <v>39</v>
      </c>
      <c r="F438" s="8" t="s">
        <v>62</v>
      </c>
      <c r="G438" s="8" t="s">
        <v>31</v>
      </c>
      <c r="H438" s="8" t="s">
        <v>31</v>
      </c>
      <c r="I438" s="8" t="n">
        <f aca="false">IF(EXACT(G438,H438),1,0)</f>
        <v>1</v>
      </c>
      <c r="J438" s="8" t="n">
        <v>1</v>
      </c>
      <c r="K438" s="8" t="s">
        <v>116</v>
      </c>
      <c r="L438" s="8" t="n">
        <v>5</v>
      </c>
      <c r="M438" s="8" t="n">
        <v>0</v>
      </c>
      <c r="N438" s="8"/>
      <c r="O438" s="8" t="n">
        <v>1</v>
      </c>
      <c r="P438" s="10" t="n">
        <v>15.91</v>
      </c>
      <c r="Q438" s="8" t="n">
        <v>713</v>
      </c>
      <c r="R438" s="8" t="n">
        <v>867</v>
      </c>
      <c r="S438" s="8" t="s">
        <v>562</v>
      </c>
      <c r="T438" s="8"/>
      <c r="U438" s="8"/>
      <c r="V438" s="8" t="s">
        <v>155</v>
      </c>
      <c r="W438" s="8"/>
      <c r="X438" s="8" t="s">
        <v>563</v>
      </c>
      <c r="Y438" s="8" t="s">
        <v>2853</v>
      </c>
      <c r="Z438" s="8" t="s">
        <v>2854</v>
      </c>
    </row>
    <row r="439" customFormat="false" ht="15" hidden="false" customHeight="false" outlineLevel="0" collapsed="false">
      <c r="A439" s="8" t="s">
        <v>561</v>
      </c>
      <c r="B439" s="8" t="s">
        <v>19</v>
      </c>
      <c r="C439" s="8" t="s">
        <v>20</v>
      </c>
      <c r="D439" s="8" t="s">
        <v>615</v>
      </c>
      <c r="E439" s="8" t="s">
        <v>39</v>
      </c>
      <c r="F439" s="8" t="s">
        <v>62</v>
      </c>
      <c r="G439" s="8" t="s">
        <v>31</v>
      </c>
      <c r="H439" s="8" t="s">
        <v>31</v>
      </c>
      <c r="I439" s="8" t="n">
        <f aca="false">IF(EXACT(G439,H439),1,0)</f>
        <v>1</v>
      </c>
      <c r="J439" s="8" t="n">
        <v>2</v>
      </c>
      <c r="K439" s="8" t="s">
        <v>116</v>
      </c>
      <c r="L439" s="8" t="n">
        <v>5</v>
      </c>
      <c r="M439" s="8" t="n">
        <v>0</v>
      </c>
      <c r="N439" s="8"/>
      <c r="O439" s="8" t="n">
        <v>1</v>
      </c>
      <c r="P439" s="10" t="n">
        <v>17.12</v>
      </c>
      <c r="Q439" s="8" t="n">
        <v>713</v>
      </c>
      <c r="R439" s="8" t="n">
        <v>926</v>
      </c>
      <c r="S439" s="8" t="s">
        <v>562</v>
      </c>
      <c r="T439" s="8"/>
      <c r="U439" s="8"/>
      <c r="V439" s="8" t="s">
        <v>155</v>
      </c>
      <c r="W439" s="8"/>
      <c r="X439" s="8" t="s">
        <v>563</v>
      </c>
      <c r="Y439" s="8" t="s">
        <v>2855</v>
      </c>
      <c r="Z439" s="8" t="s">
        <v>2856</v>
      </c>
    </row>
    <row r="440" customFormat="false" ht="15" hidden="false" customHeight="false" outlineLevel="0" collapsed="false">
      <c r="A440" s="8" t="s">
        <v>564</v>
      </c>
      <c r="B440" s="8" t="s">
        <v>19</v>
      </c>
      <c r="C440" s="8" t="s">
        <v>20</v>
      </c>
      <c r="D440" s="8" t="s">
        <v>615</v>
      </c>
      <c r="E440" s="8" t="s">
        <v>39</v>
      </c>
      <c r="F440" s="8" t="s">
        <v>62</v>
      </c>
      <c r="G440" s="8" t="s">
        <v>31</v>
      </c>
      <c r="H440" s="8" t="s">
        <v>31</v>
      </c>
      <c r="I440" s="8" t="n">
        <f aca="false">IF(EXACT(G440,H440),1,0)</f>
        <v>1</v>
      </c>
      <c r="J440" s="8" t="n">
        <v>0</v>
      </c>
      <c r="K440" s="8" t="s">
        <v>116</v>
      </c>
      <c r="L440" s="8" t="n">
        <v>5</v>
      </c>
      <c r="M440" s="8" t="n">
        <v>0</v>
      </c>
      <c r="N440" s="8"/>
      <c r="O440" s="8" t="n">
        <v>1</v>
      </c>
      <c r="P440" s="10" t="n">
        <v>21.56</v>
      </c>
      <c r="Q440" s="8" t="n">
        <v>803</v>
      </c>
      <c r="R440" s="8" t="n">
        <v>1045</v>
      </c>
      <c r="S440" s="8" t="s">
        <v>565</v>
      </c>
      <c r="T440" s="8"/>
      <c r="U440" s="8"/>
      <c r="V440" s="8" t="s">
        <v>155</v>
      </c>
      <c r="W440" s="8"/>
      <c r="X440" s="8" t="s">
        <v>566</v>
      </c>
      <c r="Y440" s="8" t="s">
        <v>2857</v>
      </c>
      <c r="Z440" s="8" t="s">
        <v>2858</v>
      </c>
    </row>
    <row r="441" customFormat="false" ht="15" hidden="false" customHeight="false" outlineLevel="0" collapsed="false">
      <c r="A441" s="8" t="s">
        <v>564</v>
      </c>
      <c r="B441" s="8" t="s">
        <v>19</v>
      </c>
      <c r="C441" s="8" t="s">
        <v>20</v>
      </c>
      <c r="D441" s="8" t="s">
        <v>615</v>
      </c>
      <c r="E441" s="8" t="s">
        <v>39</v>
      </c>
      <c r="F441" s="8" t="s">
        <v>62</v>
      </c>
      <c r="G441" s="8" t="s">
        <v>31</v>
      </c>
      <c r="H441" s="8" t="s">
        <v>31</v>
      </c>
      <c r="I441" s="8" t="n">
        <f aca="false">IF(EXACT(G441,H441),1,0)</f>
        <v>1</v>
      </c>
      <c r="J441" s="8" t="n">
        <v>1</v>
      </c>
      <c r="K441" s="8" t="s">
        <v>116</v>
      </c>
      <c r="L441" s="8" t="n">
        <v>6</v>
      </c>
      <c r="M441" s="8" t="n">
        <v>0</v>
      </c>
      <c r="N441" s="8"/>
      <c r="O441" s="8" t="n">
        <v>1</v>
      </c>
      <c r="P441" s="10" t="n">
        <v>21.61</v>
      </c>
      <c r="Q441" s="8" t="n">
        <v>803</v>
      </c>
      <c r="R441" s="8" t="n">
        <v>1141</v>
      </c>
      <c r="S441" s="8" t="s">
        <v>565</v>
      </c>
      <c r="T441" s="8"/>
      <c r="U441" s="8"/>
      <c r="V441" s="8" t="s">
        <v>155</v>
      </c>
      <c r="W441" s="8"/>
      <c r="X441" s="8" t="s">
        <v>566</v>
      </c>
      <c r="Y441" s="8" t="s">
        <v>2859</v>
      </c>
      <c r="Z441" s="8" t="s">
        <v>2860</v>
      </c>
    </row>
    <row r="442" customFormat="false" ht="15" hidden="false" customHeight="false" outlineLevel="0" collapsed="false">
      <c r="A442" s="8" t="s">
        <v>564</v>
      </c>
      <c r="B442" s="8" t="s">
        <v>19</v>
      </c>
      <c r="C442" s="8" t="s">
        <v>20</v>
      </c>
      <c r="D442" s="8" t="s">
        <v>615</v>
      </c>
      <c r="E442" s="8" t="s">
        <v>39</v>
      </c>
      <c r="F442" s="8" t="s">
        <v>62</v>
      </c>
      <c r="G442" s="8" t="s">
        <v>31</v>
      </c>
      <c r="H442" s="8" t="s">
        <v>31</v>
      </c>
      <c r="I442" s="8" t="n">
        <f aca="false">IF(EXACT(G442,H442),1,0)</f>
        <v>1</v>
      </c>
      <c r="J442" s="8" t="n">
        <v>2</v>
      </c>
      <c r="K442" s="8" t="s">
        <v>116</v>
      </c>
      <c r="L442" s="8" t="n">
        <v>2</v>
      </c>
      <c r="M442" s="8" t="n">
        <v>0</v>
      </c>
      <c r="N442" s="8"/>
      <c r="O442" s="8" t="n">
        <v>1</v>
      </c>
      <c r="P442" s="10" t="n">
        <v>16.2</v>
      </c>
      <c r="Q442" s="8" t="n">
        <v>803</v>
      </c>
      <c r="R442" s="8" t="n">
        <v>765</v>
      </c>
      <c r="S442" s="8" t="s">
        <v>565</v>
      </c>
      <c r="T442" s="8"/>
      <c r="U442" s="8"/>
      <c r="V442" s="8" t="s">
        <v>155</v>
      </c>
      <c r="W442" s="8"/>
      <c r="X442" s="8" t="s">
        <v>566</v>
      </c>
      <c r="Y442" s="8" t="s">
        <v>2861</v>
      </c>
      <c r="Z442" s="8" t="s">
        <v>2862</v>
      </c>
    </row>
    <row r="443" customFormat="false" ht="15" hidden="false" customHeight="false" outlineLevel="0" collapsed="false">
      <c r="A443" s="8" t="s">
        <v>567</v>
      </c>
      <c r="B443" s="8" t="s">
        <v>19</v>
      </c>
      <c r="C443" s="8" t="s">
        <v>20</v>
      </c>
      <c r="D443" s="8" t="s">
        <v>615</v>
      </c>
      <c r="E443" s="8" t="s">
        <v>39</v>
      </c>
      <c r="F443" s="8" t="s">
        <v>62</v>
      </c>
      <c r="G443" s="8" t="s">
        <v>32</v>
      </c>
      <c r="H443" s="8" t="s">
        <v>32</v>
      </c>
      <c r="I443" s="8" t="n">
        <f aca="false">IF(EXACT(G443,H443),1,0)</f>
        <v>1</v>
      </c>
      <c r="J443" s="8" t="n">
        <v>0</v>
      </c>
      <c r="K443" s="8" t="s">
        <v>92</v>
      </c>
      <c r="L443" s="8" t="n">
        <v>0</v>
      </c>
      <c r="M443" s="8" t="n">
        <v>0</v>
      </c>
      <c r="N443" s="8"/>
      <c r="O443" s="8" t="n">
        <v>1</v>
      </c>
      <c r="P443" s="10" t="n">
        <v>5.82</v>
      </c>
      <c r="Q443" s="8" t="n">
        <v>689</v>
      </c>
      <c r="R443" s="8" t="n">
        <v>267</v>
      </c>
      <c r="S443" s="8" t="s">
        <v>568</v>
      </c>
      <c r="T443" s="8"/>
      <c r="U443" s="8"/>
      <c r="V443" s="8" t="s">
        <v>155</v>
      </c>
      <c r="W443" s="8"/>
      <c r="X443" s="8" t="s">
        <v>569</v>
      </c>
      <c r="Y443" s="8" t="s">
        <v>2863</v>
      </c>
      <c r="Z443" s="8"/>
    </row>
    <row r="444" customFormat="false" ht="15" hidden="false" customHeight="false" outlineLevel="0" collapsed="false">
      <c r="A444" s="8" t="s">
        <v>567</v>
      </c>
      <c r="B444" s="8" t="s">
        <v>19</v>
      </c>
      <c r="C444" s="8" t="s">
        <v>20</v>
      </c>
      <c r="D444" s="8" t="s">
        <v>615</v>
      </c>
      <c r="E444" s="8" t="s">
        <v>39</v>
      </c>
      <c r="F444" s="8" t="s">
        <v>62</v>
      </c>
      <c r="G444" s="8" t="s">
        <v>32</v>
      </c>
      <c r="H444" s="8" t="s">
        <v>32</v>
      </c>
      <c r="I444" s="8" t="n">
        <f aca="false">IF(EXACT(G444,H444),1,0)</f>
        <v>1</v>
      </c>
      <c r="J444" s="8" t="n">
        <v>1</v>
      </c>
      <c r="K444" s="8" t="s">
        <v>92</v>
      </c>
      <c r="L444" s="8" t="n">
        <v>0</v>
      </c>
      <c r="M444" s="8" t="n">
        <v>0</v>
      </c>
      <c r="N444" s="8"/>
      <c r="O444" s="8" t="n">
        <v>1</v>
      </c>
      <c r="P444" s="10" t="n">
        <v>5.5</v>
      </c>
      <c r="Q444" s="8" t="n">
        <v>689</v>
      </c>
      <c r="R444" s="8" t="n">
        <v>266</v>
      </c>
      <c r="S444" s="8" t="s">
        <v>568</v>
      </c>
      <c r="T444" s="8"/>
      <c r="U444" s="8"/>
      <c r="V444" s="8" t="s">
        <v>155</v>
      </c>
      <c r="W444" s="8"/>
      <c r="X444" s="8" t="s">
        <v>569</v>
      </c>
      <c r="Y444" s="8" t="s">
        <v>2864</v>
      </c>
      <c r="Z444" s="8"/>
    </row>
    <row r="445" customFormat="false" ht="15" hidden="false" customHeight="false" outlineLevel="0" collapsed="false">
      <c r="A445" s="8" t="s">
        <v>567</v>
      </c>
      <c r="B445" s="8" t="s">
        <v>19</v>
      </c>
      <c r="C445" s="8" t="s">
        <v>20</v>
      </c>
      <c r="D445" s="8" t="s">
        <v>615</v>
      </c>
      <c r="E445" s="8" t="s">
        <v>39</v>
      </c>
      <c r="F445" s="8" t="s">
        <v>62</v>
      </c>
      <c r="G445" s="8" t="s">
        <v>32</v>
      </c>
      <c r="H445" s="8" t="s">
        <v>32</v>
      </c>
      <c r="I445" s="8" t="n">
        <f aca="false">IF(EXACT(G445,H445),1,0)</f>
        <v>1</v>
      </c>
      <c r="J445" s="8" t="n">
        <v>2</v>
      </c>
      <c r="K445" s="8" t="s">
        <v>92</v>
      </c>
      <c r="L445" s="8" t="n">
        <v>0</v>
      </c>
      <c r="M445" s="8" t="n">
        <v>0</v>
      </c>
      <c r="N445" s="8"/>
      <c r="O445" s="8" t="n">
        <v>1</v>
      </c>
      <c r="P445" s="10" t="n">
        <v>5.65</v>
      </c>
      <c r="Q445" s="8" t="n">
        <v>689</v>
      </c>
      <c r="R445" s="8" t="n">
        <v>271</v>
      </c>
      <c r="S445" s="8" t="s">
        <v>568</v>
      </c>
      <c r="T445" s="8"/>
      <c r="U445" s="8"/>
      <c r="V445" s="8" t="s">
        <v>155</v>
      </c>
      <c r="W445" s="8"/>
      <c r="X445" s="8" t="s">
        <v>569</v>
      </c>
      <c r="Y445" s="8" t="s">
        <v>2865</v>
      </c>
      <c r="Z445" s="8"/>
    </row>
    <row r="446" customFormat="false" ht="15" hidden="false" customHeight="false" outlineLevel="0" collapsed="false">
      <c r="A446" s="8" t="s">
        <v>570</v>
      </c>
      <c r="B446" s="8" t="s">
        <v>19</v>
      </c>
      <c r="C446" s="8" t="s">
        <v>20</v>
      </c>
      <c r="D446" s="8" t="s">
        <v>615</v>
      </c>
      <c r="E446" s="8" t="s">
        <v>39</v>
      </c>
      <c r="F446" s="8" t="s">
        <v>62</v>
      </c>
      <c r="G446" s="8" t="s">
        <v>32</v>
      </c>
      <c r="H446" s="8" t="s">
        <v>32</v>
      </c>
      <c r="I446" s="8" t="n">
        <f aca="false">IF(EXACT(G446,H446),1,0)</f>
        <v>1</v>
      </c>
      <c r="J446" s="8" t="n">
        <v>0</v>
      </c>
      <c r="K446" s="8" t="s">
        <v>92</v>
      </c>
      <c r="L446" s="8" t="n">
        <v>0</v>
      </c>
      <c r="M446" s="8" t="n">
        <v>0</v>
      </c>
      <c r="N446" s="8"/>
      <c r="O446" s="8" t="n">
        <v>1</v>
      </c>
      <c r="P446" s="10" t="n">
        <v>12.41</v>
      </c>
      <c r="Q446" s="8" t="n">
        <v>696</v>
      </c>
      <c r="R446" s="8" t="n">
        <v>369</v>
      </c>
      <c r="S446" s="8" t="s">
        <v>571</v>
      </c>
      <c r="T446" s="8"/>
      <c r="U446" s="8"/>
      <c r="V446" s="8" t="s">
        <v>155</v>
      </c>
      <c r="W446" s="8"/>
      <c r="X446" s="8" t="s">
        <v>572</v>
      </c>
      <c r="Y446" s="8" t="s">
        <v>2866</v>
      </c>
      <c r="Z446" s="8"/>
    </row>
    <row r="447" customFormat="false" ht="15" hidden="false" customHeight="false" outlineLevel="0" collapsed="false">
      <c r="A447" s="8" t="s">
        <v>570</v>
      </c>
      <c r="B447" s="8" t="s">
        <v>19</v>
      </c>
      <c r="C447" s="8" t="s">
        <v>20</v>
      </c>
      <c r="D447" s="8" t="s">
        <v>615</v>
      </c>
      <c r="E447" s="8" t="s">
        <v>39</v>
      </c>
      <c r="F447" s="8" t="s">
        <v>62</v>
      </c>
      <c r="G447" s="8" t="s">
        <v>32</v>
      </c>
      <c r="H447" s="8" t="s">
        <v>30</v>
      </c>
      <c r="I447" s="8" t="n">
        <f aca="false">IF(EXACT(G447,H447),1,0)</f>
        <v>0</v>
      </c>
      <c r="J447" s="8" t="n">
        <v>1</v>
      </c>
      <c r="K447" s="8" t="s">
        <v>92</v>
      </c>
      <c r="L447" s="8" t="n">
        <v>0</v>
      </c>
      <c r="M447" s="8" t="n">
        <v>0</v>
      </c>
      <c r="N447" s="8"/>
      <c r="O447" s="8" t="n">
        <v>1</v>
      </c>
      <c r="P447" s="10" t="n">
        <v>10.67</v>
      </c>
      <c r="Q447" s="8" t="n">
        <v>696</v>
      </c>
      <c r="R447" s="8" t="n">
        <v>247</v>
      </c>
      <c r="S447" s="8" t="s">
        <v>571</v>
      </c>
      <c r="T447" s="8"/>
      <c r="U447" s="8"/>
      <c r="V447" s="8" t="s">
        <v>155</v>
      </c>
      <c r="W447" s="8"/>
      <c r="X447" s="8" t="s">
        <v>572</v>
      </c>
      <c r="Y447" s="8" t="s">
        <v>2867</v>
      </c>
      <c r="Z447" s="8"/>
    </row>
    <row r="448" customFormat="false" ht="15" hidden="false" customHeight="false" outlineLevel="0" collapsed="false">
      <c r="A448" s="8" t="s">
        <v>570</v>
      </c>
      <c r="B448" s="8" t="s">
        <v>19</v>
      </c>
      <c r="C448" s="8" t="s">
        <v>20</v>
      </c>
      <c r="D448" s="8" t="s">
        <v>615</v>
      </c>
      <c r="E448" s="8" t="s">
        <v>39</v>
      </c>
      <c r="F448" s="8" t="s">
        <v>62</v>
      </c>
      <c r="G448" s="8" t="s">
        <v>32</v>
      </c>
      <c r="H448" s="8" t="s">
        <v>30</v>
      </c>
      <c r="I448" s="8" t="n">
        <f aca="false">IF(EXACT(G448,H448),1,0)</f>
        <v>0</v>
      </c>
      <c r="J448" s="8" t="n">
        <v>2</v>
      </c>
      <c r="K448" s="8" t="s">
        <v>92</v>
      </c>
      <c r="L448" s="8" t="n">
        <v>0</v>
      </c>
      <c r="M448" s="8" t="n">
        <v>0</v>
      </c>
      <c r="N448" s="8"/>
      <c r="O448" s="8" t="n">
        <v>1</v>
      </c>
      <c r="P448" s="10" t="n">
        <v>9.35</v>
      </c>
      <c r="Q448" s="8" t="n">
        <v>696</v>
      </c>
      <c r="R448" s="8" t="n">
        <v>217</v>
      </c>
      <c r="S448" s="8" t="s">
        <v>571</v>
      </c>
      <c r="T448" s="8"/>
      <c r="U448" s="8"/>
      <c r="V448" s="8" t="s">
        <v>155</v>
      </c>
      <c r="W448" s="8"/>
      <c r="X448" s="8" t="s">
        <v>572</v>
      </c>
      <c r="Y448" s="8" t="s">
        <v>2868</v>
      </c>
      <c r="Z448" s="8"/>
    </row>
    <row r="449" customFormat="false" ht="15" hidden="false" customHeight="false" outlineLevel="0" collapsed="false">
      <c r="A449" s="8" t="s">
        <v>242</v>
      </c>
      <c r="B449" s="8" t="s">
        <v>19</v>
      </c>
      <c r="C449" s="8" t="s">
        <v>20</v>
      </c>
      <c r="D449" s="8" t="s">
        <v>615</v>
      </c>
      <c r="E449" s="8" t="s">
        <v>40</v>
      </c>
      <c r="F449" s="8" t="s">
        <v>48</v>
      </c>
      <c r="G449" s="8" t="s">
        <v>32</v>
      </c>
      <c r="H449" s="8" t="s">
        <v>32</v>
      </c>
      <c r="I449" s="8" t="n">
        <f aca="false">IF(EXACT(G449,H449),1,0)</f>
        <v>1</v>
      </c>
      <c r="J449" s="8" t="n">
        <v>0</v>
      </c>
      <c r="K449" s="8" t="s">
        <v>92</v>
      </c>
      <c r="L449" s="8" t="n">
        <v>0</v>
      </c>
      <c r="M449" s="8" t="n">
        <v>0</v>
      </c>
      <c r="N449" s="8"/>
      <c r="O449" s="8" t="n">
        <v>1</v>
      </c>
      <c r="P449" s="10" t="n">
        <v>4.76</v>
      </c>
      <c r="Q449" s="8" t="n">
        <v>607</v>
      </c>
      <c r="R449" s="8" t="n">
        <v>197</v>
      </c>
      <c r="S449" s="8" t="s">
        <v>94</v>
      </c>
      <c r="T449" s="8" t="s">
        <v>243</v>
      </c>
      <c r="U449" s="8" t="s">
        <v>244</v>
      </c>
      <c r="V449" s="8"/>
      <c r="W449" s="8" t="s">
        <v>245</v>
      </c>
      <c r="X449" s="8" t="s">
        <v>573</v>
      </c>
      <c r="Y449" s="8" t="s">
        <v>2869</v>
      </c>
      <c r="Z449" s="8"/>
    </row>
    <row r="450" customFormat="false" ht="15" hidden="false" customHeight="false" outlineLevel="0" collapsed="false">
      <c r="A450" s="8" t="s">
        <v>242</v>
      </c>
      <c r="B450" s="8" t="s">
        <v>19</v>
      </c>
      <c r="C450" s="8" t="s">
        <v>20</v>
      </c>
      <c r="D450" s="8" t="s">
        <v>615</v>
      </c>
      <c r="E450" s="8" t="s">
        <v>40</v>
      </c>
      <c r="F450" s="8" t="s">
        <v>48</v>
      </c>
      <c r="G450" s="8" t="s">
        <v>32</v>
      </c>
      <c r="H450" s="8" t="s">
        <v>32</v>
      </c>
      <c r="I450" s="8" t="n">
        <f aca="false">IF(EXACT(G450,H450),1,0)</f>
        <v>1</v>
      </c>
      <c r="J450" s="8" t="n">
        <v>1</v>
      </c>
      <c r="K450" s="8" t="s">
        <v>92</v>
      </c>
      <c r="L450" s="8" t="n">
        <v>0</v>
      </c>
      <c r="M450" s="8" t="n">
        <v>0</v>
      </c>
      <c r="N450" s="8"/>
      <c r="O450" s="8" t="n">
        <v>1</v>
      </c>
      <c r="P450" s="10" t="n">
        <v>5.52</v>
      </c>
      <c r="Q450" s="8" t="n">
        <v>607</v>
      </c>
      <c r="R450" s="8" t="n">
        <v>222</v>
      </c>
      <c r="S450" s="8" t="s">
        <v>94</v>
      </c>
      <c r="T450" s="8" t="s">
        <v>243</v>
      </c>
      <c r="U450" s="8" t="s">
        <v>244</v>
      </c>
      <c r="V450" s="8"/>
      <c r="W450" s="8" t="s">
        <v>245</v>
      </c>
      <c r="X450" s="8" t="s">
        <v>573</v>
      </c>
      <c r="Y450" s="8" t="s">
        <v>2870</v>
      </c>
      <c r="Z450" s="8"/>
    </row>
    <row r="451" customFormat="false" ht="15" hidden="false" customHeight="false" outlineLevel="0" collapsed="false">
      <c r="A451" s="8" t="s">
        <v>242</v>
      </c>
      <c r="B451" s="8" t="s">
        <v>19</v>
      </c>
      <c r="C451" s="8" t="s">
        <v>20</v>
      </c>
      <c r="D451" s="8" t="s">
        <v>615</v>
      </c>
      <c r="E451" s="8" t="s">
        <v>40</v>
      </c>
      <c r="F451" s="8" t="s">
        <v>48</v>
      </c>
      <c r="G451" s="8" t="s">
        <v>32</v>
      </c>
      <c r="H451" s="8" t="s">
        <v>32</v>
      </c>
      <c r="I451" s="8" t="n">
        <f aca="false">IF(EXACT(G451,H451),1,0)</f>
        <v>1</v>
      </c>
      <c r="J451" s="8" t="n">
        <v>2</v>
      </c>
      <c r="K451" s="8" t="s">
        <v>92</v>
      </c>
      <c r="L451" s="8" t="n">
        <v>0</v>
      </c>
      <c r="M451" s="8" t="n">
        <v>0</v>
      </c>
      <c r="N451" s="8"/>
      <c r="O451" s="8" t="n">
        <v>1</v>
      </c>
      <c r="P451" s="10" t="n">
        <v>4.98</v>
      </c>
      <c r="Q451" s="8" t="n">
        <v>607</v>
      </c>
      <c r="R451" s="8" t="n">
        <v>216</v>
      </c>
      <c r="S451" s="8" t="s">
        <v>94</v>
      </c>
      <c r="T451" s="8" t="s">
        <v>243</v>
      </c>
      <c r="U451" s="8" t="s">
        <v>244</v>
      </c>
      <c r="V451" s="8"/>
      <c r="W451" s="8" t="s">
        <v>245</v>
      </c>
      <c r="X451" s="8" t="s">
        <v>573</v>
      </c>
      <c r="Y451" s="8" t="s">
        <v>2871</v>
      </c>
      <c r="Z451" s="8"/>
    </row>
    <row r="452" customFormat="false" ht="15" hidden="false" customHeight="false" outlineLevel="0" collapsed="false">
      <c r="A452" s="8" t="s">
        <v>247</v>
      </c>
      <c r="B452" s="8" t="s">
        <v>19</v>
      </c>
      <c r="C452" s="8" t="s">
        <v>20</v>
      </c>
      <c r="D452" s="8" t="s">
        <v>615</v>
      </c>
      <c r="E452" s="8" t="s">
        <v>40</v>
      </c>
      <c r="F452" s="8" t="s">
        <v>48</v>
      </c>
      <c r="G452" s="8" t="s">
        <v>30</v>
      </c>
      <c r="H452" s="8" t="s">
        <v>30</v>
      </c>
      <c r="I452" s="8" t="n">
        <f aca="false">IF(EXACT(G452,H452),1,0)</f>
        <v>1</v>
      </c>
      <c r="J452" s="8" t="n">
        <v>0</v>
      </c>
      <c r="K452" s="8" t="s">
        <v>92</v>
      </c>
      <c r="L452" s="8" t="n">
        <v>0</v>
      </c>
      <c r="M452" s="8" t="n">
        <v>0</v>
      </c>
      <c r="N452" s="8"/>
      <c r="O452" s="8" t="n">
        <v>1</v>
      </c>
      <c r="P452" s="10" t="n">
        <v>11.89</v>
      </c>
      <c r="Q452" s="8" t="n">
        <v>636</v>
      </c>
      <c r="R452" s="8" t="n">
        <v>344</v>
      </c>
      <c r="S452" s="8" t="s">
        <v>216</v>
      </c>
      <c r="T452" s="8" t="s">
        <v>243</v>
      </c>
      <c r="U452" s="8" t="s">
        <v>244</v>
      </c>
      <c r="V452" s="8"/>
      <c r="W452" s="8" t="s">
        <v>248</v>
      </c>
      <c r="X452" s="8" t="s">
        <v>574</v>
      </c>
      <c r="Y452" s="8" t="s">
        <v>2872</v>
      </c>
      <c r="Z452" s="8"/>
    </row>
    <row r="453" customFormat="false" ht="15" hidden="false" customHeight="false" outlineLevel="0" collapsed="false">
      <c r="A453" s="8" t="s">
        <v>247</v>
      </c>
      <c r="B453" s="8" t="s">
        <v>19</v>
      </c>
      <c r="C453" s="8" t="s">
        <v>20</v>
      </c>
      <c r="D453" s="8" t="s">
        <v>615</v>
      </c>
      <c r="E453" s="8" t="s">
        <v>40</v>
      </c>
      <c r="F453" s="8" t="s">
        <v>48</v>
      </c>
      <c r="G453" s="8" t="s">
        <v>30</v>
      </c>
      <c r="H453" s="8" t="s">
        <v>30</v>
      </c>
      <c r="I453" s="8" t="n">
        <f aca="false">IF(EXACT(G453,H453),1,0)</f>
        <v>1</v>
      </c>
      <c r="J453" s="8" t="n">
        <v>1</v>
      </c>
      <c r="K453" s="8" t="s">
        <v>92</v>
      </c>
      <c r="L453" s="8" t="n">
        <v>0</v>
      </c>
      <c r="M453" s="8" t="n">
        <v>0</v>
      </c>
      <c r="N453" s="8"/>
      <c r="O453" s="8" t="n">
        <v>1</v>
      </c>
      <c r="P453" s="10" t="n">
        <v>11.23</v>
      </c>
      <c r="Q453" s="8" t="n">
        <v>636</v>
      </c>
      <c r="R453" s="8" t="n">
        <v>330</v>
      </c>
      <c r="S453" s="8" t="s">
        <v>216</v>
      </c>
      <c r="T453" s="8" t="s">
        <v>243</v>
      </c>
      <c r="U453" s="8" t="s">
        <v>244</v>
      </c>
      <c r="V453" s="8"/>
      <c r="W453" s="8" t="s">
        <v>248</v>
      </c>
      <c r="X453" s="8" t="s">
        <v>574</v>
      </c>
      <c r="Y453" s="8" t="s">
        <v>2873</v>
      </c>
      <c r="Z453" s="8"/>
    </row>
    <row r="454" customFormat="false" ht="15" hidden="false" customHeight="false" outlineLevel="0" collapsed="false">
      <c r="A454" s="8" t="s">
        <v>247</v>
      </c>
      <c r="B454" s="8" t="s">
        <v>19</v>
      </c>
      <c r="C454" s="8" t="s">
        <v>20</v>
      </c>
      <c r="D454" s="8" t="s">
        <v>615</v>
      </c>
      <c r="E454" s="8" t="s">
        <v>40</v>
      </c>
      <c r="F454" s="8" t="s">
        <v>48</v>
      </c>
      <c r="G454" s="8" t="s">
        <v>30</v>
      </c>
      <c r="H454" s="8" t="s">
        <v>30</v>
      </c>
      <c r="I454" s="8" t="n">
        <f aca="false">IF(EXACT(G454,H454),1,0)</f>
        <v>1</v>
      </c>
      <c r="J454" s="8" t="n">
        <v>2</v>
      </c>
      <c r="K454" s="8" t="s">
        <v>92</v>
      </c>
      <c r="L454" s="8" t="n">
        <v>0</v>
      </c>
      <c r="M454" s="8" t="n">
        <v>0</v>
      </c>
      <c r="N454" s="8"/>
      <c r="O454" s="8" t="n">
        <v>1</v>
      </c>
      <c r="P454" s="10" t="n">
        <v>12.17</v>
      </c>
      <c r="Q454" s="8" t="n">
        <v>636</v>
      </c>
      <c r="R454" s="8" t="n">
        <v>376</v>
      </c>
      <c r="S454" s="8" t="s">
        <v>216</v>
      </c>
      <c r="T454" s="8" t="s">
        <v>243</v>
      </c>
      <c r="U454" s="8" t="s">
        <v>244</v>
      </c>
      <c r="V454" s="8"/>
      <c r="W454" s="8" t="s">
        <v>248</v>
      </c>
      <c r="X454" s="8" t="s">
        <v>574</v>
      </c>
      <c r="Y454" s="8" t="s">
        <v>2874</v>
      </c>
      <c r="Z454" s="8"/>
    </row>
    <row r="455" customFormat="false" ht="15" hidden="false" customHeight="false" outlineLevel="0" collapsed="false">
      <c r="A455" s="8" t="s">
        <v>250</v>
      </c>
      <c r="B455" s="8" t="s">
        <v>19</v>
      </c>
      <c r="C455" s="8" t="s">
        <v>20</v>
      </c>
      <c r="D455" s="8" t="s">
        <v>615</v>
      </c>
      <c r="E455" s="8" t="s">
        <v>40</v>
      </c>
      <c r="F455" s="8" t="s">
        <v>48</v>
      </c>
      <c r="G455" s="8" t="s">
        <v>32</v>
      </c>
      <c r="H455" s="8" t="s">
        <v>30</v>
      </c>
      <c r="I455" s="8" t="n">
        <f aca="false">IF(EXACT(G455,H455),1,0)</f>
        <v>0</v>
      </c>
      <c r="J455" s="8" t="n">
        <v>0</v>
      </c>
      <c r="K455" s="8" t="s">
        <v>92</v>
      </c>
      <c r="L455" s="8" t="n">
        <v>0</v>
      </c>
      <c r="M455" s="8" t="n">
        <v>0</v>
      </c>
      <c r="N455" s="8"/>
      <c r="O455" s="8" t="n">
        <v>1</v>
      </c>
      <c r="P455" s="10" t="n">
        <v>8.63</v>
      </c>
      <c r="Q455" s="8" t="n">
        <v>655</v>
      </c>
      <c r="R455" s="8" t="n">
        <v>373</v>
      </c>
      <c r="S455" s="8" t="s">
        <v>251</v>
      </c>
      <c r="T455" s="8" t="s">
        <v>243</v>
      </c>
      <c r="U455" s="8" t="s">
        <v>244</v>
      </c>
      <c r="V455" s="8"/>
      <c r="W455" s="8" t="s">
        <v>252</v>
      </c>
      <c r="X455" s="8" t="s">
        <v>575</v>
      </c>
      <c r="Y455" s="8" t="s">
        <v>2875</v>
      </c>
      <c r="Z455" s="8"/>
    </row>
    <row r="456" customFormat="false" ht="15" hidden="false" customHeight="false" outlineLevel="0" collapsed="false">
      <c r="A456" s="8" t="s">
        <v>250</v>
      </c>
      <c r="B456" s="8" t="s">
        <v>19</v>
      </c>
      <c r="C456" s="8" t="s">
        <v>20</v>
      </c>
      <c r="D456" s="8" t="s">
        <v>615</v>
      </c>
      <c r="E456" s="8" t="s">
        <v>40</v>
      </c>
      <c r="F456" s="8" t="s">
        <v>48</v>
      </c>
      <c r="G456" s="8" t="s">
        <v>32</v>
      </c>
      <c r="H456" s="8" t="s">
        <v>30</v>
      </c>
      <c r="I456" s="8" t="n">
        <f aca="false">IF(EXACT(G456,H456),1,0)</f>
        <v>0</v>
      </c>
      <c r="J456" s="8" t="n">
        <v>1</v>
      </c>
      <c r="K456" s="8" t="s">
        <v>92</v>
      </c>
      <c r="L456" s="8" t="n">
        <v>0</v>
      </c>
      <c r="M456" s="8" t="n">
        <v>0</v>
      </c>
      <c r="N456" s="8"/>
      <c r="O456" s="8" t="n">
        <v>1</v>
      </c>
      <c r="P456" s="10" t="n">
        <v>9.26</v>
      </c>
      <c r="Q456" s="8" t="n">
        <v>655</v>
      </c>
      <c r="R456" s="8" t="n">
        <v>410</v>
      </c>
      <c r="S456" s="8" t="s">
        <v>251</v>
      </c>
      <c r="T456" s="8" t="s">
        <v>243</v>
      </c>
      <c r="U456" s="8" t="s">
        <v>244</v>
      </c>
      <c r="V456" s="8"/>
      <c r="W456" s="8" t="s">
        <v>252</v>
      </c>
      <c r="X456" s="8" t="s">
        <v>575</v>
      </c>
      <c r="Y456" s="8" t="s">
        <v>2876</v>
      </c>
      <c r="Z456" s="8"/>
    </row>
    <row r="457" customFormat="false" ht="15" hidden="false" customHeight="false" outlineLevel="0" collapsed="false">
      <c r="A457" s="8" t="s">
        <v>250</v>
      </c>
      <c r="B457" s="8" t="s">
        <v>19</v>
      </c>
      <c r="C457" s="8" t="s">
        <v>20</v>
      </c>
      <c r="D457" s="8" t="s">
        <v>615</v>
      </c>
      <c r="E457" s="8" t="s">
        <v>40</v>
      </c>
      <c r="F457" s="8" t="s">
        <v>48</v>
      </c>
      <c r="G457" s="8" t="s">
        <v>32</v>
      </c>
      <c r="H457" s="8" t="s">
        <v>30</v>
      </c>
      <c r="I457" s="8" t="n">
        <f aca="false">IF(EXACT(G457,H457),1,0)</f>
        <v>0</v>
      </c>
      <c r="J457" s="8" t="n">
        <v>2</v>
      </c>
      <c r="K457" s="8" t="s">
        <v>92</v>
      </c>
      <c r="L457" s="8" t="n">
        <v>0</v>
      </c>
      <c r="M457" s="8" t="n">
        <v>0</v>
      </c>
      <c r="N457" s="8"/>
      <c r="O457" s="8" t="n">
        <v>1</v>
      </c>
      <c r="P457" s="10" t="n">
        <v>11.08</v>
      </c>
      <c r="Q457" s="8" t="n">
        <v>655</v>
      </c>
      <c r="R457" s="8" t="n">
        <v>492</v>
      </c>
      <c r="S457" s="8" t="s">
        <v>251</v>
      </c>
      <c r="T457" s="8" t="s">
        <v>243</v>
      </c>
      <c r="U457" s="8" t="s">
        <v>244</v>
      </c>
      <c r="V457" s="8"/>
      <c r="W457" s="8" t="s">
        <v>252</v>
      </c>
      <c r="X457" s="8" t="s">
        <v>575</v>
      </c>
      <c r="Y457" s="8" t="s">
        <v>2877</v>
      </c>
      <c r="Z457" s="8"/>
    </row>
    <row r="458" customFormat="false" ht="15" hidden="false" customHeight="false" outlineLevel="0" collapsed="false">
      <c r="A458" s="8" t="s">
        <v>254</v>
      </c>
      <c r="B458" s="8" t="s">
        <v>19</v>
      </c>
      <c r="C458" s="8" t="s">
        <v>20</v>
      </c>
      <c r="D458" s="8" t="s">
        <v>615</v>
      </c>
      <c r="E458" s="8" t="s">
        <v>40</v>
      </c>
      <c r="F458" s="8" t="s">
        <v>48</v>
      </c>
      <c r="G458" s="8" t="s">
        <v>31</v>
      </c>
      <c r="H458" s="8" t="s">
        <v>31</v>
      </c>
      <c r="I458" s="8" t="n">
        <f aca="false">IF(EXACT(G458,H458),1,0)</f>
        <v>1</v>
      </c>
      <c r="J458" s="8" t="n">
        <v>0</v>
      </c>
      <c r="K458" s="8" t="s">
        <v>116</v>
      </c>
      <c r="L458" s="8" t="n">
        <v>1</v>
      </c>
      <c r="M458" s="8" t="n">
        <v>0</v>
      </c>
      <c r="N458" s="8"/>
      <c r="O458" s="8" t="n">
        <v>1</v>
      </c>
      <c r="P458" s="10" t="n">
        <v>9.22</v>
      </c>
      <c r="Q458" s="8" t="n">
        <v>648</v>
      </c>
      <c r="R458" s="8" t="n">
        <v>425</v>
      </c>
      <c r="S458" s="8" t="s">
        <v>255</v>
      </c>
      <c r="T458" s="8" t="s">
        <v>256</v>
      </c>
      <c r="U458" s="8" t="s">
        <v>257</v>
      </c>
      <c r="V458" s="8"/>
      <c r="W458" s="8" t="s">
        <v>258</v>
      </c>
      <c r="X458" s="8" t="s">
        <v>576</v>
      </c>
      <c r="Y458" s="8" t="s">
        <v>2878</v>
      </c>
      <c r="Z458" s="8" t="s">
        <v>2879</v>
      </c>
    </row>
    <row r="459" customFormat="false" ht="15" hidden="false" customHeight="false" outlineLevel="0" collapsed="false">
      <c r="A459" s="8" t="s">
        <v>254</v>
      </c>
      <c r="B459" s="8" t="s">
        <v>19</v>
      </c>
      <c r="C459" s="8" t="s">
        <v>20</v>
      </c>
      <c r="D459" s="8" t="s">
        <v>615</v>
      </c>
      <c r="E459" s="8" t="s">
        <v>40</v>
      </c>
      <c r="F459" s="8" t="s">
        <v>48</v>
      </c>
      <c r="G459" s="8" t="s">
        <v>31</v>
      </c>
      <c r="H459" s="8" t="s">
        <v>31</v>
      </c>
      <c r="I459" s="8" t="n">
        <f aca="false">IF(EXACT(G459,H459),1,0)</f>
        <v>1</v>
      </c>
      <c r="J459" s="8" t="n">
        <v>1</v>
      </c>
      <c r="K459" s="8" t="s">
        <v>116</v>
      </c>
      <c r="L459" s="8" t="n">
        <v>1</v>
      </c>
      <c r="M459" s="8" t="n">
        <v>0</v>
      </c>
      <c r="N459" s="8"/>
      <c r="O459" s="8" t="n">
        <v>1</v>
      </c>
      <c r="P459" s="10" t="n">
        <v>8.35</v>
      </c>
      <c r="Q459" s="8" t="n">
        <v>648</v>
      </c>
      <c r="R459" s="8" t="n">
        <v>389</v>
      </c>
      <c r="S459" s="8" t="s">
        <v>255</v>
      </c>
      <c r="T459" s="8" t="s">
        <v>256</v>
      </c>
      <c r="U459" s="8" t="s">
        <v>257</v>
      </c>
      <c r="V459" s="8"/>
      <c r="W459" s="8" t="s">
        <v>258</v>
      </c>
      <c r="X459" s="8" t="s">
        <v>576</v>
      </c>
      <c r="Y459" s="8" t="s">
        <v>2880</v>
      </c>
      <c r="Z459" s="8" t="s">
        <v>2881</v>
      </c>
    </row>
    <row r="460" customFormat="false" ht="15" hidden="false" customHeight="false" outlineLevel="0" collapsed="false">
      <c r="A460" s="8" t="s">
        <v>254</v>
      </c>
      <c r="B460" s="8" t="s">
        <v>19</v>
      </c>
      <c r="C460" s="8" t="s">
        <v>20</v>
      </c>
      <c r="D460" s="8" t="s">
        <v>615</v>
      </c>
      <c r="E460" s="8" t="s">
        <v>40</v>
      </c>
      <c r="F460" s="8" t="s">
        <v>48</v>
      </c>
      <c r="G460" s="8" t="s">
        <v>31</v>
      </c>
      <c r="H460" s="8" t="s">
        <v>31</v>
      </c>
      <c r="I460" s="8" t="n">
        <f aca="false">IF(EXACT(G460,H460),1,0)</f>
        <v>1</v>
      </c>
      <c r="J460" s="8" t="n">
        <v>2</v>
      </c>
      <c r="K460" s="8" t="s">
        <v>116</v>
      </c>
      <c r="L460" s="8" t="n">
        <v>1</v>
      </c>
      <c r="M460" s="8" t="n">
        <v>0</v>
      </c>
      <c r="N460" s="8"/>
      <c r="O460" s="8" t="n">
        <v>1</v>
      </c>
      <c r="P460" s="10" t="n">
        <v>8.32</v>
      </c>
      <c r="Q460" s="8" t="n">
        <v>648</v>
      </c>
      <c r="R460" s="8" t="n">
        <v>407</v>
      </c>
      <c r="S460" s="8" t="s">
        <v>255</v>
      </c>
      <c r="T460" s="8" t="s">
        <v>256</v>
      </c>
      <c r="U460" s="8" t="s">
        <v>257</v>
      </c>
      <c r="V460" s="8"/>
      <c r="W460" s="8" t="s">
        <v>258</v>
      </c>
      <c r="X460" s="8" t="s">
        <v>576</v>
      </c>
      <c r="Y460" s="8" t="s">
        <v>2882</v>
      </c>
      <c r="Z460" s="8" t="s">
        <v>2883</v>
      </c>
    </row>
    <row r="461" customFormat="false" ht="15" hidden="false" customHeight="false" outlineLevel="0" collapsed="false">
      <c r="A461" s="8" t="s">
        <v>261</v>
      </c>
      <c r="B461" s="8" t="s">
        <v>19</v>
      </c>
      <c r="C461" s="8" t="s">
        <v>20</v>
      </c>
      <c r="D461" s="8" t="s">
        <v>615</v>
      </c>
      <c r="E461" s="8" t="s">
        <v>40</v>
      </c>
      <c r="F461" s="8" t="s">
        <v>48</v>
      </c>
      <c r="G461" s="8" t="s">
        <v>30</v>
      </c>
      <c r="H461" s="8" t="s">
        <v>31</v>
      </c>
      <c r="I461" s="8" t="n">
        <f aca="false">IF(EXACT(G461,H461),1,0)</f>
        <v>0</v>
      </c>
      <c r="J461" s="8" t="n">
        <v>0</v>
      </c>
      <c r="K461" s="8" t="s">
        <v>116</v>
      </c>
      <c r="L461" s="8" t="n">
        <v>1</v>
      </c>
      <c r="M461" s="8" t="n">
        <v>0</v>
      </c>
      <c r="N461" s="8"/>
      <c r="O461" s="8" t="n">
        <v>1</v>
      </c>
      <c r="P461" s="10" t="n">
        <v>9.29</v>
      </c>
      <c r="Q461" s="8" t="n">
        <v>647</v>
      </c>
      <c r="R461" s="8" t="n">
        <v>448</v>
      </c>
      <c r="S461" s="8" t="s">
        <v>262</v>
      </c>
      <c r="T461" s="8" t="s">
        <v>256</v>
      </c>
      <c r="U461" s="8" t="s">
        <v>257</v>
      </c>
      <c r="V461" s="8"/>
      <c r="W461" s="8" t="s">
        <v>263</v>
      </c>
      <c r="X461" s="8" t="s">
        <v>577</v>
      </c>
      <c r="Y461" s="8" t="s">
        <v>2884</v>
      </c>
      <c r="Z461" s="8" t="s">
        <v>2885</v>
      </c>
    </row>
    <row r="462" customFormat="false" ht="15" hidden="false" customHeight="false" outlineLevel="0" collapsed="false">
      <c r="A462" s="8" t="s">
        <v>261</v>
      </c>
      <c r="B462" s="8" t="s">
        <v>19</v>
      </c>
      <c r="C462" s="8" t="s">
        <v>20</v>
      </c>
      <c r="D462" s="8" t="s">
        <v>615</v>
      </c>
      <c r="E462" s="8" t="s">
        <v>40</v>
      </c>
      <c r="F462" s="8" t="s">
        <v>48</v>
      </c>
      <c r="G462" s="8" t="s">
        <v>30</v>
      </c>
      <c r="H462" s="8" t="s">
        <v>31</v>
      </c>
      <c r="I462" s="8" t="n">
        <f aca="false">IF(EXACT(G462,H462),1,0)</f>
        <v>0</v>
      </c>
      <c r="J462" s="8" t="n">
        <v>1</v>
      </c>
      <c r="K462" s="8" t="s">
        <v>116</v>
      </c>
      <c r="L462" s="8" t="n">
        <v>3</v>
      </c>
      <c r="M462" s="8" t="n">
        <v>0</v>
      </c>
      <c r="N462" s="8"/>
      <c r="O462" s="8" t="n">
        <v>1</v>
      </c>
      <c r="P462" s="10" t="n">
        <v>13.24</v>
      </c>
      <c r="Q462" s="8" t="n">
        <v>647</v>
      </c>
      <c r="R462" s="8" t="n">
        <v>680</v>
      </c>
      <c r="S462" s="8" t="s">
        <v>262</v>
      </c>
      <c r="T462" s="8" t="s">
        <v>256</v>
      </c>
      <c r="U462" s="8" t="s">
        <v>257</v>
      </c>
      <c r="V462" s="8"/>
      <c r="W462" s="8" t="s">
        <v>263</v>
      </c>
      <c r="X462" s="8" t="s">
        <v>577</v>
      </c>
      <c r="Y462" s="8" t="s">
        <v>2886</v>
      </c>
      <c r="Z462" s="8" t="s">
        <v>2887</v>
      </c>
    </row>
    <row r="463" customFormat="false" ht="15" hidden="false" customHeight="false" outlineLevel="0" collapsed="false">
      <c r="A463" s="8" t="s">
        <v>261</v>
      </c>
      <c r="B463" s="8" t="s">
        <v>19</v>
      </c>
      <c r="C463" s="8" t="s">
        <v>20</v>
      </c>
      <c r="D463" s="8" t="s">
        <v>615</v>
      </c>
      <c r="E463" s="8" t="s">
        <v>40</v>
      </c>
      <c r="F463" s="8" t="s">
        <v>48</v>
      </c>
      <c r="G463" s="8" t="s">
        <v>30</v>
      </c>
      <c r="H463" s="8" t="s">
        <v>31</v>
      </c>
      <c r="I463" s="8" t="n">
        <f aca="false">IF(EXACT(G463,H463),1,0)</f>
        <v>0</v>
      </c>
      <c r="J463" s="8" t="n">
        <v>2</v>
      </c>
      <c r="K463" s="8" t="s">
        <v>116</v>
      </c>
      <c r="L463" s="8" t="n">
        <v>1</v>
      </c>
      <c r="M463" s="8" t="n">
        <v>0</v>
      </c>
      <c r="N463" s="8"/>
      <c r="O463" s="8" t="n">
        <v>1</v>
      </c>
      <c r="P463" s="10" t="n">
        <v>13</v>
      </c>
      <c r="Q463" s="8" t="n">
        <v>647</v>
      </c>
      <c r="R463" s="8" t="n">
        <v>610</v>
      </c>
      <c r="S463" s="8" t="s">
        <v>262</v>
      </c>
      <c r="T463" s="8" t="s">
        <v>256</v>
      </c>
      <c r="U463" s="8" t="s">
        <v>257</v>
      </c>
      <c r="V463" s="8"/>
      <c r="W463" s="8" t="s">
        <v>263</v>
      </c>
      <c r="X463" s="8" t="s">
        <v>577</v>
      </c>
      <c r="Y463" s="8" t="s">
        <v>2888</v>
      </c>
      <c r="Z463" s="8" t="s">
        <v>2889</v>
      </c>
    </row>
    <row r="464" customFormat="false" ht="15" hidden="false" customHeight="false" outlineLevel="0" collapsed="false">
      <c r="A464" s="8" t="s">
        <v>265</v>
      </c>
      <c r="B464" s="8" t="s">
        <v>19</v>
      </c>
      <c r="C464" s="8" t="s">
        <v>20</v>
      </c>
      <c r="D464" s="8" t="s">
        <v>615</v>
      </c>
      <c r="E464" s="8" t="s">
        <v>40</v>
      </c>
      <c r="F464" s="8" t="s">
        <v>48</v>
      </c>
      <c r="G464" s="8" t="s">
        <v>31</v>
      </c>
      <c r="H464" s="8" t="s">
        <v>31</v>
      </c>
      <c r="I464" s="8" t="n">
        <f aca="false">IF(EXACT(G464,H464),1,0)</f>
        <v>1</v>
      </c>
      <c r="J464" s="8" t="n">
        <v>0</v>
      </c>
      <c r="K464" s="8" t="s">
        <v>116</v>
      </c>
      <c r="L464" s="8" t="n">
        <v>1</v>
      </c>
      <c r="M464" s="8" t="n">
        <v>0</v>
      </c>
      <c r="N464" s="8"/>
      <c r="O464" s="8" t="n">
        <v>1</v>
      </c>
      <c r="P464" s="10" t="n">
        <v>7.49</v>
      </c>
      <c r="Q464" s="8" t="n">
        <v>621</v>
      </c>
      <c r="R464" s="8" t="n">
        <v>363</v>
      </c>
      <c r="S464" s="8" t="s">
        <v>117</v>
      </c>
      <c r="T464" s="8" t="s">
        <v>256</v>
      </c>
      <c r="U464" s="8" t="s">
        <v>257</v>
      </c>
      <c r="V464" s="8"/>
      <c r="W464" s="8" t="s">
        <v>266</v>
      </c>
      <c r="X464" s="8" t="s">
        <v>578</v>
      </c>
      <c r="Y464" s="8" t="s">
        <v>2890</v>
      </c>
      <c r="Z464" s="8" t="s">
        <v>2891</v>
      </c>
    </row>
    <row r="465" customFormat="false" ht="15" hidden="false" customHeight="false" outlineLevel="0" collapsed="false">
      <c r="A465" s="8" t="s">
        <v>265</v>
      </c>
      <c r="B465" s="8" t="s">
        <v>19</v>
      </c>
      <c r="C465" s="8" t="s">
        <v>20</v>
      </c>
      <c r="D465" s="8" t="s">
        <v>615</v>
      </c>
      <c r="E465" s="8" t="s">
        <v>40</v>
      </c>
      <c r="F465" s="8" t="s">
        <v>48</v>
      </c>
      <c r="G465" s="8" t="s">
        <v>31</v>
      </c>
      <c r="H465" s="8" t="s">
        <v>31</v>
      </c>
      <c r="I465" s="8" t="n">
        <f aca="false">IF(EXACT(G465,H465),1,0)</f>
        <v>1</v>
      </c>
      <c r="J465" s="8" t="n">
        <v>1</v>
      </c>
      <c r="K465" s="8" t="s">
        <v>116</v>
      </c>
      <c r="L465" s="8" t="n">
        <v>1</v>
      </c>
      <c r="M465" s="8" t="n">
        <v>0</v>
      </c>
      <c r="N465" s="8"/>
      <c r="O465" s="8" t="n">
        <v>1</v>
      </c>
      <c r="P465" s="10" t="n">
        <v>7.51</v>
      </c>
      <c r="Q465" s="8" t="n">
        <v>621</v>
      </c>
      <c r="R465" s="8" t="n">
        <v>346</v>
      </c>
      <c r="S465" s="8" t="s">
        <v>117</v>
      </c>
      <c r="T465" s="8" t="s">
        <v>256</v>
      </c>
      <c r="U465" s="8" t="s">
        <v>257</v>
      </c>
      <c r="V465" s="8"/>
      <c r="W465" s="8" t="s">
        <v>266</v>
      </c>
      <c r="X465" s="8" t="s">
        <v>578</v>
      </c>
      <c r="Y465" s="8" t="s">
        <v>2892</v>
      </c>
      <c r="Z465" s="8" t="s">
        <v>2893</v>
      </c>
    </row>
    <row r="466" customFormat="false" ht="15" hidden="false" customHeight="false" outlineLevel="0" collapsed="false">
      <c r="A466" s="8" t="s">
        <v>265</v>
      </c>
      <c r="B466" s="8" t="s">
        <v>19</v>
      </c>
      <c r="C466" s="8" t="s">
        <v>20</v>
      </c>
      <c r="D466" s="8" t="s">
        <v>615</v>
      </c>
      <c r="E466" s="8" t="s">
        <v>40</v>
      </c>
      <c r="F466" s="8" t="s">
        <v>48</v>
      </c>
      <c r="G466" s="8" t="s">
        <v>31</v>
      </c>
      <c r="H466" s="8" t="s">
        <v>31</v>
      </c>
      <c r="I466" s="8" t="n">
        <f aca="false">IF(EXACT(G466,H466),1,0)</f>
        <v>1</v>
      </c>
      <c r="J466" s="8" t="n">
        <v>2</v>
      </c>
      <c r="K466" s="8" t="s">
        <v>116</v>
      </c>
      <c r="L466" s="8" t="n">
        <v>1</v>
      </c>
      <c r="M466" s="8" t="n">
        <v>0</v>
      </c>
      <c r="N466" s="8"/>
      <c r="O466" s="8" t="n">
        <v>1</v>
      </c>
      <c r="P466" s="10" t="n">
        <v>7.69</v>
      </c>
      <c r="Q466" s="8" t="n">
        <v>621</v>
      </c>
      <c r="R466" s="8" t="n">
        <v>383</v>
      </c>
      <c r="S466" s="8" t="s">
        <v>117</v>
      </c>
      <c r="T466" s="8" t="s">
        <v>256</v>
      </c>
      <c r="U466" s="8" t="s">
        <v>257</v>
      </c>
      <c r="V466" s="8"/>
      <c r="W466" s="8" t="s">
        <v>266</v>
      </c>
      <c r="X466" s="8" t="s">
        <v>578</v>
      </c>
      <c r="Y466" s="8" t="s">
        <v>2894</v>
      </c>
      <c r="Z466" s="8" t="s">
        <v>2895</v>
      </c>
    </row>
    <row r="467" customFormat="false" ht="15" hidden="false" customHeight="false" outlineLevel="0" collapsed="false">
      <c r="A467" s="8" t="s">
        <v>290</v>
      </c>
      <c r="B467" s="8" t="s">
        <v>19</v>
      </c>
      <c r="C467" s="8" t="s">
        <v>20</v>
      </c>
      <c r="D467" s="8" t="s">
        <v>615</v>
      </c>
      <c r="E467" s="8" t="s">
        <v>40</v>
      </c>
      <c r="F467" s="8" t="s">
        <v>51</v>
      </c>
      <c r="G467" s="8" t="s">
        <v>32</v>
      </c>
      <c r="H467" s="8" t="s">
        <v>31</v>
      </c>
      <c r="I467" s="8" t="n">
        <f aca="false">IF(EXACT(G467,H467),1,0)</f>
        <v>0</v>
      </c>
      <c r="J467" s="8" t="n">
        <v>0</v>
      </c>
      <c r="K467" s="8" t="s">
        <v>116</v>
      </c>
      <c r="L467" s="8" t="n">
        <v>3</v>
      </c>
      <c r="M467" s="8" t="n">
        <v>0</v>
      </c>
      <c r="N467" s="8"/>
      <c r="O467" s="8" t="n">
        <v>1</v>
      </c>
      <c r="P467" s="10" t="n">
        <v>12.8</v>
      </c>
      <c r="Q467" s="8" t="n">
        <v>646</v>
      </c>
      <c r="R467" s="8" t="n">
        <v>678</v>
      </c>
      <c r="S467" s="8" t="s">
        <v>101</v>
      </c>
      <c r="T467" s="8" t="s">
        <v>291</v>
      </c>
      <c r="U467" s="8" t="s">
        <v>292</v>
      </c>
      <c r="V467" s="8"/>
      <c r="W467" s="8" t="s">
        <v>293</v>
      </c>
      <c r="X467" s="8" t="s">
        <v>579</v>
      </c>
      <c r="Y467" s="8" t="s">
        <v>2896</v>
      </c>
      <c r="Z467" s="8" t="s">
        <v>2897</v>
      </c>
    </row>
    <row r="468" customFormat="false" ht="15" hidden="false" customHeight="false" outlineLevel="0" collapsed="false">
      <c r="A468" s="8" t="s">
        <v>290</v>
      </c>
      <c r="B468" s="8" t="s">
        <v>19</v>
      </c>
      <c r="C468" s="8" t="s">
        <v>20</v>
      </c>
      <c r="D468" s="8" t="s">
        <v>615</v>
      </c>
      <c r="E468" s="8" t="s">
        <v>40</v>
      </c>
      <c r="F468" s="8" t="s">
        <v>51</v>
      </c>
      <c r="G468" s="8" t="s">
        <v>32</v>
      </c>
      <c r="H468" s="8" t="s">
        <v>31</v>
      </c>
      <c r="I468" s="8" t="n">
        <f aca="false">IF(EXACT(G468,H468),1,0)</f>
        <v>0</v>
      </c>
      <c r="J468" s="8" t="n">
        <v>1</v>
      </c>
      <c r="K468" s="8" t="s">
        <v>116</v>
      </c>
      <c r="L468" s="8" t="n">
        <v>1</v>
      </c>
      <c r="M468" s="8" t="n">
        <v>0</v>
      </c>
      <c r="N468" s="8"/>
      <c r="O468" s="8" t="n">
        <v>1</v>
      </c>
      <c r="P468" s="10" t="n">
        <v>8.41</v>
      </c>
      <c r="Q468" s="8" t="n">
        <v>646</v>
      </c>
      <c r="R468" s="8" t="n">
        <v>440</v>
      </c>
      <c r="S468" s="8" t="s">
        <v>101</v>
      </c>
      <c r="T468" s="8" t="s">
        <v>291</v>
      </c>
      <c r="U468" s="8" t="s">
        <v>292</v>
      </c>
      <c r="V468" s="8"/>
      <c r="W468" s="8" t="s">
        <v>293</v>
      </c>
      <c r="X468" s="8" t="s">
        <v>579</v>
      </c>
      <c r="Y468" s="8" t="s">
        <v>2898</v>
      </c>
      <c r="Z468" s="8" t="s">
        <v>2899</v>
      </c>
    </row>
    <row r="469" customFormat="false" ht="15" hidden="false" customHeight="false" outlineLevel="0" collapsed="false">
      <c r="A469" s="8" t="s">
        <v>290</v>
      </c>
      <c r="B469" s="8" t="s">
        <v>19</v>
      </c>
      <c r="C469" s="8" t="s">
        <v>20</v>
      </c>
      <c r="D469" s="8" t="s">
        <v>615</v>
      </c>
      <c r="E469" s="8" t="s">
        <v>40</v>
      </c>
      <c r="F469" s="8" t="s">
        <v>51</v>
      </c>
      <c r="G469" s="8" t="s">
        <v>32</v>
      </c>
      <c r="H469" s="8" t="s">
        <v>31</v>
      </c>
      <c r="I469" s="8" t="n">
        <f aca="false">IF(EXACT(G469,H469),1,0)</f>
        <v>0</v>
      </c>
      <c r="J469" s="8" t="n">
        <v>2</v>
      </c>
      <c r="K469" s="8" t="s">
        <v>116</v>
      </c>
      <c r="L469" s="8" t="n">
        <v>3</v>
      </c>
      <c r="M469" s="8" t="n">
        <v>0</v>
      </c>
      <c r="N469" s="8"/>
      <c r="O469" s="8" t="n">
        <v>1</v>
      </c>
      <c r="P469" s="10" t="n">
        <v>13.46</v>
      </c>
      <c r="Q469" s="8" t="n">
        <v>646</v>
      </c>
      <c r="R469" s="8" t="n">
        <v>680</v>
      </c>
      <c r="S469" s="8" t="s">
        <v>101</v>
      </c>
      <c r="T469" s="8" t="s">
        <v>291</v>
      </c>
      <c r="U469" s="8" t="s">
        <v>292</v>
      </c>
      <c r="V469" s="8"/>
      <c r="W469" s="8" t="s">
        <v>293</v>
      </c>
      <c r="X469" s="8" t="s">
        <v>579</v>
      </c>
      <c r="Y469" s="8" t="s">
        <v>2900</v>
      </c>
      <c r="Z469" s="8" t="s">
        <v>2901</v>
      </c>
    </row>
    <row r="470" customFormat="false" ht="15" hidden="false" customHeight="false" outlineLevel="0" collapsed="false">
      <c r="A470" s="8" t="s">
        <v>295</v>
      </c>
      <c r="B470" s="8" t="s">
        <v>19</v>
      </c>
      <c r="C470" s="8" t="s">
        <v>20</v>
      </c>
      <c r="D470" s="8" t="s">
        <v>615</v>
      </c>
      <c r="E470" s="8" t="s">
        <v>40</v>
      </c>
      <c r="F470" s="8" t="s">
        <v>51</v>
      </c>
      <c r="G470" s="8" t="s">
        <v>30</v>
      </c>
      <c r="H470" s="8" t="s">
        <v>30</v>
      </c>
      <c r="I470" s="8" t="n">
        <f aca="false">IF(EXACT(G470,H470),1,0)</f>
        <v>1</v>
      </c>
      <c r="J470" s="8" t="n">
        <v>0</v>
      </c>
      <c r="K470" s="8" t="s">
        <v>92</v>
      </c>
      <c r="L470" s="8" t="n">
        <v>0</v>
      </c>
      <c r="M470" s="8" t="n">
        <v>0</v>
      </c>
      <c r="N470" s="8"/>
      <c r="O470" s="8" t="n">
        <v>1</v>
      </c>
      <c r="P470" s="10" t="n">
        <v>9.97</v>
      </c>
      <c r="Q470" s="8" t="n">
        <v>716</v>
      </c>
      <c r="R470" s="8" t="n">
        <v>413</v>
      </c>
      <c r="S470" s="8" t="s">
        <v>110</v>
      </c>
      <c r="T470" s="8" t="s">
        <v>291</v>
      </c>
      <c r="U470" s="8" t="s">
        <v>292</v>
      </c>
      <c r="V470" s="8"/>
      <c r="W470" s="8" t="s">
        <v>296</v>
      </c>
      <c r="X470" s="8" t="s">
        <v>580</v>
      </c>
      <c r="Y470" s="8" t="s">
        <v>2902</v>
      </c>
      <c r="Z470" s="8"/>
    </row>
    <row r="471" customFormat="false" ht="15" hidden="false" customHeight="false" outlineLevel="0" collapsed="false">
      <c r="A471" s="8" t="s">
        <v>295</v>
      </c>
      <c r="B471" s="8" t="s">
        <v>19</v>
      </c>
      <c r="C471" s="8" t="s">
        <v>20</v>
      </c>
      <c r="D471" s="8" t="s">
        <v>615</v>
      </c>
      <c r="E471" s="8" t="s">
        <v>40</v>
      </c>
      <c r="F471" s="8" t="s">
        <v>51</v>
      </c>
      <c r="G471" s="8" t="s">
        <v>30</v>
      </c>
      <c r="H471" s="8" t="s">
        <v>30</v>
      </c>
      <c r="I471" s="8" t="n">
        <f aca="false">IF(EXACT(G471,H471),1,0)</f>
        <v>1</v>
      </c>
      <c r="J471" s="8" t="n">
        <v>1</v>
      </c>
      <c r="K471" s="8" t="s">
        <v>92</v>
      </c>
      <c r="L471" s="8" t="n">
        <v>0</v>
      </c>
      <c r="M471" s="8" t="n">
        <v>0</v>
      </c>
      <c r="N471" s="8"/>
      <c r="O471" s="8" t="n">
        <v>1</v>
      </c>
      <c r="P471" s="10" t="n">
        <v>10.49</v>
      </c>
      <c r="Q471" s="8" t="n">
        <v>716</v>
      </c>
      <c r="R471" s="8" t="n">
        <v>471</v>
      </c>
      <c r="S471" s="8" t="s">
        <v>110</v>
      </c>
      <c r="T471" s="8" t="s">
        <v>291</v>
      </c>
      <c r="U471" s="8" t="s">
        <v>292</v>
      </c>
      <c r="V471" s="8"/>
      <c r="W471" s="8" t="s">
        <v>296</v>
      </c>
      <c r="X471" s="8" t="s">
        <v>580</v>
      </c>
      <c r="Y471" s="8" t="s">
        <v>2903</v>
      </c>
      <c r="Z471" s="8"/>
    </row>
    <row r="472" customFormat="false" ht="15" hidden="false" customHeight="false" outlineLevel="0" collapsed="false">
      <c r="A472" s="8" t="s">
        <v>295</v>
      </c>
      <c r="B472" s="8" t="s">
        <v>19</v>
      </c>
      <c r="C472" s="8" t="s">
        <v>20</v>
      </c>
      <c r="D472" s="8" t="s">
        <v>615</v>
      </c>
      <c r="E472" s="8" t="s">
        <v>40</v>
      </c>
      <c r="F472" s="8" t="s">
        <v>51</v>
      </c>
      <c r="G472" s="8" t="s">
        <v>30</v>
      </c>
      <c r="H472" s="8" t="s">
        <v>30</v>
      </c>
      <c r="I472" s="8" t="n">
        <f aca="false">IF(EXACT(G472,H472),1,0)</f>
        <v>1</v>
      </c>
      <c r="J472" s="8" t="n">
        <v>2</v>
      </c>
      <c r="K472" s="8" t="s">
        <v>92</v>
      </c>
      <c r="L472" s="8" t="n">
        <v>0</v>
      </c>
      <c r="M472" s="8" t="n">
        <v>0</v>
      </c>
      <c r="N472" s="8"/>
      <c r="O472" s="8" t="n">
        <v>1</v>
      </c>
      <c r="P472" s="10" t="n">
        <v>7.55</v>
      </c>
      <c r="Q472" s="8" t="n">
        <v>716</v>
      </c>
      <c r="R472" s="8" t="n">
        <v>357</v>
      </c>
      <c r="S472" s="8" t="s">
        <v>110</v>
      </c>
      <c r="T472" s="8" t="s">
        <v>291</v>
      </c>
      <c r="U472" s="8" t="s">
        <v>292</v>
      </c>
      <c r="V472" s="8"/>
      <c r="W472" s="8" t="s">
        <v>296</v>
      </c>
      <c r="X472" s="8" t="s">
        <v>580</v>
      </c>
      <c r="Y472" s="8" t="s">
        <v>2904</v>
      </c>
      <c r="Z472" s="8"/>
    </row>
    <row r="473" customFormat="false" ht="15" hidden="false" customHeight="false" outlineLevel="0" collapsed="false">
      <c r="A473" s="8" t="s">
        <v>298</v>
      </c>
      <c r="B473" s="8" t="s">
        <v>19</v>
      </c>
      <c r="C473" s="8" t="s">
        <v>20</v>
      </c>
      <c r="D473" s="8" t="s">
        <v>615</v>
      </c>
      <c r="E473" s="8" t="s">
        <v>40</v>
      </c>
      <c r="F473" s="8" t="s">
        <v>51</v>
      </c>
      <c r="G473" s="8" t="s">
        <v>30</v>
      </c>
      <c r="H473" s="8" t="s">
        <v>31</v>
      </c>
      <c r="I473" s="8" t="n">
        <f aca="false">IF(EXACT(G473,H473),1,0)</f>
        <v>0</v>
      </c>
      <c r="J473" s="8" t="n">
        <v>0</v>
      </c>
      <c r="K473" s="8" t="s">
        <v>116</v>
      </c>
      <c r="L473" s="8" t="n">
        <v>5</v>
      </c>
      <c r="M473" s="8" t="n">
        <v>0</v>
      </c>
      <c r="N473" s="8"/>
      <c r="O473" s="8" t="n">
        <v>1</v>
      </c>
      <c r="P473" s="10" t="n">
        <v>19.03</v>
      </c>
      <c r="Q473" s="8" t="n">
        <v>710</v>
      </c>
      <c r="R473" s="8" t="n">
        <v>997</v>
      </c>
      <c r="S473" s="8" t="s">
        <v>150</v>
      </c>
      <c r="T473" s="8" t="s">
        <v>291</v>
      </c>
      <c r="U473" s="8" t="s">
        <v>292</v>
      </c>
      <c r="V473" s="8"/>
      <c r="W473" s="8" t="s">
        <v>299</v>
      </c>
      <c r="X473" s="8" t="s">
        <v>581</v>
      </c>
      <c r="Y473" s="8" t="s">
        <v>2905</v>
      </c>
      <c r="Z473" s="8" t="s">
        <v>2906</v>
      </c>
    </row>
    <row r="474" customFormat="false" ht="15" hidden="false" customHeight="false" outlineLevel="0" collapsed="false">
      <c r="A474" s="8" t="s">
        <v>298</v>
      </c>
      <c r="B474" s="8" t="s">
        <v>19</v>
      </c>
      <c r="C474" s="8" t="s">
        <v>20</v>
      </c>
      <c r="D474" s="8" t="s">
        <v>615</v>
      </c>
      <c r="E474" s="8" t="s">
        <v>40</v>
      </c>
      <c r="F474" s="8" t="s">
        <v>51</v>
      </c>
      <c r="G474" s="8" t="s">
        <v>30</v>
      </c>
      <c r="H474" s="8" t="s">
        <v>31</v>
      </c>
      <c r="I474" s="8" t="n">
        <f aca="false">IF(EXACT(G474,H474),1,0)</f>
        <v>0</v>
      </c>
      <c r="J474" s="8" t="n">
        <v>1</v>
      </c>
      <c r="K474" s="8" t="s">
        <v>116</v>
      </c>
      <c r="L474" s="8" t="n">
        <v>4</v>
      </c>
      <c r="M474" s="8" t="n">
        <v>0</v>
      </c>
      <c r="N474" s="8"/>
      <c r="O474" s="8" t="n">
        <v>1</v>
      </c>
      <c r="P474" s="10" t="n">
        <v>16.98</v>
      </c>
      <c r="Q474" s="8" t="n">
        <v>710</v>
      </c>
      <c r="R474" s="8" t="n">
        <v>865</v>
      </c>
      <c r="S474" s="8" t="s">
        <v>150</v>
      </c>
      <c r="T474" s="8" t="s">
        <v>291</v>
      </c>
      <c r="U474" s="8" t="s">
        <v>292</v>
      </c>
      <c r="V474" s="8"/>
      <c r="W474" s="8" t="s">
        <v>299</v>
      </c>
      <c r="X474" s="8" t="s">
        <v>581</v>
      </c>
      <c r="Y474" s="8" t="s">
        <v>2907</v>
      </c>
      <c r="Z474" s="8" t="s">
        <v>2908</v>
      </c>
    </row>
    <row r="475" customFormat="false" ht="15" hidden="false" customHeight="false" outlineLevel="0" collapsed="false">
      <c r="A475" s="8" t="s">
        <v>298</v>
      </c>
      <c r="B475" s="8" t="s">
        <v>19</v>
      </c>
      <c r="C475" s="8" t="s">
        <v>20</v>
      </c>
      <c r="D475" s="8" t="s">
        <v>615</v>
      </c>
      <c r="E475" s="8" t="s">
        <v>40</v>
      </c>
      <c r="F475" s="8" t="s">
        <v>51</v>
      </c>
      <c r="G475" s="8" t="s">
        <v>30</v>
      </c>
      <c r="H475" s="8" t="s">
        <v>31</v>
      </c>
      <c r="I475" s="8" t="n">
        <f aca="false">IF(EXACT(G475,H475),1,0)</f>
        <v>0</v>
      </c>
      <c r="J475" s="8" t="n">
        <v>2</v>
      </c>
      <c r="K475" s="8" t="s">
        <v>116</v>
      </c>
      <c r="L475" s="8" t="n">
        <v>5</v>
      </c>
      <c r="M475" s="8" t="n">
        <v>0</v>
      </c>
      <c r="N475" s="8"/>
      <c r="O475" s="8" t="n">
        <v>1</v>
      </c>
      <c r="P475" s="10" t="n">
        <v>25.21</v>
      </c>
      <c r="Q475" s="8" t="n">
        <v>710</v>
      </c>
      <c r="R475" s="8" t="n">
        <v>1155</v>
      </c>
      <c r="S475" s="8" t="s">
        <v>150</v>
      </c>
      <c r="T475" s="8" t="s">
        <v>291</v>
      </c>
      <c r="U475" s="8" t="s">
        <v>292</v>
      </c>
      <c r="V475" s="8"/>
      <c r="W475" s="8" t="s">
        <v>299</v>
      </c>
      <c r="X475" s="8" t="s">
        <v>581</v>
      </c>
      <c r="Y475" s="8" t="s">
        <v>2909</v>
      </c>
      <c r="Z475" s="8" t="s">
        <v>2910</v>
      </c>
    </row>
    <row r="476" customFormat="false" ht="15" hidden="false" customHeight="false" outlineLevel="0" collapsed="false">
      <c r="A476" s="8" t="s">
        <v>301</v>
      </c>
      <c r="B476" s="8" t="s">
        <v>19</v>
      </c>
      <c r="C476" s="8" t="s">
        <v>20</v>
      </c>
      <c r="D476" s="8" t="s">
        <v>615</v>
      </c>
      <c r="E476" s="8" t="s">
        <v>40</v>
      </c>
      <c r="F476" s="8" t="s">
        <v>51</v>
      </c>
      <c r="G476" s="8" t="s">
        <v>32</v>
      </c>
      <c r="H476" s="8" t="s">
        <v>32</v>
      </c>
      <c r="I476" s="8" t="n">
        <f aca="false">IF(EXACT(G476,H476),1,0)</f>
        <v>1</v>
      </c>
      <c r="J476" s="8" t="n">
        <v>0</v>
      </c>
      <c r="K476" s="8" t="s">
        <v>92</v>
      </c>
      <c r="L476" s="8" t="n">
        <v>0</v>
      </c>
      <c r="M476" s="8" t="n">
        <v>0</v>
      </c>
      <c r="N476" s="8"/>
      <c r="O476" s="8" t="n">
        <v>1</v>
      </c>
      <c r="P476" s="10" t="n">
        <v>7.96</v>
      </c>
      <c r="Q476" s="8" t="n">
        <v>672</v>
      </c>
      <c r="R476" s="8" t="n">
        <v>362</v>
      </c>
      <c r="S476" s="8" t="s">
        <v>132</v>
      </c>
      <c r="T476" s="8" t="s">
        <v>291</v>
      </c>
      <c r="U476" s="8" t="s">
        <v>292</v>
      </c>
      <c r="V476" s="8"/>
      <c r="W476" s="8" t="s">
        <v>302</v>
      </c>
      <c r="X476" s="8" t="s">
        <v>582</v>
      </c>
      <c r="Y476" s="8" t="s">
        <v>2911</v>
      </c>
      <c r="Z476" s="8"/>
    </row>
    <row r="477" customFormat="false" ht="15" hidden="false" customHeight="false" outlineLevel="0" collapsed="false">
      <c r="A477" s="8" t="s">
        <v>301</v>
      </c>
      <c r="B477" s="8" t="s">
        <v>19</v>
      </c>
      <c r="C477" s="8" t="s">
        <v>20</v>
      </c>
      <c r="D477" s="8" t="s">
        <v>615</v>
      </c>
      <c r="E477" s="8" t="s">
        <v>40</v>
      </c>
      <c r="F477" s="8" t="s">
        <v>51</v>
      </c>
      <c r="G477" s="8" t="s">
        <v>32</v>
      </c>
      <c r="H477" s="8" t="s">
        <v>32</v>
      </c>
      <c r="I477" s="8" t="n">
        <f aca="false">IF(EXACT(G477,H477),1,0)</f>
        <v>1</v>
      </c>
      <c r="J477" s="8" t="n">
        <v>1</v>
      </c>
      <c r="K477" s="8" t="s">
        <v>92</v>
      </c>
      <c r="L477" s="8" t="n">
        <v>0</v>
      </c>
      <c r="M477" s="8" t="n">
        <v>0</v>
      </c>
      <c r="N477" s="8"/>
      <c r="O477" s="8" t="n">
        <v>1</v>
      </c>
      <c r="P477" s="10" t="n">
        <v>6.85</v>
      </c>
      <c r="Q477" s="8" t="n">
        <v>672</v>
      </c>
      <c r="R477" s="8" t="n">
        <v>340</v>
      </c>
      <c r="S477" s="8" t="s">
        <v>132</v>
      </c>
      <c r="T477" s="8" t="s">
        <v>291</v>
      </c>
      <c r="U477" s="8" t="s">
        <v>292</v>
      </c>
      <c r="V477" s="8"/>
      <c r="W477" s="8" t="s">
        <v>302</v>
      </c>
      <c r="X477" s="8" t="s">
        <v>582</v>
      </c>
      <c r="Y477" s="8" t="s">
        <v>2912</v>
      </c>
      <c r="Z477" s="8"/>
    </row>
    <row r="478" customFormat="false" ht="15" hidden="false" customHeight="false" outlineLevel="0" collapsed="false">
      <c r="A478" s="8" t="s">
        <v>301</v>
      </c>
      <c r="B478" s="8" t="s">
        <v>19</v>
      </c>
      <c r="C478" s="8" t="s">
        <v>20</v>
      </c>
      <c r="D478" s="8" t="s">
        <v>615</v>
      </c>
      <c r="E478" s="8" t="s">
        <v>40</v>
      </c>
      <c r="F478" s="8" t="s">
        <v>51</v>
      </c>
      <c r="G478" s="8" t="s">
        <v>32</v>
      </c>
      <c r="H478" s="8" t="s">
        <v>32</v>
      </c>
      <c r="I478" s="8" t="n">
        <f aca="false">IF(EXACT(G478,H478),1,0)</f>
        <v>1</v>
      </c>
      <c r="J478" s="8" t="n">
        <v>2</v>
      </c>
      <c r="K478" s="8" t="s">
        <v>92</v>
      </c>
      <c r="L478" s="8" t="n">
        <v>0</v>
      </c>
      <c r="M478" s="8" t="n">
        <v>0</v>
      </c>
      <c r="N478" s="8"/>
      <c r="O478" s="8" t="n">
        <v>1</v>
      </c>
      <c r="P478" s="10" t="n">
        <v>8.16</v>
      </c>
      <c r="Q478" s="8" t="n">
        <v>672</v>
      </c>
      <c r="R478" s="8" t="n">
        <v>365</v>
      </c>
      <c r="S478" s="8" t="s">
        <v>132</v>
      </c>
      <c r="T478" s="8" t="s">
        <v>291</v>
      </c>
      <c r="U478" s="8" t="s">
        <v>292</v>
      </c>
      <c r="V478" s="8"/>
      <c r="W478" s="8" t="s">
        <v>302</v>
      </c>
      <c r="X478" s="8" t="s">
        <v>582</v>
      </c>
      <c r="Y478" s="8" t="s">
        <v>2913</v>
      </c>
      <c r="Z478" s="8"/>
    </row>
    <row r="479" customFormat="false" ht="15" hidden="false" customHeight="false" outlineLevel="0" collapsed="false">
      <c r="A479" s="8" t="s">
        <v>304</v>
      </c>
      <c r="B479" s="8" t="s">
        <v>19</v>
      </c>
      <c r="C479" s="8" t="s">
        <v>20</v>
      </c>
      <c r="D479" s="8" t="s">
        <v>615</v>
      </c>
      <c r="E479" s="8" t="s">
        <v>40</v>
      </c>
      <c r="F479" s="8" t="s">
        <v>51</v>
      </c>
      <c r="G479" s="8" t="s">
        <v>31</v>
      </c>
      <c r="H479" s="8" t="s">
        <v>31</v>
      </c>
      <c r="I479" s="8" t="n">
        <f aca="false">IF(EXACT(G479,H479),1,0)</f>
        <v>1</v>
      </c>
      <c r="J479" s="8" t="n">
        <v>0</v>
      </c>
      <c r="K479" s="8" t="s">
        <v>116</v>
      </c>
      <c r="L479" s="8" t="n">
        <v>2</v>
      </c>
      <c r="M479" s="8" t="n">
        <v>0</v>
      </c>
      <c r="N479" s="8"/>
      <c r="O479" s="8" t="n">
        <v>1</v>
      </c>
      <c r="P479" s="10" t="n">
        <v>10.19</v>
      </c>
      <c r="Q479" s="8" t="n">
        <v>689</v>
      </c>
      <c r="R479" s="8" t="n">
        <v>551</v>
      </c>
      <c r="S479" s="8" t="s">
        <v>117</v>
      </c>
      <c r="T479" s="8" t="s">
        <v>291</v>
      </c>
      <c r="U479" s="8" t="s">
        <v>292</v>
      </c>
      <c r="V479" s="8"/>
      <c r="W479" s="8" t="s">
        <v>305</v>
      </c>
      <c r="X479" s="8" t="s">
        <v>583</v>
      </c>
      <c r="Y479" s="8" t="s">
        <v>2914</v>
      </c>
      <c r="Z479" s="8" t="s">
        <v>2915</v>
      </c>
    </row>
    <row r="480" customFormat="false" ht="15" hidden="false" customHeight="false" outlineLevel="0" collapsed="false">
      <c r="A480" s="8" t="s">
        <v>304</v>
      </c>
      <c r="B480" s="8" t="s">
        <v>19</v>
      </c>
      <c r="C480" s="8" t="s">
        <v>20</v>
      </c>
      <c r="D480" s="8" t="s">
        <v>615</v>
      </c>
      <c r="E480" s="8" t="s">
        <v>40</v>
      </c>
      <c r="F480" s="8" t="s">
        <v>51</v>
      </c>
      <c r="G480" s="8" t="s">
        <v>31</v>
      </c>
      <c r="H480" s="8" t="s">
        <v>31</v>
      </c>
      <c r="I480" s="8" t="n">
        <f aca="false">IF(EXACT(G480,H480),1,0)</f>
        <v>1</v>
      </c>
      <c r="J480" s="8" t="n">
        <v>1</v>
      </c>
      <c r="K480" s="8" t="s">
        <v>116</v>
      </c>
      <c r="L480" s="8" t="n">
        <v>1</v>
      </c>
      <c r="M480" s="8" t="n">
        <v>0</v>
      </c>
      <c r="N480" s="8"/>
      <c r="O480" s="8" t="n">
        <v>1</v>
      </c>
      <c r="P480" s="10" t="n">
        <v>9.39</v>
      </c>
      <c r="Q480" s="8" t="n">
        <v>689</v>
      </c>
      <c r="R480" s="8" t="n">
        <v>429</v>
      </c>
      <c r="S480" s="8" t="s">
        <v>117</v>
      </c>
      <c r="T480" s="8" t="s">
        <v>291</v>
      </c>
      <c r="U480" s="8" t="s">
        <v>292</v>
      </c>
      <c r="V480" s="8"/>
      <c r="W480" s="8" t="s">
        <v>305</v>
      </c>
      <c r="X480" s="8" t="s">
        <v>583</v>
      </c>
      <c r="Y480" s="8" t="s">
        <v>2916</v>
      </c>
      <c r="Z480" s="8" t="s">
        <v>2917</v>
      </c>
    </row>
    <row r="481" customFormat="false" ht="15" hidden="false" customHeight="false" outlineLevel="0" collapsed="false">
      <c r="A481" s="8" t="s">
        <v>304</v>
      </c>
      <c r="B481" s="8" t="s">
        <v>19</v>
      </c>
      <c r="C481" s="8" t="s">
        <v>20</v>
      </c>
      <c r="D481" s="8" t="s">
        <v>615</v>
      </c>
      <c r="E481" s="8" t="s">
        <v>40</v>
      </c>
      <c r="F481" s="8" t="s">
        <v>51</v>
      </c>
      <c r="G481" s="8" t="s">
        <v>31</v>
      </c>
      <c r="H481" s="8" t="s">
        <v>31</v>
      </c>
      <c r="I481" s="8" t="n">
        <f aca="false">IF(EXACT(G481,H481),1,0)</f>
        <v>1</v>
      </c>
      <c r="J481" s="8" t="n">
        <v>2</v>
      </c>
      <c r="K481" s="8" t="s">
        <v>116</v>
      </c>
      <c r="L481" s="8" t="n">
        <v>1</v>
      </c>
      <c r="M481" s="8" t="n">
        <v>0</v>
      </c>
      <c r="N481" s="8"/>
      <c r="O481" s="8" t="n">
        <v>1</v>
      </c>
      <c r="P481" s="10" t="n">
        <v>7.61</v>
      </c>
      <c r="Q481" s="8" t="n">
        <v>689</v>
      </c>
      <c r="R481" s="8" t="n">
        <v>338</v>
      </c>
      <c r="S481" s="8" t="s">
        <v>117</v>
      </c>
      <c r="T481" s="8" t="s">
        <v>291</v>
      </c>
      <c r="U481" s="8" t="s">
        <v>292</v>
      </c>
      <c r="V481" s="8"/>
      <c r="W481" s="8" t="s">
        <v>305</v>
      </c>
      <c r="X481" s="8" t="s">
        <v>583</v>
      </c>
      <c r="Y481" s="8" t="s">
        <v>2918</v>
      </c>
      <c r="Z481" s="8" t="s">
        <v>2919</v>
      </c>
    </row>
    <row r="482" customFormat="false" ht="15" hidden="false" customHeight="false" outlineLevel="0" collapsed="false">
      <c r="A482" s="8" t="s">
        <v>307</v>
      </c>
      <c r="B482" s="8" t="s">
        <v>19</v>
      </c>
      <c r="C482" s="8" t="s">
        <v>20</v>
      </c>
      <c r="D482" s="8" t="s">
        <v>615</v>
      </c>
      <c r="E482" s="8" t="s">
        <v>40</v>
      </c>
      <c r="F482" s="8" t="s">
        <v>51</v>
      </c>
      <c r="G482" s="8" t="s">
        <v>31</v>
      </c>
      <c r="H482" s="8" t="s">
        <v>31</v>
      </c>
      <c r="I482" s="8" t="n">
        <f aca="false">IF(EXACT(G482,H482),1,0)</f>
        <v>1</v>
      </c>
      <c r="J482" s="8" t="n">
        <v>0</v>
      </c>
      <c r="K482" s="8" t="s">
        <v>116</v>
      </c>
      <c r="L482" s="8" t="n">
        <v>1</v>
      </c>
      <c r="M482" s="8" t="n">
        <v>0</v>
      </c>
      <c r="N482" s="8"/>
      <c r="O482" s="8" t="n">
        <v>1</v>
      </c>
      <c r="P482" s="10" t="n">
        <v>7.54</v>
      </c>
      <c r="Q482" s="8" t="n">
        <v>633</v>
      </c>
      <c r="R482" s="8" t="n">
        <v>365</v>
      </c>
      <c r="S482" s="8" t="s">
        <v>308</v>
      </c>
      <c r="T482" s="8"/>
      <c r="U482" s="8"/>
      <c r="V482" s="8" t="s">
        <v>309</v>
      </c>
      <c r="W482" s="8"/>
      <c r="X482" s="8" t="s">
        <v>584</v>
      </c>
      <c r="Y482" s="8" t="s">
        <v>2920</v>
      </c>
      <c r="Z482" s="8" t="s">
        <v>2921</v>
      </c>
    </row>
    <row r="483" customFormat="false" ht="15" hidden="false" customHeight="false" outlineLevel="0" collapsed="false">
      <c r="A483" s="8" t="s">
        <v>307</v>
      </c>
      <c r="B483" s="8" t="s">
        <v>19</v>
      </c>
      <c r="C483" s="8" t="s">
        <v>20</v>
      </c>
      <c r="D483" s="8" t="s">
        <v>615</v>
      </c>
      <c r="E483" s="8" t="s">
        <v>40</v>
      </c>
      <c r="F483" s="8" t="s">
        <v>51</v>
      </c>
      <c r="G483" s="8" t="s">
        <v>31</v>
      </c>
      <c r="H483" s="8" t="s">
        <v>31</v>
      </c>
      <c r="I483" s="8" t="n">
        <f aca="false">IF(EXACT(G483,H483),1,0)</f>
        <v>1</v>
      </c>
      <c r="J483" s="8" t="n">
        <v>1</v>
      </c>
      <c r="K483" s="8" t="s">
        <v>116</v>
      </c>
      <c r="L483" s="8" t="n">
        <v>1</v>
      </c>
      <c r="M483" s="8" t="n">
        <v>0</v>
      </c>
      <c r="N483" s="8"/>
      <c r="O483" s="8" t="n">
        <v>1</v>
      </c>
      <c r="P483" s="10" t="n">
        <v>6.54</v>
      </c>
      <c r="Q483" s="8" t="n">
        <v>633</v>
      </c>
      <c r="R483" s="8" t="n">
        <v>349</v>
      </c>
      <c r="S483" s="8" t="s">
        <v>308</v>
      </c>
      <c r="T483" s="8"/>
      <c r="U483" s="8"/>
      <c r="V483" s="8" t="s">
        <v>309</v>
      </c>
      <c r="W483" s="8"/>
      <c r="X483" s="8" t="s">
        <v>584</v>
      </c>
      <c r="Y483" s="8" t="s">
        <v>2922</v>
      </c>
      <c r="Z483" s="8" t="s">
        <v>2448</v>
      </c>
    </row>
    <row r="484" customFormat="false" ht="15" hidden="false" customHeight="false" outlineLevel="0" collapsed="false">
      <c r="A484" s="8" t="s">
        <v>307</v>
      </c>
      <c r="B484" s="8" t="s">
        <v>19</v>
      </c>
      <c r="C484" s="8" t="s">
        <v>20</v>
      </c>
      <c r="D484" s="8" t="s">
        <v>615</v>
      </c>
      <c r="E484" s="8" t="s">
        <v>40</v>
      </c>
      <c r="F484" s="8" t="s">
        <v>51</v>
      </c>
      <c r="G484" s="8" t="s">
        <v>31</v>
      </c>
      <c r="H484" s="8" t="s">
        <v>31</v>
      </c>
      <c r="I484" s="8" t="n">
        <f aca="false">IF(EXACT(G484,H484),1,0)</f>
        <v>1</v>
      </c>
      <c r="J484" s="8" t="n">
        <v>2</v>
      </c>
      <c r="K484" s="8" t="s">
        <v>116</v>
      </c>
      <c r="L484" s="8" t="n">
        <v>1</v>
      </c>
      <c r="M484" s="8" t="n">
        <v>0</v>
      </c>
      <c r="N484" s="8"/>
      <c r="O484" s="8" t="n">
        <v>1</v>
      </c>
      <c r="P484" s="10" t="n">
        <v>6.73</v>
      </c>
      <c r="Q484" s="8" t="n">
        <v>633</v>
      </c>
      <c r="R484" s="8" t="n">
        <v>351</v>
      </c>
      <c r="S484" s="8" t="s">
        <v>308</v>
      </c>
      <c r="T484" s="8"/>
      <c r="U484" s="8"/>
      <c r="V484" s="8" t="s">
        <v>309</v>
      </c>
      <c r="W484" s="8"/>
      <c r="X484" s="8" t="s">
        <v>584</v>
      </c>
      <c r="Y484" s="8" t="s">
        <v>2923</v>
      </c>
      <c r="Z484" s="8" t="s">
        <v>2924</v>
      </c>
    </row>
    <row r="485" customFormat="false" ht="15" hidden="false" customHeight="false" outlineLevel="0" collapsed="false">
      <c r="A485" s="8" t="s">
        <v>585</v>
      </c>
      <c r="B485" s="8" t="s">
        <v>19</v>
      </c>
      <c r="C485" s="8" t="s">
        <v>20</v>
      </c>
      <c r="D485" s="8" t="s">
        <v>615</v>
      </c>
      <c r="E485" s="8" t="s">
        <v>40</v>
      </c>
      <c r="F485" s="8" t="s">
        <v>54</v>
      </c>
      <c r="G485" s="8" t="s">
        <v>31</v>
      </c>
      <c r="H485" s="8" t="s">
        <v>31</v>
      </c>
      <c r="I485" s="8" t="n">
        <f aca="false">IF(EXACT(G485,H485),1,0)</f>
        <v>1</v>
      </c>
      <c r="J485" s="8" t="n">
        <v>0</v>
      </c>
      <c r="K485" s="8" t="s">
        <v>116</v>
      </c>
      <c r="L485" s="8" t="n">
        <v>1</v>
      </c>
      <c r="M485" s="8" t="n">
        <v>0</v>
      </c>
      <c r="N485" s="8"/>
      <c r="O485" s="8" t="n">
        <v>1</v>
      </c>
      <c r="P485" s="10" t="n">
        <v>8.19</v>
      </c>
      <c r="Q485" s="8" t="n">
        <v>729</v>
      </c>
      <c r="R485" s="8" t="n">
        <v>420</v>
      </c>
      <c r="S485" s="8" t="s">
        <v>586</v>
      </c>
      <c r="T485" s="8"/>
      <c r="U485" s="8"/>
      <c r="V485" s="8" t="s">
        <v>155</v>
      </c>
      <c r="W485" s="8"/>
      <c r="X485" s="8" t="s">
        <v>587</v>
      </c>
      <c r="Y485" s="8" t="s">
        <v>2925</v>
      </c>
      <c r="Z485" s="8" t="s">
        <v>2926</v>
      </c>
    </row>
    <row r="486" customFormat="false" ht="15" hidden="false" customHeight="false" outlineLevel="0" collapsed="false">
      <c r="A486" s="8" t="s">
        <v>585</v>
      </c>
      <c r="B486" s="8" t="s">
        <v>19</v>
      </c>
      <c r="C486" s="8" t="s">
        <v>20</v>
      </c>
      <c r="D486" s="8" t="s">
        <v>615</v>
      </c>
      <c r="E486" s="8" t="s">
        <v>40</v>
      </c>
      <c r="F486" s="8" t="s">
        <v>54</v>
      </c>
      <c r="G486" s="8" t="s">
        <v>31</v>
      </c>
      <c r="H486" s="8" t="s">
        <v>31</v>
      </c>
      <c r="I486" s="8" t="n">
        <f aca="false">IF(EXACT(G486,H486),1,0)</f>
        <v>1</v>
      </c>
      <c r="J486" s="8" t="n">
        <v>1</v>
      </c>
      <c r="K486" s="8" t="s">
        <v>116</v>
      </c>
      <c r="L486" s="8" t="n">
        <v>1</v>
      </c>
      <c r="M486" s="8" t="n">
        <v>0</v>
      </c>
      <c r="N486" s="8"/>
      <c r="O486" s="8" t="n">
        <v>1</v>
      </c>
      <c r="P486" s="10" t="n">
        <v>7.63</v>
      </c>
      <c r="Q486" s="8" t="n">
        <v>729</v>
      </c>
      <c r="R486" s="8" t="n">
        <v>404</v>
      </c>
      <c r="S486" s="8" t="s">
        <v>586</v>
      </c>
      <c r="T486" s="8"/>
      <c r="U486" s="8"/>
      <c r="V486" s="8" t="s">
        <v>155</v>
      </c>
      <c r="W486" s="8"/>
      <c r="X486" s="8" t="s">
        <v>587</v>
      </c>
      <c r="Y486" s="8" t="s">
        <v>2927</v>
      </c>
      <c r="Z486" s="8" t="s">
        <v>2928</v>
      </c>
    </row>
    <row r="487" customFormat="false" ht="15" hidden="false" customHeight="false" outlineLevel="0" collapsed="false">
      <c r="A487" s="8" t="s">
        <v>585</v>
      </c>
      <c r="B487" s="8" t="s">
        <v>19</v>
      </c>
      <c r="C487" s="8" t="s">
        <v>20</v>
      </c>
      <c r="D487" s="8" t="s">
        <v>615</v>
      </c>
      <c r="E487" s="8" t="s">
        <v>40</v>
      </c>
      <c r="F487" s="8" t="s">
        <v>54</v>
      </c>
      <c r="G487" s="8" t="s">
        <v>31</v>
      </c>
      <c r="H487" s="8" t="s">
        <v>31</v>
      </c>
      <c r="I487" s="8" t="n">
        <f aca="false">IF(EXACT(G487,H487),1,0)</f>
        <v>1</v>
      </c>
      <c r="J487" s="8" t="n">
        <v>2</v>
      </c>
      <c r="K487" s="8" t="s">
        <v>116</v>
      </c>
      <c r="L487" s="8" t="n">
        <v>2</v>
      </c>
      <c r="M487" s="8" t="n">
        <v>0</v>
      </c>
      <c r="N487" s="8"/>
      <c r="O487" s="8" t="n">
        <v>1</v>
      </c>
      <c r="P487" s="10" t="n">
        <v>12.5</v>
      </c>
      <c r="Q487" s="8" t="n">
        <v>729</v>
      </c>
      <c r="R487" s="8" t="n">
        <v>620</v>
      </c>
      <c r="S487" s="8" t="s">
        <v>586</v>
      </c>
      <c r="T487" s="8"/>
      <c r="U487" s="8"/>
      <c r="V487" s="8" t="s">
        <v>155</v>
      </c>
      <c r="W487" s="8"/>
      <c r="X487" s="8" t="s">
        <v>587</v>
      </c>
      <c r="Y487" s="8" t="s">
        <v>2929</v>
      </c>
      <c r="Z487" s="8" t="s">
        <v>2930</v>
      </c>
    </row>
    <row r="488" customFormat="false" ht="15" hidden="false" customHeight="false" outlineLevel="0" collapsed="false">
      <c r="A488" s="8" t="s">
        <v>588</v>
      </c>
      <c r="B488" s="8" t="s">
        <v>19</v>
      </c>
      <c r="C488" s="8" t="s">
        <v>20</v>
      </c>
      <c r="D488" s="8" t="s">
        <v>615</v>
      </c>
      <c r="E488" s="8" t="s">
        <v>40</v>
      </c>
      <c r="F488" s="8" t="s">
        <v>54</v>
      </c>
      <c r="G488" s="8" t="s">
        <v>31</v>
      </c>
      <c r="H488" s="8" t="s">
        <v>31</v>
      </c>
      <c r="I488" s="8" t="n">
        <f aca="false">IF(EXACT(G488,H488),1,0)</f>
        <v>1</v>
      </c>
      <c r="J488" s="8" t="n">
        <v>0</v>
      </c>
      <c r="K488" s="8" t="s">
        <v>116</v>
      </c>
      <c r="L488" s="8" t="n">
        <v>1</v>
      </c>
      <c r="M488" s="8" t="n">
        <v>0</v>
      </c>
      <c r="N488" s="8"/>
      <c r="O488" s="8" t="n">
        <v>1</v>
      </c>
      <c r="P488" s="10" t="n">
        <v>9.37</v>
      </c>
      <c r="Q488" s="8" t="n">
        <v>694</v>
      </c>
      <c r="R488" s="8" t="n">
        <v>468</v>
      </c>
      <c r="S488" s="8" t="s">
        <v>589</v>
      </c>
      <c r="T488" s="8"/>
      <c r="U488" s="8"/>
      <c r="V488" s="8" t="s">
        <v>155</v>
      </c>
      <c r="W488" s="8"/>
      <c r="X488" s="8" t="s">
        <v>590</v>
      </c>
      <c r="Y488" s="8" t="s">
        <v>2931</v>
      </c>
      <c r="Z488" s="8" t="s">
        <v>2932</v>
      </c>
    </row>
    <row r="489" customFormat="false" ht="15" hidden="false" customHeight="false" outlineLevel="0" collapsed="false">
      <c r="A489" s="8" t="s">
        <v>588</v>
      </c>
      <c r="B489" s="8" t="s">
        <v>19</v>
      </c>
      <c r="C489" s="8" t="s">
        <v>20</v>
      </c>
      <c r="D489" s="8" t="s">
        <v>615</v>
      </c>
      <c r="E489" s="8" t="s">
        <v>40</v>
      </c>
      <c r="F489" s="8" t="s">
        <v>54</v>
      </c>
      <c r="G489" s="8" t="s">
        <v>31</v>
      </c>
      <c r="H489" s="8" t="s">
        <v>31</v>
      </c>
      <c r="I489" s="8" t="n">
        <f aca="false">IF(EXACT(G489,H489),1,0)</f>
        <v>1</v>
      </c>
      <c r="J489" s="8" t="n">
        <v>1</v>
      </c>
      <c r="K489" s="8" t="s">
        <v>116</v>
      </c>
      <c r="L489" s="8" t="n">
        <v>1</v>
      </c>
      <c r="M489" s="8" t="n">
        <v>0</v>
      </c>
      <c r="N489" s="8"/>
      <c r="O489" s="8" t="n">
        <v>1</v>
      </c>
      <c r="P489" s="10" t="n">
        <v>8.05</v>
      </c>
      <c r="Q489" s="8" t="n">
        <v>694</v>
      </c>
      <c r="R489" s="8" t="n">
        <v>424</v>
      </c>
      <c r="S489" s="8" t="s">
        <v>589</v>
      </c>
      <c r="T489" s="8"/>
      <c r="U489" s="8"/>
      <c r="V489" s="8" t="s">
        <v>155</v>
      </c>
      <c r="W489" s="8"/>
      <c r="X489" s="8" t="s">
        <v>590</v>
      </c>
      <c r="Y489" s="8" t="s">
        <v>2933</v>
      </c>
      <c r="Z489" s="8" t="s">
        <v>2934</v>
      </c>
    </row>
    <row r="490" customFormat="false" ht="15" hidden="false" customHeight="false" outlineLevel="0" collapsed="false">
      <c r="A490" s="8" t="s">
        <v>588</v>
      </c>
      <c r="B490" s="8" t="s">
        <v>19</v>
      </c>
      <c r="C490" s="8" t="s">
        <v>20</v>
      </c>
      <c r="D490" s="8" t="s">
        <v>615</v>
      </c>
      <c r="E490" s="8" t="s">
        <v>40</v>
      </c>
      <c r="F490" s="8" t="s">
        <v>54</v>
      </c>
      <c r="G490" s="8" t="s">
        <v>31</v>
      </c>
      <c r="H490" s="8" t="s">
        <v>31</v>
      </c>
      <c r="I490" s="8" t="n">
        <f aca="false">IF(EXACT(G490,H490),1,0)</f>
        <v>1</v>
      </c>
      <c r="J490" s="8" t="n">
        <v>2</v>
      </c>
      <c r="K490" s="8" t="s">
        <v>116</v>
      </c>
      <c r="L490" s="8" t="n">
        <v>1</v>
      </c>
      <c r="M490" s="8" t="n">
        <v>0</v>
      </c>
      <c r="N490" s="8"/>
      <c r="O490" s="8" t="n">
        <v>1</v>
      </c>
      <c r="P490" s="10" t="n">
        <v>8.19</v>
      </c>
      <c r="Q490" s="8" t="n">
        <v>694</v>
      </c>
      <c r="R490" s="8" t="n">
        <v>420</v>
      </c>
      <c r="S490" s="8" t="s">
        <v>589</v>
      </c>
      <c r="T490" s="8"/>
      <c r="U490" s="8"/>
      <c r="V490" s="8" t="s">
        <v>155</v>
      </c>
      <c r="W490" s="8"/>
      <c r="X490" s="8" t="s">
        <v>590</v>
      </c>
      <c r="Y490" s="8" t="s">
        <v>2935</v>
      </c>
      <c r="Z490" s="8" t="s">
        <v>2936</v>
      </c>
    </row>
    <row r="491" customFormat="false" ht="15" hidden="false" customHeight="false" outlineLevel="0" collapsed="false">
      <c r="A491" s="8" t="s">
        <v>591</v>
      </c>
      <c r="B491" s="8" t="s">
        <v>19</v>
      </c>
      <c r="C491" s="8" t="s">
        <v>20</v>
      </c>
      <c r="D491" s="8" t="s">
        <v>615</v>
      </c>
      <c r="E491" s="8" t="s">
        <v>40</v>
      </c>
      <c r="F491" s="8" t="s">
        <v>54</v>
      </c>
      <c r="G491" s="8" t="s">
        <v>32</v>
      </c>
      <c r="H491" s="8" t="s">
        <v>31</v>
      </c>
      <c r="I491" s="8" t="n">
        <f aca="false">IF(EXACT(G491,H491),1,0)</f>
        <v>0</v>
      </c>
      <c r="J491" s="8" t="n">
        <v>0</v>
      </c>
      <c r="K491" s="8" t="s">
        <v>116</v>
      </c>
      <c r="L491" s="8" t="n">
        <v>2</v>
      </c>
      <c r="M491" s="8" t="n">
        <v>0</v>
      </c>
      <c r="N491" s="8"/>
      <c r="O491" s="8" t="n">
        <v>1</v>
      </c>
      <c r="P491" s="10" t="n">
        <v>14.51</v>
      </c>
      <c r="Q491" s="8" t="n">
        <v>671</v>
      </c>
      <c r="R491" s="8" t="n">
        <v>675</v>
      </c>
      <c r="S491" s="8" t="s">
        <v>592</v>
      </c>
      <c r="T491" s="8"/>
      <c r="U491" s="8"/>
      <c r="V491" s="8" t="s">
        <v>155</v>
      </c>
      <c r="W491" s="8"/>
      <c r="X491" s="8" t="s">
        <v>593</v>
      </c>
      <c r="Y491" s="8" t="s">
        <v>2937</v>
      </c>
      <c r="Z491" s="8" t="s">
        <v>2938</v>
      </c>
    </row>
    <row r="492" customFormat="false" ht="15" hidden="false" customHeight="false" outlineLevel="0" collapsed="false">
      <c r="A492" s="8" t="s">
        <v>591</v>
      </c>
      <c r="B492" s="8" t="s">
        <v>19</v>
      </c>
      <c r="C492" s="8" t="s">
        <v>20</v>
      </c>
      <c r="D492" s="8" t="s">
        <v>615</v>
      </c>
      <c r="E492" s="8" t="s">
        <v>40</v>
      </c>
      <c r="F492" s="8" t="s">
        <v>54</v>
      </c>
      <c r="G492" s="8" t="s">
        <v>32</v>
      </c>
      <c r="H492" s="8" t="s">
        <v>31</v>
      </c>
      <c r="I492" s="8" t="n">
        <f aca="false">IF(EXACT(G492,H492),1,0)</f>
        <v>0</v>
      </c>
      <c r="J492" s="8" t="n">
        <v>1</v>
      </c>
      <c r="K492" s="8" t="s">
        <v>116</v>
      </c>
      <c r="L492" s="8" t="n">
        <v>3</v>
      </c>
      <c r="M492" s="8" t="n">
        <v>0</v>
      </c>
      <c r="N492" s="8"/>
      <c r="O492" s="8" t="n">
        <v>1</v>
      </c>
      <c r="P492" s="10" t="n">
        <v>15.58</v>
      </c>
      <c r="Q492" s="8" t="n">
        <v>671</v>
      </c>
      <c r="R492" s="8" t="n">
        <v>773</v>
      </c>
      <c r="S492" s="8" t="s">
        <v>592</v>
      </c>
      <c r="T492" s="8"/>
      <c r="U492" s="8"/>
      <c r="V492" s="8" t="s">
        <v>155</v>
      </c>
      <c r="W492" s="8"/>
      <c r="X492" s="8" t="s">
        <v>593</v>
      </c>
      <c r="Y492" s="8" t="s">
        <v>2939</v>
      </c>
      <c r="Z492" s="8" t="s">
        <v>2940</v>
      </c>
    </row>
    <row r="493" customFormat="false" ht="15" hidden="false" customHeight="false" outlineLevel="0" collapsed="false">
      <c r="A493" s="8" t="s">
        <v>591</v>
      </c>
      <c r="B493" s="8" t="s">
        <v>19</v>
      </c>
      <c r="C493" s="8" t="s">
        <v>20</v>
      </c>
      <c r="D493" s="8" t="s">
        <v>615</v>
      </c>
      <c r="E493" s="8" t="s">
        <v>40</v>
      </c>
      <c r="F493" s="8" t="s">
        <v>54</v>
      </c>
      <c r="G493" s="8" t="s">
        <v>32</v>
      </c>
      <c r="H493" s="8" t="s">
        <v>31</v>
      </c>
      <c r="I493" s="8" t="n">
        <f aca="false">IF(EXACT(G493,H493),1,0)</f>
        <v>0</v>
      </c>
      <c r="J493" s="8" t="n">
        <v>2</v>
      </c>
      <c r="K493" s="8" t="s">
        <v>116</v>
      </c>
      <c r="L493" s="8" t="n">
        <v>2</v>
      </c>
      <c r="M493" s="8" t="n">
        <v>0</v>
      </c>
      <c r="N493" s="8"/>
      <c r="O493" s="8" t="n">
        <v>1</v>
      </c>
      <c r="P493" s="10" t="n">
        <v>14.25</v>
      </c>
      <c r="Q493" s="8" t="n">
        <v>671</v>
      </c>
      <c r="R493" s="8" t="n">
        <v>675</v>
      </c>
      <c r="S493" s="8" t="s">
        <v>592</v>
      </c>
      <c r="T493" s="8"/>
      <c r="U493" s="8"/>
      <c r="V493" s="8" t="s">
        <v>155</v>
      </c>
      <c r="W493" s="8"/>
      <c r="X493" s="8" t="s">
        <v>593</v>
      </c>
      <c r="Y493" s="8" t="s">
        <v>2941</v>
      </c>
      <c r="Z493" s="8" t="s">
        <v>2942</v>
      </c>
    </row>
    <row r="494" customFormat="false" ht="15" hidden="false" customHeight="false" outlineLevel="0" collapsed="false">
      <c r="A494" s="8" t="s">
        <v>594</v>
      </c>
      <c r="B494" s="8" t="s">
        <v>19</v>
      </c>
      <c r="C494" s="8" t="s">
        <v>20</v>
      </c>
      <c r="D494" s="8" t="s">
        <v>615</v>
      </c>
      <c r="E494" s="8" t="s">
        <v>40</v>
      </c>
      <c r="F494" s="8" t="s">
        <v>54</v>
      </c>
      <c r="G494" s="8" t="s">
        <v>32</v>
      </c>
      <c r="H494" s="8" t="s">
        <v>31</v>
      </c>
      <c r="I494" s="8" t="n">
        <f aca="false">IF(EXACT(G494,H494),1,0)</f>
        <v>0</v>
      </c>
      <c r="J494" s="8" t="n">
        <v>0</v>
      </c>
      <c r="K494" s="8" t="s">
        <v>116</v>
      </c>
      <c r="L494" s="8" t="n">
        <v>1</v>
      </c>
      <c r="M494" s="8" t="n">
        <v>0</v>
      </c>
      <c r="N494" s="8"/>
      <c r="O494" s="8" t="n">
        <v>1</v>
      </c>
      <c r="P494" s="10" t="n">
        <v>10.28</v>
      </c>
      <c r="Q494" s="8" t="n">
        <v>706</v>
      </c>
      <c r="R494" s="8" t="n">
        <v>460</v>
      </c>
      <c r="S494" s="8" t="s">
        <v>595</v>
      </c>
      <c r="T494" s="8"/>
      <c r="U494" s="8"/>
      <c r="V494" s="8" t="s">
        <v>155</v>
      </c>
      <c r="W494" s="8"/>
      <c r="X494" s="8" t="s">
        <v>596</v>
      </c>
      <c r="Y494" s="8" t="s">
        <v>2943</v>
      </c>
      <c r="Z494" s="8" t="s">
        <v>2944</v>
      </c>
    </row>
    <row r="495" customFormat="false" ht="15" hidden="false" customHeight="false" outlineLevel="0" collapsed="false">
      <c r="A495" s="8" t="s">
        <v>594</v>
      </c>
      <c r="B495" s="8" t="s">
        <v>19</v>
      </c>
      <c r="C495" s="8" t="s">
        <v>20</v>
      </c>
      <c r="D495" s="8" t="s">
        <v>615</v>
      </c>
      <c r="E495" s="8" t="s">
        <v>40</v>
      </c>
      <c r="F495" s="8" t="s">
        <v>54</v>
      </c>
      <c r="G495" s="8" t="s">
        <v>32</v>
      </c>
      <c r="H495" s="8" t="s">
        <v>31</v>
      </c>
      <c r="I495" s="8" t="n">
        <f aca="false">IF(EXACT(G495,H495),1,0)</f>
        <v>0</v>
      </c>
      <c r="J495" s="8" t="n">
        <v>1</v>
      </c>
      <c r="K495" s="8" t="s">
        <v>116</v>
      </c>
      <c r="L495" s="8" t="n">
        <v>1</v>
      </c>
      <c r="M495" s="8" t="n">
        <v>0</v>
      </c>
      <c r="N495" s="8"/>
      <c r="O495" s="8" t="n">
        <v>1</v>
      </c>
      <c r="P495" s="10" t="n">
        <v>10.27</v>
      </c>
      <c r="Q495" s="8" t="n">
        <v>706</v>
      </c>
      <c r="R495" s="8" t="n">
        <v>490</v>
      </c>
      <c r="S495" s="8" t="s">
        <v>595</v>
      </c>
      <c r="T495" s="8"/>
      <c r="U495" s="8"/>
      <c r="V495" s="8" t="s">
        <v>155</v>
      </c>
      <c r="W495" s="8"/>
      <c r="X495" s="8" t="s">
        <v>596</v>
      </c>
      <c r="Y495" s="8" t="s">
        <v>2945</v>
      </c>
      <c r="Z495" s="8" t="s">
        <v>2946</v>
      </c>
    </row>
    <row r="496" customFormat="false" ht="15" hidden="false" customHeight="false" outlineLevel="0" collapsed="false">
      <c r="A496" s="8" t="s">
        <v>594</v>
      </c>
      <c r="B496" s="8" t="s">
        <v>19</v>
      </c>
      <c r="C496" s="8" t="s">
        <v>20</v>
      </c>
      <c r="D496" s="8" t="s">
        <v>615</v>
      </c>
      <c r="E496" s="8" t="s">
        <v>40</v>
      </c>
      <c r="F496" s="8" t="s">
        <v>54</v>
      </c>
      <c r="G496" s="8" t="s">
        <v>32</v>
      </c>
      <c r="H496" s="8" t="s">
        <v>31</v>
      </c>
      <c r="I496" s="8" t="n">
        <f aca="false">IF(EXACT(G496,H496),1,0)</f>
        <v>0</v>
      </c>
      <c r="J496" s="8" t="n">
        <v>2</v>
      </c>
      <c r="K496" s="8" t="s">
        <v>116</v>
      </c>
      <c r="L496" s="8" t="n">
        <v>1</v>
      </c>
      <c r="M496" s="8" t="n">
        <v>0</v>
      </c>
      <c r="N496" s="8"/>
      <c r="O496" s="8" t="n">
        <v>1</v>
      </c>
      <c r="P496" s="10" t="n">
        <v>9.76</v>
      </c>
      <c r="Q496" s="8" t="n">
        <v>706</v>
      </c>
      <c r="R496" s="8" t="n">
        <v>478</v>
      </c>
      <c r="S496" s="8" t="s">
        <v>595</v>
      </c>
      <c r="T496" s="8"/>
      <c r="U496" s="8"/>
      <c r="V496" s="8" t="s">
        <v>155</v>
      </c>
      <c r="W496" s="8"/>
      <c r="X496" s="8" t="s">
        <v>596</v>
      </c>
      <c r="Y496" s="8" t="s">
        <v>2947</v>
      </c>
      <c r="Z496" s="8" t="s">
        <v>2948</v>
      </c>
    </row>
    <row r="497" customFormat="false" ht="15" hidden="false" customHeight="false" outlineLevel="0" collapsed="false">
      <c r="A497" s="8" t="s">
        <v>597</v>
      </c>
      <c r="B497" s="8" t="s">
        <v>19</v>
      </c>
      <c r="C497" s="8" t="s">
        <v>20</v>
      </c>
      <c r="D497" s="8" t="s">
        <v>615</v>
      </c>
      <c r="E497" s="8" t="s">
        <v>40</v>
      </c>
      <c r="F497" s="8" t="s">
        <v>54</v>
      </c>
      <c r="G497" s="8" t="s">
        <v>30</v>
      </c>
      <c r="H497" s="8" t="s">
        <v>30</v>
      </c>
      <c r="I497" s="8" t="n">
        <f aca="false">IF(EXACT(G497,H497),1,0)</f>
        <v>1</v>
      </c>
      <c r="J497" s="8" t="n">
        <v>0</v>
      </c>
      <c r="K497" s="8" t="s">
        <v>92</v>
      </c>
      <c r="L497" s="8" t="n">
        <v>0</v>
      </c>
      <c r="M497" s="8" t="n">
        <v>0</v>
      </c>
      <c r="N497" s="8"/>
      <c r="O497" s="8" t="n">
        <v>1</v>
      </c>
      <c r="P497" s="10" t="n">
        <v>6.84</v>
      </c>
      <c r="Q497" s="8" t="n">
        <v>805</v>
      </c>
      <c r="R497" s="8" t="n">
        <v>302</v>
      </c>
      <c r="S497" s="8" t="s">
        <v>598</v>
      </c>
      <c r="T497" s="8"/>
      <c r="U497" s="8"/>
      <c r="V497" s="8" t="s">
        <v>155</v>
      </c>
      <c r="W497" s="8"/>
      <c r="X497" s="8" t="s">
        <v>599</v>
      </c>
      <c r="Y497" s="8" t="s">
        <v>2949</v>
      </c>
      <c r="Z497" s="8"/>
    </row>
    <row r="498" customFormat="false" ht="15" hidden="false" customHeight="false" outlineLevel="0" collapsed="false">
      <c r="A498" s="8" t="s">
        <v>597</v>
      </c>
      <c r="B498" s="8" t="s">
        <v>19</v>
      </c>
      <c r="C498" s="8" t="s">
        <v>20</v>
      </c>
      <c r="D498" s="8" t="s">
        <v>615</v>
      </c>
      <c r="E498" s="8" t="s">
        <v>40</v>
      </c>
      <c r="F498" s="8" t="s">
        <v>54</v>
      </c>
      <c r="G498" s="8" t="s">
        <v>30</v>
      </c>
      <c r="H498" s="8" t="s">
        <v>30</v>
      </c>
      <c r="I498" s="8" t="n">
        <f aca="false">IF(EXACT(G498,H498),1,0)</f>
        <v>1</v>
      </c>
      <c r="J498" s="8" t="n">
        <v>1</v>
      </c>
      <c r="K498" s="8" t="s">
        <v>92</v>
      </c>
      <c r="L498" s="8" t="n">
        <v>0</v>
      </c>
      <c r="M498" s="8" t="n">
        <v>0</v>
      </c>
      <c r="N498" s="8"/>
      <c r="O498" s="8" t="n">
        <v>1</v>
      </c>
      <c r="P498" s="10" t="n">
        <v>6.73</v>
      </c>
      <c r="Q498" s="8" t="n">
        <v>805</v>
      </c>
      <c r="R498" s="8" t="n">
        <v>308</v>
      </c>
      <c r="S498" s="8" t="s">
        <v>598</v>
      </c>
      <c r="T498" s="8"/>
      <c r="U498" s="8"/>
      <c r="V498" s="8" t="s">
        <v>155</v>
      </c>
      <c r="W498" s="8"/>
      <c r="X498" s="8" t="s">
        <v>599</v>
      </c>
      <c r="Y498" s="8" t="s">
        <v>2950</v>
      </c>
      <c r="Z498" s="8"/>
    </row>
    <row r="499" customFormat="false" ht="15" hidden="false" customHeight="false" outlineLevel="0" collapsed="false">
      <c r="A499" s="8" t="s">
        <v>597</v>
      </c>
      <c r="B499" s="8" t="s">
        <v>19</v>
      </c>
      <c r="C499" s="8" t="s">
        <v>20</v>
      </c>
      <c r="D499" s="8" t="s">
        <v>615</v>
      </c>
      <c r="E499" s="8" t="s">
        <v>40</v>
      </c>
      <c r="F499" s="8" t="s">
        <v>54</v>
      </c>
      <c r="G499" s="8" t="s">
        <v>30</v>
      </c>
      <c r="H499" s="8" t="s">
        <v>30</v>
      </c>
      <c r="I499" s="8" t="n">
        <f aca="false">IF(EXACT(G499,H499),1,0)</f>
        <v>1</v>
      </c>
      <c r="J499" s="8" t="n">
        <v>2</v>
      </c>
      <c r="K499" s="8" t="s">
        <v>92</v>
      </c>
      <c r="L499" s="8" t="n">
        <v>0</v>
      </c>
      <c r="M499" s="8" t="n">
        <v>0</v>
      </c>
      <c r="N499" s="8"/>
      <c r="O499" s="8" t="n">
        <v>1</v>
      </c>
      <c r="P499" s="10" t="n">
        <v>6.23</v>
      </c>
      <c r="Q499" s="8" t="n">
        <v>805</v>
      </c>
      <c r="R499" s="8" t="n">
        <v>289</v>
      </c>
      <c r="S499" s="8" t="s">
        <v>598</v>
      </c>
      <c r="T499" s="8"/>
      <c r="U499" s="8"/>
      <c r="V499" s="8" t="s">
        <v>155</v>
      </c>
      <c r="W499" s="8"/>
      <c r="X499" s="8" t="s">
        <v>599</v>
      </c>
      <c r="Y499" s="8" t="s">
        <v>2951</v>
      </c>
      <c r="Z499" s="8"/>
    </row>
    <row r="500" customFormat="false" ht="15" hidden="false" customHeight="false" outlineLevel="0" collapsed="false">
      <c r="A500" s="8" t="s">
        <v>600</v>
      </c>
      <c r="B500" s="8" t="s">
        <v>19</v>
      </c>
      <c r="C500" s="8" t="s">
        <v>20</v>
      </c>
      <c r="D500" s="8" t="s">
        <v>615</v>
      </c>
      <c r="E500" s="8" t="s">
        <v>40</v>
      </c>
      <c r="F500" s="8" t="s">
        <v>54</v>
      </c>
      <c r="G500" s="8" t="s">
        <v>30</v>
      </c>
      <c r="H500" s="8" t="s">
        <v>30</v>
      </c>
      <c r="I500" s="8" t="n">
        <f aca="false">IF(EXACT(G500,H500),1,0)</f>
        <v>1</v>
      </c>
      <c r="J500" s="8" t="n">
        <v>0</v>
      </c>
      <c r="K500" s="8" t="s">
        <v>92</v>
      </c>
      <c r="L500" s="8" t="n">
        <v>0</v>
      </c>
      <c r="M500" s="8" t="n">
        <v>0</v>
      </c>
      <c r="N500" s="8"/>
      <c r="O500" s="8" t="n">
        <v>1</v>
      </c>
      <c r="P500" s="10" t="n">
        <v>7.16</v>
      </c>
      <c r="Q500" s="8" t="n">
        <v>783</v>
      </c>
      <c r="R500" s="8" t="n">
        <v>305</v>
      </c>
      <c r="S500" s="8" t="s">
        <v>601</v>
      </c>
      <c r="T500" s="8"/>
      <c r="U500" s="8"/>
      <c r="V500" s="8" t="s">
        <v>155</v>
      </c>
      <c r="W500" s="8"/>
      <c r="X500" s="8" t="s">
        <v>602</v>
      </c>
      <c r="Y500" s="8" t="s">
        <v>2952</v>
      </c>
      <c r="Z500" s="8"/>
    </row>
    <row r="501" customFormat="false" ht="15" hidden="false" customHeight="false" outlineLevel="0" collapsed="false">
      <c r="A501" s="8" t="s">
        <v>600</v>
      </c>
      <c r="B501" s="8" t="s">
        <v>19</v>
      </c>
      <c r="C501" s="8" t="s">
        <v>20</v>
      </c>
      <c r="D501" s="8" t="s">
        <v>615</v>
      </c>
      <c r="E501" s="8" t="s">
        <v>40</v>
      </c>
      <c r="F501" s="8" t="s">
        <v>54</v>
      </c>
      <c r="G501" s="8" t="s">
        <v>30</v>
      </c>
      <c r="H501" s="8" t="s">
        <v>30</v>
      </c>
      <c r="I501" s="8" t="n">
        <f aca="false">IF(EXACT(G501,H501),1,0)</f>
        <v>1</v>
      </c>
      <c r="J501" s="8" t="n">
        <v>1</v>
      </c>
      <c r="K501" s="8" t="s">
        <v>92</v>
      </c>
      <c r="L501" s="8" t="n">
        <v>0</v>
      </c>
      <c r="M501" s="8" t="n">
        <v>0</v>
      </c>
      <c r="N501" s="8"/>
      <c r="O501" s="8" t="n">
        <v>1</v>
      </c>
      <c r="P501" s="10" t="n">
        <v>6.93</v>
      </c>
      <c r="Q501" s="8" t="n">
        <v>783</v>
      </c>
      <c r="R501" s="8" t="n">
        <v>338</v>
      </c>
      <c r="S501" s="8" t="s">
        <v>601</v>
      </c>
      <c r="T501" s="8"/>
      <c r="U501" s="8"/>
      <c r="V501" s="8" t="s">
        <v>155</v>
      </c>
      <c r="W501" s="8"/>
      <c r="X501" s="8" t="s">
        <v>602</v>
      </c>
      <c r="Y501" s="8" t="s">
        <v>2953</v>
      </c>
      <c r="Z501" s="8"/>
    </row>
    <row r="502" customFormat="false" ht="15" hidden="false" customHeight="false" outlineLevel="0" collapsed="false">
      <c r="A502" s="8" t="s">
        <v>600</v>
      </c>
      <c r="B502" s="8" t="s">
        <v>19</v>
      </c>
      <c r="C502" s="8" t="s">
        <v>20</v>
      </c>
      <c r="D502" s="8" t="s">
        <v>615</v>
      </c>
      <c r="E502" s="8" t="s">
        <v>40</v>
      </c>
      <c r="F502" s="8" t="s">
        <v>54</v>
      </c>
      <c r="G502" s="8" t="s">
        <v>30</v>
      </c>
      <c r="H502" s="8" t="s">
        <v>30</v>
      </c>
      <c r="I502" s="8" t="n">
        <f aca="false">IF(EXACT(G502,H502),1,0)</f>
        <v>1</v>
      </c>
      <c r="J502" s="8" t="n">
        <v>2</v>
      </c>
      <c r="K502" s="8" t="s">
        <v>92</v>
      </c>
      <c r="L502" s="8" t="n">
        <v>0</v>
      </c>
      <c r="M502" s="8" t="n">
        <v>0</v>
      </c>
      <c r="N502" s="8"/>
      <c r="O502" s="8" t="n">
        <v>1</v>
      </c>
      <c r="P502" s="10" t="n">
        <v>6.66</v>
      </c>
      <c r="Q502" s="8" t="n">
        <v>783</v>
      </c>
      <c r="R502" s="8" t="n">
        <v>307</v>
      </c>
      <c r="S502" s="8" t="s">
        <v>601</v>
      </c>
      <c r="T502" s="8"/>
      <c r="U502" s="8"/>
      <c r="V502" s="8" t="s">
        <v>155</v>
      </c>
      <c r="W502" s="8"/>
      <c r="X502" s="8" t="s">
        <v>602</v>
      </c>
      <c r="Y502" s="8" t="s">
        <v>2954</v>
      </c>
      <c r="Z502" s="8"/>
    </row>
    <row r="503" customFormat="false" ht="15" hidden="false" customHeight="false" outlineLevel="0" collapsed="false">
      <c r="A503" s="8" t="s">
        <v>365</v>
      </c>
      <c r="B503" s="8" t="s">
        <v>19</v>
      </c>
      <c r="C503" s="8" t="s">
        <v>20</v>
      </c>
      <c r="D503" s="8" t="s">
        <v>615</v>
      </c>
      <c r="E503" s="8" t="s">
        <v>40</v>
      </c>
      <c r="F503" s="8" t="s">
        <v>55</v>
      </c>
      <c r="G503" s="8" t="s">
        <v>30</v>
      </c>
      <c r="H503" s="8" t="s">
        <v>31</v>
      </c>
      <c r="I503" s="8" t="n">
        <f aca="false">IF(EXACT(G503,H503),1,0)</f>
        <v>0</v>
      </c>
      <c r="J503" s="8" t="n">
        <v>0</v>
      </c>
      <c r="K503" s="8" t="s">
        <v>116</v>
      </c>
      <c r="L503" s="8" t="n">
        <v>4</v>
      </c>
      <c r="M503" s="8" t="n">
        <v>0</v>
      </c>
      <c r="N503" s="8"/>
      <c r="O503" s="8" t="n">
        <v>1</v>
      </c>
      <c r="P503" s="10" t="n">
        <v>16.69</v>
      </c>
      <c r="Q503" s="8" t="n">
        <v>581</v>
      </c>
      <c r="R503" s="8" t="n">
        <v>837</v>
      </c>
      <c r="S503" s="8" t="s">
        <v>366</v>
      </c>
      <c r="T503" s="8" t="s">
        <v>367</v>
      </c>
      <c r="U503" s="8" t="s">
        <v>368</v>
      </c>
      <c r="V503" s="8"/>
      <c r="W503" s="8" t="s">
        <v>369</v>
      </c>
      <c r="X503" s="8" t="s">
        <v>603</v>
      </c>
      <c r="Y503" s="8" t="s">
        <v>2955</v>
      </c>
      <c r="Z503" s="8" t="s">
        <v>2956</v>
      </c>
    </row>
    <row r="504" customFormat="false" ht="15" hidden="false" customHeight="false" outlineLevel="0" collapsed="false">
      <c r="A504" s="8" t="s">
        <v>365</v>
      </c>
      <c r="B504" s="8" t="s">
        <v>19</v>
      </c>
      <c r="C504" s="8" t="s">
        <v>20</v>
      </c>
      <c r="D504" s="8" t="s">
        <v>615</v>
      </c>
      <c r="E504" s="8" t="s">
        <v>40</v>
      </c>
      <c r="F504" s="8" t="s">
        <v>55</v>
      </c>
      <c r="G504" s="8" t="s">
        <v>30</v>
      </c>
      <c r="H504" s="8" t="s">
        <v>31</v>
      </c>
      <c r="I504" s="8" t="n">
        <f aca="false">IF(EXACT(G504,H504),1,0)</f>
        <v>0</v>
      </c>
      <c r="J504" s="8" t="n">
        <v>1</v>
      </c>
      <c r="K504" s="8" t="s">
        <v>116</v>
      </c>
      <c r="L504" s="8" t="n">
        <v>4</v>
      </c>
      <c r="M504" s="8" t="n">
        <v>0</v>
      </c>
      <c r="N504" s="8"/>
      <c r="O504" s="8" t="n">
        <v>1</v>
      </c>
      <c r="P504" s="10" t="n">
        <v>14.71</v>
      </c>
      <c r="Q504" s="8" t="n">
        <v>581</v>
      </c>
      <c r="R504" s="8" t="n">
        <v>813</v>
      </c>
      <c r="S504" s="8" t="s">
        <v>366</v>
      </c>
      <c r="T504" s="8" t="s">
        <v>367</v>
      </c>
      <c r="U504" s="8" t="s">
        <v>368</v>
      </c>
      <c r="V504" s="8"/>
      <c r="W504" s="8" t="s">
        <v>369</v>
      </c>
      <c r="X504" s="8" t="s">
        <v>603</v>
      </c>
      <c r="Y504" s="8" t="s">
        <v>2957</v>
      </c>
      <c r="Z504" s="8" t="s">
        <v>2958</v>
      </c>
    </row>
    <row r="505" customFormat="false" ht="15" hidden="false" customHeight="false" outlineLevel="0" collapsed="false">
      <c r="A505" s="8" t="s">
        <v>365</v>
      </c>
      <c r="B505" s="8" t="s">
        <v>19</v>
      </c>
      <c r="C505" s="8" t="s">
        <v>20</v>
      </c>
      <c r="D505" s="8" t="s">
        <v>615</v>
      </c>
      <c r="E505" s="8" t="s">
        <v>40</v>
      </c>
      <c r="F505" s="8" t="s">
        <v>55</v>
      </c>
      <c r="G505" s="8" t="s">
        <v>30</v>
      </c>
      <c r="H505" s="8" t="s">
        <v>32</v>
      </c>
      <c r="I505" s="8" t="n">
        <f aca="false">IF(EXACT(G505,H505),1,0)</f>
        <v>0</v>
      </c>
      <c r="J505" s="8" t="n">
        <v>2</v>
      </c>
      <c r="K505" s="8" t="s">
        <v>92</v>
      </c>
      <c r="L505" s="8" t="n">
        <v>0</v>
      </c>
      <c r="M505" s="8" t="n">
        <v>0</v>
      </c>
      <c r="N505" s="8"/>
      <c r="O505" s="8" t="n">
        <v>1</v>
      </c>
      <c r="P505" s="10" t="n">
        <v>7.79</v>
      </c>
      <c r="Q505" s="8" t="n">
        <v>581</v>
      </c>
      <c r="R505" s="8" t="n">
        <v>374</v>
      </c>
      <c r="S505" s="8" t="s">
        <v>366</v>
      </c>
      <c r="T505" s="8" t="s">
        <v>367</v>
      </c>
      <c r="U505" s="8" t="s">
        <v>368</v>
      </c>
      <c r="V505" s="8"/>
      <c r="W505" s="8" t="s">
        <v>369</v>
      </c>
      <c r="X505" s="8" t="s">
        <v>603</v>
      </c>
      <c r="Y505" s="8" t="s">
        <v>2959</v>
      </c>
      <c r="Z505" s="8"/>
    </row>
    <row r="506" customFormat="false" ht="15" hidden="false" customHeight="false" outlineLevel="0" collapsed="false">
      <c r="A506" s="8" t="s">
        <v>371</v>
      </c>
      <c r="B506" s="8" t="s">
        <v>19</v>
      </c>
      <c r="C506" s="8" t="s">
        <v>20</v>
      </c>
      <c r="D506" s="8" t="s">
        <v>615</v>
      </c>
      <c r="E506" s="8" t="s">
        <v>40</v>
      </c>
      <c r="F506" s="8" t="s">
        <v>55</v>
      </c>
      <c r="G506" s="8" t="s">
        <v>30</v>
      </c>
      <c r="H506" s="8" t="s">
        <v>32</v>
      </c>
      <c r="I506" s="8" t="n">
        <f aca="false">IF(EXACT(G506,H506),1,0)</f>
        <v>0</v>
      </c>
      <c r="J506" s="8" t="n">
        <v>0</v>
      </c>
      <c r="K506" s="8" t="s">
        <v>92</v>
      </c>
      <c r="L506" s="8" t="n">
        <v>0</v>
      </c>
      <c r="M506" s="8" t="n">
        <v>0</v>
      </c>
      <c r="N506" s="8"/>
      <c r="O506" s="8" t="n">
        <v>1</v>
      </c>
      <c r="P506" s="10" t="n">
        <v>9.96</v>
      </c>
      <c r="Q506" s="8" t="n">
        <v>661</v>
      </c>
      <c r="R506" s="8" t="n">
        <v>390</v>
      </c>
      <c r="S506" s="8" t="s">
        <v>180</v>
      </c>
      <c r="T506" s="8" t="s">
        <v>372</v>
      </c>
      <c r="U506" s="8" t="s">
        <v>373</v>
      </c>
      <c r="V506" s="8"/>
      <c r="W506" s="8" t="s">
        <v>374</v>
      </c>
      <c r="X506" s="8" t="s">
        <v>604</v>
      </c>
      <c r="Y506" s="8" t="s">
        <v>2960</v>
      </c>
      <c r="Z506" s="8"/>
    </row>
    <row r="507" customFormat="false" ht="15" hidden="false" customHeight="false" outlineLevel="0" collapsed="false">
      <c r="A507" s="8" t="s">
        <v>371</v>
      </c>
      <c r="B507" s="8" t="s">
        <v>19</v>
      </c>
      <c r="C507" s="8" t="s">
        <v>20</v>
      </c>
      <c r="D507" s="8" t="s">
        <v>615</v>
      </c>
      <c r="E507" s="8" t="s">
        <v>40</v>
      </c>
      <c r="F507" s="8" t="s">
        <v>55</v>
      </c>
      <c r="G507" s="8" t="s">
        <v>30</v>
      </c>
      <c r="H507" s="8" t="s">
        <v>32</v>
      </c>
      <c r="I507" s="8" t="n">
        <f aca="false">IF(EXACT(G507,H507),1,0)</f>
        <v>0</v>
      </c>
      <c r="J507" s="8" t="n">
        <v>1</v>
      </c>
      <c r="K507" s="8" t="s">
        <v>92</v>
      </c>
      <c r="L507" s="8" t="n">
        <v>0</v>
      </c>
      <c r="M507" s="8" t="n">
        <v>0</v>
      </c>
      <c r="N507" s="8"/>
      <c r="O507" s="8" t="n">
        <v>1</v>
      </c>
      <c r="P507" s="10" t="n">
        <v>8.88</v>
      </c>
      <c r="Q507" s="8" t="n">
        <v>661</v>
      </c>
      <c r="R507" s="8" t="n">
        <v>392</v>
      </c>
      <c r="S507" s="8" t="s">
        <v>180</v>
      </c>
      <c r="T507" s="8" t="s">
        <v>372</v>
      </c>
      <c r="U507" s="8" t="s">
        <v>373</v>
      </c>
      <c r="V507" s="8"/>
      <c r="W507" s="8" t="s">
        <v>374</v>
      </c>
      <c r="X507" s="8" t="s">
        <v>604</v>
      </c>
      <c r="Y507" s="8" t="s">
        <v>2961</v>
      </c>
      <c r="Z507" s="8"/>
    </row>
    <row r="508" customFormat="false" ht="15" hidden="false" customHeight="false" outlineLevel="0" collapsed="false">
      <c r="A508" s="8" t="s">
        <v>371</v>
      </c>
      <c r="B508" s="8" t="s">
        <v>19</v>
      </c>
      <c r="C508" s="8" t="s">
        <v>20</v>
      </c>
      <c r="D508" s="8" t="s">
        <v>615</v>
      </c>
      <c r="E508" s="8" t="s">
        <v>40</v>
      </c>
      <c r="F508" s="8" t="s">
        <v>55</v>
      </c>
      <c r="G508" s="8" t="s">
        <v>30</v>
      </c>
      <c r="H508" s="8" t="s">
        <v>32</v>
      </c>
      <c r="I508" s="8" t="n">
        <f aca="false">IF(EXACT(G508,H508),1,0)</f>
        <v>0</v>
      </c>
      <c r="J508" s="8" t="n">
        <v>2</v>
      </c>
      <c r="K508" s="8" t="s">
        <v>92</v>
      </c>
      <c r="L508" s="8" t="n">
        <v>0</v>
      </c>
      <c r="M508" s="8" t="n">
        <v>0</v>
      </c>
      <c r="N508" s="8"/>
      <c r="O508" s="8" t="n">
        <v>1</v>
      </c>
      <c r="P508" s="10" t="n">
        <v>8.32</v>
      </c>
      <c r="Q508" s="8" t="n">
        <v>661</v>
      </c>
      <c r="R508" s="8" t="n">
        <v>378</v>
      </c>
      <c r="S508" s="8" t="s">
        <v>180</v>
      </c>
      <c r="T508" s="8" t="s">
        <v>372</v>
      </c>
      <c r="U508" s="8" t="s">
        <v>373</v>
      </c>
      <c r="V508" s="8"/>
      <c r="W508" s="8" t="s">
        <v>374</v>
      </c>
      <c r="X508" s="8" t="s">
        <v>604</v>
      </c>
      <c r="Y508" s="8" t="s">
        <v>2962</v>
      </c>
      <c r="Z508" s="8"/>
    </row>
    <row r="509" customFormat="false" ht="15" hidden="false" customHeight="false" outlineLevel="0" collapsed="false">
      <c r="A509" s="8" t="s">
        <v>376</v>
      </c>
      <c r="B509" s="8" t="s">
        <v>19</v>
      </c>
      <c r="C509" s="8" t="s">
        <v>20</v>
      </c>
      <c r="D509" s="8" t="s">
        <v>615</v>
      </c>
      <c r="E509" s="8" t="s">
        <v>40</v>
      </c>
      <c r="F509" s="8" t="s">
        <v>55</v>
      </c>
      <c r="G509" s="8" t="s">
        <v>32</v>
      </c>
      <c r="H509" s="8" t="s">
        <v>31</v>
      </c>
      <c r="I509" s="8" t="n">
        <f aca="false">IF(EXACT(G509,H509),1,0)</f>
        <v>0</v>
      </c>
      <c r="J509" s="8" t="n">
        <v>0</v>
      </c>
      <c r="K509" s="8" t="s">
        <v>116</v>
      </c>
      <c r="L509" s="8" t="n">
        <v>4</v>
      </c>
      <c r="M509" s="8" t="n">
        <v>0</v>
      </c>
      <c r="N509" s="8"/>
      <c r="O509" s="8" t="n">
        <v>1</v>
      </c>
      <c r="P509" s="10" t="n">
        <v>14.93</v>
      </c>
      <c r="Q509" s="8" t="n">
        <v>577</v>
      </c>
      <c r="R509" s="8" t="n">
        <v>750</v>
      </c>
      <c r="S509" s="8" t="s">
        <v>132</v>
      </c>
      <c r="T509" s="8" t="s">
        <v>367</v>
      </c>
      <c r="U509" s="8" t="s">
        <v>368</v>
      </c>
      <c r="V509" s="8"/>
      <c r="W509" s="8" t="s">
        <v>377</v>
      </c>
      <c r="X509" s="8" t="s">
        <v>605</v>
      </c>
      <c r="Y509" s="8" t="s">
        <v>2963</v>
      </c>
      <c r="Z509" s="8" t="s">
        <v>2964</v>
      </c>
    </row>
    <row r="510" customFormat="false" ht="15" hidden="false" customHeight="false" outlineLevel="0" collapsed="false">
      <c r="A510" s="8" t="s">
        <v>376</v>
      </c>
      <c r="B510" s="8" t="s">
        <v>19</v>
      </c>
      <c r="C510" s="8" t="s">
        <v>20</v>
      </c>
      <c r="D510" s="8" t="s">
        <v>615</v>
      </c>
      <c r="E510" s="8" t="s">
        <v>40</v>
      </c>
      <c r="F510" s="8" t="s">
        <v>55</v>
      </c>
      <c r="G510" s="8" t="s">
        <v>32</v>
      </c>
      <c r="H510" s="8" t="s">
        <v>31</v>
      </c>
      <c r="I510" s="8" t="n">
        <f aca="false">IF(EXACT(G510,H510),1,0)</f>
        <v>0</v>
      </c>
      <c r="J510" s="8" t="n">
        <v>1</v>
      </c>
      <c r="K510" s="8" t="s">
        <v>116</v>
      </c>
      <c r="L510" s="8" t="n">
        <v>4</v>
      </c>
      <c r="M510" s="8" t="n">
        <v>0</v>
      </c>
      <c r="N510" s="8"/>
      <c r="O510" s="8" t="n">
        <v>1</v>
      </c>
      <c r="P510" s="10" t="n">
        <v>16.53</v>
      </c>
      <c r="Q510" s="8" t="n">
        <v>577</v>
      </c>
      <c r="R510" s="8" t="n">
        <v>832</v>
      </c>
      <c r="S510" s="8" t="s">
        <v>132</v>
      </c>
      <c r="T510" s="8" t="s">
        <v>367</v>
      </c>
      <c r="U510" s="8" t="s">
        <v>368</v>
      </c>
      <c r="V510" s="8"/>
      <c r="W510" s="8" t="s">
        <v>377</v>
      </c>
      <c r="X510" s="8" t="s">
        <v>605</v>
      </c>
      <c r="Y510" s="8" t="s">
        <v>2965</v>
      </c>
      <c r="Z510" s="8" t="s">
        <v>2966</v>
      </c>
    </row>
    <row r="511" customFormat="false" ht="15" hidden="false" customHeight="false" outlineLevel="0" collapsed="false">
      <c r="A511" s="8" t="s">
        <v>376</v>
      </c>
      <c r="B511" s="8" t="s">
        <v>19</v>
      </c>
      <c r="C511" s="8" t="s">
        <v>20</v>
      </c>
      <c r="D511" s="8" t="s">
        <v>615</v>
      </c>
      <c r="E511" s="8" t="s">
        <v>40</v>
      </c>
      <c r="F511" s="8" t="s">
        <v>55</v>
      </c>
      <c r="G511" s="8" t="s">
        <v>32</v>
      </c>
      <c r="H511" s="8" t="s">
        <v>31</v>
      </c>
      <c r="I511" s="8" t="n">
        <f aca="false">IF(EXACT(G511,H511),1,0)</f>
        <v>0</v>
      </c>
      <c r="J511" s="8" t="n">
        <v>2</v>
      </c>
      <c r="K511" s="8" t="s">
        <v>116</v>
      </c>
      <c r="L511" s="8" t="n">
        <v>5</v>
      </c>
      <c r="M511" s="8" t="n">
        <v>0</v>
      </c>
      <c r="N511" s="8"/>
      <c r="O511" s="8" t="n">
        <v>1</v>
      </c>
      <c r="P511" s="10" t="n">
        <v>16.73</v>
      </c>
      <c r="Q511" s="8" t="n">
        <v>577</v>
      </c>
      <c r="R511" s="8" t="n">
        <v>858</v>
      </c>
      <c r="S511" s="8" t="s">
        <v>132</v>
      </c>
      <c r="T511" s="8" t="s">
        <v>367</v>
      </c>
      <c r="U511" s="8" t="s">
        <v>368</v>
      </c>
      <c r="V511" s="8"/>
      <c r="W511" s="8" t="s">
        <v>377</v>
      </c>
      <c r="X511" s="8" t="s">
        <v>605</v>
      </c>
      <c r="Y511" s="8" t="s">
        <v>2967</v>
      </c>
      <c r="Z511" s="8" t="s">
        <v>2968</v>
      </c>
    </row>
    <row r="512" customFormat="false" ht="15" hidden="false" customHeight="false" outlineLevel="0" collapsed="false">
      <c r="A512" s="8" t="s">
        <v>379</v>
      </c>
      <c r="B512" s="8" t="s">
        <v>19</v>
      </c>
      <c r="C512" s="8" t="s">
        <v>20</v>
      </c>
      <c r="D512" s="8" t="s">
        <v>615</v>
      </c>
      <c r="E512" s="8" t="s">
        <v>40</v>
      </c>
      <c r="F512" s="8" t="s">
        <v>55</v>
      </c>
      <c r="G512" s="8" t="s">
        <v>31</v>
      </c>
      <c r="H512" s="8" t="s">
        <v>31</v>
      </c>
      <c r="I512" s="8" t="n">
        <f aca="false">IF(EXACT(G512,H512),1,0)</f>
        <v>1</v>
      </c>
      <c r="J512" s="8" t="n">
        <v>0</v>
      </c>
      <c r="K512" s="8" t="s">
        <v>116</v>
      </c>
      <c r="L512" s="8" t="n">
        <v>4</v>
      </c>
      <c r="M512" s="8" t="n">
        <v>0</v>
      </c>
      <c r="N512" s="8"/>
      <c r="O512" s="8" t="n">
        <v>1</v>
      </c>
      <c r="P512" s="10" t="n">
        <v>15.31</v>
      </c>
      <c r="Q512" s="8" t="n">
        <v>583</v>
      </c>
      <c r="R512" s="8" t="n">
        <v>782</v>
      </c>
      <c r="S512" s="8" t="s">
        <v>255</v>
      </c>
      <c r="T512" s="8" t="s">
        <v>367</v>
      </c>
      <c r="U512" s="8" t="s">
        <v>368</v>
      </c>
      <c r="V512" s="8"/>
      <c r="W512" s="8" t="s">
        <v>380</v>
      </c>
      <c r="X512" s="8" t="s">
        <v>606</v>
      </c>
      <c r="Y512" s="8" t="s">
        <v>2969</v>
      </c>
      <c r="Z512" s="8" t="s">
        <v>2970</v>
      </c>
    </row>
    <row r="513" customFormat="false" ht="15" hidden="false" customHeight="false" outlineLevel="0" collapsed="false">
      <c r="A513" s="8" t="s">
        <v>379</v>
      </c>
      <c r="B513" s="8" t="s">
        <v>19</v>
      </c>
      <c r="C513" s="8" t="s">
        <v>20</v>
      </c>
      <c r="D513" s="8" t="s">
        <v>615</v>
      </c>
      <c r="E513" s="8" t="s">
        <v>40</v>
      </c>
      <c r="F513" s="8" t="s">
        <v>55</v>
      </c>
      <c r="G513" s="8" t="s">
        <v>31</v>
      </c>
      <c r="H513" s="8" t="s">
        <v>31</v>
      </c>
      <c r="I513" s="8" t="n">
        <f aca="false">IF(EXACT(G513,H513),1,0)</f>
        <v>1</v>
      </c>
      <c r="J513" s="8" t="n">
        <v>1</v>
      </c>
      <c r="K513" s="8" t="s">
        <v>116</v>
      </c>
      <c r="L513" s="8" t="n">
        <v>5</v>
      </c>
      <c r="M513" s="8" t="n">
        <v>0</v>
      </c>
      <c r="N513" s="8"/>
      <c r="O513" s="8" t="n">
        <v>1</v>
      </c>
      <c r="P513" s="10" t="n">
        <v>15.6</v>
      </c>
      <c r="Q513" s="8" t="n">
        <v>583</v>
      </c>
      <c r="R513" s="8" t="n">
        <v>869</v>
      </c>
      <c r="S513" s="8" t="s">
        <v>255</v>
      </c>
      <c r="T513" s="8" t="s">
        <v>367</v>
      </c>
      <c r="U513" s="8" t="s">
        <v>368</v>
      </c>
      <c r="V513" s="8"/>
      <c r="W513" s="8" t="s">
        <v>380</v>
      </c>
      <c r="X513" s="8" t="s">
        <v>606</v>
      </c>
      <c r="Y513" s="8" t="s">
        <v>2971</v>
      </c>
      <c r="Z513" s="8" t="s">
        <v>2972</v>
      </c>
    </row>
    <row r="514" customFormat="false" ht="15" hidden="false" customHeight="false" outlineLevel="0" collapsed="false">
      <c r="A514" s="8" t="s">
        <v>379</v>
      </c>
      <c r="B514" s="8" t="s">
        <v>19</v>
      </c>
      <c r="C514" s="8" t="s">
        <v>20</v>
      </c>
      <c r="D514" s="8" t="s">
        <v>615</v>
      </c>
      <c r="E514" s="8" t="s">
        <v>40</v>
      </c>
      <c r="F514" s="8" t="s">
        <v>55</v>
      </c>
      <c r="G514" s="8" t="s">
        <v>31</v>
      </c>
      <c r="H514" s="8" t="s">
        <v>31</v>
      </c>
      <c r="I514" s="8" t="n">
        <f aca="false">IF(EXACT(G514,H514),1,0)</f>
        <v>1</v>
      </c>
      <c r="J514" s="8" t="n">
        <v>2</v>
      </c>
      <c r="K514" s="8" t="s">
        <v>116</v>
      </c>
      <c r="L514" s="8" t="n">
        <v>3</v>
      </c>
      <c r="M514" s="8" t="n">
        <v>0</v>
      </c>
      <c r="N514" s="8"/>
      <c r="O514" s="8" t="n">
        <v>1</v>
      </c>
      <c r="P514" s="10" t="n">
        <v>14.49</v>
      </c>
      <c r="Q514" s="8" t="n">
        <v>583</v>
      </c>
      <c r="R514" s="8" t="n">
        <v>733</v>
      </c>
      <c r="S514" s="8" t="s">
        <v>255</v>
      </c>
      <c r="T514" s="8" t="s">
        <v>367</v>
      </c>
      <c r="U514" s="8" t="s">
        <v>368</v>
      </c>
      <c r="V514" s="8"/>
      <c r="W514" s="8" t="s">
        <v>380</v>
      </c>
      <c r="X514" s="8" t="s">
        <v>606</v>
      </c>
      <c r="Y514" s="8" t="s">
        <v>2973</v>
      </c>
      <c r="Z514" s="8" t="s">
        <v>2974</v>
      </c>
    </row>
    <row r="515" customFormat="false" ht="15" hidden="false" customHeight="false" outlineLevel="0" collapsed="false">
      <c r="A515" s="8" t="s">
        <v>383</v>
      </c>
      <c r="B515" s="8" t="s">
        <v>19</v>
      </c>
      <c r="C515" s="8" t="s">
        <v>20</v>
      </c>
      <c r="D515" s="8" t="s">
        <v>615</v>
      </c>
      <c r="E515" s="8" t="s">
        <v>40</v>
      </c>
      <c r="F515" s="8" t="s">
        <v>55</v>
      </c>
      <c r="G515" s="8" t="s">
        <v>32</v>
      </c>
      <c r="H515" s="8" t="s">
        <v>31</v>
      </c>
      <c r="I515" s="8" t="n">
        <f aca="false">IF(EXACT(G515,H515),1,0)</f>
        <v>0</v>
      </c>
      <c r="J515" s="8" t="n">
        <v>0</v>
      </c>
      <c r="K515" s="8" t="s">
        <v>116</v>
      </c>
      <c r="L515" s="8" t="n">
        <v>4</v>
      </c>
      <c r="M515" s="8" t="n">
        <v>0</v>
      </c>
      <c r="N515" s="8"/>
      <c r="O515" s="8" t="n">
        <v>1</v>
      </c>
      <c r="P515" s="10" t="n">
        <v>13.99</v>
      </c>
      <c r="Q515" s="8" t="n">
        <v>570</v>
      </c>
      <c r="R515" s="8" t="n">
        <v>741</v>
      </c>
      <c r="S515" s="8" t="s">
        <v>384</v>
      </c>
      <c r="T515" s="8" t="s">
        <v>372</v>
      </c>
      <c r="U515" s="8" t="s">
        <v>373</v>
      </c>
      <c r="V515" s="8"/>
      <c r="W515" s="8" t="s">
        <v>385</v>
      </c>
      <c r="X515" s="8" t="s">
        <v>607</v>
      </c>
      <c r="Y515" s="8" t="s">
        <v>2975</v>
      </c>
      <c r="Z515" s="8" t="s">
        <v>2976</v>
      </c>
    </row>
    <row r="516" customFormat="false" ht="15" hidden="false" customHeight="false" outlineLevel="0" collapsed="false">
      <c r="A516" s="8" t="s">
        <v>383</v>
      </c>
      <c r="B516" s="8" t="s">
        <v>19</v>
      </c>
      <c r="C516" s="8" t="s">
        <v>20</v>
      </c>
      <c r="D516" s="8" t="s">
        <v>615</v>
      </c>
      <c r="E516" s="8" t="s">
        <v>40</v>
      </c>
      <c r="F516" s="8" t="s">
        <v>55</v>
      </c>
      <c r="G516" s="8" t="s">
        <v>32</v>
      </c>
      <c r="H516" s="8" t="s">
        <v>31</v>
      </c>
      <c r="I516" s="8" t="n">
        <f aca="false">IF(EXACT(G516,H516),1,0)</f>
        <v>0</v>
      </c>
      <c r="J516" s="8" t="n">
        <v>1</v>
      </c>
      <c r="K516" s="8" t="s">
        <v>116</v>
      </c>
      <c r="L516" s="8" t="n">
        <v>3</v>
      </c>
      <c r="M516" s="8" t="n">
        <v>0</v>
      </c>
      <c r="N516" s="8"/>
      <c r="O516" s="8" t="n">
        <v>1</v>
      </c>
      <c r="P516" s="10" t="n">
        <v>12.24</v>
      </c>
      <c r="Q516" s="8" t="n">
        <v>570</v>
      </c>
      <c r="R516" s="8" t="n">
        <v>580</v>
      </c>
      <c r="S516" s="8" t="s">
        <v>384</v>
      </c>
      <c r="T516" s="8" t="s">
        <v>372</v>
      </c>
      <c r="U516" s="8" t="s">
        <v>373</v>
      </c>
      <c r="V516" s="8"/>
      <c r="W516" s="8" t="s">
        <v>385</v>
      </c>
      <c r="X516" s="8" t="s">
        <v>607</v>
      </c>
      <c r="Y516" s="8" t="s">
        <v>2977</v>
      </c>
      <c r="Z516" s="8" t="s">
        <v>2978</v>
      </c>
    </row>
    <row r="517" customFormat="false" ht="15" hidden="false" customHeight="false" outlineLevel="0" collapsed="false">
      <c r="A517" s="8" t="s">
        <v>383</v>
      </c>
      <c r="B517" s="8" t="s">
        <v>19</v>
      </c>
      <c r="C517" s="8" t="s">
        <v>20</v>
      </c>
      <c r="D517" s="8" t="s">
        <v>615</v>
      </c>
      <c r="E517" s="8" t="s">
        <v>40</v>
      </c>
      <c r="F517" s="8" t="s">
        <v>55</v>
      </c>
      <c r="G517" s="8" t="s">
        <v>32</v>
      </c>
      <c r="H517" s="8" t="s">
        <v>31</v>
      </c>
      <c r="I517" s="8" t="n">
        <f aca="false">IF(EXACT(G517,H517),1,0)</f>
        <v>0</v>
      </c>
      <c r="J517" s="8" t="n">
        <v>2</v>
      </c>
      <c r="K517" s="8" t="s">
        <v>116</v>
      </c>
      <c r="L517" s="8" t="n">
        <v>3</v>
      </c>
      <c r="M517" s="8" t="n">
        <v>0</v>
      </c>
      <c r="N517" s="8"/>
      <c r="O517" s="8" t="n">
        <v>1</v>
      </c>
      <c r="P517" s="10" t="n">
        <v>12.28</v>
      </c>
      <c r="Q517" s="8" t="n">
        <v>570</v>
      </c>
      <c r="R517" s="8" t="n">
        <v>614</v>
      </c>
      <c r="S517" s="8" t="s">
        <v>384</v>
      </c>
      <c r="T517" s="8" t="s">
        <v>372</v>
      </c>
      <c r="U517" s="8" t="s">
        <v>373</v>
      </c>
      <c r="V517" s="8"/>
      <c r="W517" s="8" t="s">
        <v>385</v>
      </c>
      <c r="X517" s="8" t="s">
        <v>607</v>
      </c>
      <c r="Y517" s="8" t="s">
        <v>2979</v>
      </c>
      <c r="Z517" s="8" t="s">
        <v>2980</v>
      </c>
    </row>
    <row r="518" customFormat="false" ht="15" hidden="false" customHeight="false" outlineLevel="0" collapsed="false">
      <c r="A518" s="8" t="s">
        <v>387</v>
      </c>
      <c r="B518" s="8" t="s">
        <v>19</v>
      </c>
      <c r="C518" s="8" t="s">
        <v>20</v>
      </c>
      <c r="D518" s="8" t="s">
        <v>615</v>
      </c>
      <c r="E518" s="8" t="s">
        <v>40</v>
      </c>
      <c r="F518" s="8" t="s">
        <v>55</v>
      </c>
      <c r="G518" s="8" t="s">
        <v>31</v>
      </c>
      <c r="H518" s="8" t="s">
        <v>31</v>
      </c>
      <c r="I518" s="8" t="n">
        <f aca="false">IF(EXACT(G518,H518),1,0)</f>
        <v>1</v>
      </c>
      <c r="J518" s="8" t="n">
        <v>0</v>
      </c>
      <c r="K518" s="8" t="s">
        <v>116</v>
      </c>
      <c r="L518" s="8" t="n">
        <v>3</v>
      </c>
      <c r="M518" s="8" t="n">
        <v>0</v>
      </c>
      <c r="N518" s="8"/>
      <c r="O518" s="8" t="n">
        <v>1</v>
      </c>
      <c r="P518" s="10" t="n">
        <v>14.22</v>
      </c>
      <c r="Q518" s="8" t="n">
        <v>606</v>
      </c>
      <c r="R518" s="8" t="n">
        <v>685</v>
      </c>
      <c r="S518" s="8" t="s">
        <v>388</v>
      </c>
      <c r="T518" s="8" t="s">
        <v>367</v>
      </c>
      <c r="U518" s="8" t="s">
        <v>368</v>
      </c>
      <c r="V518" s="8"/>
      <c r="W518" s="8" t="s">
        <v>389</v>
      </c>
      <c r="X518" s="8" t="s">
        <v>608</v>
      </c>
      <c r="Y518" s="8" t="s">
        <v>2981</v>
      </c>
      <c r="Z518" s="8" t="s">
        <v>2982</v>
      </c>
    </row>
    <row r="519" customFormat="false" ht="15" hidden="false" customHeight="false" outlineLevel="0" collapsed="false">
      <c r="A519" s="8" t="s">
        <v>387</v>
      </c>
      <c r="B519" s="8" t="s">
        <v>19</v>
      </c>
      <c r="C519" s="8" t="s">
        <v>20</v>
      </c>
      <c r="D519" s="8" t="s">
        <v>615</v>
      </c>
      <c r="E519" s="8" t="s">
        <v>40</v>
      </c>
      <c r="F519" s="8" t="s">
        <v>55</v>
      </c>
      <c r="G519" s="8" t="s">
        <v>31</v>
      </c>
      <c r="H519" s="8" t="s">
        <v>31</v>
      </c>
      <c r="I519" s="8" t="n">
        <f aca="false">IF(EXACT(G519,H519),1,0)</f>
        <v>1</v>
      </c>
      <c r="J519" s="8" t="n">
        <v>1</v>
      </c>
      <c r="K519" s="8" t="s">
        <v>116</v>
      </c>
      <c r="L519" s="8" t="n">
        <v>4</v>
      </c>
      <c r="M519" s="8" t="n">
        <v>0</v>
      </c>
      <c r="N519" s="8"/>
      <c r="O519" s="8" t="n">
        <v>1</v>
      </c>
      <c r="P519" s="10" t="n">
        <v>17.09</v>
      </c>
      <c r="Q519" s="8" t="n">
        <v>606</v>
      </c>
      <c r="R519" s="8" t="n">
        <v>877</v>
      </c>
      <c r="S519" s="8" t="s">
        <v>388</v>
      </c>
      <c r="T519" s="8" t="s">
        <v>367</v>
      </c>
      <c r="U519" s="8" t="s">
        <v>368</v>
      </c>
      <c r="V519" s="8"/>
      <c r="W519" s="8" t="s">
        <v>389</v>
      </c>
      <c r="X519" s="8" t="s">
        <v>608</v>
      </c>
      <c r="Y519" s="8" t="s">
        <v>2983</v>
      </c>
      <c r="Z519" s="8" t="s">
        <v>2984</v>
      </c>
    </row>
    <row r="520" customFormat="false" ht="15" hidden="false" customHeight="false" outlineLevel="0" collapsed="false">
      <c r="A520" s="8" t="s">
        <v>387</v>
      </c>
      <c r="B520" s="8" t="s">
        <v>19</v>
      </c>
      <c r="C520" s="8" t="s">
        <v>20</v>
      </c>
      <c r="D520" s="8" t="s">
        <v>615</v>
      </c>
      <c r="E520" s="8" t="s">
        <v>40</v>
      </c>
      <c r="F520" s="8" t="s">
        <v>55</v>
      </c>
      <c r="G520" s="8" t="s">
        <v>31</v>
      </c>
      <c r="H520" s="8" t="s">
        <v>31</v>
      </c>
      <c r="I520" s="8" t="n">
        <f aca="false">IF(EXACT(G520,H520),1,0)</f>
        <v>1</v>
      </c>
      <c r="J520" s="8" t="n">
        <v>2</v>
      </c>
      <c r="K520" s="8" t="s">
        <v>116</v>
      </c>
      <c r="L520" s="8" t="n">
        <v>4</v>
      </c>
      <c r="M520" s="8" t="n">
        <v>0</v>
      </c>
      <c r="N520" s="8"/>
      <c r="O520" s="8" t="n">
        <v>1</v>
      </c>
      <c r="P520" s="10" t="n">
        <v>17.23</v>
      </c>
      <c r="Q520" s="8" t="n">
        <v>606</v>
      </c>
      <c r="R520" s="8" t="n">
        <v>896</v>
      </c>
      <c r="S520" s="8" t="s">
        <v>388</v>
      </c>
      <c r="T520" s="8" t="s">
        <v>367</v>
      </c>
      <c r="U520" s="8" t="s">
        <v>368</v>
      </c>
      <c r="V520" s="8"/>
      <c r="W520" s="8" t="s">
        <v>389</v>
      </c>
      <c r="X520" s="8" t="s">
        <v>608</v>
      </c>
      <c r="Y520" s="8" t="s">
        <v>2985</v>
      </c>
      <c r="Z520" s="8" t="s">
        <v>2986</v>
      </c>
    </row>
    <row r="521" customFormat="false" ht="15" hidden="false" customHeight="false" outlineLevel="0" collapsed="false">
      <c r="A521" s="8" t="s">
        <v>391</v>
      </c>
      <c r="B521" s="8" t="s">
        <v>19</v>
      </c>
      <c r="C521" s="8" t="s">
        <v>20</v>
      </c>
      <c r="D521" s="8" t="s">
        <v>615</v>
      </c>
      <c r="E521" s="8" t="s">
        <v>40</v>
      </c>
      <c r="F521" s="8" t="s">
        <v>59</v>
      </c>
      <c r="G521" s="8" t="s">
        <v>31</v>
      </c>
      <c r="H521" s="8" t="s">
        <v>31</v>
      </c>
      <c r="I521" s="8" t="n">
        <f aca="false">IF(EXACT(G521,H521),1,0)</f>
        <v>1</v>
      </c>
      <c r="J521" s="8" t="n">
        <v>0</v>
      </c>
      <c r="K521" s="8" t="s">
        <v>2333</v>
      </c>
      <c r="L521" s="8" t="n">
        <v>2</v>
      </c>
      <c r="M521" s="8" t="n">
        <v>0</v>
      </c>
      <c r="N521" s="8"/>
      <c r="O521" s="8" t="n">
        <v>1</v>
      </c>
      <c r="P521" s="10" t="n">
        <v>14.09</v>
      </c>
      <c r="Q521" s="8" t="n">
        <v>695</v>
      </c>
      <c r="R521" s="8" t="n">
        <v>691</v>
      </c>
      <c r="S521" s="8" t="s">
        <v>392</v>
      </c>
      <c r="T521" s="8"/>
      <c r="U521" s="8"/>
      <c r="V521" s="8" t="s">
        <v>155</v>
      </c>
      <c r="W521" s="8"/>
      <c r="X521" s="8" t="s">
        <v>609</v>
      </c>
      <c r="Y521" s="8" t="s">
        <v>2987</v>
      </c>
      <c r="Z521" s="8" t="s">
        <v>2988</v>
      </c>
    </row>
    <row r="522" customFormat="false" ht="15" hidden="false" customHeight="false" outlineLevel="0" collapsed="false">
      <c r="A522" s="8" t="s">
        <v>391</v>
      </c>
      <c r="B522" s="8" t="s">
        <v>19</v>
      </c>
      <c r="C522" s="8" t="s">
        <v>20</v>
      </c>
      <c r="D522" s="8" t="s">
        <v>615</v>
      </c>
      <c r="E522" s="8" t="s">
        <v>40</v>
      </c>
      <c r="F522" s="8" t="s">
        <v>59</v>
      </c>
      <c r="G522" s="8" t="s">
        <v>31</v>
      </c>
      <c r="H522" s="8" t="s">
        <v>31</v>
      </c>
      <c r="I522" s="8" t="n">
        <f aca="false">IF(EXACT(G522,H522),1,0)</f>
        <v>1</v>
      </c>
      <c r="J522" s="8" t="n">
        <v>1</v>
      </c>
      <c r="K522" s="8" t="s">
        <v>2333</v>
      </c>
      <c r="L522" s="8" t="n">
        <v>2</v>
      </c>
      <c r="M522" s="8" t="n">
        <v>0</v>
      </c>
      <c r="N522" s="8"/>
      <c r="O522" s="8" t="n">
        <v>1</v>
      </c>
      <c r="P522" s="10" t="n">
        <v>13.82</v>
      </c>
      <c r="Q522" s="8" t="n">
        <v>695</v>
      </c>
      <c r="R522" s="8" t="n">
        <v>768</v>
      </c>
      <c r="S522" s="8" t="s">
        <v>392</v>
      </c>
      <c r="T522" s="8"/>
      <c r="U522" s="8"/>
      <c r="V522" s="8" t="s">
        <v>155</v>
      </c>
      <c r="W522" s="8"/>
      <c r="X522" s="8" t="s">
        <v>609</v>
      </c>
      <c r="Y522" s="8" t="s">
        <v>2989</v>
      </c>
      <c r="Z522" s="8" t="s">
        <v>2990</v>
      </c>
    </row>
    <row r="523" customFormat="false" ht="15" hidden="false" customHeight="false" outlineLevel="0" collapsed="false">
      <c r="A523" s="8" t="s">
        <v>391</v>
      </c>
      <c r="B523" s="8" t="s">
        <v>19</v>
      </c>
      <c r="C523" s="8" t="s">
        <v>20</v>
      </c>
      <c r="D523" s="8" t="s">
        <v>615</v>
      </c>
      <c r="E523" s="8" t="s">
        <v>40</v>
      </c>
      <c r="F523" s="8" t="s">
        <v>59</v>
      </c>
      <c r="G523" s="8" t="s">
        <v>31</v>
      </c>
      <c r="H523" s="8" t="s">
        <v>31</v>
      </c>
      <c r="I523" s="8" t="n">
        <f aca="false">IF(EXACT(G523,H523),1,0)</f>
        <v>1</v>
      </c>
      <c r="J523" s="8" t="n">
        <v>2</v>
      </c>
      <c r="K523" s="8" t="s">
        <v>2333</v>
      </c>
      <c r="L523" s="8" t="n">
        <v>2</v>
      </c>
      <c r="M523" s="8" t="n">
        <v>0</v>
      </c>
      <c r="N523" s="8"/>
      <c r="O523" s="8" t="n">
        <v>1</v>
      </c>
      <c r="P523" s="10" t="n">
        <v>13.2</v>
      </c>
      <c r="Q523" s="8" t="n">
        <v>695</v>
      </c>
      <c r="R523" s="8" t="n">
        <v>703</v>
      </c>
      <c r="S523" s="8" t="s">
        <v>392</v>
      </c>
      <c r="T523" s="8"/>
      <c r="U523" s="8"/>
      <c r="V523" s="8" t="s">
        <v>155</v>
      </c>
      <c r="W523" s="8"/>
      <c r="X523" s="8" t="s">
        <v>609</v>
      </c>
      <c r="Y523" s="8" t="s">
        <v>2991</v>
      </c>
      <c r="Z523" s="8" t="s">
        <v>2992</v>
      </c>
    </row>
    <row r="524" customFormat="false" ht="15" hidden="false" customHeight="false" outlineLevel="0" collapsed="false">
      <c r="A524" s="8" t="s">
        <v>395</v>
      </c>
      <c r="B524" s="8" t="s">
        <v>19</v>
      </c>
      <c r="C524" s="8" t="s">
        <v>20</v>
      </c>
      <c r="D524" s="8" t="s">
        <v>615</v>
      </c>
      <c r="E524" s="8" t="s">
        <v>40</v>
      </c>
      <c r="F524" s="8" t="s">
        <v>59</v>
      </c>
      <c r="G524" s="8" t="s">
        <v>31</v>
      </c>
      <c r="H524" s="8" t="s">
        <v>31</v>
      </c>
      <c r="I524" s="8" t="n">
        <f aca="false">IF(EXACT(G524,H524),1,0)</f>
        <v>1</v>
      </c>
      <c r="J524" s="8" t="n">
        <v>0</v>
      </c>
      <c r="K524" s="8" t="s">
        <v>737</v>
      </c>
      <c r="L524" s="8" t="n">
        <v>3</v>
      </c>
      <c r="M524" s="8" t="n">
        <v>0</v>
      </c>
      <c r="N524" s="8"/>
      <c r="O524" s="8" t="n">
        <v>1</v>
      </c>
      <c r="P524" s="10" t="n">
        <v>9.24</v>
      </c>
      <c r="Q524" s="8" t="n">
        <v>677</v>
      </c>
      <c r="R524" s="8" t="n">
        <v>546</v>
      </c>
      <c r="S524" s="8" t="s">
        <v>396</v>
      </c>
      <c r="T524" s="8"/>
      <c r="U524" s="8"/>
      <c r="V524" s="8" t="s">
        <v>155</v>
      </c>
      <c r="W524" s="8"/>
      <c r="X524" s="8" t="s">
        <v>610</v>
      </c>
      <c r="Y524" s="8" t="s">
        <v>2993</v>
      </c>
      <c r="Z524" s="8" t="s">
        <v>2994</v>
      </c>
    </row>
    <row r="525" customFormat="false" ht="15" hidden="false" customHeight="false" outlineLevel="0" collapsed="false">
      <c r="A525" s="8" t="s">
        <v>395</v>
      </c>
      <c r="B525" s="8" t="s">
        <v>19</v>
      </c>
      <c r="C525" s="8" t="s">
        <v>20</v>
      </c>
      <c r="D525" s="8" t="s">
        <v>615</v>
      </c>
      <c r="E525" s="8" t="s">
        <v>40</v>
      </c>
      <c r="F525" s="8" t="s">
        <v>59</v>
      </c>
      <c r="G525" s="8" t="s">
        <v>31</v>
      </c>
      <c r="H525" s="8" t="s">
        <v>31</v>
      </c>
      <c r="I525" s="8" t="n">
        <f aca="false">IF(EXACT(G525,H525),1,0)</f>
        <v>1</v>
      </c>
      <c r="J525" s="8" t="n">
        <v>1</v>
      </c>
      <c r="K525" s="8" t="s">
        <v>737</v>
      </c>
      <c r="L525" s="8" t="n">
        <v>3</v>
      </c>
      <c r="M525" s="8" t="n">
        <v>0</v>
      </c>
      <c r="N525" s="8"/>
      <c r="O525" s="8" t="n">
        <v>1</v>
      </c>
      <c r="P525" s="10" t="n">
        <v>8.77</v>
      </c>
      <c r="Q525" s="8" t="n">
        <v>677</v>
      </c>
      <c r="R525" s="8" t="n">
        <v>546</v>
      </c>
      <c r="S525" s="8" t="s">
        <v>396</v>
      </c>
      <c r="T525" s="8"/>
      <c r="U525" s="8"/>
      <c r="V525" s="8" t="s">
        <v>155</v>
      </c>
      <c r="W525" s="8"/>
      <c r="X525" s="8" t="s">
        <v>610</v>
      </c>
      <c r="Y525" s="8" t="s">
        <v>2995</v>
      </c>
      <c r="Z525" s="8" t="s">
        <v>2996</v>
      </c>
    </row>
    <row r="526" customFormat="false" ht="15" hidden="false" customHeight="false" outlineLevel="0" collapsed="false">
      <c r="A526" s="8" t="s">
        <v>395</v>
      </c>
      <c r="B526" s="8" t="s">
        <v>19</v>
      </c>
      <c r="C526" s="8" t="s">
        <v>20</v>
      </c>
      <c r="D526" s="8" t="s">
        <v>615</v>
      </c>
      <c r="E526" s="8" t="s">
        <v>40</v>
      </c>
      <c r="F526" s="8" t="s">
        <v>59</v>
      </c>
      <c r="G526" s="8" t="s">
        <v>31</v>
      </c>
      <c r="H526" s="8" t="s">
        <v>31</v>
      </c>
      <c r="I526" s="8" t="n">
        <f aca="false">IF(EXACT(G526,H526),1,0)</f>
        <v>1</v>
      </c>
      <c r="J526" s="8" t="n">
        <v>2</v>
      </c>
      <c r="K526" s="8" t="s">
        <v>2333</v>
      </c>
      <c r="L526" s="8" t="n">
        <v>3</v>
      </c>
      <c r="M526" s="8" t="n">
        <v>0</v>
      </c>
      <c r="N526" s="8"/>
      <c r="O526" s="8" t="n">
        <v>1</v>
      </c>
      <c r="P526" s="10" t="n">
        <v>9.83</v>
      </c>
      <c r="Q526" s="8" t="n">
        <v>677</v>
      </c>
      <c r="R526" s="8" t="n">
        <v>571</v>
      </c>
      <c r="S526" s="8" t="s">
        <v>396</v>
      </c>
      <c r="T526" s="8"/>
      <c r="U526" s="8"/>
      <c r="V526" s="8" t="s">
        <v>155</v>
      </c>
      <c r="W526" s="8"/>
      <c r="X526" s="8" t="s">
        <v>610</v>
      </c>
      <c r="Y526" s="8" t="s">
        <v>2997</v>
      </c>
      <c r="Z526" s="8" t="s">
        <v>2994</v>
      </c>
    </row>
    <row r="527" customFormat="false" ht="15" hidden="false" customHeight="false" outlineLevel="0" collapsed="false">
      <c r="A527" s="8" t="s">
        <v>399</v>
      </c>
      <c r="B527" s="8" t="s">
        <v>19</v>
      </c>
      <c r="C527" s="8" t="s">
        <v>20</v>
      </c>
      <c r="D527" s="8" t="s">
        <v>615</v>
      </c>
      <c r="E527" s="8" t="s">
        <v>40</v>
      </c>
      <c r="F527" s="8" t="s">
        <v>59</v>
      </c>
      <c r="G527" s="8" t="s">
        <v>32</v>
      </c>
      <c r="H527" s="8" t="s">
        <v>31</v>
      </c>
      <c r="I527" s="8" t="n">
        <f aca="false">IF(EXACT(G527,H527),1,0)</f>
        <v>0</v>
      </c>
      <c r="J527" s="8" t="n">
        <v>0</v>
      </c>
      <c r="K527" s="8" t="s">
        <v>116</v>
      </c>
      <c r="L527" s="8" t="n">
        <v>1</v>
      </c>
      <c r="M527" s="8" t="n">
        <v>0</v>
      </c>
      <c r="N527" s="8"/>
      <c r="O527" s="8" t="n">
        <v>1</v>
      </c>
      <c r="P527" s="10" t="n">
        <v>10.44</v>
      </c>
      <c r="Q527" s="8" t="n">
        <v>682</v>
      </c>
      <c r="R527" s="8" t="n">
        <v>475</v>
      </c>
      <c r="S527" s="8" t="s">
        <v>400</v>
      </c>
      <c r="T527" s="8"/>
      <c r="U527" s="8"/>
      <c r="V527" s="8" t="s">
        <v>155</v>
      </c>
      <c r="W527" s="8"/>
      <c r="X527" s="8" t="s">
        <v>611</v>
      </c>
      <c r="Y527" s="8" t="s">
        <v>2998</v>
      </c>
      <c r="Z527" s="8" t="s">
        <v>2999</v>
      </c>
    </row>
    <row r="528" customFormat="false" ht="15" hidden="false" customHeight="false" outlineLevel="0" collapsed="false">
      <c r="A528" s="8" t="s">
        <v>399</v>
      </c>
      <c r="B528" s="8" t="s">
        <v>19</v>
      </c>
      <c r="C528" s="8" t="s">
        <v>20</v>
      </c>
      <c r="D528" s="8" t="s">
        <v>615</v>
      </c>
      <c r="E528" s="8" t="s">
        <v>40</v>
      </c>
      <c r="F528" s="8" t="s">
        <v>59</v>
      </c>
      <c r="G528" s="8" t="s">
        <v>32</v>
      </c>
      <c r="H528" s="8" t="s">
        <v>31</v>
      </c>
      <c r="I528" s="8" t="n">
        <f aca="false">IF(EXACT(G528,H528),1,0)</f>
        <v>0</v>
      </c>
      <c r="J528" s="8" t="n">
        <v>1</v>
      </c>
      <c r="K528" s="8" t="s">
        <v>116</v>
      </c>
      <c r="L528" s="8" t="n">
        <v>2</v>
      </c>
      <c r="M528" s="8" t="n">
        <v>0</v>
      </c>
      <c r="N528" s="8"/>
      <c r="O528" s="8" t="n">
        <v>1</v>
      </c>
      <c r="P528" s="10" t="n">
        <v>12.07</v>
      </c>
      <c r="Q528" s="8" t="n">
        <v>682</v>
      </c>
      <c r="R528" s="8" t="n">
        <v>600</v>
      </c>
      <c r="S528" s="8" t="s">
        <v>400</v>
      </c>
      <c r="T528" s="8"/>
      <c r="U528" s="8"/>
      <c r="V528" s="8" t="s">
        <v>155</v>
      </c>
      <c r="W528" s="8"/>
      <c r="X528" s="8" t="s">
        <v>611</v>
      </c>
      <c r="Y528" s="8" t="s">
        <v>3000</v>
      </c>
      <c r="Z528" s="8" t="s">
        <v>3001</v>
      </c>
    </row>
    <row r="529" customFormat="false" ht="15" hidden="false" customHeight="false" outlineLevel="0" collapsed="false">
      <c r="A529" s="8" t="s">
        <v>399</v>
      </c>
      <c r="B529" s="8" t="s">
        <v>19</v>
      </c>
      <c r="C529" s="8" t="s">
        <v>20</v>
      </c>
      <c r="D529" s="8" t="s">
        <v>615</v>
      </c>
      <c r="E529" s="8" t="s">
        <v>40</v>
      </c>
      <c r="F529" s="8" t="s">
        <v>59</v>
      </c>
      <c r="G529" s="8" t="s">
        <v>32</v>
      </c>
      <c r="H529" s="8" t="s">
        <v>31</v>
      </c>
      <c r="I529" s="8" t="n">
        <f aca="false">IF(EXACT(G529,H529),1,0)</f>
        <v>0</v>
      </c>
      <c r="J529" s="8" t="n">
        <v>2</v>
      </c>
      <c r="K529" s="8" t="s">
        <v>116</v>
      </c>
      <c r="L529" s="8" t="n">
        <v>2</v>
      </c>
      <c r="M529" s="8" t="n">
        <v>0</v>
      </c>
      <c r="N529" s="8"/>
      <c r="O529" s="8" t="n">
        <v>1</v>
      </c>
      <c r="P529" s="10" t="n">
        <v>11.37</v>
      </c>
      <c r="Q529" s="8" t="n">
        <v>682</v>
      </c>
      <c r="R529" s="8" t="n">
        <v>562</v>
      </c>
      <c r="S529" s="8" t="s">
        <v>400</v>
      </c>
      <c r="T529" s="8"/>
      <c r="U529" s="8"/>
      <c r="V529" s="8" t="s">
        <v>155</v>
      </c>
      <c r="W529" s="8"/>
      <c r="X529" s="8" t="s">
        <v>611</v>
      </c>
      <c r="Y529" s="8" t="s">
        <v>3002</v>
      </c>
      <c r="Z529" s="8" t="s">
        <v>3003</v>
      </c>
    </row>
    <row r="530" customFormat="false" ht="15" hidden="false" customHeight="false" outlineLevel="0" collapsed="false">
      <c r="A530" s="8" t="s">
        <v>402</v>
      </c>
      <c r="B530" s="8" t="s">
        <v>19</v>
      </c>
      <c r="C530" s="8" t="s">
        <v>20</v>
      </c>
      <c r="D530" s="8" t="s">
        <v>615</v>
      </c>
      <c r="E530" s="8" t="s">
        <v>40</v>
      </c>
      <c r="F530" s="8" t="s">
        <v>59</v>
      </c>
      <c r="G530" s="8" t="s">
        <v>32</v>
      </c>
      <c r="H530" s="8" t="s">
        <v>31</v>
      </c>
      <c r="I530" s="8" t="n">
        <f aca="false">IF(EXACT(G530,H530),1,0)</f>
        <v>0</v>
      </c>
      <c r="J530" s="8" t="n">
        <v>0</v>
      </c>
      <c r="K530" s="8" t="s">
        <v>2333</v>
      </c>
      <c r="L530" s="8" t="n">
        <v>5</v>
      </c>
      <c r="M530" s="8" t="n">
        <v>0</v>
      </c>
      <c r="N530" s="8"/>
      <c r="O530" s="8" t="n">
        <v>1</v>
      </c>
      <c r="P530" s="10" t="n">
        <v>17.73</v>
      </c>
      <c r="Q530" s="8" t="n">
        <v>651</v>
      </c>
      <c r="R530" s="8" t="n">
        <v>907</v>
      </c>
      <c r="S530" s="8" t="s">
        <v>403</v>
      </c>
      <c r="T530" s="8"/>
      <c r="U530" s="8"/>
      <c r="V530" s="8" t="s">
        <v>155</v>
      </c>
      <c r="W530" s="8"/>
      <c r="X530" s="8" t="s">
        <v>612</v>
      </c>
      <c r="Y530" s="8" t="s">
        <v>3004</v>
      </c>
      <c r="Z530" s="8" t="s">
        <v>3005</v>
      </c>
    </row>
    <row r="531" customFormat="false" ht="15" hidden="false" customHeight="false" outlineLevel="0" collapsed="false">
      <c r="A531" s="8" t="s">
        <v>402</v>
      </c>
      <c r="B531" s="8" t="s">
        <v>19</v>
      </c>
      <c r="C531" s="8" t="s">
        <v>20</v>
      </c>
      <c r="D531" s="8" t="s">
        <v>615</v>
      </c>
      <c r="E531" s="8" t="s">
        <v>40</v>
      </c>
      <c r="F531" s="8" t="s">
        <v>59</v>
      </c>
      <c r="G531" s="8" t="s">
        <v>32</v>
      </c>
      <c r="H531" s="8" t="s">
        <v>31</v>
      </c>
      <c r="I531" s="8" t="n">
        <f aca="false">IF(EXACT(G531,H531),1,0)</f>
        <v>0</v>
      </c>
      <c r="J531" s="8" t="n">
        <v>1</v>
      </c>
      <c r="K531" s="8" t="s">
        <v>2333</v>
      </c>
      <c r="L531" s="8" t="n">
        <v>2</v>
      </c>
      <c r="M531" s="8" t="n">
        <v>0</v>
      </c>
      <c r="N531" s="8"/>
      <c r="O531" s="8" t="n">
        <v>1</v>
      </c>
      <c r="P531" s="10" t="n">
        <v>12.79</v>
      </c>
      <c r="Q531" s="8" t="n">
        <v>651</v>
      </c>
      <c r="R531" s="8" t="n">
        <v>634</v>
      </c>
      <c r="S531" s="8" t="s">
        <v>403</v>
      </c>
      <c r="T531" s="8"/>
      <c r="U531" s="8"/>
      <c r="V531" s="8" t="s">
        <v>155</v>
      </c>
      <c r="W531" s="8"/>
      <c r="X531" s="8" t="s">
        <v>612</v>
      </c>
      <c r="Y531" s="8" t="s">
        <v>3006</v>
      </c>
      <c r="Z531" s="8" t="s">
        <v>3007</v>
      </c>
    </row>
    <row r="532" customFormat="false" ht="15" hidden="false" customHeight="false" outlineLevel="0" collapsed="false">
      <c r="A532" s="8" t="s">
        <v>402</v>
      </c>
      <c r="B532" s="8" t="s">
        <v>19</v>
      </c>
      <c r="C532" s="8" t="s">
        <v>20</v>
      </c>
      <c r="D532" s="8" t="s">
        <v>615</v>
      </c>
      <c r="E532" s="8" t="s">
        <v>40</v>
      </c>
      <c r="F532" s="8" t="s">
        <v>59</v>
      </c>
      <c r="G532" s="8" t="s">
        <v>32</v>
      </c>
      <c r="H532" s="8" t="s">
        <v>31</v>
      </c>
      <c r="I532" s="8" t="n">
        <f aca="false">IF(EXACT(G532,H532),1,0)</f>
        <v>0</v>
      </c>
      <c r="J532" s="8" t="n">
        <v>2</v>
      </c>
      <c r="K532" s="8" t="s">
        <v>2333</v>
      </c>
      <c r="L532" s="8" t="n">
        <v>2</v>
      </c>
      <c r="M532" s="8" t="n">
        <v>0</v>
      </c>
      <c r="N532" s="8"/>
      <c r="O532" s="8" t="n">
        <v>1</v>
      </c>
      <c r="P532" s="10" t="n">
        <v>13.54</v>
      </c>
      <c r="Q532" s="8" t="n">
        <v>651</v>
      </c>
      <c r="R532" s="8" t="n">
        <v>702</v>
      </c>
      <c r="S532" s="8" t="s">
        <v>403</v>
      </c>
      <c r="T532" s="8"/>
      <c r="U532" s="8"/>
      <c r="V532" s="8" t="s">
        <v>155</v>
      </c>
      <c r="W532" s="8"/>
      <c r="X532" s="8" t="s">
        <v>612</v>
      </c>
      <c r="Y532" s="8" t="s">
        <v>3008</v>
      </c>
      <c r="Z532" s="8" t="s">
        <v>3009</v>
      </c>
    </row>
    <row r="533" customFormat="false" ht="15" hidden="false" customHeight="false" outlineLevel="0" collapsed="false">
      <c r="A533" s="8" t="s">
        <v>405</v>
      </c>
      <c r="B533" s="8" t="s">
        <v>19</v>
      </c>
      <c r="C533" s="8" t="s">
        <v>20</v>
      </c>
      <c r="D533" s="8" t="s">
        <v>615</v>
      </c>
      <c r="E533" s="8" t="s">
        <v>40</v>
      </c>
      <c r="F533" s="8" t="s">
        <v>59</v>
      </c>
      <c r="G533" s="8" t="s">
        <v>30</v>
      </c>
      <c r="H533" s="8" t="s">
        <v>30</v>
      </c>
      <c r="I533" s="8" t="n">
        <f aca="false">IF(EXACT(G533,H533),1,0)</f>
        <v>1</v>
      </c>
      <c r="J533" s="8" t="n">
        <v>0</v>
      </c>
      <c r="K533" s="8" t="s">
        <v>92</v>
      </c>
      <c r="L533" s="8" t="n">
        <v>0</v>
      </c>
      <c r="M533" s="8" t="n">
        <v>0</v>
      </c>
      <c r="N533" s="8"/>
      <c r="O533" s="8" t="n">
        <v>1</v>
      </c>
      <c r="P533" s="10" t="n">
        <v>8.7</v>
      </c>
      <c r="Q533" s="8" t="n">
        <v>711</v>
      </c>
      <c r="R533" s="8" t="n">
        <v>360</v>
      </c>
      <c r="S533" s="8" t="s">
        <v>406</v>
      </c>
      <c r="T533" s="8"/>
      <c r="U533" s="8"/>
      <c r="V533" s="8" t="s">
        <v>155</v>
      </c>
      <c r="W533" s="8"/>
      <c r="X533" s="8" t="s">
        <v>613</v>
      </c>
      <c r="Y533" s="8" t="s">
        <v>3010</v>
      </c>
      <c r="Z533" s="8"/>
    </row>
    <row r="534" customFormat="false" ht="15" hidden="false" customHeight="false" outlineLevel="0" collapsed="false">
      <c r="A534" s="8" t="s">
        <v>405</v>
      </c>
      <c r="B534" s="8" t="s">
        <v>19</v>
      </c>
      <c r="C534" s="8" t="s">
        <v>20</v>
      </c>
      <c r="D534" s="8" t="s">
        <v>615</v>
      </c>
      <c r="E534" s="8" t="s">
        <v>40</v>
      </c>
      <c r="F534" s="8" t="s">
        <v>59</v>
      </c>
      <c r="G534" s="8" t="s">
        <v>30</v>
      </c>
      <c r="H534" s="8" t="s">
        <v>30</v>
      </c>
      <c r="I534" s="8" t="n">
        <f aca="false">IF(EXACT(G534,H534),1,0)</f>
        <v>1</v>
      </c>
      <c r="J534" s="8" t="n">
        <v>1</v>
      </c>
      <c r="K534" s="8" t="s">
        <v>92</v>
      </c>
      <c r="L534" s="8" t="n">
        <v>0</v>
      </c>
      <c r="M534" s="8" t="n">
        <v>0</v>
      </c>
      <c r="N534" s="8"/>
      <c r="O534" s="8" t="n">
        <v>1</v>
      </c>
      <c r="P534" s="10" t="n">
        <v>7.81</v>
      </c>
      <c r="Q534" s="8" t="n">
        <v>711</v>
      </c>
      <c r="R534" s="8" t="n">
        <v>367</v>
      </c>
      <c r="S534" s="8" t="s">
        <v>406</v>
      </c>
      <c r="T534" s="8"/>
      <c r="U534" s="8"/>
      <c r="V534" s="8" t="s">
        <v>155</v>
      </c>
      <c r="W534" s="8"/>
      <c r="X534" s="8" t="s">
        <v>613</v>
      </c>
      <c r="Y534" s="8" t="s">
        <v>3011</v>
      </c>
      <c r="Z534" s="8"/>
    </row>
    <row r="535" customFormat="false" ht="15" hidden="false" customHeight="false" outlineLevel="0" collapsed="false">
      <c r="A535" s="8" t="s">
        <v>405</v>
      </c>
      <c r="B535" s="8" t="s">
        <v>19</v>
      </c>
      <c r="C535" s="8" t="s">
        <v>20</v>
      </c>
      <c r="D535" s="8" t="s">
        <v>615</v>
      </c>
      <c r="E535" s="8" t="s">
        <v>40</v>
      </c>
      <c r="F535" s="8" t="s">
        <v>59</v>
      </c>
      <c r="G535" s="8" t="s">
        <v>30</v>
      </c>
      <c r="H535" s="8" t="s">
        <v>30</v>
      </c>
      <c r="I535" s="8" t="n">
        <f aca="false">IF(EXACT(G535,H535),1,0)</f>
        <v>1</v>
      </c>
      <c r="J535" s="8" t="n">
        <v>2</v>
      </c>
      <c r="K535" s="8" t="s">
        <v>92</v>
      </c>
      <c r="L535" s="8" t="n">
        <v>0</v>
      </c>
      <c r="M535" s="8" t="n">
        <v>0</v>
      </c>
      <c r="N535" s="8"/>
      <c r="O535" s="8" t="n">
        <v>1</v>
      </c>
      <c r="P535" s="10" t="n">
        <v>7.35</v>
      </c>
      <c r="Q535" s="8" t="n">
        <v>711</v>
      </c>
      <c r="R535" s="8" t="n">
        <v>335</v>
      </c>
      <c r="S535" s="8" t="s">
        <v>406</v>
      </c>
      <c r="T535" s="8"/>
      <c r="U535" s="8"/>
      <c r="V535" s="8" t="s">
        <v>155</v>
      </c>
      <c r="W535" s="8"/>
      <c r="X535" s="8" t="s">
        <v>613</v>
      </c>
      <c r="Y535" s="8" t="s">
        <v>3012</v>
      </c>
      <c r="Z535" s="8"/>
    </row>
    <row r="536" customFormat="false" ht="15" hidden="false" customHeight="false" outlineLevel="0" collapsed="false">
      <c r="A536" s="8" t="s">
        <v>408</v>
      </c>
      <c r="B536" s="8" t="s">
        <v>19</v>
      </c>
      <c r="C536" s="8" t="s">
        <v>20</v>
      </c>
      <c r="D536" s="8" t="s">
        <v>615</v>
      </c>
      <c r="E536" s="8" t="s">
        <v>40</v>
      </c>
      <c r="F536" s="8" t="s">
        <v>59</v>
      </c>
      <c r="G536" s="8" t="s">
        <v>30</v>
      </c>
      <c r="H536" s="8" t="s">
        <v>31</v>
      </c>
      <c r="I536" s="8" t="n">
        <f aca="false">IF(EXACT(G536,H536),1,0)</f>
        <v>0</v>
      </c>
      <c r="J536" s="8" t="n">
        <v>0</v>
      </c>
      <c r="K536" s="8" t="s">
        <v>2333</v>
      </c>
      <c r="L536" s="8" t="n">
        <v>2</v>
      </c>
      <c r="M536" s="8" t="n">
        <v>0</v>
      </c>
      <c r="N536" s="8"/>
      <c r="O536" s="8" t="n">
        <v>1</v>
      </c>
      <c r="P536" s="10" t="n">
        <v>14.13</v>
      </c>
      <c r="Q536" s="8" t="n">
        <v>698</v>
      </c>
      <c r="R536" s="8" t="n">
        <v>700</v>
      </c>
      <c r="S536" s="8" t="s">
        <v>409</v>
      </c>
      <c r="T536" s="8"/>
      <c r="U536" s="8"/>
      <c r="V536" s="8" t="s">
        <v>155</v>
      </c>
      <c r="W536" s="8"/>
      <c r="X536" s="8" t="s">
        <v>614</v>
      </c>
      <c r="Y536" s="8" t="s">
        <v>3013</v>
      </c>
      <c r="Z536" s="8" t="s">
        <v>3014</v>
      </c>
    </row>
    <row r="537" customFormat="false" ht="15" hidden="false" customHeight="false" outlineLevel="0" collapsed="false">
      <c r="A537" s="8" t="s">
        <v>408</v>
      </c>
      <c r="B537" s="8" t="s">
        <v>19</v>
      </c>
      <c r="C537" s="8" t="s">
        <v>20</v>
      </c>
      <c r="D537" s="8" t="s">
        <v>615</v>
      </c>
      <c r="E537" s="8" t="s">
        <v>40</v>
      </c>
      <c r="F537" s="8" t="s">
        <v>59</v>
      </c>
      <c r="G537" s="8" t="s">
        <v>30</v>
      </c>
      <c r="H537" s="8" t="s">
        <v>31</v>
      </c>
      <c r="I537" s="8" t="n">
        <f aca="false">IF(EXACT(G537,H537),1,0)</f>
        <v>0</v>
      </c>
      <c r="J537" s="8" t="n">
        <v>1</v>
      </c>
      <c r="K537" s="8" t="s">
        <v>2333</v>
      </c>
      <c r="L537" s="8" t="n">
        <v>2</v>
      </c>
      <c r="M537" s="8" t="n">
        <v>0</v>
      </c>
      <c r="N537" s="8"/>
      <c r="O537" s="8" t="n">
        <v>1</v>
      </c>
      <c r="P537" s="10" t="n">
        <v>12.91</v>
      </c>
      <c r="Q537" s="8" t="n">
        <v>698</v>
      </c>
      <c r="R537" s="8" t="n">
        <v>697</v>
      </c>
      <c r="S537" s="8" t="s">
        <v>409</v>
      </c>
      <c r="T537" s="8"/>
      <c r="U537" s="8"/>
      <c r="V537" s="8" t="s">
        <v>155</v>
      </c>
      <c r="W537" s="8"/>
      <c r="X537" s="8" t="s">
        <v>614</v>
      </c>
      <c r="Y537" s="8" t="s">
        <v>3015</v>
      </c>
      <c r="Z537" s="8" t="s">
        <v>3016</v>
      </c>
    </row>
    <row r="538" customFormat="false" ht="15" hidden="false" customHeight="false" outlineLevel="0" collapsed="false">
      <c r="A538" s="8" t="s">
        <v>408</v>
      </c>
      <c r="B538" s="8" t="s">
        <v>19</v>
      </c>
      <c r="C538" s="8" t="s">
        <v>20</v>
      </c>
      <c r="D538" s="8" t="s">
        <v>615</v>
      </c>
      <c r="E538" s="8" t="s">
        <v>40</v>
      </c>
      <c r="F538" s="8" t="s">
        <v>59</v>
      </c>
      <c r="G538" s="8" t="s">
        <v>30</v>
      </c>
      <c r="H538" s="8" t="s">
        <v>31</v>
      </c>
      <c r="I538" s="8" t="n">
        <f aca="false">IF(EXACT(G538,H538),1,0)</f>
        <v>0</v>
      </c>
      <c r="J538" s="8" t="n">
        <v>2</v>
      </c>
      <c r="K538" s="8" t="s">
        <v>2333</v>
      </c>
      <c r="L538" s="8" t="n">
        <v>2</v>
      </c>
      <c r="M538" s="8" t="n">
        <v>0</v>
      </c>
      <c r="N538" s="8"/>
      <c r="O538" s="8" t="n">
        <v>1</v>
      </c>
      <c r="P538" s="10" t="n">
        <v>14.02</v>
      </c>
      <c r="Q538" s="8" t="n">
        <v>698</v>
      </c>
      <c r="R538" s="8" t="n">
        <v>651</v>
      </c>
      <c r="S538" s="8" t="s">
        <v>409</v>
      </c>
      <c r="T538" s="8"/>
      <c r="U538" s="8"/>
      <c r="V538" s="8" t="s">
        <v>155</v>
      </c>
      <c r="W538" s="8"/>
      <c r="X538" s="8" t="s">
        <v>614</v>
      </c>
      <c r="Y538" s="8" t="s">
        <v>3017</v>
      </c>
      <c r="Z538" s="8" t="s">
        <v>3018</v>
      </c>
    </row>
  </sheetData>
  <autoFilter ref="A1:Z5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6"/>
    <col collapsed="false" customWidth="true" hidden="false" outlineLevel="0" max="4" min="4" style="0" width="18"/>
    <col collapsed="false" customWidth="true" hidden="false" outlineLevel="0" max="5" min="5" style="0" width="10"/>
    <col collapsed="false" customWidth="true" hidden="false" outlineLevel="0" max="6" min="6" style="0" width="9"/>
    <col collapsed="false" customWidth="true" hidden="false" outlineLevel="0" max="8" min="7" style="0" width="13"/>
    <col collapsed="false" customWidth="true" hidden="false" outlineLevel="0" max="9" min="9" style="0" width="8"/>
    <col collapsed="false" customWidth="true" hidden="false" outlineLevel="0" max="10" min="10" style="0" width="6"/>
    <col collapsed="false" customWidth="true" hidden="false" outlineLevel="0" max="11" min="11" style="0" width="10"/>
    <col collapsed="false" customWidth="true" hidden="false" outlineLevel="0" max="12" min="12" style="0" width="7"/>
    <col collapsed="false" customWidth="true" hidden="false" outlineLevel="0" max="13" min="13" style="0" width="8"/>
    <col collapsed="false" customWidth="true" hidden="false" outlineLevel="0" max="14" min="14" style="0" width="34"/>
    <col collapsed="false" customWidth="true" hidden="false" outlineLevel="0" max="15" min="15" style="0" width="8"/>
    <col collapsed="false" customWidth="true" hidden="false" outlineLevel="0" max="16" min="16" style="0" width="10"/>
    <col collapsed="false" customWidth="true" hidden="false" outlineLevel="0" max="17" min="17" style="0" width="8"/>
    <col collapsed="false" customWidth="true" hidden="false" outlineLevel="0" max="18" min="18" style="0" width="9"/>
    <col collapsed="false" customWidth="true" hidden="false" outlineLevel="0" max="19" min="19" style="0" width="24"/>
    <col collapsed="false" customWidth="true" hidden="false" outlineLevel="0" max="20" min="20" style="0" width="10"/>
    <col collapsed="false" customWidth="true" hidden="false" outlineLevel="0" max="21" min="21" style="0" width="34"/>
    <col collapsed="false" customWidth="true" hidden="false" outlineLevel="0" max="22" min="22" style="0" width="12"/>
    <col collapsed="false" customWidth="true" hidden="false" outlineLevel="0" max="23" min="23" style="0" width="32"/>
    <col collapsed="false" customWidth="true" hidden="false" outlineLevel="0" max="24" min="24" style="0" width="40"/>
    <col collapsed="false" customWidth="true" hidden="false" outlineLevel="0" max="26" min="25" style="0" width="60"/>
  </cols>
  <sheetData>
    <row r="1" customFormat="false" ht="45" hidden="false" customHeight="true" outlineLevel="0" collapsed="false">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customFormat="false" ht="15" hidden="false" customHeight="false" outlineLevel="0" collapsed="false">
      <c r="A2" s="8" t="s">
        <v>90</v>
      </c>
      <c r="B2" s="8" t="s">
        <v>21</v>
      </c>
      <c r="C2" s="8" t="s">
        <v>22</v>
      </c>
      <c r="D2" s="8" t="s">
        <v>615</v>
      </c>
      <c r="E2" s="8" t="s">
        <v>35</v>
      </c>
      <c r="F2" s="8" t="s">
        <v>49</v>
      </c>
      <c r="G2" s="8" t="s">
        <v>32</v>
      </c>
      <c r="H2" s="8" t="s">
        <v>32</v>
      </c>
      <c r="I2" s="8" t="n">
        <f aca="false">IF(EXACT(G2,H2),1,0)</f>
        <v>1</v>
      </c>
      <c r="J2" s="8" t="n">
        <v>0</v>
      </c>
      <c r="K2" s="8" t="s">
        <v>92</v>
      </c>
      <c r="L2" s="8" t="n">
        <v>0</v>
      </c>
      <c r="M2" s="8" t="n">
        <v>5</v>
      </c>
      <c r="N2" s="8" t="s">
        <v>3019</v>
      </c>
      <c r="O2" s="8" t="n">
        <v>2</v>
      </c>
      <c r="P2" s="10" t="n">
        <v>30.99</v>
      </c>
      <c r="Q2" s="8" t="n">
        <v>8317</v>
      </c>
      <c r="R2" s="8" t="n">
        <v>978</v>
      </c>
      <c r="S2" s="8" t="s">
        <v>94</v>
      </c>
      <c r="T2" s="8" t="s">
        <v>95</v>
      </c>
      <c r="U2" s="8" t="s">
        <v>96</v>
      </c>
      <c r="V2" s="8"/>
      <c r="W2" s="8" t="s">
        <v>97</v>
      </c>
      <c r="X2" s="8" t="s">
        <v>98</v>
      </c>
      <c r="Y2" s="8" t="s">
        <v>3020</v>
      </c>
      <c r="Z2" s="8"/>
    </row>
    <row r="3" customFormat="false" ht="15" hidden="false" customHeight="false" outlineLevel="0" collapsed="false">
      <c r="A3" s="8" t="s">
        <v>90</v>
      </c>
      <c r="B3" s="8" t="s">
        <v>21</v>
      </c>
      <c r="C3" s="8" t="s">
        <v>22</v>
      </c>
      <c r="D3" s="8" t="s">
        <v>615</v>
      </c>
      <c r="E3" s="8" t="s">
        <v>35</v>
      </c>
      <c r="F3" s="8" t="s">
        <v>49</v>
      </c>
      <c r="G3" s="8" t="s">
        <v>32</v>
      </c>
      <c r="H3" s="8" t="s">
        <v>32</v>
      </c>
      <c r="I3" s="8" t="n">
        <f aca="false">IF(EXACT(G3,H3),1,0)</f>
        <v>1</v>
      </c>
      <c r="J3" s="8" t="n">
        <v>1</v>
      </c>
      <c r="K3" s="8" t="s">
        <v>92</v>
      </c>
      <c r="L3" s="8" t="n">
        <v>0</v>
      </c>
      <c r="M3" s="8" t="n">
        <v>5</v>
      </c>
      <c r="N3" s="8" t="s">
        <v>3019</v>
      </c>
      <c r="O3" s="8" t="n">
        <v>2</v>
      </c>
      <c r="P3" s="10" t="n">
        <v>27.88</v>
      </c>
      <c r="Q3" s="8" t="n">
        <v>8315</v>
      </c>
      <c r="R3" s="8" t="n">
        <v>854</v>
      </c>
      <c r="S3" s="8" t="s">
        <v>94</v>
      </c>
      <c r="T3" s="8" t="s">
        <v>95</v>
      </c>
      <c r="U3" s="8" t="s">
        <v>96</v>
      </c>
      <c r="V3" s="8"/>
      <c r="W3" s="8" t="s">
        <v>97</v>
      </c>
      <c r="X3" s="8" t="s">
        <v>98</v>
      </c>
      <c r="Y3" s="8" t="s">
        <v>3021</v>
      </c>
      <c r="Z3" s="8"/>
    </row>
    <row r="4" customFormat="false" ht="15" hidden="false" customHeight="false" outlineLevel="0" collapsed="false">
      <c r="A4" s="8" t="s">
        <v>90</v>
      </c>
      <c r="B4" s="8" t="s">
        <v>21</v>
      </c>
      <c r="C4" s="8" t="s">
        <v>22</v>
      </c>
      <c r="D4" s="8" t="s">
        <v>615</v>
      </c>
      <c r="E4" s="8" t="s">
        <v>35</v>
      </c>
      <c r="F4" s="8" t="s">
        <v>49</v>
      </c>
      <c r="G4" s="8" t="s">
        <v>32</v>
      </c>
      <c r="H4" s="8" t="s">
        <v>32</v>
      </c>
      <c r="I4" s="8" t="n">
        <f aca="false">IF(EXACT(G4,H4),1,0)</f>
        <v>1</v>
      </c>
      <c r="J4" s="8" t="n">
        <v>2</v>
      </c>
      <c r="K4" s="8" t="s">
        <v>92</v>
      </c>
      <c r="L4" s="8" t="n">
        <v>0</v>
      </c>
      <c r="M4" s="8" t="n">
        <v>5</v>
      </c>
      <c r="N4" s="8" t="s">
        <v>3019</v>
      </c>
      <c r="O4" s="8" t="n">
        <v>2</v>
      </c>
      <c r="P4" s="10" t="n">
        <v>26.31</v>
      </c>
      <c r="Q4" s="8" t="n">
        <v>8315</v>
      </c>
      <c r="R4" s="8" t="n">
        <v>858</v>
      </c>
      <c r="S4" s="8" t="s">
        <v>94</v>
      </c>
      <c r="T4" s="8" t="s">
        <v>95</v>
      </c>
      <c r="U4" s="8" t="s">
        <v>96</v>
      </c>
      <c r="V4" s="8"/>
      <c r="W4" s="8" t="s">
        <v>97</v>
      </c>
      <c r="X4" s="8" t="s">
        <v>98</v>
      </c>
      <c r="Y4" s="8" t="s">
        <v>3022</v>
      </c>
      <c r="Z4" s="8"/>
    </row>
    <row r="5" customFormat="false" ht="15" hidden="false" customHeight="false" outlineLevel="0" collapsed="false">
      <c r="A5" s="8" t="s">
        <v>100</v>
      </c>
      <c r="B5" s="8" t="s">
        <v>21</v>
      </c>
      <c r="C5" s="8" t="s">
        <v>22</v>
      </c>
      <c r="D5" s="8" t="s">
        <v>615</v>
      </c>
      <c r="E5" s="8" t="s">
        <v>35</v>
      </c>
      <c r="F5" s="8" t="s">
        <v>49</v>
      </c>
      <c r="G5" s="8" t="s">
        <v>32</v>
      </c>
      <c r="H5" s="8" t="s">
        <v>32</v>
      </c>
      <c r="I5" s="8" t="n">
        <f aca="false">IF(EXACT(G5,H5),1,0)</f>
        <v>1</v>
      </c>
      <c r="J5" s="8" t="n">
        <v>0</v>
      </c>
      <c r="K5" s="8" t="s">
        <v>92</v>
      </c>
      <c r="L5" s="8" t="n">
        <v>0</v>
      </c>
      <c r="M5" s="8" t="n">
        <v>6</v>
      </c>
      <c r="N5" s="8" t="s">
        <v>1337</v>
      </c>
      <c r="O5" s="8" t="n">
        <v>2</v>
      </c>
      <c r="P5" s="10" t="n">
        <v>32.93</v>
      </c>
      <c r="Q5" s="8" t="n">
        <v>8535</v>
      </c>
      <c r="R5" s="8" t="n">
        <v>1146</v>
      </c>
      <c r="S5" s="8" t="s">
        <v>101</v>
      </c>
      <c r="T5" s="8" t="s">
        <v>95</v>
      </c>
      <c r="U5" s="8" t="s">
        <v>96</v>
      </c>
      <c r="V5" s="8"/>
      <c r="W5" s="8" t="s">
        <v>102</v>
      </c>
      <c r="X5" s="8" t="s">
        <v>103</v>
      </c>
      <c r="Y5" s="8" t="s">
        <v>3023</v>
      </c>
      <c r="Z5" s="8"/>
    </row>
    <row r="6" customFormat="false" ht="15" hidden="false" customHeight="false" outlineLevel="0" collapsed="false">
      <c r="A6" s="8" t="s">
        <v>100</v>
      </c>
      <c r="B6" s="8" t="s">
        <v>21</v>
      </c>
      <c r="C6" s="8" t="s">
        <v>22</v>
      </c>
      <c r="D6" s="8" t="s">
        <v>615</v>
      </c>
      <c r="E6" s="8" t="s">
        <v>35</v>
      </c>
      <c r="F6" s="8" t="s">
        <v>49</v>
      </c>
      <c r="G6" s="8" t="s">
        <v>32</v>
      </c>
      <c r="H6" s="8" t="s">
        <v>32</v>
      </c>
      <c r="I6" s="8" t="n">
        <f aca="false">IF(EXACT(G6,H6),1,0)</f>
        <v>1</v>
      </c>
      <c r="J6" s="8" t="n">
        <v>1</v>
      </c>
      <c r="K6" s="8" t="s">
        <v>92</v>
      </c>
      <c r="L6" s="8" t="n">
        <v>0</v>
      </c>
      <c r="M6" s="8" t="n">
        <v>6</v>
      </c>
      <c r="N6" s="8" t="s">
        <v>1337</v>
      </c>
      <c r="O6" s="8" t="n">
        <v>2</v>
      </c>
      <c r="P6" s="10" t="n">
        <v>25.25</v>
      </c>
      <c r="Q6" s="8" t="n">
        <v>8535</v>
      </c>
      <c r="R6" s="8" t="n">
        <v>1036</v>
      </c>
      <c r="S6" s="8" t="s">
        <v>101</v>
      </c>
      <c r="T6" s="8" t="s">
        <v>95</v>
      </c>
      <c r="U6" s="8" t="s">
        <v>96</v>
      </c>
      <c r="V6" s="8"/>
      <c r="W6" s="8" t="s">
        <v>102</v>
      </c>
      <c r="X6" s="8" t="s">
        <v>103</v>
      </c>
      <c r="Y6" s="8" t="s">
        <v>3024</v>
      </c>
      <c r="Z6" s="8"/>
    </row>
    <row r="7" customFormat="false" ht="15" hidden="false" customHeight="false" outlineLevel="0" collapsed="false">
      <c r="A7" s="8" t="s">
        <v>100</v>
      </c>
      <c r="B7" s="8" t="s">
        <v>21</v>
      </c>
      <c r="C7" s="8" t="s">
        <v>22</v>
      </c>
      <c r="D7" s="8" t="s">
        <v>615</v>
      </c>
      <c r="E7" s="8" t="s">
        <v>35</v>
      </c>
      <c r="F7" s="8" t="s">
        <v>49</v>
      </c>
      <c r="G7" s="8" t="s">
        <v>32</v>
      </c>
      <c r="H7" s="8" t="s">
        <v>32</v>
      </c>
      <c r="I7" s="8" t="n">
        <f aca="false">IF(EXACT(G7,H7),1,0)</f>
        <v>1</v>
      </c>
      <c r="J7" s="8" t="n">
        <v>2</v>
      </c>
      <c r="K7" s="8" t="s">
        <v>92</v>
      </c>
      <c r="L7" s="8" t="n">
        <v>0</v>
      </c>
      <c r="M7" s="8" t="n">
        <v>6</v>
      </c>
      <c r="N7" s="8" t="s">
        <v>1337</v>
      </c>
      <c r="O7" s="8" t="n">
        <v>2</v>
      </c>
      <c r="P7" s="10" t="n">
        <v>24.27</v>
      </c>
      <c r="Q7" s="8" t="n">
        <v>8535</v>
      </c>
      <c r="R7" s="8" t="n">
        <v>996</v>
      </c>
      <c r="S7" s="8" t="s">
        <v>101</v>
      </c>
      <c r="T7" s="8" t="s">
        <v>95</v>
      </c>
      <c r="U7" s="8" t="s">
        <v>96</v>
      </c>
      <c r="V7" s="8"/>
      <c r="W7" s="8" t="s">
        <v>102</v>
      </c>
      <c r="X7" s="8" t="s">
        <v>103</v>
      </c>
      <c r="Y7" s="8" t="s">
        <v>3025</v>
      </c>
      <c r="Z7" s="8"/>
    </row>
    <row r="8" customFormat="false" ht="15" hidden="false" customHeight="false" outlineLevel="0" collapsed="false">
      <c r="A8" s="8" t="s">
        <v>104</v>
      </c>
      <c r="B8" s="8" t="s">
        <v>21</v>
      </c>
      <c r="C8" s="8" t="s">
        <v>22</v>
      </c>
      <c r="D8" s="8" t="s">
        <v>615</v>
      </c>
      <c r="E8" s="8" t="s">
        <v>35</v>
      </c>
      <c r="F8" s="8" t="s">
        <v>49</v>
      </c>
      <c r="G8" s="8" t="s">
        <v>30</v>
      </c>
      <c r="H8" s="8" t="s">
        <v>30</v>
      </c>
      <c r="I8" s="8" t="n">
        <f aca="false">IF(EXACT(G8,H8),1,0)</f>
        <v>1</v>
      </c>
      <c r="J8" s="8" t="n">
        <v>0</v>
      </c>
      <c r="K8" s="8" t="s">
        <v>92</v>
      </c>
      <c r="L8" s="8" t="n">
        <v>0</v>
      </c>
      <c r="M8" s="8" t="n">
        <v>5</v>
      </c>
      <c r="N8" s="8" t="s">
        <v>3019</v>
      </c>
      <c r="O8" s="8" t="n">
        <v>2</v>
      </c>
      <c r="P8" s="10" t="n">
        <v>25.66</v>
      </c>
      <c r="Q8" s="8" t="n">
        <v>8247</v>
      </c>
      <c r="R8" s="8" t="n">
        <v>870</v>
      </c>
      <c r="S8" s="8" t="s">
        <v>105</v>
      </c>
      <c r="T8" s="8" t="s">
        <v>95</v>
      </c>
      <c r="U8" s="8" t="s">
        <v>96</v>
      </c>
      <c r="V8" s="8"/>
      <c r="W8" s="8" t="s">
        <v>106</v>
      </c>
      <c r="X8" s="8" t="s">
        <v>107</v>
      </c>
      <c r="Y8" s="8" t="s">
        <v>3026</v>
      </c>
      <c r="Z8" s="8"/>
    </row>
    <row r="9" customFormat="false" ht="15" hidden="false" customHeight="false" outlineLevel="0" collapsed="false">
      <c r="A9" s="8" t="s">
        <v>104</v>
      </c>
      <c r="B9" s="8" t="s">
        <v>21</v>
      </c>
      <c r="C9" s="8" t="s">
        <v>22</v>
      </c>
      <c r="D9" s="8" t="s">
        <v>615</v>
      </c>
      <c r="E9" s="8" t="s">
        <v>35</v>
      </c>
      <c r="F9" s="8" t="s">
        <v>49</v>
      </c>
      <c r="G9" s="8" t="s">
        <v>30</v>
      </c>
      <c r="H9" s="8" t="s">
        <v>30</v>
      </c>
      <c r="I9" s="8" t="n">
        <f aca="false">IF(EXACT(G9,H9),1,0)</f>
        <v>1</v>
      </c>
      <c r="J9" s="8" t="n">
        <v>1</v>
      </c>
      <c r="K9" s="8" t="s">
        <v>92</v>
      </c>
      <c r="L9" s="8" t="n">
        <v>0</v>
      </c>
      <c r="M9" s="8" t="n">
        <v>5</v>
      </c>
      <c r="N9" s="8" t="s">
        <v>3019</v>
      </c>
      <c r="O9" s="8" t="n">
        <v>2</v>
      </c>
      <c r="P9" s="10" t="n">
        <v>26.35</v>
      </c>
      <c r="Q9" s="8" t="n">
        <v>8247</v>
      </c>
      <c r="R9" s="8" t="n">
        <v>884</v>
      </c>
      <c r="S9" s="8" t="s">
        <v>105</v>
      </c>
      <c r="T9" s="8" t="s">
        <v>95</v>
      </c>
      <c r="U9" s="8" t="s">
        <v>96</v>
      </c>
      <c r="V9" s="8"/>
      <c r="W9" s="8" t="s">
        <v>106</v>
      </c>
      <c r="X9" s="8" t="s">
        <v>107</v>
      </c>
      <c r="Y9" s="8" t="s">
        <v>3027</v>
      </c>
      <c r="Z9" s="8"/>
    </row>
    <row r="10" customFormat="false" ht="15" hidden="false" customHeight="false" outlineLevel="0" collapsed="false">
      <c r="A10" s="8" t="s">
        <v>104</v>
      </c>
      <c r="B10" s="8" t="s">
        <v>21</v>
      </c>
      <c r="C10" s="8" t="s">
        <v>22</v>
      </c>
      <c r="D10" s="8" t="s">
        <v>615</v>
      </c>
      <c r="E10" s="8" t="s">
        <v>35</v>
      </c>
      <c r="F10" s="8" t="s">
        <v>49</v>
      </c>
      <c r="G10" s="8" t="s">
        <v>30</v>
      </c>
      <c r="H10" s="8" t="s">
        <v>30</v>
      </c>
      <c r="I10" s="8" t="n">
        <f aca="false">IF(EXACT(G10,H10),1,0)</f>
        <v>1</v>
      </c>
      <c r="J10" s="8" t="n">
        <v>2</v>
      </c>
      <c r="K10" s="8" t="s">
        <v>92</v>
      </c>
      <c r="L10" s="8" t="n">
        <v>0</v>
      </c>
      <c r="M10" s="8" t="n">
        <v>5</v>
      </c>
      <c r="N10" s="8" t="s">
        <v>3019</v>
      </c>
      <c r="O10" s="8" t="n">
        <v>2</v>
      </c>
      <c r="P10" s="10" t="n">
        <v>26.01</v>
      </c>
      <c r="Q10" s="8" t="n">
        <v>8247</v>
      </c>
      <c r="R10" s="8" t="n">
        <v>886</v>
      </c>
      <c r="S10" s="8" t="s">
        <v>105</v>
      </c>
      <c r="T10" s="8" t="s">
        <v>95</v>
      </c>
      <c r="U10" s="8" t="s">
        <v>96</v>
      </c>
      <c r="V10" s="8"/>
      <c r="W10" s="8" t="s">
        <v>106</v>
      </c>
      <c r="X10" s="8" t="s">
        <v>107</v>
      </c>
      <c r="Y10" s="8" t="s">
        <v>3028</v>
      </c>
      <c r="Z10" s="8"/>
    </row>
    <row r="11" customFormat="false" ht="15" hidden="false" customHeight="false" outlineLevel="0" collapsed="false">
      <c r="A11" s="8" t="s">
        <v>109</v>
      </c>
      <c r="B11" s="8" t="s">
        <v>21</v>
      </c>
      <c r="C11" s="8" t="s">
        <v>22</v>
      </c>
      <c r="D11" s="8" t="s">
        <v>615</v>
      </c>
      <c r="E11" s="8" t="s">
        <v>35</v>
      </c>
      <c r="F11" s="8" t="s">
        <v>49</v>
      </c>
      <c r="G11" s="8" t="s">
        <v>30</v>
      </c>
      <c r="H11" s="8" t="s">
        <v>31</v>
      </c>
      <c r="I11" s="8" t="n">
        <f aca="false">IF(EXACT(G11,H11),1,0)</f>
        <v>0</v>
      </c>
      <c r="J11" s="8" t="n">
        <v>0</v>
      </c>
      <c r="K11" s="8" t="s">
        <v>2333</v>
      </c>
      <c r="L11" s="8" t="n">
        <v>1</v>
      </c>
      <c r="M11" s="8" t="n">
        <v>5</v>
      </c>
      <c r="N11" s="8" t="s">
        <v>3019</v>
      </c>
      <c r="O11" s="8" t="n">
        <v>2</v>
      </c>
      <c r="P11" s="10" t="n">
        <v>39.56</v>
      </c>
      <c r="Q11" s="8" t="n">
        <v>10127</v>
      </c>
      <c r="R11" s="8" t="n">
        <v>2132</v>
      </c>
      <c r="S11" s="8" t="s">
        <v>110</v>
      </c>
      <c r="T11" s="8" t="s">
        <v>111</v>
      </c>
      <c r="U11" s="8" t="s">
        <v>112</v>
      </c>
      <c r="V11" s="8"/>
      <c r="W11" s="8" t="s">
        <v>113</v>
      </c>
      <c r="X11" s="8" t="s">
        <v>114</v>
      </c>
      <c r="Y11" s="8" t="s">
        <v>3029</v>
      </c>
      <c r="Z11" s="8" t="s">
        <v>3030</v>
      </c>
    </row>
    <row r="12" customFormat="false" ht="15" hidden="false" customHeight="false" outlineLevel="0" collapsed="false">
      <c r="A12" s="8" t="s">
        <v>109</v>
      </c>
      <c r="B12" s="8" t="s">
        <v>21</v>
      </c>
      <c r="C12" s="8" t="s">
        <v>22</v>
      </c>
      <c r="D12" s="8" t="s">
        <v>615</v>
      </c>
      <c r="E12" s="8" t="s">
        <v>35</v>
      </c>
      <c r="F12" s="8" t="s">
        <v>49</v>
      </c>
      <c r="G12" s="8" t="s">
        <v>30</v>
      </c>
      <c r="H12" s="8" t="s">
        <v>31</v>
      </c>
      <c r="I12" s="8" t="n">
        <f aca="false">IF(EXACT(G12,H12),1,0)</f>
        <v>0</v>
      </c>
      <c r="J12" s="8" t="n">
        <v>1</v>
      </c>
      <c r="K12" s="8" t="s">
        <v>2333</v>
      </c>
      <c r="L12" s="8" t="n">
        <v>1</v>
      </c>
      <c r="M12" s="8" t="n">
        <v>5</v>
      </c>
      <c r="N12" s="8" t="s">
        <v>3019</v>
      </c>
      <c r="O12" s="8" t="n">
        <v>2</v>
      </c>
      <c r="P12" s="10" t="n">
        <v>39.49</v>
      </c>
      <c r="Q12" s="8" t="n">
        <v>10127</v>
      </c>
      <c r="R12" s="8" t="n">
        <v>2133</v>
      </c>
      <c r="S12" s="8" t="s">
        <v>110</v>
      </c>
      <c r="T12" s="8" t="s">
        <v>111</v>
      </c>
      <c r="U12" s="8" t="s">
        <v>112</v>
      </c>
      <c r="V12" s="8"/>
      <c r="W12" s="8" t="s">
        <v>113</v>
      </c>
      <c r="X12" s="8" t="s">
        <v>114</v>
      </c>
      <c r="Y12" s="8" t="s">
        <v>3031</v>
      </c>
      <c r="Z12" s="8" t="s">
        <v>3032</v>
      </c>
    </row>
    <row r="13" customFormat="false" ht="15" hidden="false" customHeight="false" outlineLevel="0" collapsed="false">
      <c r="A13" s="8" t="s">
        <v>109</v>
      </c>
      <c r="B13" s="8" t="s">
        <v>21</v>
      </c>
      <c r="C13" s="8" t="s">
        <v>22</v>
      </c>
      <c r="D13" s="8" t="s">
        <v>615</v>
      </c>
      <c r="E13" s="8" t="s">
        <v>35</v>
      </c>
      <c r="F13" s="8" t="s">
        <v>49</v>
      </c>
      <c r="G13" s="8" t="s">
        <v>30</v>
      </c>
      <c r="H13" s="8" t="s">
        <v>31</v>
      </c>
      <c r="I13" s="8" t="n">
        <f aca="false">IF(EXACT(G13,H13),1,0)</f>
        <v>0</v>
      </c>
      <c r="J13" s="8" t="n">
        <v>2</v>
      </c>
      <c r="K13" s="8" t="s">
        <v>2333</v>
      </c>
      <c r="L13" s="8" t="n">
        <v>1</v>
      </c>
      <c r="M13" s="8" t="n">
        <v>5</v>
      </c>
      <c r="N13" s="8" t="s">
        <v>3019</v>
      </c>
      <c r="O13" s="8" t="n">
        <v>2</v>
      </c>
      <c r="P13" s="10" t="n">
        <v>41.15</v>
      </c>
      <c r="Q13" s="8" t="n">
        <v>10127</v>
      </c>
      <c r="R13" s="8" t="n">
        <v>2133</v>
      </c>
      <c r="S13" s="8" t="s">
        <v>110</v>
      </c>
      <c r="T13" s="8" t="s">
        <v>111</v>
      </c>
      <c r="U13" s="8" t="s">
        <v>112</v>
      </c>
      <c r="V13" s="8"/>
      <c r="W13" s="8" t="s">
        <v>113</v>
      </c>
      <c r="X13" s="8" t="s">
        <v>114</v>
      </c>
      <c r="Y13" s="8" t="s">
        <v>3033</v>
      </c>
      <c r="Z13" s="8" t="s">
        <v>3034</v>
      </c>
    </row>
    <row r="14" customFormat="false" ht="15" hidden="false" customHeight="false" outlineLevel="0" collapsed="false">
      <c r="A14" s="8" t="s">
        <v>115</v>
      </c>
      <c r="B14" s="8" t="s">
        <v>21</v>
      </c>
      <c r="C14" s="8" t="s">
        <v>22</v>
      </c>
      <c r="D14" s="8" t="s">
        <v>615</v>
      </c>
      <c r="E14" s="8" t="s">
        <v>35</v>
      </c>
      <c r="F14" s="8" t="s">
        <v>49</v>
      </c>
      <c r="G14" s="8" t="s">
        <v>31</v>
      </c>
      <c r="H14" s="8" t="s">
        <v>31</v>
      </c>
      <c r="I14" s="8" t="n">
        <f aca="false">IF(EXACT(G14,H14),1,0)</f>
        <v>1</v>
      </c>
      <c r="J14" s="8" t="n">
        <v>0</v>
      </c>
      <c r="K14" s="8" t="s">
        <v>116</v>
      </c>
      <c r="L14" s="8" t="n">
        <v>1</v>
      </c>
      <c r="M14" s="8" t="n">
        <v>6</v>
      </c>
      <c r="N14" s="8" t="s">
        <v>1337</v>
      </c>
      <c r="O14" s="8" t="n">
        <v>2</v>
      </c>
      <c r="P14" s="10" t="n">
        <v>47.06</v>
      </c>
      <c r="Q14" s="8" t="n">
        <v>9975</v>
      </c>
      <c r="R14" s="8" t="n">
        <v>2379</v>
      </c>
      <c r="S14" s="8" t="s">
        <v>117</v>
      </c>
      <c r="T14" s="8" t="s">
        <v>111</v>
      </c>
      <c r="U14" s="8" t="s">
        <v>112</v>
      </c>
      <c r="V14" s="8"/>
      <c r="W14" s="8" t="s">
        <v>118</v>
      </c>
      <c r="X14" s="8" t="s">
        <v>119</v>
      </c>
      <c r="Y14" s="8" t="s">
        <v>3035</v>
      </c>
      <c r="Z14" s="8" t="s">
        <v>3036</v>
      </c>
    </row>
    <row r="15" customFormat="false" ht="15" hidden="false" customHeight="false" outlineLevel="0" collapsed="false">
      <c r="A15" s="8" t="s">
        <v>115</v>
      </c>
      <c r="B15" s="8" t="s">
        <v>21</v>
      </c>
      <c r="C15" s="8" t="s">
        <v>22</v>
      </c>
      <c r="D15" s="8" t="s">
        <v>615</v>
      </c>
      <c r="E15" s="8" t="s">
        <v>35</v>
      </c>
      <c r="F15" s="8" t="s">
        <v>49</v>
      </c>
      <c r="G15" s="8" t="s">
        <v>31</v>
      </c>
      <c r="H15" s="8" t="s">
        <v>31</v>
      </c>
      <c r="I15" s="8" t="n">
        <f aca="false">IF(EXACT(G15,H15),1,0)</f>
        <v>1</v>
      </c>
      <c r="J15" s="8" t="n">
        <v>1</v>
      </c>
      <c r="K15" s="8" t="s">
        <v>116</v>
      </c>
      <c r="L15" s="8" t="n">
        <v>1</v>
      </c>
      <c r="M15" s="8" t="n">
        <v>7</v>
      </c>
      <c r="N15" s="8" t="s">
        <v>3037</v>
      </c>
      <c r="O15" s="8" t="n">
        <v>2</v>
      </c>
      <c r="P15" s="10" t="n">
        <v>51.72</v>
      </c>
      <c r="Q15" s="8" t="n">
        <v>10364</v>
      </c>
      <c r="R15" s="8" t="n">
        <v>2643</v>
      </c>
      <c r="S15" s="8" t="s">
        <v>117</v>
      </c>
      <c r="T15" s="8" t="s">
        <v>111</v>
      </c>
      <c r="U15" s="8" t="s">
        <v>112</v>
      </c>
      <c r="V15" s="8"/>
      <c r="W15" s="8" t="s">
        <v>118</v>
      </c>
      <c r="X15" s="8" t="s">
        <v>119</v>
      </c>
      <c r="Y15" s="8" t="s">
        <v>3038</v>
      </c>
      <c r="Z15" s="8" t="s">
        <v>3039</v>
      </c>
    </row>
    <row r="16" customFormat="false" ht="15" hidden="false" customHeight="false" outlineLevel="0" collapsed="false">
      <c r="A16" s="8" t="s">
        <v>115</v>
      </c>
      <c r="B16" s="8" t="s">
        <v>21</v>
      </c>
      <c r="C16" s="8" t="s">
        <v>22</v>
      </c>
      <c r="D16" s="8" t="s">
        <v>615</v>
      </c>
      <c r="E16" s="8" t="s">
        <v>35</v>
      </c>
      <c r="F16" s="8" t="s">
        <v>49</v>
      </c>
      <c r="G16" s="8" t="s">
        <v>31</v>
      </c>
      <c r="H16" s="8" t="s">
        <v>31</v>
      </c>
      <c r="I16" s="8" t="n">
        <f aca="false">IF(EXACT(G16,H16),1,0)</f>
        <v>1</v>
      </c>
      <c r="J16" s="8" t="n">
        <v>2</v>
      </c>
      <c r="K16" s="8" t="s">
        <v>116</v>
      </c>
      <c r="L16" s="8" t="n">
        <v>1</v>
      </c>
      <c r="M16" s="8" t="n">
        <v>6</v>
      </c>
      <c r="N16" s="8" t="s">
        <v>3040</v>
      </c>
      <c r="O16" s="8" t="n">
        <v>2</v>
      </c>
      <c r="P16" s="10" t="n">
        <v>43.83</v>
      </c>
      <c r="Q16" s="8" t="n">
        <v>9971</v>
      </c>
      <c r="R16" s="8" t="n">
        <v>2205</v>
      </c>
      <c r="S16" s="8" t="s">
        <v>117</v>
      </c>
      <c r="T16" s="8" t="s">
        <v>111</v>
      </c>
      <c r="U16" s="8" t="s">
        <v>112</v>
      </c>
      <c r="V16" s="8"/>
      <c r="W16" s="8" t="s">
        <v>118</v>
      </c>
      <c r="X16" s="8" t="s">
        <v>119</v>
      </c>
      <c r="Y16" s="8" t="s">
        <v>3041</v>
      </c>
      <c r="Z16" s="8" t="s">
        <v>3042</v>
      </c>
    </row>
    <row r="17" customFormat="false" ht="15" hidden="false" customHeight="false" outlineLevel="0" collapsed="false">
      <c r="A17" s="8" t="s">
        <v>121</v>
      </c>
      <c r="B17" s="8" t="s">
        <v>21</v>
      </c>
      <c r="C17" s="8" t="s">
        <v>22</v>
      </c>
      <c r="D17" s="8" t="s">
        <v>615</v>
      </c>
      <c r="E17" s="8" t="s">
        <v>35</v>
      </c>
      <c r="F17" s="8" t="s">
        <v>49</v>
      </c>
      <c r="G17" s="8" t="s">
        <v>31</v>
      </c>
      <c r="H17" s="8" t="s">
        <v>31</v>
      </c>
      <c r="I17" s="8" t="n">
        <f aca="false">IF(EXACT(G17,H17),1,0)</f>
        <v>1</v>
      </c>
      <c r="J17" s="8" t="n">
        <v>0</v>
      </c>
      <c r="K17" s="8" t="s">
        <v>140</v>
      </c>
      <c r="L17" s="8" t="n">
        <v>1</v>
      </c>
      <c r="M17" s="8" t="n">
        <v>7</v>
      </c>
      <c r="N17" s="8" t="s">
        <v>3037</v>
      </c>
      <c r="O17" s="8" t="n">
        <v>3</v>
      </c>
      <c r="P17" s="10" t="n">
        <v>39.93</v>
      </c>
      <c r="Q17" s="8" t="n">
        <v>13694</v>
      </c>
      <c r="R17" s="8" t="n">
        <v>1218</v>
      </c>
      <c r="S17" s="8" t="s">
        <v>117</v>
      </c>
      <c r="T17" s="8" t="s">
        <v>95</v>
      </c>
      <c r="U17" s="8" t="s">
        <v>96</v>
      </c>
      <c r="V17" s="8"/>
      <c r="W17" s="8" t="s">
        <v>122</v>
      </c>
      <c r="X17" s="8" t="s">
        <v>123</v>
      </c>
      <c r="Y17" s="8" t="s">
        <v>3043</v>
      </c>
      <c r="Z17" s="8" t="s">
        <v>3044</v>
      </c>
    </row>
    <row r="18" customFormat="false" ht="15" hidden="false" customHeight="false" outlineLevel="0" collapsed="false">
      <c r="A18" s="8" t="s">
        <v>121</v>
      </c>
      <c r="B18" s="8" t="s">
        <v>21</v>
      </c>
      <c r="C18" s="8" t="s">
        <v>22</v>
      </c>
      <c r="D18" s="8" t="s">
        <v>615</v>
      </c>
      <c r="E18" s="8" t="s">
        <v>35</v>
      </c>
      <c r="F18" s="8" t="s">
        <v>49</v>
      </c>
      <c r="G18" s="8" t="s">
        <v>31</v>
      </c>
      <c r="H18" s="8" t="s">
        <v>31</v>
      </c>
      <c r="I18" s="8" t="n">
        <f aca="false">IF(EXACT(G18,H18),1,0)</f>
        <v>1</v>
      </c>
      <c r="J18" s="8" t="n">
        <v>1</v>
      </c>
      <c r="K18" s="8" t="s">
        <v>140</v>
      </c>
      <c r="L18" s="8" t="n">
        <v>1</v>
      </c>
      <c r="M18" s="8" t="n">
        <v>7</v>
      </c>
      <c r="N18" s="8" t="s">
        <v>3037</v>
      </c>
      <c r="O18" s="8" t="n">
        <v>3</v>
      </c>
      <c r="P18" s="10" t="n">
        <v>42.7</v>
      </c>
      <c r="Q18" s="8" t="n">
        <v>13693</v>
      </c>
      <c r="R18" s="8" t="n">
        <v>1392</v>
      </c>
      <c r="S18" s="8" t="s">
        <v>117</v>
      </c>
      <c r="T18" s="8" t="s">
        <v>95</v>
      </c>
      <c r="U18" s="8" t="s">
        <v>96</v>
      </c>
      <c r="V18" s="8"/>
      <c r="W18" s="8" t="s">
        <v>122</v>
      </c>
      <c r="X18" s="8" t="s">
        <v>123</v>
      </c>
      <c r="Y18" s="8" t="s">
        <v>3045</v>
      </c>
      <c r="Z18" s="8" t="s">
        <v>3046</v>
      </c>
    </row>
    <row r="19" customFormat="false" ht="15" hidden="false" customHeight="false" outlineLevel="0" collapsed="false">
      <c r="A19" s="8" t="s">
        <v>121</v>
      </c>
      <c r="B19" s="8" t="s">
        <v>21</v>
      </c>
      <c r="C19" s="8" t="s">
        <v>22</v>
      </c>
      <c r="D19" s="8" t="s">
        <v>615</v>
      </c>
      <c r="E19" s="8" t="s">
        <v>35</v>
      </c>
      <c r="F19" s="8" t="s">
        <v>49</v>
      </c>
      <c r="G19" s="8" t="s">
        <v>31</v>
      </c>
      <c r="H19" s="8" t="s">
        <v>31</v>
      </c>
      <c r="I19" s="8" t="n">
        <f aca="false">IF(EXACT(G19,H19),1,0)</f>
        <v>1</v>
      </c>
      <c r="J19" s="8" t="n">
        <v>2</v>
      </c>
      <c r="K19" s="8" t="s">
        <v>140</v>
      </c>
      <c r="L19" s="8" t="n">
        <v>1</v>
      </c>
      <c r="M19" s="8" t="n">
        <v>7</v>
      </c>
      <c r="N19" s="8" t="s">
        <v>3037</v>
      </c>
      <c r="O19" s="8" t="n">
        <v>3</v>
      </c>
      <c r="P19" s="10" t="n">
        <v>44.47</v>
      </c>
      <c r="Q19" s="8" t="n">
        <v>13697</v>
      </c>
      <c r="R19" s="8" t="n">
        <v>1464</v>
      </c>
      <c r="S19" s="8" t="s">
        <v>117</v>
      </c>
      <c r="T19" s="8" t="s">
        <v>95</v>
      </c>
      <c r="U19" s="8" t="s">
        <v>96</v>
      </c>
      <c r="V19" s="8"/>
      <c r="W19" s="8" t="s">
        <v>122</v>
      </c>
      <c r="X19" s="8" t="s">
        <v>123</v>
      </c>
      <c r="Y19" s="8" t="s">
        <v>3047</v>
      </c>
      <c r="Z19" s="8" t="s">
        <v>3048</v>
      </c>
    </row>
    <row r="20" customFormat="false" ht="15" hidden="false" customHeight="false" outlineLevel="0" collapsed="false">
      <c r="A20" s="8" t="s">
        <v>124</v>
      </c>
      <c r="B20" s="8" t="s">
        <v>21</v>
      </c>
      <c r="C20" s="8" t="s">
        <v>22</v>
      </c>
      <c r="D20" s="8" t="s">
        <v>615</v>
      </c>
      <c r="E20" s="8" t="s">
        <v>35</v>
      </c>
      <c r="F20" s="8" t="s">
        <v>50</v>
      </c>
      <c r="G20" s="8" t="s">
        <v>32</v>
      </c>
      <c r="H20" s="8" t="s">
        <v>31</v>
      </c>
      <c r="I20" s="8" t="n">
        <f aca="false">IF(EXACT(G20,H20),1,0)</f>
        <v>0</v>
      </c>
      <c r="J20" s="8" t="n">
        <v>0</v>
      </c>
      <c r="K20" s="8" t="s">
        <v>140</v>
      </c>
      <c r="L20" s="8" t="n">
        <v>1</v>
      </c>
      <c r="M20" s="8" t="n">
        <v>5</v>
      </c>
      <c r="N20" s="8" t="s">
        <v>3019</v>
      </c>
      <c r="O20" s="8" t="n">
        <v>2</v>
      </c>
      <c r="P20" s="10" t="n">
        <v>30.87</v>
      </c>
      <c r="Q20" s="8" t="n">
        <v>8298</v>
      </c>
      <c r="R20" s="8" t="n">
        <v>922</v>
      </c>
      <c r="S20" s="8" t="s">
        <v>125</v>
      </c>
      <c r="T20" s="8" t="s">
        <v>126</v>
      </c>
      <c r="U20" s="8" t="s">
        <v>127</v>
      </c>
      <c r="V20" s="8"/>
      <c r="W20" s="8" t="s">
        <v>128</v>
      </c>
      <c r="X20" s="8" t="s">
        <v>129</v>
      </c>
      <c r="Y20" s="8" t="s">
        <v>3049</v>
      </c>
      <c r="Z20" s="8" t="s">
        <v>3050</v>
      </c>
    </row>
    <row r="21" customFormat="false" ht="15" hidden="false" customHeight="false" outlineLevel="0" collapsed="false">
      <c r="A21" s="8" t="s">
        <v>124</v>
      </c>
      <c r="B21" s="8" t="s">
        <v>21</v>
      </c>
      <c r="C21" s="8" t="s">
        <v>22</v>
      </c>
      <c r="D21" s="8" t="s">
        <v>615</v>
      </c>
      <c r="E21" s="8" t="s">
        <v>35</v>
      </c>
      <c r="F21" s="8" t="s">
        <v>50</v>
      </c>
      <c r="G21" s="8" t="s">
        <v>32</v>
      </c>
      <c r="H21" s="8" t="s">
        <v>31</v>
      </c>
      <c r="I21" s="8" t="n">
        <f aca="false">IF(EXACT(G21,H21),1,0)</f>
        <v>0</v>
      </c>
      <c r="J21" s="8" t="n">
        <v>1</v>
      </c>
      <c r="K21" s="8" t="s">
        <v>140</v>
      </c>
      <c r="L21" s="8" t="n">
        <v>1</v>
      </c>
      <c r="M21" s="8" t="n">
        <v>5</v>
      </c>
      <c r="N21" s="8" t="s">
        <v>3019</v>
      </c>
      <c r="O21" s="8" t="n">
        <v>2</v>
      </c>
      <c r="P21" s="10" t="n">
        <v>30.71</v>
      </c>
      <c r="Q21" s="8" t="n">
        <v>8298</v>
      </c>
      <c r="R21" s="8" t="n">
        <v>939</v>
      </c>
      <c r="S21" s="8" t="s">
        <v>125</v>
      </c>
      <c r="T21" s="8" t="s">
        <v>126</v>
      </c>
      <c r="U21" s="8" t="s">
        <v>127</v>
      </c>
      <c r="V21" s="8"/>
      <c r="W21" s="8" t="s">
        <v>128</v>
      </c>
      <c r="X21" s="8" t="s">
        <v>129</v>
      </c>
      <c r="Y21" s="8" t="s">
        <v>3051</v>
      </c>
      <c r="Z21" s="8" t="s">
        <v>3052</v>
      </c>
    </row>
    <row r="22" customFormat="false" ht="15" hidden="false" customHeight="false" outlineLevel="0" collapsed="false">
      <c r="A22" s="8" t="s">
        <v>124</v>
      </c>
      <c r="B22" s="8" t="s">
        <v>21</v>
      </c>
      <c r="C22" s="8" t="s">
        <v>22</v>
      </c>
      <c r="D22" s="8" t="s">
        <v>615</v>
      </c>
      <c r="E22" s="8" t="s">
        <v>35</v>
      </c>
      <c r="F22" s="8" t="s">
        <v>50</v>
      </c>
      <c r="G22" s="8" t="s">
        <v>32</v>
      </c>
      <c r="H22" s="8" t="s">
        <v>31</v>
      </c>
      <c r="I22" s="8" t="n">
        <f aca="false">IF(EXACT(G22,H22),1,0)</f>
        <v>0</v>
      </c>
      <c r="J22" s="8" t="n">
        <v>2</v>
      </c>
      <c r="K22" s="8" t="s">
        <v>140</v>
      </c>
      <c r="L22" s="8" t="n">
        <v>1</v>
      </c>
      <c r="M22" s="8" t="n">
        <v>5</v>
      </c>
      <c r="N22" s="8" t="s">
        <v>3019</v>
      </c>
      <c r="O22" s="8" t="n">
        <v>2</v>
      </c>
      <c r="P22" s="10" t="n">
        <v>31.65</v>
      </c>
      <c r="Q22" s="8" t="n">
        <v>8298</v>
      </c>
      <c r="R22" s="8" t="n">
        <v>931</v>
      </c>
      <c r="S22" s="8" t="s">
        <v>125</v>
      </c>
      <c r="T22" s="8" t="s">
        <v>126</v>
      </c>
      <c r="U22" s="8" t="s">
        <v>127</v>
      </c>
      <c r="V22" s="8"/>
      <c r="W22" s="8" t="s">
        <v>128</v>
      </c>
      <c r="X22" s="8" t="s">
        <v>129</v>
      </c>
      <c r="Y22" s="8" t="s">
        <v>3053</v>
      </c>
      <c r="Z22" s="8" t="s">
        <v>3054</v>
      </c>
    </row>
    <row r="23" customFormat="false" ht="15" hidden="false" customHeight="false" outlineLevel="0" collapsed="false">
      <c r="A23" s="8" t="s">
        <v>131</v>
      </c>
      <c r="B23" s="8" t="s">
        <v>21</v>
      </c>
      <c r="C23" s="8" t="s">
        <v>22</v>
      </c>
      <c r="D23" s="8" t="s">
        <v>615</v>
      </c>
      <c r="E23" s="8" t="s">
        <v>35</v>
      </c>
      <c r="F23" s="8" t="s">
        <v>50</v>
      </c>
      <c r="G23" s="8" t="s">
        <v>32</v>
      </c>
      <c r="H23" s="8" t="s">
        <v>30</v>
      </c>
      <c r="I23" s="8" t="n">
        <f aca="false">IF(EXACT(G23,H23),1,0)</f>
        <v>0</v>
      </c>
      <c r="J23" s="8" t="n">
        <v>0</v>
      </c>
      <c r="K23" s="8" t="s">
        <v>92</v>
      </c>
      <c r="L23" s="8" t="n">
        <v>0</v>
      </c>
      <c r="M23" s="8" t="n">
        <v>5</v>
      </c>
      <c r="N23" s="8" t="s">
        <v>3019</v>
      </c>
      <c r="O23" s="8" t="n">
        <v>2</v>
      </c>
      <c r="P23" s="10" t="n">
        <v>28.48</v>
      </c>
      <c r="Q23" s="8" t="n">
        <v>8182</v>
      </c>
      <c r="R23" s="8" t="n">
        <v>782</v>
      </c>
      <c r="S23" s="8" t="s">
        <v>132</v>
      </c>
      <c r="T23" s="8" t="s">
        <v>126</v>
      </c>
      <c r="U23" s="8" t="s">
        <v>127</v>
      </c>
      <c r="V23" s="8"/>
      <c r="W23" s="8" t="s">
        <v>133</v>
      </c>
      <c r="X23" s="8" t="s">
        <v>134</v>
      </c>
      <c r="Y23" s="8" t="s">
        <v>3055</v>
      </c>
      <c r="Z23" s="8"/>
    </row>
    <row r="24" customFormat="false" ht="15" hidden="false" customHeight="false" outlineLevel="0" collapsed="false">
      <c r="A24" s="8" t="s">
        <v>131</v>
      </c>
      <c r="B24" s="8" t="s">
        <v>21</v>
      </c>
      <c r="C24" s="8" t="s">
        <v>22</v>
      </c>
      <c r="D24" s="8" t="s">
        <v>615</v>
      </c>
      <c r="E24" s="8" t="s">
        <v>35</v>
      </c>
      <c r="F24" s="8" t="s">
        <v>50</v>
      </c>
      <c r="G24" s="8" t="s">
        <v>32</v>
      </c>
      <c r="H24" s="8" t="s">
        <v>30</v>
      </c>
      <c r="I24" s="8" t="n">
        <f aca="false">IF(EXACT(G24,H24),1,0)</f>
        <v>0</v>
      </c>
      <c r="J24" s="8" t="n">
        <v>1</v>
      </c>
      <c r="K24" s="8" t="s">
        <v>92</v>
      </c>
      <c r="L24" s="8" t="n">
        <v>0</v>
      </c>
      <c r="M24" s="8" t="n">
        <v>5</v>
      </c>
      <c r="N24" s="8" t="s">
        <v>3019</v>
      </c>
      <c r="O24" s="8" t="n">
        <v>2</v>
      </c>
      <c r="P24" s="10" t="n">
        <v>28.82</v>
      </c>
      <c r="Q24" s="8" t="n">
        <v>8185</v>
      </c>
      <c r="R24" s="8" t="n">
        <v>750</v>
      </c>
      <c r="S24" s="8" t="s">
        <v>132</v>
      </c>
      <c r="T24" s="8" t="s">
        <v>126</v>
      </c>
      <c r="U24" s="8" t="s">
        <v>127</v>
      </c>
      <c r="V24" s="8"/>
      <c r="W24" s="8" t="s">
        <v>133</v>
      </c>
      <c r="X24" s="8" t="s">
        <v>134</v>
      </c>
      <c r="Y24" s="8" t="s">
        <v>3056</v>
      </c>
      <c r="Z24" s="8"/>
    </row>
    <row r="25" customFormat="false" ht="15" hidden="false" customHeight="false" outlineLevel="0" collapsed="false">
      <c r="A25" s="8" t="s">
        <v>131</v>
      </c>
      <c r="B25" s="8" t="s">
        <v>21</v>
      </c>
      <c r="C25" s="8" t="s">
        <v>22</v>
      </c>
      <c r="D25" s="8" t="s">
        <v>615</v>
      </c>
      <c r="E25" s="8" t="s">
        <v>35</v>
      </c>
      <c r="F25" s="8" t="s">
        <v>50</v>
      </c>
      <c r="G25" s="8" t="s">
        <v>32</v>
      </c>
      <c r="H25" s="8" t="s">
        <v>30</v>
      </c>
      <c r="I25" s="8" t="n">
        <f aca="false">IF(EXACT(G25,H25),1,0)</f>
        <v>0</v>
      </c>
      <c r="J25" s="8" t="n">
        <v>2</v>
      </c>
      <c r="K25" s="8" t="s">
        <v>92</v>
      </c>
      <c r="L25" s="8" t="n">
        <v>0</v>
      </c>
      <c r="M25" s="8" t="n">
        <v>5</v>
      </c>
      <c r="N25" s="8" t="s">
        <v>3019</v>
      </c>
      <c r="O25" s="8" t="n">
        <v>2</v>
      </c>
      <c r="P25" s="10" t="n">
        <v>28.09</v>
      </c>
      <c r="Q25" s="8" t="n">
        <v>8182</v>
      </c>
      <c r="R25" s="8" t="n">
        <v>792</v>
      </c>
      <c r="S25" s="8" t="s">
        <v>132</v>
      </c>
      <c r="T25" s="8" t="s">
        <v>126</v>
      </c>
      <c r="U25" s="8" t="s">
        <v>127</v>
      </c>
      <c r="V25" s="8"/>
      <c r="W25" s="8" t="s">
        <v>133</v>
      </c>
      <c r="X25" s="8" t="s">
        <v>134</v>
      </c>
      <c r="Y25" s="8" t="s">
        <v>3057</v>
      </c>
      <c r="Z25" s="8"/>
    </row>
    <row r="26" customFormat="false" ht="15" hidden="false" customHeight="false" outlineLevel="0" collapsed="false">
      <c r="A26" s="8" t="s">
        <v>135</v>
      </c>
      <c r="B26" s="8" t="s">
        <v>21</v>
      </c>
      <c r="C26" s="8" t="s">
        <v>22</v>
      </c>
      <c r="D26" s="8" t="s">
        <v>615</v>
      </c>
      <c r="E26" s="8" t="s">
        <v>35</v>
      </c>
      <c r="F26" s="8" t="s">
        <v>50</v>
      </c>
      <c r="G26" s="8" t="s">
        <v>30</v>
      </c>
      <c r="H26" s="8" t="s">
        <v>31</v>
      </c>
      <c r="I26" s="8" t="n">
        <f aca="false">IF(EXACT(G26,H26),1,0)</f>
        <v>0</v>
      </c>
      <c r="J26" s="8" t="n">
        <v>0</v>
      </c>
      <c r="K26" s="8" t="s">
        <v>140</v>
      </c>
      <c r="L26" s="8" t="n">
        <v>3</v>
      </c>
      <c r="M26" s="8" t="n">
        <v>5</v>
      </c>
      <c r="N26" s="8" t="s">
        <v>3019</v>
      </c>
      <c r="O26" s="8" t="n">
        <v>2</v>
      </c>
      <c r="P26" s="10" t="n">
        <v>35.16</v>
      </c>
      <c r="Q26" s="8" t="n">
        <v>9399</v>
      </c>
      <c r="R26" s="8" t="n">
        <v>1225</v>
      </c>
      <c r="S26" s="8" t="s">
        <v>105</v>
      </c>
      <c r="T26" s="8" t="s">
        <v>126</v>
      </c>
      <c r="U26" s="8" t="s">
        <v>127</v>
      </c>
      <c r="V26" s="8"/>
      <c r="W26" s="8" t="s">
        <v>136</v>
      </c>
      <c r="X26" s="8" t="s">
        <v>137</v>
      </c>
      <c r="Y26" s="8" t="s">
        <v>3058</v>
      </c>
      <c r="Z26" s="8" t="s">
        <v>3059</v>
      </c>
    </row>
    <row r="27" customFormat="false" ht="15" hidden="false" customHeight="false" outlineLevel="0" collapsed="false">
      <c r="A27" s="8" t="s">
        <v>135</v>
      </c>
      <c r="B27" s="8" t="s">
        <v>21</v>
      </c>
      <c r="C27" s="8" t="s">
        <v>22</v>
      </c>
      <c r="D27" s="8" t="s">
        <v>615</v>
      </c>
      <c r="E27" s="8" t="s">
        <v>35</v>
      </c>
      <c r="F27" s="8" t="s">
        <v>50</v>
      </c>
      <c r="G27" s="8" t="s">
        <v>30</v>
      </c>
      <c r="H27" s="8" t="s">
        <v>31</v>
      </c>
      <c r="I27" s="8" t="n">
        <f aca="false">IF(EXACT(G27,H27),1,0)</f>
        <v>0</v>
      </c>
      <c r="J27" s="8" t="n">
        <v>1</v>
      </c>
      <c r="K27" s="8" t="s">
        <v>140</v>
      </c>
      <c r="L27" s="8" t="n">
        <v>3</v>
      </c>
      <c r="M27" s="8" t="n">
        <v>5</v>
      </c>
      <c r="N27" s="8" t="s">
        <v>3019</v>
      </c>
      <c r="O27" s="8" t="n">
        <v>2</v>
      </c>
      <c r="P27" s="10" t="n">
        <v>38.24</v>
      </c>
      <c r="Q27" s="8" t="n">
        <v>9396</v>
      </c>
      <c r="R27" s="8" t="n">
        <v>1343</v>
      </c>
      <c r="S27" s="8" t="s">
        <v>105</v>
      </c>
      <c r="T27" s="8" t="s">
        <v>126</v>
      </c>
      <c r="U27" s="8" t="s">
        <v>127</v>
      </c>
      <c r="V27" s="8"/>
      <c r="W27" s="8" t="s">
        <v>136</v>
      </c>
      <c r="X27" s="8" t="s">
        <v>137</v>
      </c>
      <c r="Y27" s="8" t="s">
        <v>3060</v>
      </c>
      <c r="Z27" s="8" t="s">
        <v>3061</v>
      </c>
    </row>
    <row r="28" customFormat="false" ht="15" hidden="false" customHeight="false" outlineLevel="0" collapsed="false">
      <c r="A28" s="8" t="s">
        <v>135</v>
      </c>
      <c r="B28" s="8" t="s">
        <v>21</v>
      </c>
      <c r="C28" s="8" t="s">
        <v>22</v>
      </c>
      <c r="D28" s="8" t="s">
        <v>615</v>
      </c>
      <c r="E28" s="8" t="s">
        <v>35</v>
      </c>
      <c r="F28" s="8" t="s">
        <v>50</v>
      </c>
      <c r="G28" s="8" t="s">
        <v>30</v>
      </c>
      <c r="H28" s="8" t="s">
        <v>31</v>
      </c>
      <c r="I28" s="8" t="n">
        <f aca="false">IF(EXACT(G28,H28),1,0)</f>
        <v>0</v>
      </c>
      <c r="J28" s="8" t="n">
        <v>2</v>
      </c>
      <c r="K28" s="8" t="s">
        <v>140</v>
      </c>
      <c r="L28" s="8" t="n">
        <v>2</v>
      </c>
      <c r="M28" s="8" t="n">
        <v>5</v>
      </c>
      <c r="N28" s="8" t="s">
        <v>3019</v>
      </c>
      <c r="O28" s="8" t="n">
        <v>2</v>
      </c>
      <c r="P28" s="10" t="n">
        <v>32.14</v>
      </c>
      <c r="Q28" s="8" t="n">
        <v>8375</v>
      </c>
      <c r="R28" s="8" t="n">
        <v>1049</v>
      </c>
      <c r="S28" s="8" t="s">
        <v>105</v>
      </c>
      <c r="T28" s="8" t="s">
        <v>126</v>
      </c>
      <c r="U28" s="8" t="s">
        <v>127</v>
      </c>
      <c r="V28" s="8"/>
      <c r="W28" s="8" t="s">
        <v>136</v>
      </c>
      <c r="X28" s="8" t="s">
        <v>137</v>
      </c>
      <c r="Y28" s="8" t="s">
        <v>3062</v>
      </c>
      <c r="Z28" s="8" t="s">
        <v>3063</v>
      </c>
    </row>
    <row r="29" customFormat="false" ht="15" hidden="false" customHeight="false" outlineLevel="0" collapsed="false">
      <c r="A29" s="8" t="s">
        <v>139</v>
      </c>
      <c r="B29" s="8" t="s">
        <v>21</v>
      </c>
      <c r="C29" s="8" t="s">
        <v>22</v>
      </c>
      <c r="D29" s="8" t="s">
        <v>615</v>
      </c>
      <c r="E29" s="8" t="s">
        <v>35</v>
      </c>
      <c r="F29" s="8" t="s">
        <v>50</v>
      </c>
      <c r="G29" s="8" t="s">
        <v>31</v>
      </c>
      <c r="H29" s="8" t="s">
        <v>31</v>
      </c>
      <c r="I29" s="8" t="n">
        <f aca="false">IF(EXACT(G29,H29),1,0)</f>
        <v>1</v>
      </c>
      <c r="J29" s="8" t="n">
        <v>0</v>
      </c>
      <c r="K29" s="8" t="s">
        <v>140</v>
      </c>
      <c r="L29" s="8" t="n">
        <v>1</v>
      </c>
      <c r="M29" s="8" t="n">
        <v>5</v>
      </c>
      <c r="N29" s="8" t="s">
        <v>3019</v>
      </c>
      <c r="O29" s="8" t="n">
        <v>2</v>
      </c>
      <c r="P29" s="10" t="n">
        <v>23.84</v>
      </c>
      <c r="Q29" s="8" t="n">
        <v>8263</v>
      </c>
      <c r="R29" s="8" t="n">
        <v>907</v>
      </c>
      <c r="S29" s="8" t="s">
        <v>117</v>
      </c>
      <c r="T29" s="8" t="s">
        <v>126</v>
      </c>
      <c r="U29" s="8" t="s">
        <v>127</v>
      </c>
      <c r="V29" s="8"/>
      <c r="W29" s="8" t="s">
        <v>141</v>
      </c>
      <c r="X29" s="8" t="s">
        <v>142</v>
      </c>
      <c r="Y29" s="8" t="s">
        <v>3064</v>
      </c>
      <c r="Z29" s="8" t="s">
        <v>3065</v>
      </c>
    </row>
    <row r="30" customFormat="false" ht="15" hidden="false" customHeight="false" outlineLevel="0" collapsed="false">
      <c r="A30" s="8" t="s">
        <v>139</v>
      </c>
      <c r="B30" s="8" t="s">
        <v>21</v>
      </c>
      <c r="C30" s="8" t="s">
        <v>22</v>
      </c>
      <c r="D30" s="8" t="s">
        <v>615</v>
      </c>
      <c r="E30" s="8" t="s">
        <v>35</v>
      </c>
      <c r="F30" s="8" t="s">
        <v>50</v>
      </c>
      <c r="G30" s="8" t="s">
        <v>31</v>
      </c>
      <c r="H30" s="8" t="s">
        <v>31</v>
      </c>
      <c r="I30" s="8" t="n">
        <f aca="false">IF(EXACT(G30,H30),1,0)</f>
        <v>1</v>
      </c>
      <c r="J30" s="8" t="n">
        <v>1</v>
      </c>
      <c r="K30" s="8" t="s">
        <v>140</v>
      </c>
      <c r="L30" s="8" t="n">
        <v>1</v>
      </c>
      <c r="M30" s="8" t="n">
        <v>5</v>
      </c>
      <c r="N30" s="8" t="s">
        <v>3019</v>
      </c>
      <c r="O30" s="8" t="n">
        <v>2</v>
      </c>
      <c r="P30" s="10" t="n">
        <v>24.5</v>
      </c>
      <c r="Q30" s="8" t="n">
        <v>8263</v>
      </c>
      <c r="R30" s="8" t="n">
        <v>940</v>
      </c>
      <c r="S30" s="8" t="s">
        <v>117</v>
      </c>
      <c r="T30" s="8" t="s">
        <v>126</v>
      </c>
      <c r="U30" s="8" t="s">
        <v>127</v>
      </c>
      <c r="V30" s="8"/>
      <c r="W30" s="8" t="s">
        <v>141</v>
      </c>
      <c r="X30" s="8" t="s">
        <v>142</v>
      </c>
      <c r="Y30" s="8" t="s">
        <v>3066</v>
      </c>
      <c r="Z30" s="8" t="s">
        <v>3067</v>
      </c>
    </row>
    <row r="31" customFormat="false" ht="15" hidden="false" customHeight="false" outlineLevel="0" collapsed="false">
      <c r="A31" s="8" t="s">
        <v>139</v>
      </c>
      <c r="B31" s="8" t="s">
        <v>21</v>
      </c>
      <c r="C31" s="8" t="s">
        <v>22</v>
      </c>
      <c r="D31" s="8" t="s">
        <v>615</v>
      </c>
      <c r="E31" s="8" t="s">
        <v>35</v>
      </c>
      <c r="F31" s="8" t="s">
        <v>50</v>
      </c>
      <c r="G31" s="8" t="s">
        <v>31</v>
      </c>
      <c r="H31" s="8" t="s">
        <v>31</v>
      </c>
      <c r="I31" s="8" t="n">
        <f aca="false">IF(EXACT(G31,H31),1,0)</f>
        <v>1</v>
      </c>
      <c r="J31" s="8" t="n">
        <v>2</v>
      </c>
      <c r="K31" s="8" t="s">
        <v>140</v>
      </c>
      <c r="L31" s="8" t="n">
        <v>1</v>
      </c>
      <c r="M31" s="8" t="n">
        <v>5</v>
      </c>
      <c r="N31" s="8" t="s">
        <v>3019</v>
      </c>
      <c r="O31" s="8" t="n">
        <v>2</v>
      </c>
      <c r="P31" s="10" t="n">
        <v>24.1</v>
      </c>
      <c r="Q31" s="8" t="n">
        <v>8263</v>
      </c>
      <c r="R31" s="8" t="n">
        <v>922</v>
      </c>
      <c r="S31" s="8" t="s">
        <v>117</v>
      </c>
      <c r="T31" s="8" t="s">
        <v>126</v>
      </c>
      <c r="U31" s="8" t="s">
        <v>127</v>
      </c>
      <c r="V31" s="8"/>
      <c r="W31" s="8" t="s">
        <v>141</v>
      </c>
      <c r="X31" s="8" t="s">
        <v>142</v>
      </c>
      <c r="Y31" s="8" t="s">
        <v>3068</v>
      </c>
      <c r="Z31" s="8" t="s">
        <v>3069</v>
      </c>
    </row>
    <row r="32" customFormat="false" ht="15" hidden="false" customHeight="false" outlineLevel="0" collapsed="false">
      <c r="A32" s="8" t="s">
        <v>145</v>
      </c>
      <c r="B32" s="8" t="s">
        <v>21</v>
      </c>
      <c r="C32" s="8" t="s">
        <v>22</v>
      </c>
      <c r="D32" s="8" t="s">
        <v>615</v>
      </c>
      <c r="E32" s="8" t="s">
        <v>35</v>
      </c>
      <c r="F32" s="8" t="s">
        <v>50</v>
      </c>
      <c r="G32" s="8" t="s">
        <v>31</v>
      </c>
      <c r="H32" s="8" t="s">
        <v>31</v>
      </c>
      <c r="I32" s="8" t="n">
        <f aca="false">IF(EXACT(G32,H32),1,0)</f>
        <v>1</v>
      </c>
      <c r="J32" s="8" t="n">
        <v>0</v>
      </c>
      <c r="K32" s="8" t="s">
        <v>116</v>
      </c>
      <c r="L32" s="8" t="n">
        <v>1</v>
      </c>
      <c r="M32" s="8" t="n">
        <v>5</v>
      </c>
      <c r="N32" s="8" t="s">
        <v>3019</v>
      </c>
      <c r="O32" s="8" t="n">
        <v>2</v>
      </c>
      <c r="P32" s="10" t="n">
        <v>29.62</v>
      </c>
      <c r="Q32" s="8" t="n">
        <v>8334</v>
      </c>
      <c r="R32" s="8" t="n">
        <v>1022</v>
      </c>
      <c r="S32" s="8" t="s">
        <v>146</v>
      </c>
      <c r="T32" s="8" t="s">
        <v>126</v>
      </c>
      <c r="U32" s="8" t="s">
        <v>127</v>
      </c>
      <c r="V32" s="8"/>
      <c r="W32" s="8" t="s">
        <v>147</v>
      </c>
      <c r="X32" s="8" t="s">
        <v>148</v>
      </c>
      <c r="Y32" s="8" t="s">
        <v>3070</v>
      </c>
      <c r="Z32" s="8" t="s">
        <v>3071</v>
      </c>
    </row>
    <row r="33" customFormat="false" ht="15" hidden="false" customHeight="false" outlineLevel="0" collapsed="false">
      <c r="A33" s="8" t="s">
        <v>145</v>
      </c>
      <c r="B33" s="8" t="s">
        <v>21</v>
      </c>
      <c r="C33" s="8" t="s">
        <v>22</v>
      </c>
      <c r="D33" s="8" t="s">
        <v>615</v>
      </c>
      <c r="E33" s="8" t="s">
        <v>35</v>
      </c>
      <c r="F33" s="8" t="s">
        <v>50</v>
      </c>
      <c r="G33" s="8" t="s">
        <v>31</v>
      </c>
      <c r="H33" s="8" t="s">
        <v>31</v>
      </c>
      <c r="I33" s="8" t="n">
        <f aca="false">IF(EXACT(G33,H33),1,0)</f>
        <v>1</v>
      </c>
      <c r="J33" s="8" t="n">
        <v>1</v>
      </c>
      <c r="K33" s="8" t="s">
        <v>116</v>
      </c>
      <c r="L33" s="8" t="n">
        <v>1</v>
      </c>
      <c r="M33" s="8" t="n">
        <v>6</v>
      </c>
      <c r="N33" s="8" t="s">
        <v>1337</v>
      </c>
      <c r="O33" s="8" t="n">
        <v>2</v>
      </c>
      <c r="P33" s="10" t="n">
        <v>35.42</v>
      </c>
      <c r="Q33" s="8" t="n">
        <v>8544</v>
      </c>
      <c r="R33" s="8" t="n">
        <v>1174</v>
      </c>
      <c r="S33" s="8" t="s">
        <v>146</v>
      </c>
      <c r="T33" s="8" t="s">
        <v>126</v>
      </c>
      <c r="U33" s="8" t="s">
        <v>127</v>
      </c>
      <c r="V33" s="8"/>
      <c r="W33" s="8" t="s">
        <v>147</v>
      </c>
      <c r="X33" s="8" t="s">
        <v>148</v>
      </c>
      <c r="Y33" s="8" t="s">
        <v>3072</v>
      </c>
      <c r="Z33" s="8" t="s">
        <v>3073</v>
      </c>
    </row>
    <row r="34" customFormat="false" ht="15" hidden="false" customHeight="false" outlineLevel="0" collapsed="false">
      <c r="A34" s="8" t="s">
        <v>145</v>
      </c>
      <c r="B34" s="8" t="s">
        <v>21</v>
      </c>
      <c r="C34" s="8" t="s">
        <v>22</v>
      </c>
      <c r="D34" s="8" t="s">
        <v>615</v>
      </c>
      <c r="E34" s="8" t="s">
        <v>35</v>
      </c>
      <c r="F34" s="8" t="s">
        <v>50</v>
      </c>
      <c r="G34" s="8" t="s">
        <v>31</v>
      </c>
      <c r="H34" s="8" t="s">
        <v>31</v>
      </c>
      <c r="I34" s="8" t="n">
        <f aca="false">IF(EXACT(G34,H34),1,0)</f>
        <v>1</v>
      </c>
      <c r="J34" s="8" t="n">
        <v>2</v>
      </c>
      <c r="K34" s="8" t="s">
        <v>116</v>
      </c>
      <c r="L34" s="8" t="n">
        <v>1</v>
      </c>
      <c r="M34" s="8" t="n">
        <v>5</v>
      </c>
      <c r="N34" s="8" t="s">
        <v>3019</v>
      </c>
      <c r="O34" s="8" t="n">
        <v>2</v>
      </c>
      <c r="P34" s="10" t="n">
        <v>28.89</v>
      </c>
      <c r="Q34" s="8" t="n">
        <v>8334</v>
      </c>
      <c r="R34" s="8" t="n">
        <v>981</v>
      </c>
      <c r="S34" s="8" t="s">
        <v>146</v>
      </c>
      <c r="T34" s="8" t="s">
        <v>126</v>
      </c>
      <c r="U34" s="8" t="s">
        <v>127</v>
      </c>
      <c r="V34" s="8"/>
      <c r="W34" s="8" t="s">
        <v>147</v>
      </c>
      <c r="X34" s="8" t="s">
        <v>148</v>
      </c>
      <c r="Y34" s="8" t="s">
        <v>3074</v>
      </c>
      <c r="Z34" s="8" t="s">
        <v>3075</v>
      </c>
    </row>
    <row r="35" customFormat="false" ht="15" hidden="false" customHeight="false" outlineLevel="0" collapsed="false">
      <c r="A35" s="8" t="s">
        <v>149</v>
      </c>
      <c r="B35" s="8" t="s">
        <v>21</v>
      </c>
      <c r="C35" s="8" t="s">
        <v>22</v>
      </c>
      <c r="D35" s="8" t="s">
        <v>615</v>
      </c>
      <c r="E35" s="8" t="s">
        <v>35</v>
      </c>
      <c r="F35" s="8" t="s">
        <v>50</v>
      </c>
      <c r="G35" s="8" t="s">
        <v>30</v>
      </c>
      <c r="H35" s="8" t="s">
        <v>31</v>
      </c>
      <c r="I35" s="8" t="n">
        <f aca="false">IF(EXACT(G35,H35),1,0)</f>
        <v>0</v>
      </c>
      <c r="J35" s="8" t="n">
        <v>0</v>
      </c>
      <c r="K35" s="8" t="s">
        <v>116</v>
      </c>
      <c r="L35" s="8" t="n">
        <v>1</v>
      </c>
      <c r="M35" s="8" t="n">
        <v>5</v>
      </c>
      <c r="N35" s="8" t="s">
        <v>3019</v>
      </c>
      <c r="O35" s="8" t="n">
        <v>2</v>
      </c>
      <c r="P35" s="10" t="n">
        <v>25.64</v>
      </c>
      <c r="Q35" s="8" t="n">
        <v>8154</v>
      </c>
      <c r="R35" s="8" t="n">
        <v>849</v>
      </c>
      <c r="S35" s="8" t="s">
        <v>150</v>
      </c>
      <c r="T35" s="8" t="s">
        <v>126</v>
      </c>
      <c r="U35" s="8" t="s">
        <v>127</v>
      </c>
      <c r="V35" s="8"/>
      <c r="W35" s="8" t="s">
        <v>151</v>
      </c>
      <c r="X35" s="8" t="s">
        <v>152</v>
      </c>
      <c r="Y35" s="8" t="s">
        <v>3076</v>
      </c>
      <c r="Z35" s="8" t="s">
        <v>3077</v>
      </c>
    </row>
    <row r="36" customFormat="false" ht="15" hidden="false" customHeight="false" outlineLevel="0" collapsed="false">
      <c r="A36" s="8" t="s">
        <v>149</v>
      </c>
      <c r="B36" s="8" t="s">
        <v>21</v>
      </c>
      <c r="C36" s="8" t="s">
        <v>22</v>
      </c>
      <c r="D36" s="8" t="s">
        <v>615</v>
      </c>
      <c r="E36" s="8" t="s">
        <v>35</v>
      </c>
      <c r="F36" s="8" t="s">
        <v>50</v>
      </c>
      <c r="G36" s="8" t="s">
        <v>30</v>
      </c>
      <c r="H36" s="8" t="s">
        <v>31</v>
      </c>
      <c r="I36" s="8" t="n">
        <f aca="false">IF(EXACT(G36,H36),1,0)</f>
        <v>0</v>
      </c>
      <c r="J36" s="8" t="n">
        <v>1</v>
      </c>
      <c r="K36" s="8" t="s">
        <v>116</v>
      </c>
      <c r="L36" s="8" t="n">
        <v>1</v>
      </c>
      <c r="M36" s="8" t="n">
        <v>5</v>
      </c>
      <c r="N36" s="8" t="s">
        <v>3019</v>
      </c>
      <c r="O36" s="8" t="n">
        <v>2</v>
      </c>
      <c r="P36" s="10" t="n">
        <v>24.47</v>
      </c>
      <c r="Q36" s="8" t="n">
        <v>8163</v>
      </c>
      <c r="R36" s="8" t="n">
        <v>911</v>
      </c>
      <c r="S36" s="8" t="s">
        <v>150</v>
      </c>
      <c r="T36" s="8" t="s">
        <v>126</v>
      </c>
      <c r="U36" s="8" t="s">
        <v>127</v>
      </c>
      <c r="V36" s="8"/>
      <c r="W36" s="8" t="s">
        <v>151</v>
      </c>
      <c r="X36" s="8" t="s">
        <v>152</v>
      </c>
      <c r="Y36" s="8" t="s">
        <v>3078</v>
      </c>
      <c r="Z36" s="8" t="s">
        <v>3079</v>
      </c>
    </row>
    <row r="37" customFormat="false" ht="15" hidden="false" customHeight="false" outlineLevel="0" collapsed="false">
      <c r="A37" s="8" t="s">
        <v>149</v>
      </c>
      <c r="B37" s="8" t="s">
        <v>21</v>
      </c>
      <c r="C37" s="8" t="s">
        <v>22</v>
      </c>
      <c r="D37" s="8" t="s">
        <v>615</v>
      </c>
      <c r="E37" s="8" t="s">
        <v>35</v>
      </c>
      <c r="F37" s="8" t="s">
        <v>50</v>
      </c>
      <c r="G37" s="8" t="s">
        <v>30</v>
      </c>
      <c r="H37" s="8" t="s">
        <v>31</v>
      </c>
      <c r="I37" s="8" t="n">
        <f aca="false">IF(EXACT(G37,H37),1,0)</f>
        <v>0</v>
      </c>
      <c r="J37" s="8" t="n">
        <v>2</v>
      </c>
      <c r="K37" s="8" t="s">
        <v>737</v>
      </c>
      <c r="L37" s="8" t="n">
        <v>1</v>
      </c>
      <c r="M37" s="8" t="n">
        <v>5</v>
      </c>
      <c r="N37" s="8" t="s">
        <v>3019</v>
      </c>
      <c r="O37" s="8" t="n">
        <v>2</v>
      </c>
      <c r="P37" s="10" t="n">
        <v>23.71</v>
      </c>
      <c r="Q37" s="8" t="n">
        <v>8154</v>
      </c>
      <c r="R37" s="8" t="n">
        <v>890</v>
      </c>
      <c r="S37" s="8" t="s">
        <v>150</v>
      </c>
      <c r="T37" s="8" t="s">
        <v>126</v>
      </c>
      <c r="U37" s="8" t="s">
        <v>127</v>
      </c>
      <c r="V37" s="8"/>
      <c r="W37" s="8" t="s">
        <v>151</v>
      </c>
      <c r="X37" s="8" t="s">
        <v>152</v>
      </c>
      <c r="Y37" s="8" t="s">
        <v>3080</v>
      </c>
      <c r="Z37" s="8" t="s">
        <v>3081</v>
      </c>
    </row>
    <row r="38" customFormat="false" ht="15" hidden="false" customHeight="false" outlineLevel="0" collapsed="false">
      <c r="A38" s="8" t="s">
        <v>153</v>
      </c>
      <c r="B38" s="8" t="s">
        <v>21</v>
      </c>
      <c r="C38" s="8" t="s">
        <v>22</v>
      </c>
      <c r="D38" s="8" t="s">
        <v>615</v>
      </c>
      <c r="E38" s="8" t="s">
        <v>35</v>
      </c>
      <c r="F38" s="8" t="s">
        <v>53</v>
      </c>
      <c r="G38" s="8" t="s">
        <v>31</v>
      </c>
      <c r="H38" s="8" t="s">
        <v>31</v>
      </c>
      <c r="I38" s="8" t="n">
        <f aca="false">IF(EXACT(G38,H38),1,0)</f>
        <v>1</v>
      </c>
      <c r="J38" s="8" t="n">
        <v>0</v>
      </c>
      <c r="K38" s="8" t="s">
        <v>116</v>
      </c>
      <c r="L38" s="8" t="n">
        <v>2</v>
      </c>
      <c r="M38" s="8" t="n">
        <v>5</v>
      </c>
      <c r="N38" s="8" t="s">
        <v>3019</v>
      </c>
      <c r="O38" s="8" t="n">
        <v>2</v>
      </c>
      <c r="P38" s="10" t="n">
        <v>46.9</v>
      </c>
      <c r="Q38" s="8" t="n">
        <v>10781</v>
      </c>
      <c r="R38" s="8" t="n">
        <v>2071</v>
      </c>
      <c r="S38" s="8" t="s">
        <v>154</v>
      </c>
      <c r="T38" s="8"/>
      <c r="U38" s="8"/>
      <c r="V38" s="8" t="s">
        <v>155</v>
      </c>
      <c r="W38" s="8"/>
      <c r="X38" s="8" t="s">
        <v>156</v>
      </c>
      <c r="Y38" s="8" t="s">
        <v>3082</v>
      </c>
      <c r="Z38" s="8" t="s">
        <v>3083</v>
      </c>
    </row>
    <row r="39" customFormat="false" ht="15" hidden="false" customHeight="false" outlineLevel="0" collapsed="false">
      <c r="A39" s="8" t="s">
        <v>153</v>
      </c>
      <c r="B39" s="8" t="s">
        <v>21</v>
      </c>
      <c r="C39" s="8" t="s">
        <v>22</v>
      </c>
      <c r="D39" s="8" t="s">
        <v>615</v>
      </c>
      <c r="E39" s="8" t="s">
        <v>35</v>
      </c>
      <c r="F39" s="8" t="s">
        <v>53</v>
      </c>
      <c r="G39" s="8" t="s">
        <v>31</v>
      </c>
      <c r="H39" s="8" t="s">
        <v>31</v>
      </c>
      <c r="I39" s="8" t="n">
        <f aca="false">IF(EXACT(G39,H39),1,0)</f>
        <v>1</v>
      </c>
      <c r="J39" s="8" t="n">
        <v>1</v>
      </c>
      <c r="K39" s="8" t="s">
        <v>116</v>
      </c>
      <c r="L39" s="8" t="n">
        <v>2</v>
      </c>
      <c r="M39" s="8" t="n">
        <v>5</v>
      </c>
      <c r="N39" s="8" t="s">
        <v>3019</v>
      </c>
      <c r="O39" s="8" t="n">
        <v>2</v>
      </c>
      <c r="P39" s="10" t="n">
        <v>48.33</v>
      </c>
      <c r="Q39" s="8" t="n">
        <v>10780</v>
      </c>
      <c r="R39" s="8" t="n">
        <v>2095</v>
      </c>
      <c r="S39" s="8" t="s">
        <v>154</v>
      </c>
      <c r="T39" s="8"/>
      <c r="U39" s="8"/>
      <c r="V39" s="8" t="s">
        <v>155</v>
      </c>
      <c r="W39" s="8"/>
      <c r="X39" s="8" t="s">
        <v>156</v>
      </c>
      <c r="Y39" s="8" t="s">
        <v>3084</v>
      </c>
      <c r="Z39" s="8" t="s">
        <v>3085</v>
      </c>
    </row>
    <row r="40" customFormat="false" ht="15" hidden="false" customHeight="false" outlineLevel="0" collapsed="false">
      <c r="A40" s="8" t="s">
        <v>153</v>
      </c>
      <c r="B40" s="8" t="s">
        <v>21</v>
      </c>
      <c r="C40" s="8" t="s">
        <v>22</v>
      </c>
      <c r="D40" s="8" t="s">
        <v>615</v>
      </c>
      <c r="E40" s="8" t="s">
        <v>35</v>
      </c>
      <c r="F40" s="8" t="s">
        <v>53</v>
      </c>
      <c r="G40" s="8" t="s">
        <v>31</v>
      </c>
      <c r="H40" s="8" t="s">
        <v>31</v>
      </c>
      <c r="I40" s="8" t="n">
        <f aca="false">IF(EXACT(G40,H40),1,0)</f>
        <v>1</v>
      </c>
      <c r="J40" s="8" t="n">
        <v>2</v>
      </c>
      <c r="K40" s="8" t="s">
        <v>116</v>
      </c>
      <c r="L40" s="8" t="n">
        <v>2</v>
      </c>
      <c r="M40" s="8" t="n">
        <v>5</v>
      </c>
      <c r="N40" s="8" t="s">
        <v>3019</v>
      </c>
      <c r="O40" s="8" t="n">
        <v>2</v>
      </c>
      <c r="P40" s="10" t="n">
        <v>46.38</v>
      </c>
      <c r="Q40" s="8" t="n">
        <v>10781</v>
      </c>
      <c r="R40" s="8" t="n">
        <v>2106</v>
      </c>
      <c r="S40" s="8" t="s">
        <v>154</v>
      </c>
      <c r="T40" s="8"/>
      <c r="U40" s="8"/>
      <c r="V40" s="8" t="s">
        <v>155</v>
      </c>
      <c r="W40" s="8"/>
      <c r="X40" s="8" t="s">
        <v>156</v>
      </c>
      <c r="Y40" s="8" t="s">
        <v>3086</v>
      </c>
      <c r="Z40" s="8" t="s">
        <v>3087</v>
      </c>
    </row>
    <row r="41" customFormat="false" ht="15" hidden="false" customHeight="false" outlineLevel="0" collapsed="false">
      <c r="A41" s="8" t="s">
        <v>158</v>
      </c>
      <c r="B41" s="8" t="s">
        <v>21</v>
      </c>
      <c r="C41" s="8" t="s">
        <v>22</v>
      </c>
      <c r="D41" s="8" t="s">
        <v>615</v>
      </c>
      <c r="E41" s="8" t="s">
        <v>35</v>
      </c>
      <c r="F41" s="8" t="s">
        <v>53</v>
      </c>
      <c r="G41" s="8" t="s">
        <v>31</v>
      </c>
      <c r="H41" s="8" t="s">
        <v>31</v>
      </c>
      <c r="I41" s="8" t="n">
        <f aca="false">IF(EXACT(G41,H41),1,0)</f>
        <v>1</v>
      </c>
      <c r="J41" s="8" t="n">
        <v>0</v>
      </c>
      <c r="K41" s="8" t="s">
        <v>116</v>
      </c>
      <c r="L41" s="8" t="n">
        <v>2</v>
      </c>
      <c r="M41" s="8" t="n">
        <v>5</v>
      </c>
      <c r="N41" s="8" t="s">
        <v>3019</v>
      </c>
      <c r="O41" s="8" t="n">
        <v>2</v>
      </c>
      <c r="P41" s="10" t="n">
        <v>48.91</v>
      </c>
      <c r="Q41" s="8" t="n">
        <v>10281</v>
      </c>
      <c r="R41" s="8" t="n">
        <v>2035</v>
      </c>
      <c r="S41" s="8" t="s">
        <v>159</v>
      </c>
      <c r="T41" s="8"/>
      <c r="U41" s="8"/>
      <c r="V41" s="8" t="s">
        <v>155</v>
      </c>
      <c r="W41" s="8"/>
      <c r="X41" s="8" t="s">
        <v>160</v>
      </c>
      <c r="Y41" s="8" t="s">
        <v>3088</v>
      </c>
      <c r="Z41" s="8" t="s">
        <v>3089</v>
      </c>
    </row>
    <row r="42" customFormat="false" ht="15" hidden="false" customHeight="false" outlineLevel="0" collapsed="false">
      <c r="A42" s="8" t="s">
        <v>158</v>
      </c>
      <c r="B42" s="8" t="s">
        <v>21</v>
      </c>
      <c r="C42" s="8" t="s">
        <v>22</v>
      </c>
      <c r="D42" s="8" t="s">
        <v>615</v>
      </c>
      <c r="E42" s="8" t="s">
        <v>35</v>
      </c>
      <c r="F42" s="8" t="s">
        <v>53</v>
      </c>
      <c r="G42" s="8" t="s">
        <v>31</v>
      </c>
      <c r="H42" s="8" t="s">
        <v>31</v>
      </c>
      <c r="I42" s="8" t="n">
        <f aca="false">IF(EXACT(G42,H42),1,0)</f>
        <v>1</v>
      </c>
      <c r="J42" s="8" t="n">
        <v>1</v>
      </c>
      <c r="K42" s="8" t="s">
        <v>116</v>
      </c>
      <c r="L42" s="8" t="n">
        <v>2</v>
      </c>
      <c r="M42" s="8" t="n">
        <v>5</v>
      </c>
      <c r="N42" s="8" t="s">
        <v>3019</v>
      </c>
      <c r="O42" s="8" t="n">
        <v>2</v>
      </c>
      <c r="P42" s="10" t="n">
        <v>46.35</v>
      </c>
      <c r="Q42" s="8" t="n">
        <v>10280</v>
      </c>
      <c r="R42" s="8" t="n">
        <v>2075</v>
      </c>
      <c r="S42" s="8" t="s">
        <v>159</v>
      </c>
      <c r="T42" s="8"/>
      <c r="U42" s="8"/>
      <c r="V42" s="8" t="s">
        <v>155</v>
      </c>
      <c r="W42" s="8"/>
      <c r="X42" s="8" t="s">
        <v>160</v>
      </c>
      <c r="Y42" s="8" t="s">
        <v>3090</v>
      </c>
      <c r="Z42" s="8" t="s">
        <v>3091</v>
      </c>
    </row>
    <row r="43" customFormat="false" ht="15" hidden="false" customHeight="false" outlineLevel="0" collapsed="false">
      <c r="A43" s="8" t="s">
        <v>158</v>
      </c>
      <c r="B43" s="8" t="s">
        <v>21</v>
      </c>
      <c r="C43" s="8" t="s">
        <v>22</v>
      </c>
      <c r="D43" s="8" t="s">
        <v>615</v>
      </c>
      <c r="E43" s="8" t="s">
        <v>35</v>
      </c>
      <c r="F43" s="8" t="s">
        <v>53</v>
      </c>
      <c r="G43" s="8" t="s">
        <v>31</v>
      </c>
      <c r="H43" s="8" t="s">
        <v>31</v>
      </c>
      <c r="I43" s="8" t="n">
        <f aca="false">IF(EXACT(G43,H43),1,0)</f>
        <v>1</v>
      </c>
      <c r="J43" s="8" t="n">
        <v>2</v>
      </c>
      <c r="K43" s="8" t="s">
        <v>116</v>
      </c>
      <c r="L43" s="8" t="n">
        <v>2</v>
      </c>
      <c r="M43" s="8" t="n">
        <v>5</v>
      </c>
      <c r="N43" s="8" t="s">
        <v>3019</v>
      </c>
      <c r="O43" s="8" t="n">
        <v>2</v>
      </c>
      <c r="P43" s="10" t="n">
        <v>45.1</v>
      </c>
      <c r="Q43" s="8" t="n">
        <v>10283</v>
      </c>
      <c r="R43" s="8" t="n">
        <v>2067</v>
      </c>
      <c r="S43" s="8" t="s">
        <v>159</v>
      </c>
      <c r="T43" s="8"/>
      <c r="U43" s="8"/>
      <c r="V43" s="8" t="s">
        <v>155</v>
      </c>
      <c r="W43" s="8"/>
      <c r="X43" s="8" t="s">
        <v>160</v>
      </c>
      <c r="Y43" s="8" t="s">
        <v>3092</v>
      </c>
      <c r="Z43" s="8" t="s">
        <v>3093</v>
      </c>
    </row>
    <row r="44" customFormat="false" ht="15" hidden="false" customHeight="false" outlineLevel="0" collapsed="false">
      <c r="A44" s="8" t="s">
        <v>162</v>
      </c>
      <c r="B44" s="8" t="s">
        <v>21</v>
      </c>
      <c r="C44" s="8" t="s">
        <v>22</v>
      </c>
      <c r="D44" s="8" t="s">
        <v>615</v>
      </c>
      <c r="E44" s="8" t="s">
        <v>35</v>
      </c>
      <c r="F44" s="8" t="s">
        <v>53</v>
      </c>
      <c r="G44" s="8" t="s">
        <v>32</v>
      </c>
      <c r="H44" s="8" t="s">
        <v>32</v>
      </c>
      <c r="I44" s="8" t="n">
        <f aca="false">IF(EXACT(G44,H44),1,0)</f>
        <v>1</v>
      </c>
      <c r="J44" s="8" t="n">
        <v>0</v>
      </c>
      <c r="K44" s="8" t="s">
        <v>92</v>
      </c>
      <c r="L44" s="8" t="n">
        <v>0</v>
      </c>
      <c r="M44" s="8" t="n">
        <v>5</v>
      </c>
      <c r="N44" s="8" t="s">
        <v>3019</v>
      </c>
      <c r="O44" s="8" t="n">
        <v>2</v>
      </c>
      <c r="P44" s="10" t="n">
        <v>31.18</v>
      </c>
      <c r="Q44" s="8" t="n">
        <v>8603</v>
      </c>
      <c r="R44" s="8" t="n">
        <v>1060</v>
      </c>
      <c r="S44" s="8" t="s">
        <v>163</v>
      </c>
      <c r="T44" s="8"/>
      <c r="U44" s="8"/>
      <c r="V44" s="8" t="s">
        <v>155</v>
      </c>
      <c r="W44" s="8"/>
      <c r="X44" s="8" t="s">
        <v>164</v>
      </c>
      <c r="Y44" s="8" t="s">
        <v>3094</v>
      </c>
      <c r="Z44" s="8"/>
    </row>
    <row r="45" customFormat="false" ht="15" hidden="false" customHeight="false" outlineLevel="0" collapsed="false">
      <c r="A45" s="8" t="s">
        <v>162</v>
      </c>
      <c r="B45" s="8" t="s">
        <v>21</v>
      </c>
      <c r="C45" s="8" t="s">
        <v>22</v>
      </c>
      <c r="D45" s="8" t="s">
        <v>615</v>
      </c>
      <c r="E45" s="8" t="s">
        <v>35</v>
      </c>
      <c r="F45" s="8" t="s">
        <v>53</v>
      </c>
      <c r="G45" s="8" t="s">
        <v>32</v>
      </c>
      <c r="H45" s="8" t="s">
        <v>32</v>
      </c>
      <c r="I45" s="8" t="n">
        <f aca="false">IF(EXACT(G45,H45),1,0)</f>
        <v>1</v>
      </c>
      <c r="J45" s="8" t="n">
        <v>1</v>
      </c>
      <c r="K45" s="8" t="s">
        <v>92</v>
      </c>
      <c r="L45" s="8" t="n">
        <v>0</v>
      </c>
      <c r="M45" s="8" t="n">
        <v>5</v>
      </c>
      <c r="N45" s="8" t="s">
        <v>3019</v>
      </c>
      <c r="O45" s="8" t="n">
        <v>2</v>
      </c>
      <c r="P45" s="10" t="n">
        <v>30.72</v>
      </c>
      <c r="Q45" s="8" t="n">
        <v>8603</v>
      </c>
      <c r="R45" s="8" t="n">
        <v>1053</v>
      </c>
      <c r="S45" s="8" t="s">
        <v>163</v>
      </c>
      <c r="T45" s="8"/>
      <c r="U45" s="8"/>
      <c r="V45" s="8" t="s">
        <v>155</v>
      </c>
      <c r="W45" s="8"/>
      <c r="X45" s="8" t="s">
        <v>164</v>
      </c>
      <c r="Y45" s="8" t="s">
        <v>3095</v>
      </c>
      <c r="Z45" s="8"/>
    </row>
    <row r="46" customFormat="false" ht="15" hidden="false" customHeight="false" outlineLevel="0" collapsed="false">
      <c r="A46" s="8" t="s">
        <v>162</v>
      </c>
      <c r="B46" s="8" t="s">
        <v>21</v>
      </c>
      <c r="C46" s="8" t="s">
        <v>22</v>
      </c>
      <c r="D46" s="8" t="s">
        <v>615</v>
      </c>
      <c r="E46" s="8" t="s">
        <v>35</v>
      </c>
      <c r="F46" s="8" t="s">
        <v>53</v>
      </c>
      <c r="G46" s="8" t="s">
        <v>32</v>
      </c>
      <c r="H46" s="8" t="s">
        <v>32</v>
      </c>
      <c r="I46" s="8" t="n">
        <f aca="false">IF(EXACT(G46,H46),1,0)</f>
        <v>1</v>
      </c>
      <c r="J46" s="8" t="n">
        <v>2</v>
      </c>
      <c r="K46" s="8" t="s">
        <v>92</v>
      </c>
      <c r="L46" s="8" t="n">
        <v>0</v>
      </c>
      <c r="M46" s="8" t="n">
        <v>5</v>
      </c>
      <c r="N46" s="8" t="s">
        <v>3019</v>
      </c>
      <c r="O46" s="8" t="n">
        <v>2</v>
      </c>
      <c r="P46" s="10" t="n">
        <v>31.34</v>
      </c>
      <c r="Q46" s="8" t="n">
        <v>8604</v>
      </c>
      <c r="R46" s="8" t="n">
        <v>1074</v>
      </c>
      <c r="S46" s="8" t="s">
        <v>163</v>
      </c>
      <c r="T46" s="8"/>
      <c r="U46" s="8"/>
      <c r="V46" s="8" t="s">
        <v>155</v>
      </c>
      <c r="W46" s="8"/>
      <c r="X46" s="8" t="s">
        <v>164</v>
      </c>
      <c r="Y46" s="8" t="s">
        <v>3096</v>
      </c>
      <c r="Z46" s="8"/>
    </row>
    <row r="47" customFormat="false" ht="15" hidden="false" customHeight="false" outlineLevel="0" collapsed="false">
      <c r="A47" s="8" t="s">
        <v>165</v>
      </c>
      <c r="B47" s="8" t="s">
        <v>21</v>
      </c>
      <c r="C47" s="8" t="s">
        <v>22</v>
      </c>
      <c r="D47" s="8" t="s">
        <v>615</v>
      </c>
      <c r="E47" s="8" t="s">
        <v>35</v>
      </c>
      <c r="F47" s="8" t="s">
        <v>53</v>
      </c>
      <c r="G47" s="8" t="s">
        <v>32</v>
      </c>
      <c r="H47" s="8" t="s">
        <v>31</v>
      </c>
      <c r="I47" s="8" t="n">
        <f aca="false">IF(EXACT(G47,H47),1,0)</f>
        <v>0</v>
      </c>
      <c r="J47" s="8" t="n">
        <v>0</v>
      </c>
      <c r="K47" s="8" t="s">
        <v>2333</v>
      </c>
      <c r="L47" s="8" t="n">
        <v>1</v>
      </c>
      <c r="M47" s="8" t="n">
        <v>5</v>
      </c>
      <c r="N47" s="8" t="s">
        <v>3019</v>
      </c>
      <c r="O47" s="8" t="n">
        <v>2</v>
      </c>
      <c r="P47" s="10" t="n">
        <v>33.8</v>
      </c>
      <c r="Q47" s="8" t="n">
        <v>8848</v>
      </c>
      <c r="R47" s="8" t="n">
        <v>1239</v>
      </c>
      <c r="S47" s="8" t="s">
        <v>166</v>
      </c>
      <c r="T47" s="8"/>
      <c r="U47" s="8"/>
      <c r="V47" s="8" t="s">
        <v>155</v>
      </c>
      <c r="W47" s="8"/>
      <c r="X47" s="8" t="s">
        <v>167</v>
      </c>
      <c r="Y47" s="8" t="s">
        <v>3097</v>
      </c>
      <c r="Z47" s="8" t="s">
        <v>3098</v>
      </c>
    </row>
    <row r="48" customFormat="false" ht="15" hidden="false" customHeight="false" outlineLevel="0" collapsed="false">
      <c r="A48" s="8" t="s">
        <v>165</v>
      </c>
      <c r="B48" s="8" t="s">
        <v>21</v>
      </c>
      <c r="C48" s="8" t="s">
        <v>22</v>
      </c>
      <c r="D48" s="8" t="s">
        <v>615</v>
      </c>
      <c r="E48" s="8" t="s">
        <v>35</v>
      </c>
      <c r="F48" s="8" t="s">
        <v>53</v>
      </c>
      <c r="G48" s="8" t="s">
        <v>32</v>
      </c>
      <c r="H48" s="8" t="s">
        <v>31</v>
      </c>
      <c r="I48" s="8" t="n">
        <f aca="false">IF(EXACT(G48,H48),1,0)</f>
        <v>0</v>
      </c>
      <c r="J48" s="8" t="n">
        <v>1</v>
      </c>
      <c r="K48" s="8" t="s">
        <v>2333</v>
      </c>
      <c r="L48" s="8" t="n">
        <v>1</v>
      </c>
      <c r="M48" s="8" t="n">
        <v>5</v>
      </c>
      <c r="N48" s="8" t="s">
        <v>3019</v>
      </c>
      <c r="O48" s="8" t="n">
        <v>2</v>
      </c>
      <c r="P48" s="10" t="n">
        <v>34.41</v>
      </c>
      <c r="Q48" s="8" t="n">
        <v>8848</v>
      </c>
      <c r="R48" s="8" t="n">
        <v>1226</v>
      </c>
      <c r="S48" s="8" t="s">
        <v>166</v>
      </c>
      <c r="T48" s="8"/>
      <c r="U48" s="8"/>
      <c r="V48" s="8" t="s">
        <v>155</v>
      </c>
      <c r="W48" s="8"/>
      <c r="X48" s="8" t="s">
        <v>167</v>
      </c>
      <c r="Y48" s="8" t="s">
        <v>3099</v>
      </c>
      <c r="Z48" s="8" t="s">
        <v>3100</v>
      </c>
    </row>
    <row r="49" customFormat="false" ht="15" hidden="false" customHeight="false" outlineLevel="0" collapsed="false">
      <c r="A49" s="8" t="s">
        <v>165</v>
      </c>
      <c r="B49" s="8" t="s">
        <v>21</v>
      </c>
      <c r="C49" s="8" t="s">
        <v>22</v>
      </c>
      <c r="D49" s="8" t="s">
        <v>615</v>
      </c>
      <c r="E49" s="8" t="s">
        <v>35</v>
      </c>
      <c r="F49" s="8" t="s">
        <v>53</v>
      </c>
      <c r="G49" s="8" t="s">
        <v>32</v>
      </c>
      <c r="H49" s="8" t="s">
        <v>31</v>
      </c>
      <c r="I49" s="8" t="n">
        <f aca="false">IF(EXACT(G49,H49),1,0)</f>
        <v>0</v>
      </c>
      <c r="J49" s="8" t="n">
        <v>2</v>
      </c>
      <c r="K49" s="8" t="s">
        <v>2333</v>
      </c>
      <c r="L49" s="8" t="n">
        <v>1</v>
      </c>
      <c r="M49" s="8" t="n">
        <v>5</v>
      </c>
      <c r="N49" s="8" t="s">
        <v>3019</v>
      </c>
      <c r="O49" s="8" t="n">
        <v>2</v>
      </c>
      <c r="P49" s="10" t="n">
        <v>34.39</v>
      </c>
      <c r="Q49" s="8" t="n">
        <v>8848</v>
      </c>
      <c r="R49" s="8" t="n">
        <v>1210</v>
      </c>
      <c r="S49" s="8" t="s">
        <v>166</v>
      </c>
      <c r="T49" s="8"/>
      <c r="U49" s="8"/>
      <c r="V49" s="8" t="s">
        <v>155</v>
      </c>
      <c r="W49" s="8"/>
      <c r="X49" s="8" t="s">
        <v>167</v>
      </c>
      <c r="Y49" s="8" t="s">
        <v>3101</v>
      </c>
      <c r="Z49" s="8" t="s">
        <v>3102</v>
      </c>
    </row>
    <row r="50" customFormat="false" ht="15" hidden="false" customHeight="false" outlineLevel="0" collapsed="false">
      <c r="A50" s="8" t="s">
        <v>168</v>
      </c>
      <c r="B50" s="8" t="s">
        <v>21</v>
      </c>
      <c r="C50" s="8" t="s">
        <v>22</v>
      </c>
      <c r="D50" s="8" t="s">
        <v>615</v>
      </c>
      <c r="E50" s="8" t="s">
        <v>35</v>
      </c>
      <c r="F50" s="8" t="s">
        <v>53</v>
      </c>
      <c r="G50" s="8" t="s">
        <v>30</v>
      </c>
      <c r="H50" s="8" t="s">
        <v>31</v>
      </c>
      <c r="I50" s="8" t="n">
        <f aca="false">IF(EXACT(G50,H50),1,0)</f>
        <v>0</v>
      </c>
      <c r="J50" s="8" t="n">
        <v>0</v>
      </c>
      <c r="K50" s="8" t="s">
        <v>2333</v>
      </c>
      <c r="L50" s="8" t="n">
        <v>1</v>
      </c>
      <c r="M50" s="8" t="n">
        <v>6</v>
      </c>
      <c r="N50" s="8" t="s">
        <v>1337</v>
      </c>
      <c r="O50" s="8" t="n">
        <v>2</v>
      </c>
      <c r="P50" s="10" t="n">
        <v>46.7</v>
      </c>
      <c r="Q50" s="8" t="n">
        <v>12643</v>
      </c>
      <c r="R50" s="8" t="n">
        <v>2096</v>
      </c>
      <c r="S50" s="8" t="s">
        <v>169</v>
      </c>
      <c r="T50" s="8"/>
      <c r="U50" s="8"/>
      <c r="V50" s="8" t="s">
        <v>155</v>
      </c>
      <c r="W50" s="8"/>
      <c r="X50" s="8" t="s">
        <v>170</v>
      </c>
      <c r="Y50" s="8" t="s">
        <v>3103</v>
      </c>
      <c r="Z50" s="8" t="s">
        <v>3104</v>
      </c>
    </row>
    <row r="51" customFormat="false" ht="15" hidden="false" customHeight="false" outlineLevel="0" collapsed="false">
      <c r="A51" s="8" t="s">
        <v>168</v>
      </c>
      <c r="B51" s="8" t="s">
        <v>21</v>
      </c>
      <c r="C51" s="8" t="s">
        <v>22</v>
      </c>
      <c r="D51" s="8" t="s">
        <v>615</v>
      </c>
      <c r="E51" s="8" t="s">
        <v>35</v>
      </c>
      <c r="F51" s="8" t="s">
        <v>53</v>
      </c>
      <c r="G51" s="8" t="s">
        <v>30</v>
      </c>
      <c r="H51" s="8" t="s">
        <v>31</v>
      </c>
      <c r="I51" s="8" t="n">
        <f aca="false">IF(EXACT(G51,H51),1,0)</f>
        <v>0</v>
      </c>
      <c r="J51" s="8" t="n">
        <v>1</v>
      </c>
      <c r="K51" s="8" t="s">
        <v>2333</v>
      </c>
      <c r="L51" s="8" t="n">
        <v>1</v>
      </c>
      <c r="M51" s="8" t="n">
        <v>5</v>
      </c>
      <c r="N51" s="8" t="s">
        <v>3019</v>
      </c>
      <c r="O51" s="8" t="n">
        <v>2</v>
      </c>
      <c r="P51" s="10" t="n">
        <v>42.99</v>
      </c>
      <c r="Q51" s="8" t="n">
        <v>10906</v>
      </c>
      <c r="R51" s="8" t="n">
        <v>1916</v>
      </c>
      <c r="S51" s="8" t="s">
        <v>169</v>
      </c>
      <c r="T51" s="8"/>
      <c r="U51" s="8"/>
      <c r="V51" s="8" t="s">
        <v>155</v>
      </c>
      <c r="W51" s="8"/>
      <c r="X51" s="8" t="s">
        <v>170</v>
      </c>
      <c r="Y51" s="8" t="s">
        <v>3105</v>
      </c>
      <c r="Z51" s="8" t="s">
        <v>3106</v>
      </c>
    </row>
    <row r="52" customFormat="false" ht="15" hidden="false" customHeight="false" outlineLevel="0" collapsed="false">
      <c r="A52" s="8" t="s">
        <v>168</v>
      </c>
      <c r="B52" s="8" t="s">
        <v>21</v>
      </c>
      <c r="C52" s="8" t="s">
        <v>22</v>
      </c>
      <c r="D52" s="8" t="s">
        <v>615</v>
      </c>
      <c r="E52" s="8" t="s">
        <v>35</v>
      </c>
      <c r="F52" s="8" t="s">
        <v>53</v>
      </c>
      <c r="G52" s="8" t="s">
        <v>30</v>
      </c>
      <c r="H52" s="8" t="s">
        <v>31</v>
      </c>
      <c r="I52" s="8" t="n">
        <f aca="false">IF(EXACT(G52,H52),1,0)</f>
        <v>0</v>
      </c>
      <c r="J52" s="8" t="n">
        <v>2</v>
      </c>
      <c r="K52" s="8" t="s">
        <v>2333</v>
      </c>
      <c r="L52" s="8" t="n">
        <v>1</v>
      </c>
      <c r="M52" s="8" t="n">
        <v>6</v>
      </c>
      <c r="N52" s="8" t="s">
        <v>1337</v>
      </c>
      <c r="O52" s="8" t="n">
        <v>2</v>
      </c>
      <c r="P52" s="10" t="n">
        <v>49.15</v>
      </c>
      <c r="Q52" s="8" t="n">
        <v>12643</v>
      </c>
      <c r="R52" s="8" t="n">
        <v>2191</v>
      </c>
      <c r="S52" s="8" t="s">
        <v>169</v>
      </c>
      <c r="T52" s="8"/>
      <c r="U52" s="8"/>
      <c r="V52" s="8" t="s">
        <v>155</v>
      </c>
      <c r="W52" s="8"/>
      <c r="X52" s="8" t="s">
        <v>170</v>
      </c>
      <c r="Y52" s="8" t="s">
        <v>3107</v>
      </c>
      <c r="Z52" s="8" t="s">
        <v>3108</v>
      </c>
    </row>
    <row r="53" customFormat="false" ht="15" hidden="false" customHeight="false" outlineLevel="0" collapsed="false">
      <c r="A53" s="8" t="s">
        <v>171</v>
      </c>
      <c r="B53" s="8" t="s">
        <v>21</v>
      </c>
      <c r="C53" s="8" t="s">
        <v>22</v>
      </c>
      <c r="D53" s="8" t="s">
        <v>615</v>
      </c>
      <c r="E53" s="8" t="s">
        <v>35</v>
      </c>
      <c r="F53" s="8" t="s">
        <v>53</v>
      </c>
      <c r="G53" s="8" t="s">
        <v>30</v>
      </c>
      <c r="H53" s="8" t="s">
        <v>31</v>
      </c>
      <c r="I53" s="8" t="n">
        <f aca="false">IF(EXACT(G53,H53),1,0)</f>
        <v>0</v>
      </c>
      <c r="J53" s="8" t="n">
        <v>0</v>
      </c>
      <c r="K53" s="8" t="s">
        <v>116</v>
      </c>
      <c r="L53" s="8" t="n">
        <v>6</v>
      </c>
      <c r="M53" s="8" t="n">
        <v>6</v>
      </c>
      <c r="N53" s="8" t="s">
        <v>3109</v>
      </c>
      <c r="O53" s="8" t="n">
        <v>2</v>
      </c>
      <c r="P53" s="10" t="n">
        <v>52.1</v>
      </c>
      <c r="Q53" s="8" t="n">
        <v>10709</v>
      </c>
      <c r="R53" s="8" t="n">
        <v>2497</v>
      </c>
      <c r="S53" s="8" t="s">
        <v>172</v>
      </c>
      <c r="T53" s="8"/>
      <c r="U53" s="8"/>
      <c r="V53" s="8" t="s">
        <v>155</v>
      </c>
      <c r="W53" s="8"/>
      <c r="X53" s="8" t="s">
        <v>173</v>
      </c>
      <c r="Y53" s="8" t="s">
        <v>3110</v>
      </c>
      <c r="Z53" s="8" t="s">
        <v>3111</v>
      </c>
    </row>
    <row r="54" customFormat="false" ht="15" hidden="false" customHeight="false" outlineLevel="0" collapsed="false">
      <c r="A54" s="8" t="s">
        <v>171</v>
      </c>
      <c r="B54" s="8" t="s">
        <v>21</v>
      </c>
      <c r="C54" s="8" t="s">
        <v>22</v>
      </c>
      <c r="D54" s="8" t="s">
        <v>615</v>
      </c>
      <c r="E54" s="8" t="s">
        <v>35</v>
      </c>
      <c r="F54" s="8" t="s">
        <v>53</v>
      </c>
      <c r="G54" s="8" t="s">
        <v>30</v>
      </c>
      <c r="H54" s="8" t="s">
        <v>31</v>
      </c>
      <c r="I54" s="8" t="n">
        <f aca="false">IF(EXACT(G54,H54),1,0)</f>
        <v>0</v>
      </c>
      <c r="J54" s="8" t="n">
        <v>1</v>
      </c>
      <c r="K54" s="8" t="s">
        <v>116</v>
      </c>
      <c r="L54" s="8" t="n">
        <v>4</v>
      </c>
      <c r="M54" s="8" t="n">
        <v>6</v>
      </c>
      <c r="N54" s="8" t="s">
        <v>3109</v>
      </c>
      <c r="O54" s="8" t="n">
        <v>2</v>
      </c>
      <c r="P54" s="10" t="n">
        <v>54.39</v>
      </c>
      <c r="Q54" s="8" t="n">
        <v>10713</v>
      </c>
      <c r="R54" s="8" t="n">
        <v>2402</v>
      </c>
      <c r="S54" s="8" t="s">
        <v>172</v>
      </c>
      <c r="T54" s="8"/>
      <c r="U54" s="8"/>
      <c r="V54" s="8" t="s">
        <v>155</v>
      </c>
      <c r="W54" s="8"/>
      <c r="X54" s="8" t="s">
        <v>173</v>
      </c>
      <c r="Y54" s="8" t="s">
        <v>3112</v>
      </c>
      <c r="Z54" s="8" t="s">
        <v>3113</v>
      </c>
    </row>
    <row r="55" customFormat="false" ht="15" hidden="false" customHeight="false" outlineLevel="0" collapsed="false">
      <c r="A55" s="8" t="s">
        <v>171</v>
      </c>
      <c r="B55" s="8" t="s">
        <v>21</v>
      </c>
      <c r="C55" s="8" t="s">
        <v>22</v>
      </c>
      <c r="D55" s="8" t="s">
        <v>615</v>
      </c>
      <c r="E55" s="8" t="s">
        <v>35</v>
      </c>
      <c r="F55" s="8" t="s">
        <v>53</v>
      </c>
      <c r="G55" s="8" t="s">
        <v>30</v>
      </c>
      <c r="H55" s="8" t="s">
        <v>31</v>
      </c>
      <c r="I55" s="8" t="n">
        <f aca="false">IF(EXACT(G55,H55),1,0)</f>
        <v>0</v>
      </c>
      <c r="J55" s="8" t="n">
        <v>2</v>
      </c>
      <c r="K55" s="8" t="s">
        <v>116</v>
      </c>
      <c r="L55" s="8" t="n">
        <v>3</v>
      </c>
      <c r="M55" s="8" t="n">
        <v>6</v>
      </c>
      <c r="N55" s="8" t="s">
        <v>3109</v>
      </c>
      <c r="O55" s="8" t="n">
        <v>2</v>
      </c>
      <c r="P55" s="10" t="n">
        <v>52.32</v>
      </c>
      <c r="Q55" s="8" t="n">
        <v>10709</v>
      </c>
      <c r="R55" s="8" t="n">
        <v>2263</v>
      </c>
      <c r="S55" s="8" t="s">
        <v>172</v>
      </c>
      <c r="T55" s="8"/>
      <c r="U55" s="8"/>
      <c r="V55" s="8" t="s">
        <v>155</v>
      </c>
      <c r="W55" s="8"/>
      <c r="X55" s="8" t="s">
        <v>173</v>
      </c>
      <c r="Y55" s="8" t="s">
        <v>3114</v>
      </c>
      <c r="Z55" s="8" t="s">
        <v>3115</v>
      </c>
    </row>
    <row r="56" customFormat="false" ht="15" hidden="false" customHeight="false" outlineLevel="0" collapsed="false">
      <c r="A56" s="8" t="s">
        <v>174</v>
      </c>
      <c r="B56" s="8" t="s">
        <v>21</v>
      </c>
      <c r="C56" s="8" t="s">
        <v>22</v>
      </c>
      <c r="D56" s="8" t="s">
        <v>615</v>
      </c>
      <c r="E56" s="8" t="s">
        <v>35</v>
      </c>
      <c r="F56" s="8" t="s">
        <v>56</v>
      </c>
      <c r="G56" s="8" t="s">
        <v>30</v>
      </c>
      <c r="H56" s="8" t="s">
        <v>31</v>
      </c>
      <c r="I56" s="8" t="n">
        <f aca="false">IF(EXACT(G56,H56),1,0)</f>
        <v>0</v>
      </c>
      <c r="J56" s="8" t="n">
        <v>0</v>
      </c>
      <c r="K56" s="8" t="s">
        <v>2333</v>
      </c>
      <c r="L56" s="8" t="n">
        <v>1</v>
      </c>
      <c r="M56" s="8" t="n">
        <v>5</v>
      </c>
      <c r="N56" s="8" t="s">
        <v>3019</v>
      </c>
      <c r="O56" s="8" t="n">
        <v>2</v>
      </c>
      <c r="P56" s="10" t="n">
        <v>34.87</v>
      </c>
      <c r="Q56" s="8" t="n">
        <v>8560</v>
      </c>
      <c r="R56" s="8" t="n">
        <v>1037</v>
      </c>
      <c r="S56" s="8" t="s">
        <v>105</v>
      </c>
      <c r="T56" s="8" t="s">
        <v>175</v>
      </c>
      <c r="U56" s="8" t="s">
        <v>176</v>
      </c>
      <c r="V56" s="8"/>
      <c r="W56" s="8" t="s">
        <v>177</v>
      </c>
      <c r="X56" s="8" t="s">
        <v>178</v>
      </c>
      <c r="Y56" s="8" t="s">
        <v>3116</v>
      </c>
      <c r="Z56" s="8" t="s">
        <v>3117</v>
      </c>
    </row>
    <row r="57" customFormat="false" ht="15" hidden="false" customHeight="false" outlineLevel="0" collapsed="false">
      <c r="A57" s="8" t="s">
        <v>174</v>
      </c>
      <c r="B57" s="8" t="s">
        <v>21</v>
      </c>
      <c r="C57" s="8" t="s">
        <v>22</v>
      </c>
      <c r="D57" s="8" t="s">
        <v>615</v>
      </c>
      <c r="E57" s="8" t="s">
        <v>35</v>
      </c>
      <c r="F57" s="8" t="s">
        <v>56</v>
      </c>
      <c r="G57" s="8" t="s">
        <v>30</v>
      </c>
      <c r="H57" s="8" t="s">
        <v>31</v>
      </c>
      <c r="I57" s="8" t="n">
        <f aca="false">IF(EXACT(G57,H57),1,0)</f>
        <v>0</v>
      </c>
      <c r="J57" s="8" t="n">
        <v>1</v>
      </c>
      <c r="K57" s="8" t="s">
        <v>2333</v>
      </c>
      <c r="L57" s="8" t="n">
        <v>1</v>
      </c>
      <c r="M57" s="8" t="n">
        <v>5</v>
      </c>
      <c r="N57" s="8" t="s">
        <v>3019</v>
      </c>
      <c r="O57" s="8" t="n">
        <v>2</v>
      </c>
      <c r="P57" s="10" t="n">
        <v>38.08</v>
      </c>
      <c r="Q57" s="8" t="n">
        <v>8562</v>
      </c>
      <c r="R57" s="8" t="n">
        <v>1031</v>
      </c>
      <c r="S57" s="8" t="s">
        <v>105</v>
      </c>
      <c r="T57" s="8" t="s">
        <v>175</v>
      </c>
      <c r="U57" s="8" t="s">
        <v>176</v>
      </c>
      <c r="V57" s="8"/>
      <c r="W57" s="8" t="s">
        <v>177</v>
      </c>
      <c r="X57" s="8" t="s">
        <v>178</v>
      </c>
      <c r="Y57" s="8" t="s">
        <v>3118</v>
      </c>
      <c r="Z57" s="8" t="s">
        <v>3119</v>
      </c>
    </row>
    <row r="58" customFormat="false" ht="15" hidden="false" customHeight="false" outlineLevel="0" collapsed="false">
      <c r="A58" s="8" t="s">
        <v>174</v>
      </c>
      <c r="B58" s="8" t="s">
        <v>21</v>
      </c>
      <c r="C58" s="8" t="s">
        <v>22</v>
      </c>
      <c r="D58" s="8" t="s">
        <v>615</v>
      </c>
      <c r="E58" s="8" t="s">
        <v>35</v>
      </c>
      <c r="F58" s="8" t="s">
        <v>56</v>
      </c>
      <c r="G58" s="8" t="s">
        <v>30</v>
      </c>
      <c r="H58" s="8" t="s">
        <v>31</v>
      </c>
      <c r="I58" s="8" t="n">
        <f aca="false">IF(EXACT(G58,H58),1,0)</f>
        <v>0</v>
      </c>
      <c r="J58" s="8" t="n">
        <v>2</v>
      </c>
      <c r="K58" s="8" t="s">
        <v>2333</v>
      </c>
      <c r="L58" s="8" t="n">
        <v>1</v>
      </c>
      <c r="M58" s="8" t="n">
        <v>5</v>
      </c>
      <c r="N58" s="8" t="s">
        <v>3019</v>
      </c>
      <c r="O58" s="8" t="n">
        <v>2</v>
      </c>
      <c r="P58" s="10" t="n">
        <v>35.59</v>
      </c>
      <c r="Q58" s="8" t="n">
        <v>8560</v>
      </c>
      <c r="R58" s="8" t="n">
        <v>1070</v>
      </c>
      <c r="S58" s="8" t="s">
        <v>105</v>
      </c>
      <c r="T58" s="8" t="s">
        <v>175</v>
      </c>
      <c r="U58" s="8" t="s">
        <v>176</v>
      </c>
      <c r="V58" s="8"/>
      <c r="W58" s="8" t="s">
        <v>177</v>
      </c>
      <c r="X58" s="8" t="s">
        <v>178</v>
      </c>
      <c r="Y58" s="8" t="s">
        <v>3120</v>
      </c>
      <c r="Z58" s="8" t="s">
        <v>3121</v>
      </c>
    </row>
    <row r="59" customFormat="false" ht="15" hidden="false" customHeight="false" outlineLevel="0" collapsed="false">
      <c r="A59" s="8" t="s">
        <v>179</v>
      </c>
      <c r="B59" s="8" t="s">
        <v>21</v>
      </c>
      <c r="C59" s="8" t="s">
        <v>22</v>
      </c>
      <c r="D59" s="8" t="s">
        <v>615</v>
      </c>
      <c r="E59" s="8" t="s">
        <v>35</v>
      </c>
      <c r="F59" s="8" t="s">
        <v>56</v>
      </c>
      <c r="G59" s="8" t="s">
        <v>30</v>
      </c>
      <c r="H59" s="8" t="s">
        <v>31</v>
      </c>
      <c r="I59" s="8" t="n">
        <f aca="false">IF(EXACT(G59,H59),1,0)</f>
        <v>0</v>
      </c>
      <c r="J59" s="8" t="n">
        <v>0</v>
      </c>
      <c r="K59" s="8" t="s">
        <v>2333</v>
      </c>
      <c r="L59" s="8" t="n">
        <v>1</v>
      </c>
      <c r="M59" s="8" t="n">
        <v>6</v>
      </c>
      <c r="N59" s="8" t="s">
        <v>3040</v>
      </c>
      <c r="O59" s="8" t="n">
        <v>2</v>
      </c>
      <c r="P59" s="10" t="n">
        <v>60.52</v>
      </c>
      <c r="Q59" s="8" t="n">
        <v>12986</v>
      </c>
      <c r="R59" s="8" t="n">
        <v>3728</v>
      </c>
      <c r="S59" s="8" t="s">
        <v>180</v>
      </c>
      <c r="T59" s="8" t="s">
        <v>175</v>
      </c>
      <c r="U59" s="8" t="s">
        <v>176</v>
      </c>
      <c r="V59" s="8"/>
      <c r="W59" s="8" t="s">
        <v>181</v>
      </c>
      <c r="X59" s="8" t="s">
        <v>182</v>
      </c>
      <c r="Y59" s="8" t="s">
        <v>3122</v>
      </c>
      <c r="Z59" s="8" t="s">
        <v>3123</v>
      </c>
    </row>
    <row r="60" customFormat="false" ht="15" hidden="false" customHeight="false" outlineLevel="0" collapsed="false">
      <c r="A60" s="8" t="s">
        <v>179</v>
      </c>
      <c r="B60" s="8" t="s">
        <v>21</v>
      </c>
      <c r="C60" s="8" t="s">
        <v>22</v>
      </c>
      <c r="D60" s="8" t="s">
        <v>615</v>
      </c>
      <c r="E60" s="8" t="s">
        <v>35</v>
      </c>
      <c r="F60" s="8" t="s">
        <v>56</v>
      </c>
      <c r="G60" s="8" t="s">
        <v>30</v>
      </c>
      <c r="H60" s="8" t="s">
        <v>31</v>
      </c>
      <c r="I60" s="8" t="n">
        <f aca="false">IF(EXACT(G60,H60),1,0)</f>
        <v>0</v>
      </c>
      <c r="J60" s="8" t="n">
        <v>1</v>
      </c>
      <c r="K60" s="8" t="s">
        <v>2333</v>
      </c>
      <c r="L60" s="8" t="n">
        <v>1</v>
      </c>
      <c r="M60" s="8" t="n">
        <v>6</v>
      </c>
      <c r="N60" s="8" t="s">
        <v>3040</v>
      </c>
      <c r="O60" s="8" t="n">
        <v>2</v>
      </c>
      <c r="P60" s="10" t="n">
        <v>57.4</v>
      </c>
      <c r="Q60" s="8" t="n">
        <v>13024</v>
      </c>
      <c r="R60" s="8" t="n">
        <v>3840</v>
      </c>
      <c r="S60" s="8" t="s">
        <v>180</v>
      </c>
      <c r="T60" s="8" t="s">
        <v>175</v>
      </c>
      <c r="U60" s="8" t="s">
        <v>176</v>
      </c>
      <c r="V60" s="8"/>
      <c r="W60" s="8" t="s">
        <v>181</v>
      </c>
      <c r="X60" s="8" t="s">
        <v>182</v>
      </c>
      <c r="Y60" s="8" t="s">
        <v>3124</v>
      </c>
      <c r="Z60" s="8" t="s">
        <v>3125</v>
      </c>
    </row>
    <row r="61" customFormat="false" ht="15" hidden="false" customHeight="false" outlineLevel="0" collapsed="false">
      <c r="A61" s="8" t="s">
        <v>179</v>
      </c>
      <c r="B61" s="8" t="s">
        <v>21</v>
      </c>
      <c r="C61" s="8" t="s">
        <v>22</v>
      </c>
      <c r="D61" s="8" t="s">
        <v>615</v>
      </c>
      <c r="E61" s="8" t="s">
        <v>35</v>
      </c>
      <c r="F61" s="8" t="s">
        <v>56</v>
      </c>
      <c r="G61" s="8" t="s">
        <v>30</v>
      </c>
      <c r="H61" s="8" t="s">
        <v>31</v>
      </c>
      <c r="I61" s="8" t="n">
        <f aca="false">IF(EXACT(G61,H61),1,0)</f>
        <v>0</v>
      </c>
      <c r="J61" s="8" t="n">
        <v>2</v>
      </c>
      <c r="K61" s="8" t="s">
        <v>2333</v>
      </c>
      <c r="L61" s="8" t="n">
        <v>1</v>
      </c>
      <c r="M61" s="8" t="n">
        <v>6</v>
      </c>
      <c r="N61" s="8" t="s">
        <v>3040</v>
      </c>
      <c r="O61" s="8" t="n">
        <v>2</v>
      </c>
      <c r="P61" s="10" t="n">
        <v>50.35</v>
      </c>
      <c r="Q61" s="8" t="n">
        <v>12987</v>
      </c>
      <c r="R61" s="8" t="n">
        <v>3704</v>
      </c>
      <c r="S61" s="8" t="s">
        <v>180</v>
      </c>
      <c r="T61" s="8" t="s">
        <v>175</v>
      </c>
      <c r="U61" s="8" t="s">
        <v>176</v>
      </c>
      <c r="V61" s="8"/>
      <c r="W61" s="8" t="s">
        <v>181</v>
      </c>
      <c r="X61" s="8" t="s">
        <v>182</v>
      </c>
      <c r="Y61" s="8" t="s">
        <v>3126</v>
      </c>
      <c r="Z61" s="8" t="s">
        <v>3127</v>
      </c>
    </row>
    <row r="62" customFormat="false" ht="15" hidden="false" customHeight="false" outlineLevel="0" collapsed="false">
      <c r="A62" s="8" t="s">
        <v>184</v>
      </c>
      <c r="B62" s="8" t="s">
        <v>21</v>
      </c>
      <c r="C62" s="8" t="s">
        <v>22</v>
      </c>
      <c r="D62" s="8" t="s">
        <v>615</v>
      </c>
      <c r="E62" s="8" t="s">
        <v>35</v>
      </c>
      <c r="F62" s="8" t="s">
        <v>56</v>
      </c>
      <c r="G62" s="8" t="s">
        <v>32</v>
      </c>
      <c r="H62" s="8" t="s">
        <v>32</v>
      </c>
      <c r="I62" s="8" t="n">
        <f aca="false">IF(EXACT(G62,H62),1,0)</f>
        <v>1</v>
      </c>
      <c r="J62" s="8" t="n">
        <v>0</v>
      </c>
      <c r="K62" s="8" t="s">
        <v>92</v>
      </c>
      <c r="L62" s="8" t="n">
        <v>0</v>
      </c>
      <c r="M62" s="8" t="n">
        <v>5</v>
      </c>
      <c r="N62" s="8" t="s">
        <v>3019</v>
      </c>
      <c r="O62" s="8" t="n">
        <v>2</v>
      </c>
      <c r="P62" s="10" t="n">
        <v>21.27</v>
      </c>
      <c r="Q62" s="8" t="n">
        <v>8231</v>
      </c>
      <c r="R62" s="8" t="n">
        <v>736</v>
      </c>
      <c r="S62" s="8" t="s">
        <v>132</v>
      </c>
      <c r="T62" s="8" t="s">
        <v>175</v>
      </c>
      <c r="U62" s="8" t="s">
        <v>176</v>
      </c>
      <c r="V62" s="8"/>
      <c r="W62" s="8" t="s">
        <v>185</v>
      </c>
      <c r="X62" s="8" t="s">
        <v>186</v>
      </c>
      <c r="Y62" s="8" t="s">
        <v>3128</v>
      </c>
      <c r="Z62" s="8"/>
    </row>
    <row r="63" customFormat="false" ht="15" hidden="false" customHeight="false" outlineLevel="0" collapsed="false">
      <c r="A63" s="8" t="s">
        <v>184</v>
      </c>
      <c r="B63" s="8" t="s">
        <v>21</v>
      </c>
      <c r="C63" s="8" t="s">
        <v>22</v>
      </c>
      <c r="D63" s="8" t="s">
        <v>615</v>
      </c>
      <c r="E63" s="8" t="s">
        <v>35</v>
      </c>
      <c r="F63" s="8" t="s">
        <v>56</v>
      </c>
      <c r="G63" s="8" t="s">
        <v>32</v>
      </c>
      <c r="H63" s="8" t="s">
        <v>32</v>
      </c>
      <c r="I63" s="8" t="n">
        <f aca="false">IF(EXACT(G63,H63),1,0)</f>
        <v>1</v>
      </c>
      <c r="J63" s="8" t="n">
        <v>1</v>
      </c>
      <c r="K63" s="8" t="s">
        <v>92</v>
      </c>
      <c r="L63" s="8" t="n">
        <v>0</v>
      </c>
      <c r="M63" s="8" t="n">
        <v>5</v>
      </c>
      <c r="N63" s="8" t="s">
        <v>3019</v>
      </c>
      <c r="O63" s="8" t="n">
        <v>2</v>
      </c>
      <c r="P63" s="10" t="n">
        <v>21.42</v>
      </c>
      <c r="Q63" s="8" t="n">
        <v>8231</v>
      </c>
      <c r="R63" s="8" t="n">
        <v>736</v>
      </c>
      <c r="S63" s="8" t="s">
        <v>132</v>
      </c>
      <c r="T63" s="8" t="s">
        <v>175</v>
      </c>
      <c r="U63" s="8" t="s">
        <v>176</v>
      </c>
      <c r="V63" s="8"/>
      <c r="W63" s="8" t="s">
        <v>185</v>
      </c>
      <c r="X63" s="8" t="s">
        <v>186</v>
      </c>
      <c r="Y63" s="8" t="s">
        <v>3128</v>
      </c>
      <c r="Z63" s="8"/>
    </row>
    <row r="64" customFormat="false" ht="15" hidden="false" customHeight="false" outlineLevel="0" collapsed="false">
      <c r="A64" s="8" t="s">
        <v>184</v>
      </c>
      <c r="B64" s="8" t="s">
        <v>21</v>
      </c>
      <c r="C64" s="8" t="s">
        <v>22</v>
      </c>
      <c r="D64" s="8" t="s">
        <v>615</v>
      </c>
      <c r="E64" s="8" t="s">
        <v>35</v>
      </c>
      <c r="F64" s="8" t="s">
        <v>56</v>
      </c>
      <c r="G64" s="8" t="s">
        <v>32</v>
      </c>
      <c r="H64" s="8" t="s">
        <v>32</v>
      </c>
      <c r="I64" s="8" t="n">
        <f aca="false">IF(EXACT(G64,H64),1,0)</f>
        <v>1</v>
      </c>
      <c r="J64" s="8" t="n">
        <v>2</v>
      </c>
      <c r="K64" s="8" t="s">
        <v>92</v>
      </c>
      <c r="L64" s="8" t="n">
        <v>0</v>
      </c>
      <c r="M64" s="8" t="n">
        <v>5</v>
      </c>
      <c r="N64" s="8" t="s">
        <v>3019</v>
      </c>
      <c r="O64" s="8" t="n">
        <v>2</v>
      </c>
      <c r="P64" s="10" t="n">
        <v>20.58</v>
      </c>
      <c r="Q64" s="8" t="n">
        <v>8231</v>
      </c>
      <c r="R64" s="8" t="n">
        <v>736</v>
      </c>
      <c r="S64" s="8" t="s">
        <v>132</v>
      </c>
      <c r="T64" s="8" t="s">
        <v>175</v>
      </c>
      <c r="U64" s="8" t="s">
        <v>176</v>
      </c>
      <c r="V64" s="8"/>
      <c r="W64" s="8" t="s">
        <v>185</v>
      </c>
      <c r="X64" s="8" t="s">
        <v>186</v>
      </c>
      <c r="Y64" s="8" t="s">
        <v>3129</v>
      </c>
      <c r="Z64" s="8"/>
    </row>
    <row r="65" customFormat="false" ht="15" hidden="false" customHeight="false" outlineLevel="0" collapsed="false">
      <c r="A65" s="8" t="s">
        <v>187</v>
      </c>
      <c r="B65" s="8" t="s">
        <v>21</v>
      </c>
      <c r="C65" s="8" t="s">
        <v>22</v>
      </c>
      <c r="D65" s="8" t="s">
        <v>615</v>
      </c>
      <c r="E65" s="8" t="s">
        <v>35</v>
      </c>
      <c r="F65" s="8" t="s">
        <v>56</v>
      </c>
      <c r="G65" s="8" t="s">
        <v>32</v>
      </c>
      <c r="H65" s="8" t="s">
        <v>32</v>
      </c>
      <c r="I65" s="8" t="n">
        <f aca="false">IF(EXACT(G65,H65),1,0)</f>
        <v>1</v>
      </c>
      <c r="J65" s="8" t="n">
        <v>0</v>
      </c>
      <c r="K65" s="8" t="s">
        <v>92</v>
      </c>
      <c r="L65" s="8" t="n">
        <v>0</v>
      </c>
      <c r="M65" s="8" t="n">
        <v>5</v>
      </c>
      <c r="N65" s="8" t="s">
        <v>3019</v>
      </c>
      <c r="O65" s="8" t="n">
        <v>2</v>
      </c>
      <c r="P65" s="10" t="n">
        <v>28.95</v>
      </c>
      <c r="Q65" s="8" t="n">
        <v>9107</v>
      </c>
      <c r="R65" s="8" t="n">
        <v>1188</v>
      </c>
      <c r="S65" s="8" t="s">
        <v>94</v>
      </c>
      <c r="T65" s="8" t="s">
        <v>175</v>
      </c>
      <c r="U65" s="8" t="s">
        <v>176</v>
      </c>
      <c r="V65" s="8"/>
      <c r="W65" s="8" t="s">
        <v>188</v>
      </c>
      <c r="X65" s="8" t="s">
        <v>189</v>
      </c>
      <c r="Y65" s="8" t="s">
        <v>3130</v>
      </c>
      <c r="Z65" s="8"/>
    </row>
    <row r="66" customFormat="false" ht="15" hidden="false" customHeight="false" outlineLevel="0" collapsed="false">
      <c r="A66" s="8" t="s">
        <v>187</v>
      </c>
      <c r="B66" s="8" t="s">
        <v>21</v>
      </c>
      <c r="C66" s="8" t="s">
        <v>22</v>
      </c>
      <c r="D66" s="8" t="s">
        <v>615</v>
      </c>
      <c r="E66" s="8" t="s">
        <v>35</v>
      </c>
      <c r="F66" s="8" t="s">
        <v>56</v>
      </c>
      <c r="G66" s="8" t="s">
        <v>32</v>
      </c>
      <c r="H66" s="8" t="s">
        <v>32</v>
      </c>
      <c r="I66" s="8" t="n">
        <f aca="false">IF(EXACT(G66,H66),1,0)</f>
        <v>1</v>
      </c>
      <c r="J66" s="8" t="n">
        <v>1</v>
      </c>
      <c r="K66" s="8" t="s">
        <v>92</v>
      </c>
      <c r="L66" s="8" t="n">
        <v>0</v>
      </c>
      <c r="M66" s="8" t="n">
        <v>6</v>
      </c>
      <c r="N66" s="8" t="s">
        <v>1337</v>
      </c>
      <c r="O66" s="8" t="n">
        <v>2</v>
      </c>
      <c r="P66" s="10" t="n">
        <v>31.66</v>
      </c>
      <c r="Q66" s="8" t="n">
        <v>9397</v>
      </c>
      <c r="R66" s="8" t="n">
        <v>1285</v>
      </c>
      <c r="S66" s="8" t="s">
        <v>94</v>
      </c>
      <c r="T66" s="8" t="s">
        <v>175</v>
      </c>
      <c r="U66" s="8" t="s">
        <v>176</v>
      </c>
      <c r="V66" s="8"/>
      <c r="W66" s="8" t="s">
        <v>188</v>
      </c>
      <c r="X66" s="8" t="s">
        <v>189</v>
      </c>
      <c r="Y66" s="8" t="s">
        <v>3131</v>
      </c>
      <c r="Z66" s="8"/>
    </row>
    <row r="67" customFormat="false" ht="15" hidden="false" customHeight="false" outlineLevel="0" collapsed="false">
      <c r="A67" s="8" t="s">
        <v>187</v>
      </c>
      <c r="B67" s="8" t="s">
        <v>21</v>
      </c>
      <c r="C67" s="8" t="s">
        <v>22</v>
      </c>
      <c r="D67" s="8" t="s">
        <v>615</v>
      </c>
      <c r="E67" s="8" t="s">
        <v>35</v>
      </c>
      <c r="F67" s="8" t="s">
        <v>56</v>
      </c>
      <c r="G67" s="8" t="s">
        <v>32</v>
      </c>
      <c r="H67" s="8" t="s">
        <v>32</v>
      </c>
      <c r="I67" s="8" t="n">
        <f aca="false">IF(EXACT(G67,H67),1,0)</f>
        <v>1</v>
      </c>
      <c r="J67" s="8" t="n">
        <v>2</v>
      </c>
      <c r="K67" s="8" t="s">
        <v>92</v>
      </c>
      <c r="L67" s="8" t="n">
        <v>0</v>
      </c>
      <c r="M67" s="8" t="n">
        <v>5</v>
      </c>
      <c r="N67" s="8" t="s">
        <v>3019</v>
      </c>
      <c r="O67" s="8" t="n">
        <v>2</v>
      </c>
      <c r="P67" s="10" t="n">
        <v>28.75</v>
      </c>
      <c r="Q67" s="8" t="n">
        <v>9105</v>
      </c>
      <c r="R67" s="8" t="n">
        <v>1179</v>
      </c>
      <c r="S67" s="8" t="s">
        <v>94</v>
      </c>
      <c r="T67" s="8" t="s">
        <v>175</v>
      </c>
      <c r="U67" s="8" t="s">
        <v>176</v>
      </c>
      <c r="V67" s="8"/>
      <c r="W67" s="8" t="s">
        <v>188</v>
      </c>
      <c r="X67" s="8" t="s">
        <v>189</v>
      </c>
      <c r="Y67" s="8" t="s">
        <v>3132</v>
      </c>
      <c r="Z67" s="8"/>
    </row>
    <row r="68" customFormat="false" ht="15" hidden="false" customHeight="false" outlineLevel="0" collapsed="false">
      <c r="A68" s="8" t="s">
        <v>191</v>
      </c>
      <c r="B68" s="8" t="s">
        <v>21</v>
      </c>
      <c r="C68" s="8" t="s">
        <v>22</v>
      </c>
      <c r="D68" s="8" t="s">
        <v>615</v>
      </c>
      <c r="E68" s="8" t="s">
        <v>35</v>
      </c>
      <c r="F68" s="8" t="s">
        <v>56</v>
      </c>
      <c r="G68" s="8" t="s">
        <v>31</v>
      </c>
      <c r="H68" s="8" t="s">
        <v>31</v>
      </c>
      <c r="I68" s="8" t="n">
        <f aca="false">IF(EXACT(G68,H68),1,0)</f>
        <v>1</v>
      </c>
      <c r="J68" s="8" t="n">
        <v>0</v>
      </c>
      <c r="K68" s="8" t="s">
        <v>2333</v>
      </c>
      <c r="L68" s="8" t="n">
        <v>1</v>
      </c>
      <c r="M68" s="8" t="n">
        <v>5</v>
      </c>
      <c r="N68" s="8" t="s">
        <v>3019</v>
      </c>
      <c r="O68" s="8" t="n">
        <v>2</v>
      </c>
      <c r="P68" s="10" t="n">
        <v>30.07</v>
      </c>
      <c r="Q68" s="8" t="n">
        <v>8917</v>
      </c>
      <c r="R68" s="8" t="n">
        <v>1322</v>
      </c>
      <c r="S68" s="8" t="s">
        <v>117</v>
      </c>
      <c r="T68" s="8" t="s">
        <v>175</v>
      </c>
      <c r="U68" s="8" t="s">
        <v>176</v>
      </c>
      <c r="V68" s="8"/>
      <c r="W68" s="8" t="s">
        <v>192</v>
      </c>
      <c r="X68" s="8" t="s">
        <v>193</v>
      </c>
      <c r="Y68" s="8" t="s">
        <v>3133</v>
      </c>
      <c r="Z68" s="8" t="s">
        <v>3134</v>
      </c>
    </row>
    <row r="69" customFormat="false" ht="15" hidden="false" customHeight="false" outlineLevel="0" collapsed="false">
      <c r="A69" s="8" t="s">
        <v>191</v>
      </c>
      <c r="B69" s="8" t="s">
        <v>21</v>
      </c>
      <c r="C69" s="8" t="s">
        <v>22</v>
      </c>
      <c r="D69" s="8" t="s">
        <v>615</v>
      </c>
      <c r="E69" s="8" t="s">
        <v>35</v>
      </c>
      <c r="F69" s="8" t="s">
        <v>56</v>
      </c>
      <c r="G69" s="8" t="s">
        <v>31</v>
      </c>
      <c r="H69" s="8" t="s">
        <v>31</v>
      </c>
      <c r="I69" s="8" t="n">
        <f aca="false">IF(EXACT(G69,H69),1,0)</f>
        <v>1</v>
      </c>
      <c r="J69" s="8" t="n">
        <v>1</v>
      </c>
      <c r="K69" s="8" t="s">
        <v>2333</v>
      </c>
      <c r="L69" s="8" t="n">
        <v>1</v>
      </c>
      <c r="M69" s="8" t="n">
        <v>5</v>
      </c>
      <c r="N69" s="8" t="s">
        <v>3019</v>
      </c>
      <c r="O69" s="8" t="n">
        <v>2</v>
      </c>
      <c r="P69" s="10" t="n">
        <v>30.84</v>
      </c>
      <c r="Q69" s="8" t="n">
        <v>8917</v>
      </c>
      <c r="R69" s="8" t="n">
        <v>1317</v>
      </c>
      <c r="S69" s="8" t="s">
        <v>117</v>
      </c>
      <c r="T69" s="8" t="s">
        <v>175</v>
      </c>
      <c r="U69" s="8" t="s">
        <v>176</v>
      </c>
      <c r="V69" s="8"/>
      <c r="W69" s="8" t="s">
        <v>192</v>
      </c>
      <c r="X69" s="8" t="s">
        <v>193</v>
      </c>
      <c r="Y69" s="8" t="s">
        <v>3135</v>
      </c>
      <c r="Z69" s="8" t="s">
        <v>3136</v>
      </c>
    </row>
    <row r="70" customFormat="false" ht="15" hidden="false" customHeight="false" outlineLevel="0" collapsed="false">
      <c r="A70" s="8" t="s">
        <v>191</v>
      </c>
      <c r="B70" s="8" t="s">
        <v>21</v>
      </c>
      <c r="C70" s="8" t="s">
        <v>22</v>
      </c>
      <c r="D70" s="8" t="s">
        <v>615</v>
      </c>
      <c r="E70" s="8" t="s">
        <v>35</v>
      </c>
      <c r="F70" s="8" t="s">
        <v>56</v>
      </c>
      <c r="G70" s="8" t="s">
        <v>31</v>
      </c>
      <c r="H70" s="8" t="s">
        <v>31</v>
      </c>
      <c r="I70" s="8" t="n">
        <f aca="false">IF(EXACT(G70,H70),1,0)</f>
        <v>1</v>
      </c>
      <c r="J70" s="8" t="n">
        <v>2</v>
      </c>
      <c r="K70" s="8" t="s">
        <v>737</v>
      </c>
      <c r="L70" s="8" t="n">
        <v>2</v>
      </c>
      <c r="M70" s="8" t="n">
        <v>6</v>
      </c>
      <c r="N70" s="8" t="s">
        <v>3040</v>
      </c>
      <c r="O70" s="8" t="n">
        <v>3</v>
      </c>
      <c r="P70" s="10" t="n">
        <v>39.33</v>
      </c>
      <c r="Q70" s="8" t="n">
        <v>14973</v>
      </c>
      <c r="R70" s="8" t="n">
        <v>1735</v>
      </c>
      <c r="S70" s="8" t="s">
        <v>117</v>
      </c>
      <c r="T70" s="8" t="s">
        <v>175</v>
      </c>
      <c r="U70" s="8" t="s">
        <v>176</v>
      </c>
      <c r="V70" s="8"/>
      <c r="W70" s="8" t="s">
        <v>192</v>
      </c>
      <c r="X70" s="8" t="s">
        <v>193</v>
      </c>
      <c r="Y70" s="8" t="s">
        <v>3137</v>
      </c>
      <c r="Z70" s="8" t="s">
        <v>3138</v>
      </c>
    </row>
    <row r="71" customFormat="false" ht="15" hidden="false" customHeight="false" outlineLevel="0" collapsed="false">
      <c r="A71" s="8" t="s">
        <v>194</v>
      </c>
      <c r="B71" s="8" t="s">
        <v>21</v>
      </c>
      <c r="C71" s="8" t="s">
        <v>22</v>
      </c>
      <c r="D71" s="8" t="s">
        <v>615</v>
      </c>
      <c r="E71" s="8" t="s">
        <v>35</v>
      </c>
      <c r="F71" s="8" t="s">
        <v>56</v>
      </c>
      <c r="G71" s="8" t="s">
        <v>31</v>
      </c>
      <c r="H71" s="8" t="s">
        <v>31</v>
      </c>
      <c r="I71" s="8" t="n">
        <f aca="false">IF(EXACT(G71,H71),1,0)</f>
        <v>1</v>
      </c>
      <c r="J71" s="8" t="n">
        <v>0</v>
      </c>
      <c r="K71" s="8" t="s">
        <v>116</v>
      </c>
      <c r="L71" s="8" t="n">
        <v>2</v>
      </c>
      <c r="M71" s="8" t="n">
        <v>5</v>
      </c>
      <c r="N71" s="8" t="s">
        <v>3019</v>
      </c>
      <c r="O71" s="8" t="n">
        <v>2</v>
      </c>
      <c r="P71" s="10" t="n">
        <v>38.71</v>
      </c>
      <c r="Q71" s="8" t="n">
        <v>10362</v>
      </c>
      <c r="R71" s="8" t="n">
        <v>1964</v>
      </c>
      <c r="S71" s="8" t="s">
        <v>195</v>
      </c>
      <c r="T71" s="8"/>
      <c r="U71" s="8"/>
      <c r="V71" s="8" t="s">
        <v>155</v>
      </c>
      <c r="W71" s="8"/>
      <c r="X71" s="8" t="s">
        <v>196</v>
      </c>
      <c r="Y71" s="8" t="s">
        <v>3139</v>
      </c>
      <c r="Z71" s="8" t="s">
        <v>3140</v>
      </c>
    </row>
    <row r="72" customFormat="false" ht="15" hidden="false" customHeight="false" outlineLevel="0" collapsed="false">
      <c r="A72" s="8" t="s">
        <v>194</v>
      </c>
      <c r="B72" s="8" t="s">
        <v>21</v>
      </c>
      <c r="C72" s="8" t="s">
        <v>22</v>
      </c>
      <c r="D72" s="8" t="s">
        <v>615</v>
      </c>
      <c r="E72" s="8" t="s">
        <v>35</v>
      </c>
      <c r="F72" s="8" t="s">
        <v>56</v>
      </c>
      <c r="G72" s="8" t="s">
        <v>31</v>
      </c>
      <c r="H72" s="8" t="s">
        <v>31</v>
      </c>
      <c r="I72" s="8" t="n">
        <f aca="false">IF(EXACT(G72,H72),1,0)</f>
        <v>1</v>
      </c>
      <c r="J72" s="8" t="n">
        <v>1</v>
      </c>
      <c r="K72" s="8" t="s">
        <v>140</v>
      </c>
      <c r="L72" s="8" t="n">
        <v>2</v>
      </c>
      <c r="M72" s="8" t="n">
        <v>5</v>
      </c>
      <c r="N72" s="8" t="s">
        <v>3019</v>
      </c>
      <c r="O72" s="8" t="n">
        <v>2</v>
      </c>
      <c r="P72" s="10" t="n">
        <v>37.29</v>
      </c>
      <c r="Q72" s="8" t="n">
        <v>10356</v>
      </c>
      <c r="R72" s="8" t="n">
        <v>1917</v>
      </c>
      <c r="S72" s="8" t="s">
        <v>195</v>
      </c>
      <c r="T72" s="8"/>
      <c r="U72" s="8"/>
      <c r="V72" s="8" t="s">
        <v>155</v>
      </c>
      <c r="W72" s="8"/>
      <c r="X72" s="8" t="s">
        <v>196</v>
      </c>
      <c r="Y72" s="8" t="s">
        <v>3141</v>
      </c>
      <c r="Z72" s="8" t="s">
        <v>3142</v>
      </c>
    </row>
    <row r="73" customFormat="false" ht="15" hidden="false" customHeight="false" outlineLevel="0" collapsed="false">
      <c r="A73" s="8" t="s">
        <v>194</v>
      </c>
      <c r="B73" s="8" t="s">
        <v>21</v>
      </c>
      <c r="C73" s="8" t="s">
        <v>22</v>
      </c>
      <c r="D73" s="8" t="s">
        <v>615</v>
      </c>
      <c r="E73" s="8" t="s">
        <v>35</v>
      </c>
      <c r="F73" s="8" t="s">
        <v>56</v>
      </c>
      <c r="G73" s="8" t="s">
        <v>31</v>
      </c>
      <c r="H73" s="8" t="s">
        <v>31</v>
      </c>
      <c r="I73" s="8" t="n">
        <f aca="false">IF(EXACT(G73,H73),1,0)</f>
        <v>1</v>
      </c>
      <c r="J73" s="8" t="n">
        <v>2</v>
      </c>
      <c r="K73" s="8" t="s">
        <v>140</v>
      </c>
      <c r="L73" s="8" t="n">
        <v>3</v>
      </c>
      <c r="M73" s="8" t="n">
        <v>5</v>
      </c>
      <c r="N73" s="8" t="s">
        <v>3019</v>
      </c>
      <c r="O73" s="8" t="n">
        <v>2</v>
      </c>
      <c r="P73" s="10" t="n">
        <v>40.2</v>
      </c>
      <c r="Q73" s="8" t="n">
        <v>10356</v>
      </c>
      <c r="R73" s="8" t="n">
        <v>2088</v>
      </c>
      <c r="S73" s="8" t="s">
        <v>195</v>
      </c>
      <c r="T73" s="8"/>
      <c r="U73" s="8"/>
      <c r="V73" s="8" t="s">
        <v>155</v>
      </c>
      <c r="W73" s="8"/>
      <c r="X73" s="8" t="s">
        <v>196</v>
      </c>
      <c r="Y73" s="8" t="s">
        <v>3143</v>
      </c>
      <c r="Z73" s="8" t="s">
        <v>3144</v>
      </c>
    </row>
    <row r="74" customFormat="false" ht="15" hidden="false" customHeight="false" outlineLevel="0" collapsed="false">
      <c r="A74" s="8" t="s">
        <v>197</v>
      </c>
      <c r="B74" s="8" t="s">
        <v>21</v>
      </c>
      <c r="C74" s="8" t="s">
        <v>22</v>
      </c>
      <c r="D74" s="8" t="s">
        <v>615</v>
      </c>
      <c r="E74" s="8" t="s">
        <v>35</v>
      </c>
      <c r="F74" s="8" t="s">
        <v>58</v>
      </c>
      <c r="G74" s="8" t="s">
        <v>31</v>
      </c>
      <c r="H74" s="8" t="s">
        <v>31</v>
      </c>
      <c r="I74" s="8" t="n">
        <f aca="false">IF(EXACT(G74,H74),1,0)</f>
        <v>1</v>
      </c>
      <c r="J74" s="8" t="n">
        <v>0</v>
      </c>
      <c r="K74" s="8" t="s">
        <v>2333</v>
      </c>
      <c r="L74" s="8" t="n">
        <v>1</v>
      </c>
      <c r="M74" s="8" t="n">
        <v>5</v>
      </c>
      <c r="N74" s="8" t="s">
        <v>3019</v>
      </c>
      <c r="O74" s="8" t="n">
        <v>2</v>
      </c>
      <c r="P74" s="10" t="n">
        <v>35.49</v>
      </c>
      <c r="Q74" s="8" t="n">
        <v>10658</v>
      </c>
      <c r="R74" s="8" t="n">
        <v>1957</v>
      </c>
      <c r="S74" s="8" t="s">
        <v>198</v>
      </c>
      <c r="T74" s="8"/>
      <c r="U74" s="8"/>
      <c r="V74" s="8" t="s">
        <v>155</v>
      </c>
      <c r="W74" s="8"/>
      <c r="X74" s="8" t="s">
        <v>199</v>
      </c>
      <c r="Y74" s="8" t="s">
        <v>3145</v>
      </c>
      <c r="Z74" s="8" t="s">
        <v>3146</v>
      </c>
    </row>
    <row r="75" customFormat="false" ht="15" hidden="false" customHeight="false" outlineLevel="0" collapsed="false">
      <c r="A75" s="8" t="s">
        <v>197</v>
      </c>
      <c r="B75" s="8" t="s">
        <v>21</v>
      </c>
      <c r="C75" s="8" t="s">
        <v>22</v>
      </c>
      <c r="D75" s="8" t="s">
        <v>615</v>
      </c>
      <c r="E75" s="8" t="s">
        <v>35</v>
      </c>
      <c r="F75" s="8" t="s">
        <v>58</v>
      </c>
      <c r="G75" s="8" t="s">
        <v>31</v>
      </c>
      <c r="H75" s="8" t="s">
        <v>31</v>
      </c>
      <c r="I75" s="8" t="n">
        <f aca="false">IF(EXACT(G75,H75),1,0)</f>
        <v>1</v>
      </c>
      <c r="J75" s="8" t="n">
        <v>1</v>
      </c>
      <c r="K75" s="8" t="s">
        <v>2333</v>
      </c>
      <c r="L75" s="8" t="n">
        <v>1</v>
      </c>
      <c r="M75" s="8" t="n">
        <v>5</v>
      </c>
      <c r="N75" s="8" t="s">
        <v>3019</v>
      </c>
      <c r="O75" s="8" t="n">
        <v>2</v>
      </c>
      <c r="P75" s="10" t="n">
        <v>37.58</v>
      </c>
      <c r="Q75" s="8" t="n">
        <v>10658</v>
      </c>
      <c r="R75" s="8" t="n">
        <v>1971</v>
      </c>
      <c r="S75" s="8" t="s">
        <v>198</v>
      </c>
      <c r="T75" s="8"/>
      <c r="U75" s="8"/>
      <c r="V75" s="8" t="s">
        <v>155</v>
      </c>
      <c r="W75" s="8"/>
      <c r="X75" s="8" t="s">
        <v>199</v>
      </c>
      <c r="Y75" s="8" t="s">
        <v>3147</v>
      </c>
      <c r="Z75" s="8" t="s">
        <v>3148</v>
      </c>
    </row>
    <row r="76" customFormat="false" ht="15" hidden="false" customHeight="false" outlineLevel="0" collapsed="false">
      <c r="A76" s="8" t="s">
        <v>197</v>
      </c>
      <c r="B76" s="8" t="s">
        <v>21</v>
      </c>
      <c r="C76" s="8" t="s">
        <v>22</v>
      </c>
      <c r="D76" s="8" t="s">
        <v>615</v>
      </c>
      <c r="E76" s="8" t="s">
        <v>35</v>
      </c>
      <c r="F76" s="8" t="s">
        <v>58</v>
      </c>
      <c r="G76" s="8" t="s">
        <v>31</v>
      </c>
      <c r="H76" s="8" t="s">
        <v>31</v>
      </c>
      <c r="I76" s="8" t="n">
        <f aca="false">IF(EXACT(G76,H76),1,0)</f>
        <v>1</v>
      </c>
      <c r="J76" s="8" t="n">
        <v>2</v>
      </c>
      <c r="K76" s="8" t="s">
        <v>2333</v>
      </c>
      <c r="L76" s="8" t="n">
        <v>1</v>
      </c>
      <c r="M76" s="8" t="n">
        <v>5</v>
      </c>
      <c r="N76" s="8" t="s">
        <v>3019</v>
      </c>
      <c r="O76" s="8" t="n">
        <v>2</v>
      </c>
      <c r="P76" s="10" t="n">
        <v>35.13</v>
      </c>
      <c r="Q76" s="8" t="n">
        <v>10658</v>
      </c>
      <c r="R76" s="8" t="n">
        <v>1940</v>
      </c>
      <c r="S76" s="8" t="s">
        <v>198</v>
      </c>
      <c r="T76" s="8"/>
      <c r="U76" s="8"/>
      <c r="V76" s="8" t="s">
        <v>155</v>
      </c>
      <c r="W76" s="8"/>
      <c r="X76" s="8" t="s">
        <v>199</v>
      </c>
      <c r="Y76" s="8" t="s">
        <v>3149</v>
      </c>
      <c r="Z76" s="8" t="s">
        <v>3150</v>
      </c>
    </row>
    <row r="77" customFormat="false" ht="15" hidden="false" customHeight="false" outlineLevel="0" collapsed="false">
      <c r="A77" s="8" t="s">
        <v>200</v>
      </c>
      <c r="B77" s="8" t="s">
        <v>21</v>
      </c>
      <c r="C77" s="8" t="s">
        <v>22</v>
      </c>
      <c r="D77" s="8" t="s">
        <v>615</v>
      </c>
      <c r="E77" s="8" t="s">
        <v>35</v>
      </c>
      <c r="F77" s="8" t="s">
        <v>58</v>
      </c>
      <c r="G77" s="8" t="s">
        <v>31</v>
      </c>
      <c r="H77" s="8" t="s">
        <v>31</v>
      </c>
      <c r="I77" s="8" t="n">
        <f aca="false">IF(EXACT(G77,H77),1,0)</f>
        <v>1</v>
      </c>
      <c r="J77" s="8" t="n">
        <v>0</v>
      </c>
      <c r="K77" s="8" t="s">
        <v>2333</v>
      </c>
      <c r="L77" s="8" t="n">
        <v>1</v>
      </c>
      <c r="M77" s="8" t="n">
        <v>5</v>
      </c>
      <c r="N77" s="8" t="s">
        <v>3019</v>
      </c>
      <c r="O77" s="8" t="n">
        <v>2</v>
      </c>
      <c r="P77" s="10" t="n">
        <v>31.31</v>
      </c>
      <c r="Q77" s="8" t="n">
        <v>9792</v>
      </c>
      <c r="R77" s="8" t="n">
        <v>1466</v>
      </c>
      <c r="S77" s="8" t="s">
        <v>201</v>
      </c>
      <c r="T77" s="8"/>
      <c r="U77" s="8"/>
      <c r="V77" s="8" t="s">
        <v>155</v>
      </c>
      <c r="W77" s="8"/>
      <c r="X77" s="8" t="s">
        <v>202</v>
      </c>
      <c r="Y77" s="8" t="s">
        <v>3151</v>
      </c>
      <c r="Z77" s="8" t="s">
        <v>3152</v>
      </c>
    </row>
    <row r="78" customFormat="false" ht="15" hidden="false" customHeight="false" outlineLevel="0" collapsed="false">
      <c r="A78" s="8" t="s">
        <v>200</v>
      </c>
      <c r="B78" s="8" t="s">
        <v>21</v>
      </c>
      <c r="C78" s="8" t="s">
        <v>22</v>
      </c>
      <c r="D78" s="8" t="s">
        <v>615</v>
      </c>
      <c r="E78" s="8" t="s">
        <v>35</v>
      </c>
      <c r="F78" s="8" t="s">
        <v>58</v>
      </c>
      <c r="G78" s="8" t="s">
        <v>31</v>
      </c>
      <c r="H78" s="8" t="s">
        <v>31</v>
      </c>
      <c r="I78" s="8" t="n">
        <f aca="false">IF(EXACT(G78,H78),1,0)</f>
        <v>1</v>
      </c>
      <c r="J78" s="8" t="n">
        <v>1</v>
      </c>
      <c r="K78" s="8" t="s">
        <v>2333</v>
      </c>
      <c r="L78" s="8" t="n">
        <v>1</v>
      </c>
      <c r="M78" s="8" t="n">
        <v>5</v>
      </c>
      <c r="N78" s="8" t="s">
        <v>3019</v>
      </c>
      <c r="O78" s="8" t="n">
        <v>2</v>
      </c>
      <c r="P78" s="10" t="n">
        <v>30.15</v>
      </c>
      <c r="Q78" s="8" t="n">
        <v>9792</v>
      </c>
      <c r="R78" s="8" t="n">
        <v>1467</v>
      </c>
      <c r="S78" s="8" t="s">
        <v>201</v>
      </c>
      <c r="T78" s="8"/>
      <c r="U78" s="8"/>
      <c r="V78" s="8" t="s">
        <v>155</v>
      </c>
      <c r="W78" s="8"/>
      <c r="X78" s="8" t="s">
        <v>202</v>
      </c>
      <c r="Y78" s="8" t="s">
        <v>3153</v>
      </c>
      <c r="Z78" s="8" t="s">
        <v>3154</v>
      </c>
    </row>
    <row r="79" customFormat="false" ht="15" hidden="false" customHeight="false" outlineLevel="0" collapsed="false">
      <c r="A79" s="8" t="s">
        <v>200</v>
      </c>
      <c r="B79" s="8" t="s">
        <v>21</v>
      </c>
      <c r="C79" s="8" t="s">
        <v>22</v>
      </c>
      <c r="D79" s="8" t="s">
        <v>615</v>
      </c>
      <c r="E79" s="8" t="s">
        <v>35</v>
      </c>
      <c r="F79" s="8" t="s">
        <v>58</v>
      </c>
      <c r="G79" s="8" t="s">
        <v>31</v>
      </c>
      <c r="H79" s="8" t="s">
        <v>31</v>
      </c>
      <c r="I79" s="8" t="n">
        <f aca="false">IF(EXACT(G79,H79),1,0)</f>
        <v>1</v>
      </c>
      <c r="J79" s="8" t="n">
        <v>2</v>
      </c>
      <c r="K79" s="8" t="s">
        <v>2333</v>
      </c>
      <c r="L79" s="8" t="n">
        <v>1</v>
      </c>
      <c r="M79" s="8" t="n">
        <v>5</v>
      </c>
      <c r="N79" s="8" t="s">
        <v>3019</v>
      </c>
      <c r="O79" s="8" t="n">
        <v>2</v>
      </c>
      <c r="P79" s="10" t="n">
        <v>29.24</v>
      </c>
      <c r="Q79" s="8" t="n">
        <v>9792</v>
      </c>
      <c r="R79" s="8" t="n">
        <v>1456</v>
      </c>
      <c r="S79" s="8" t="s">
        <v>201</v>
      </c>
      <c r="T79" s="8"/>
      <c r="U79" s="8"/>
      <c r="V79" s="8" t="s">
        <v>155</v>
      </c>
      <c r="W79" s="8"/>
      <c r="X79" s="8" t="s">
        <v>202</v>
      </c>
      <c r="Y79" s="8" t="s">
        <v>3155</v>
      </c>
      <c r="Z79" s="8" t="s">
        <v>3156</v>
      </c>
    </row>
    <row r="80" customFormat="false" ht="15" hidden="false" customHeight="false" outlineLevel="0" collapsed="false">
      <c r="A80" s="8" t="s">
        <v>203</v>
      </c>
      <c r="B80" s="8" t="s">
        <v>21</v>
      </c>
      <c r="C80" s="8" t="s">
        <v>22</v>
      </c>
      <c r="D80" s="8" t="s">
        <v>615</v>
      </c>
      <c r="E80" s="8" t="s">
        <v>35</v>
      </c>
      <c r="F80" s="8" t="s">
        <v>58</v>
      </c>
      <c r="G80" s="8" t="s">
        <v>32</v>
      </c>
      <c r="H80" s="8" t="s">
        <v>30</v>
      </c>
      <c r="I80" s="8" t="n">
        <f aca="false">IF(EXACT(G80,H80),1,0)</f>
        <v>0</v>
      </c>
      <c r="J80" s="8" t="n">
        <v>0</v>
      </c>
      <c r="K80" s="8" t="s">
        <v>92</v>
      </c>
      <c r="L80" s="8" t="n">
        <v>0</v>
      </c>
      <c r="M80" s="8" t="n">
        <v>5</v>
      </c>
      <c r="N80" s="8" t="s">
        <v>3019</v>
      </c>
      <c r="O80" s="8" t="n">
        <v>2</v>
      </c>
      <c r="P80" s="10" t="n">
        <v>26.81</v>
      </c>
      <c r="Q80" s="8" t="n">
        <v>8727</v>
      </c>
      <c r="R80" s="8" t="n">
        <v>1055</v>
      </c>
      <c r="S80" s="8" t="s">
        <v>204</v>
      </c>
      <c r="T80" s="8"/>
      <c r="U80" s="8"/>
      <c r="V80" s="8" t="s">
        <v>155</v>
      </c>
      <c r="W80" s="8"/>
      <c r="X80" s="8" t="s">
        <v>205</v>
      </c>
      <c r="Y80" s="8" t="s">
        <v>3157</v>
      </c>
      <c r="Z80" s="8"/>
    </row>
    <row r="81" customFormat="false" ht="15" hidden="false" customHeight="false" outlineLevel="0" collapsed="false">
      <c r="A81" s="8" t="s">
        <v>203</v>
      </c>
      <c r="B81" s="8" t="s">
        <v>21</v>
      </c>
      <c r="C81" s="8" t="s">
        <v>22</v>
      </c>
      <c r="D81" s="8" t="s">
        <v>615</v>
      </c>
      <c r="E81" s="8" t="s">
        <v>35</v>
      </c>
      <c r="F81" s="8" t="s">
        <v>58</v>
      </c>
      <c r="G81" s="8" t="s">
        <v>32</v>
      </c>
      <c r="H81" s="8" t="s">
        <v>30</v>
      </c>
      <c r="I81" s="8" t="n">
        <f aca="false">IF(EXACT(G81,H81),1,0)</f>
        <v>0</v>
      </c>
      <c r="J81" s="8" t="n">
        <v>1</v>
      </c>
      <c r="K81" s="8" t="s">
        <v>92</v>
      </c>
      <c r="L81" s="8" t="n">
        <v>0</v>
      </c>
      <c r="M81" s="8" t="n">
        <v>5</v>
      </c>
      <c r="N81" s="8" t="s">
        <v>3019</v>
      </c>
      <c r="O81" s="8" t="n">
        <v>2</v>
      </c>
      <c r="P81" s="10" t="n">
        <v>26.84</v>
      </c>
      <c r="Q81" s="8" t="n">
        <v>8727</v>
      </c>
      <c r="R81" s="8" t="n">
        <v>1101</v>
      </c>
      <c r="S81" s="8" t="s">
        <v>204</v>
      </c>
      <c r="T81" s="8"/>
      <c r="U81" s="8"/>
      <c r="V81" s="8" t="s">
        <v>155</v>
      </c>
      <c r="W81" s="8"/>
      <c r="X81" s="8" t="s">
        <v>205</v>
      </c>
      <c r="Y81" s="8" t="s">
        <v>3158</v>
      </c>
      <c r="Z81" s="8"/>
    </row>
    <row r="82" customFormat="false" ht="15" hidden="false" customHeight="false" outlineLevel="0" collapsed="false">
      <c r="A82" s="8" t="s">
        <v>203</v>
      </c>
      <c r="B82" s="8" t="s">
        <v>21</v>
      </c>
      <c r="C82" s="8" t="s">
        <v>22</v>
      </c>
      <c r="D82" s="8" t="s">
        <v>615</v>
      </c>
      <c r="E82" s="8" t="s">
        <v>35</v>
      </c>
      <c r="F82" s="8" t="s">
        <v>58</v>
      </c>
      <c r="G82" s="8" t="s">
        <v>32</v>
      </c>
      <c r="H82" s="8" t="s">
        <v>30</v>
      </c>
      <c r="I82" s="8" t="n">
        <f aca="false">IF(EXACT(G82,H82),1,0)</f>
        <v>0</v>
      </c>
      <c r="J82" s="8" t="n">
        <v>2</v>
      </c>
      <c r="K82" s="8" t="s">
        <v>92</v>
      </c>
      <c r="L82" s="8" t="n">
        <v>0</v>
      </c>
      <c r="M82" s="8" t="n">
        <v>5</v>
      </c>
      <c r="N82" s="8" t="s">
        <v>3019</v>
      </c>
      <c r="O82" s="8" t="n">
        <v>2</v>
      </c>
      <c r="P82" s="10" t="n">
        <v>25.18</v>
      </c>
      <c r="Q82" s="8" t="n">
        <v>8727</v>
      </c>
      <c r="R82" s="8" t="n">
        <v>1081</v>
      </c>
      <c r="S82" s="8" t="s">
        <v>204</v>
      </c>
      <c r="T82" s="8"/>
      <c r="U82" s="8"/>
      <c r="V82" s="8" t="s">
        <v>155</v>
      </c>
      <c r="W82" s="8"/>
      <c r="X82" s="8" t="s">
        <v>205</v>
      </c>
      <c r="Y82" s="8" t="s">
        <v>3159</v>
      </c>
      <c r="Z82" s="8"/>
    </row>
    <row r="83" customFormat="false" ht="15" hidden="false" customHeight="false" outlineLevel="0" collapsed="false">
      <c r="A83" s="8" t="s">
        <v>206</v>
      </c>
      <c r="B83" s="8" t="s">
        <v>21</v>
      </c>
      <c r="C83" s="8" t="s">
        <v>22</v>
      </c>
      <c r="D83" s="8" t="s">
        <v>615</v>
      </c>
      <c r="E83" s="8" t="s">
        <v>35</v>
      </c>
      <c r="F83" s="8" t="s">
        <v>58</v>
      </c>
      <c r="G83" s="8" t="s">
        <v>32</v>
      </c>
      <c r="H83" s="8" t="s">
        <v>32</v>
      </c>
      <c r="I83" s="8" t="n">
        <f aca="false">IF(EXACT(G83,H83),1,0)</f>
        <v>1</v>
      </c>
      <c r="J83" s="8" t="n">
        <v>0</v>
      </c>
      <c r="K83" s="8" t="s">
        <v>92</v>
      </c>
      <c r="L83" s="8" t="n">
        <v>0</v>
      </c>
      <c r="M83" s="8" t="n">
        <v>6</v>
      </c>
      <c r="N83" s="8" t="s">
        <v>1337</v>
      </c>
      <c r="O83" s="8" t="n">
        <v>2</v>
      </c>
      <c r="P83" s="10" t="n">
        <v>27.92</v>
      </c>
      <c r="Q83" s="8" t="n">
        <v>8721</v>
      </c>
      <c r="R83" s="8" t="n">
        <v>1110</v>
      </c>
      <c r="S83" s="8" t="s">
        <v>207</v>
      </c>
      <c r="T83" s="8"/>
      <c r="U83" s="8"/>
      <c r="V83" s="8" t="s">
        <v>155</v>
      </c>
      <c r="W83" s="8"/>
      <c r="X83" s="8" t="s">
        <v>208</v>
      </c>
      <c r="Y83" s="8" t="s">
        <v>3160</v>
      </c>
      <c r="Z83" s="8"/>
    </row>
    <row r="84" customFormat="false" ht="15" hidden="false" customHeight="false" outlineLevel="0" collapsed="false">
      <c r="A84" s="8" t="s">
        <v>206</v>
      </c>
      <c r="B84" s="8" t="s">
        <v>21</v>
      </c>
      <c r="C84" s="8" t="s">
        <v>22</v>
      </c>
      <c r="D84" s="8" t="s">
        <v>615</v>
      </c>
      <c r="E84" s="8" t="s">
        <v>35</v>
      </c>
      <c r="F84" s="8" t="s">
        <v>58</v>
      </c>
      <c r="G84" s="8" t="s">
        <v>32</v>
      </c>
      <c r="H84" s="8" t="s">
        <v>32</v>
      </c>
      <c r="I84" s="8" t="n">
        <f aca="false">IF(EXACT(G84,H84),1,0)</f>
        <v>1</v>
      </c>
      <c r="J84" s="8" t="n">
        <v>1</v>
      </c>
      <c r="K84" s="8" t="s">
        <v>92</v>
      </c>
      <c r="L84" s="8" t="n">
        <v>0</v>
      </c>
      <c r="M84" s="8" t="n">
        <v>5</v>
      </c>
      <c r="N84" s="8" t="s">
        <v>3019</v>
      </c>
      <c r="O84" s="8" t="n">
        <v>2</v>
      </c>
      <c r="P84" s="10" t="n">
        <v>23.68</v>
      </c>
      <c r="Q84" s="8" t="n">
        <v>8486</v>
      </c>
      <c r="R84" s="8" t="n">
        <v>954</v>
      </c>
      <c r="S84" s="8" t="s">
        <v>207</v>
      </c>
      <c r="T84" s="8"/>
      <c r="U84" s="8"/>
      <c r="V84" s="8" t="s">
        <v>155</v>
      </c>
      <c r="W84" s="8"/>
      <c r="X84" s="8" t="s">
        <v>208</v>
      </c>
      <c r="Y84" s="8" t="s">
        <v>3161</v>
      </c>
      <c r="Z84" s="8"/>
    </row>
    <row r="85" customFormat="false" ht="15" hidden="false" customHeight="false" outlineLevel="0" collapsed="false">
      <c r="A85" s="8" t="s">
        <v>206</v>
      </c>
      <c r="B85" s="8" t="s">
        <v>21</v>
      </c>
      <c r="C85" s="8" t="s">
        <v>22</v>
      </c>
      <c r="D85" s="8" t="s">
        <v>615</v>
      </c>
      <c r="E85" s="8" t="s">
        <v>35</v>
      </c>
      <c r="F85" s="8" t="s">
        <v>58</v>
      </c>
      <c r="G85" s="8" t="s">
        <v>32</v>
      </c>
      <c r="H85" s="8" t="s">
        <v>32</v>
      </c>
      <c r="I85" s="8" t="n">
        <f aca="false">IF(EXACT(G85,H85),1,0)</f>
        <v>1</v>
      </c>
      <c r="J85" s="8" t="n">
        <v>2</v>
      </c>
      <c r="K85" s="8" t="s">
        <v>92</v>
      </c>
      <c r="L85" s="8" t="n">
        <v>0</v>
      </c>
      <c r="M85" s="8" t="n">
        <v>5</v>
      </c>
      <c r="N85" s="8" t="s">
        <v>3019</v>
      </c>
      <c r="O85" s="8" t="n">
        <v>2</v>
      </c>
      <c r="P85" s="10" t="n">
        <v>23.85</v>
      </c>
      <c r="Q85" s="8" t="n">
        <v>8483</v>
      </c>
      <c r="R85" s="8" t="n">
        <v>963</v>
      </c>
      <c r="S85" s="8" t="s">
        <v>207</v>
      </c>
      <c r="T85" s="8"/>
      <c r="U85" s="8"/>
      <c r="V85" s="8" t="s">
        <v>155</v>
      </c>
      <c r="W85" s="8"/>
      <c r="X85" s="8" t="s">
        <v>208</v>
      </c>
      <c r="Y85" s="8" t="s">
        <v>3162</v>
      </c>
      <c r="Z85" s="8"/>
    </row>
    <row r="86" customFormat="false" ht="15" hidden="false" customHeight="false" outlineLevel="0" collapsed="false">
      <c r="A86" s="8" t="s">
        <v>209</v>
      </c>
      <c r="B86" s="8" t="s">
        <v>21</v>
      </c>
      <c r="C86" s="8" t="s">
        <v>22</v>
      </c>
      <c r="D86" s="8" t="s">
        <v>615</v>
      </c>
      <c r="E86" s="8" t="s">
        <v>35</v>
      </c>
      <c r="F86" s="8" t="s">
        <v>58</v>
      </c>
      <c r="G86" s="8" t="s">
        <v>30</v>
      </c>
      <c r="H86" s="8" t="s">
        <v>30</v>
      </c>
      <c r="I86" s="8" t="n">
        <f aca="false">IF(EXACT(G86,H86),1,0)</f>
        <v>1</v>
      </c>
      <c r="J86" s="8" t="n">
        <v>0</v>
      </c>
      <c r="K86" s="8" t="s">
        <v>92</v>
      </c>
      <c r="L86" s="8" t="n">
        <v>0</v>
      </c>
      <c r="M86" s="8" t="n">
        <v>5</v>
      </c>
      <c r="N86" s="8" t="s">
        <v>3019</v>
      </c>
      <c r="O86" s="8" t="n">
        <v>2</v>
      </c>
      <c r="P86" s="10" t="n">
        <v>27.97</v>
      </c>
      <c r="Q86" s="8" t="n">
        <v>9063</v>
      </c>
      <c r="R86" s="8" t="n">
        <v>1346</v>
      </c>
      <c r="S86" s="8" t="s">
        <v>210</v>
      </c>
      <c r="T86" s="8"/>
      <c r="U86" s="8"/>
      <c r="V86" s="8" t="s">
        <v>155</v>
      </c>
      <c r="W86" s="8"/>
      <c r="X86" s="8" t="s">
        <v>211</v>
      </c>
      <c r="Y86" s="8" t="s">
        <v>3163</v>
      </c>
      <c r="Z86" s="8"/>
    </row>
    <row r="87" customFormat="false" ht="15" hidden="false" customHeight="false" outlineLevel="0" collapsed="false">
      <c r="A87" s="8" t="s">
        <v>209</v>
      </c>
      <c r="B87" s="8" t="s">
        <v>21</v>
      </c>
      <c r="C87" s="8" t="s">
        <v>22</v>
      </c>
      <c r="D87" s="8" t="s">
        <v>615</v>
      </c>
      <c r="E87" s="8" t="s">
        <v>35</v>
      </c>
      <c r="F87" s="8" t="s">
        <v>58</v>
      </c>
      <c r="G87" s="8" t="s">
        <v>30</v>
      </c>
      <c r="H87" s="8" t="s">
        <v>30</v>
      </c>
      <c r="I87" s="8" t="n">
        <f aca="false">IF(EXACT(G87,H87),1,0)</f>
        <v>1</v>
      </c>
      <c r="J87" s="8" t="n">
        <v>1</v>
      </c>
      <c r="K87" s="8" t="s">
        <v>92</v>
      </c>
      <c r="L87" s="8" t="n">
        <v>0</v>
      </c>
      <c r="M87" s="8" t="n">
        <v>5</v>
      </c>
      <c r="N87" s="8" t="s">
        <v>3019</v>
      </c>
      <c r="O87" s="8" t="n">
        <v>2</v>
      </c>
      <c r="P87" s="10" t="n">
        <v>28.11</v>
      </c>
      <c r="Q87" s="8" t="n">
        <v>9063</v>
      </c>
      <c r="R87" s="8" t="n">
        <v>1356</v>
      </c>
      <c r="S87" s="8" t="s">
        <v>210</v>
      </c>
      <c r="T87" s="8"/>
      <c r="U87" s="8"/>
      <c r="V87" s="8" t="s">
        <v>155</v>
      </c>
      <c r="W87" s="8"/>
      <c r="X87" s="8" t="s">
        <v>211</v>
      </c>
      <c r="Y87" s="8" t="s">
        <v>3164</v>
      </c>
      <c r="Z87" s="8"/>
    </row>
    <row r="88" customFormat="false" ht="15" hidden="false" customHeight="false" outlineLevel="0" collapsed="false">
      <c r="A88" s="8" t="s">
        <v>209</v>
      </c>
      <c r="B88" s="8" t="s">
        <v>21</v>
      </c>
      <c r="C88" s="8" t="s">
        <v>22</v>
      </c>
      <c r="D88" s="8" t="s">
        <v>615</v>
      </c>
      <c r="E88" s="8" t="s">
        <v>35</v>
      </c>
      <c r="F88" s="8" t="s">
        <v>58</v>
      </c>
      <c r="G88" s="8" t="s">
        <v>30</v>
      </c>
      <c r="H88" s="8" t="s">
        <v>30</v>
      </c>
      <c r="I88" s="8" t="n">
        <f aca="false">IF(EXACT(G88,H88),1,0)</f>
        <v>1</v>
      </c>
      <c r="J88" s="8" t="n">
        <v>2</v>
      </c>
      <c r="K88" s="8" t="s">
        <v>92</v>
      </c>
      <c r="L88" s="8" t="n">
        <v>0</v>
      </c>
      <c r="M88" s="8" t="n">
        <v>5</v>
      </c>
      <c r="N88" s="8" t="s">
        <v>3019</v>
      </c>
      <c r="O88" s="8" t="n">
        <v>2</v>
      </c>
      <c r="P88" s="10" t="n">
        <v>27.65</v>
      </c>
      <c r="Q88" s="8" t="n">
        <v>9063</v>
      </c>
      <c r="R88" s="8" t="n">
        <v>1346</v>
      </c>
      <c r="S88" s="8" t="s">
        <v>210</v>
      </c>
      <c r="T88" s="8"/>
      <c r="U88" s="8"/>
      <c r="V88" s="8" t="s">
        <v>155</v>
      </c>
      <c r="W88" s="8"/>
      <c r="X88" s="8" t="s">
        <v>211</v>
      </c>
      <c r="Y88" s="8" t="s">
        <v>3163</v>
      </c>
      <c r="Z88" s="8"/>
    </row>
    <row r="89" customFormat="false" ht="15" hidden="false" customHeight="false" outlineLevel="0" collapsed="false">
      <c r="A89" s="8" t="s">
        <v>212</v>
      </c>
      <c r="B89" s="8" t="s">
        <v>21</v>
      </c>
      <c r="C89" s="8" t="s">
        <v>22</v>
      </c>
      <c r="D89" s="8" t="s">
        <v>615</v>
      </c>
      <c r="E89" s="8" t="s">
        <v>35</v>
      </c>
      <c r="F89" s="8" t="s">
        <v>58</v>
      </c>
      <c r="G89" s="8" t="s">
        <v>30</v>
      </c>
      <c r="H89" s="8" t="s">
        <v>30</v>
      </c>
      <c r="I89" s="8" t="n">
        <f aca="false">IF(EXACT(G89,H89),1,0)</f>
        <v>1</v>
      </c>
      <c r="J89" s="8" t="n">
        <v>0</v>
      </c>
      <c r="K89" s="8" t="s">
        <v>92</v>
      </c>
      <c r="L89" s="8" t="n">
        <v>0</v>
      </c>
      <c r="M89" s="8" t="n">
        <v>5</v>
      </c>
      <c r="N89" s="8" t="s">
        <v>3019</v>
      </c>
      <c r="O89" s="8" t="n">
        <v>2</v>
      </c>
      <c r="P89" s="10" t="n">
        <v>30.21</v>
      </c>
      <c r="Q89" s="8" t="n">
        <v>9538</v>
      </c>
      <c r="R89" s="8" t="n">
        <v>1672</v>
      </c>
      <c r="S89" s="8" t="s">
        <v>213</v>
      </c>
      <c r="T89" s="8"/>
      <c r="U89" s="8"/>
      <c r="V89" s="8" t="s">
        <v>155</v>
      </c>
      <c r="W89" s="8"/>
      <c r="X89" s="8" t="s">
        <v>214</v>
      </c>
      <c r="Y89" s="8" t="s">
        <v>3165</v>
      </c>
      <c r="Z89" s="8"/>
    </row>
    <row r="90" customFormat="false" ht="15" hidden="false" customHeight="false" outlineLevel="0" collapsed="false">
      <c r="A90" s="8" t="s">
        <v>212</v>
      </c>
      <c r="B90" s="8" t="s">
        <v>21</v>
      </c>
      <c r="C90" s="8" t="s">
        <v>22</v>
      </c>
      <c r="D90" s="8" t="s">
        <v>615</v>
      </c>
      <c r="E90" s="8" t="s">
        <v>35</v>
      </c>
      <c r="F90" s="8" t="s">
        <v>58</v>
      </c>
      <c r="G90" s="8" t="s">
        <v>30</v>
      </c>
      <c r="H90" s="8" t="s">
        <v>30</v>
      </c>
      <c r="I90" s="8" t="n">
        <f aca="false">IF(EXACT(G90,H90),1,0)</f>
        <v>1</v>
      </c>
      <c r="J90" s="8" t="n">
        <v>1</v>
      </c>
      <c r="K90" s="8" t="s">
        <v>92</v>
      </c>
      <c r="L90" s="8" t="n">
        <v>0</v>
      </c>
      <c r="M90" s="8" t="n">
        <v>5</v>
      </c>
      <c r="N90" s="8" t="s">
        <v>3019</v>
      </c>
      <c r="O90" s="8" t="n">
        <v>2</v>
      </c>
      <c r="P90" s="10" t="n">
        <v>30.07</v>
      </c>
      <c r="Q90" s="8" t="n">
        <v>9538</v>
      </c>
      <c r="R90" s="8" t="n">
        <v>1668</v>
      </c>
      <c r="S90" s="8" t="s">
        <v>213</v>
      </c>
      <c r="T90" s="8"/>
      <c r="U90" s="8"/>
      <c r="V90" s="8" t="s">
        <v>155</v>
      </c>
      <c r="W90" s="8"/>
      <c r="X90" s="8" t="s">
        <v>214</v>
      </c>
      <c r="Y90" s="8" t="s">
        <v>3166</v>
      </c>
      <c r="Z90" s="8"/>
    </row>
    <row r="91" customFormat="false" ht="15" hidden="false" customHeight="false" outlineLevel="0" collapsed="false">
      <c r="A91" s="8" t="s">
        <v>212</v>
      </c>
      <c r="B91" s="8" t="s">
        <v>21</v>
      </c>
      <c r="C91" s="8" t="s">
        <v>22</v>
      </c>
      <c r="D91" s="8" t="s">
        <v>615</v>
      </c>
      <c r="E91" s="8" t="s">
        <v>35</v>
      </c>
      <c r="F91" s="8" t="s">
        <v>58</v>
      </c>
      <c r="G91" s="8" t="s">
        <v>30</v>
      </c>
      <c r="H91" s="8" t="s">
        <v>30</v>
      </c>
      <c r="I91" s="8" t="n">
        <f aca="false">IF(EXACT(G91,H91),1,0)</f>
        <v>1</v>
      </c>
      <c r="J91" s="8" t="n">
        <v>2</v>
      </c>
      <c r="K91" s="8" t="s">
        <v>92</v>
      </c>
      <c r="L91" s="8" t="n">
        <v>0</v>
      </c>
      <c r="M91" s="8" t="n">
        <v>5</v>
      </c>
      <c r="N91" s="8" t="s">
        <v>3019</v>
      </c>
      <c r="O91" s="8" t="n">
        <v>2</v>
      </c>
      <c r="P91" s="10" t="n">
        <v>29.87</v>
      </c>
      <c r="Q91" s="8" t="n">
        <v>9538</v>
      </c>
      <c r="R91" s="8" t="n">
        <v>1668</v>
      </c>
      <c r="S91" s="8" t="s">
        <v>213</v>
      </c>
      <c r="T91" s="8"/>
      <c r="U91" s="8"/>
      <c r="V91" s="8" t="s">
        <v>155</v>
      </c>
      <c r="W91" s="8"/>
      <c r="X91" s="8" t="s">
        <v>214</v>
      </c>
      <c r="Y91" s="8" t="s">
        <v>3167</v>
      </c>
      <c r="Z91" s="8"/>
    </row>
    <row r="92" customFormat="false" ht="15" hidden="false" customHeight="false" outlineLevel="0" collapsed="false">
      <c r="A92" s="8" t="s">
        <v>215</v>
      </c>
      <c r="B92" s="8" t="s">
        <v>21</v>
      </c>
      <c r="C92" s="8" t="s">
        <v>22</v>
      </c>
      <c r="D92" s="8" t="s">
        <v>615</v>
      </c>
      <c r="E92" s="8" t="s">
        <v>36</v>
      </c>
      <c r="F92" s="8" t="s">
        <v>46</v>
      </c>
      <c r="G92" s="8" t="s">
        <v>30</v>
      </c>
      <c r="H92" s="8" t="s">
        <v>31</v>
      </c>
      <c r="I92" s="8" t="n">
        <f aca="false">IF(EXACT(G92,H92),1,0)</f>
        <v>0</v>
      </c>
      <c r="J92" s="8" t="n">
        <v>0</v>
      </c>
      <c r="K92" s="8" t="s">
        <v>2333</v>
      </c>
      <c r="L92" s="8" t="n">
        <v>1</v>
      </c>
      <c r="M92" s="8" t="n">
        <v>5</v>
      </c>
      <c r="N92" s="8" t="s">
        <v>1492</v>
      </c>
      <c r="O92" s="8" t="n">
        <v>2</v>
      </c>
      <c r="P92" s="10" t="n">
        <v>27.48</v>
      </c>
      <c r="Q92" s="8" t="n">
        <v>8523</v>
      </c>
      <c r="R92" s="8" t="n">
        <v>1053</v>
      </c>
      <c r="S92" s="8" t="s">
        <v>216</v>
      </c>
      <c r="T92" s="8" t="s">
        <v>217</v>
      </c>
      <c r="U92" s="8" t="s">
        <v>218</v>
      </c>
      <c r="V92" s="8"/>
      <c r="W92" s="8" t="s">
        <v>219</v>
      </c>
      <c r="X92" s="8" t="s">
        <v>220</v>
      </c>
      <c r="Y92" s="8" t="s">
        <v>3168</v>
      </c>
      <c r="Z92" s="8" t="s">
        <v>3169</v>
      </c>
    </row>
    <row r="93" customFormat="false" ht="15" hidden="false" customHeight="false" outlineLevel="0" collapsed="false">
      <c r="A93" s="8" t="s">
        <v>215</v>
      </c>
      <c r="B93" s="8" t="s">
        <v>21</v>
      </c>
      <c r="C93" s="8" t="s">
        <v>22</v>
      </c>
      <c r="D93" s="8" t="s">
        <v>615</v>
      </c>
      <c r="E93" s="8" t="s">
        <v>36</v>
      </c>
      <c r="F93" s="8" t="s">
        <v>46</v>
      </c>
      <c r="G93" s="8" t="s">
        <v>30</v>
      </c>
      <c r="H93" s="8" t="s">
        <v>31</v>
      </c>
      <c r="I93" s="8" t="n">
        <f aca="false">IF(EXACT(G93,H93),1,0)</f>
        <v>0</v>
      </c>
      <c r="J93" s="8" t="n">
        <v>1</v>
      </c>
      <c r="K93" s="8" t="s">
        <v>2333</v>
      </c>
      <c r="L93" s="8" t="n">
        <v>1</v>
      </c>
      <c r="M93" s="8" t="n">
        <v>5</v>
      </c>
      <c r="N93" s="8" t="s">
        <v>1492</v>
      </c>
      <c r="O93" s="8" t="n">
        <v>2</v>
      </c>
      <c r="P93" s="10" t="n">
        <v>31.44</v>
      </c>
      <c r="Q93" s="8" t="n">
        <v>8523</v>
      </c>
      <c r="R93" s="8" t="n">
        <v>1299</v>
      </c>
      <c r="S93" s="8" t="s">
        <v>216</v>
      </c>
      <c r="T93" s="8" t="s">
        <v>217</v>
      </c>
      <c r="U93" s="8" t="s">
        <v>218</v>
      </c>
      <c r="V93" s="8"/>
      <c r="W93" s="8" t="s">
        <v>219</v>
      </c>
      <c r="X93" s="8" t="s">
        <v>220</v>
      </c>
      <c r="Y93" s="8" t="s">
        <v>3170</v>
      </c>
      <c r="Z93" s="8" t="s">
        <v>3171</v>
      </c>
    </row>
    <row r="94" customFormat="false" ht="15" hidden="false" customHeight="false" outlineLevel="0" collapsed="false">
      <c r="A94" s="8" t="s">
        <v>215</v>
      </c>
      <c r="B94" s="8" t="s">
        <v>21</v>
      </c>
      <c r="C94" s="8" t="s">
        <v>22</v>
      </c>
      <c r="D94" s="8" t="s">
        <v>615</v>
      </c>
      <c r="E94" s="8" t="s">
        <v>36</v>
      </c>
      <c r="F94" s="8" t="s">
        <v>46</v>
      </c>
      <c r="G94" s="8" t="s">
        <v>30</v>
      </c>
      <c r="H94" s="8" t="s">
        <v>31</v>
      </c>
      <c r="I94" s="8" t="n">
        <f aca="false">IF(EXACT(G94,H94),1,0)</f>
        <v>0</v>
      </c>
      <c r="J94" s="8" t="n">
        <v>2</v>
      </c>
      <c r="K94" s="8" t="s">
        <v>2333</v>
      </c>
      <c r="L94" s="8" t="n">
        <v>1</v>
      </c>
      <c r="M94" s="8" t="n">
        <v>5</v>
      </c>
      <c r="N94" s="8" t="s">
        <v>1492</v>
      </c>
      <c r="O94" s="8" t="n">
        <v>2</v>
      </c>
      <c r="P94" s="10" t="n">
        <v>25.24</v>
      </c>
      <c r="Q94" s="8" t="n">
        <v>8523</v>
      </c>
      <c r="R94" s="8" t="n">
        <v>1055</v>
      </c>
      <c r="S94" s="8" t="s">
        <v>216</v>
      </c>
      <c r="T94" s="8" t="s">
        <v>217</v>
      </c>
      <c r="U94" s="8" t="s">
        <v>218</v>
      </c>
      <c r="V94" s="8"/>
      <c r="W94" s="8" t="s">
        <v>219</v>
      </c>
      <c r="X94" s="8" t="s">
        <v>220</v>
      </c>
      <c r="Y94" s="8" t="s">
        <v>3172</v>
      </c>
      <c r="Z94" s="8" t="s">
        <v>3173</v>
      </c>
    </row>
    <row r="95" customFormat="false" ht="15" hidden="false" customHeight="false" outlineLevel="0" collapsed="false">
      <c r="A95" s="8" t="s">
        <v>221</v>
      </c>
      <c r="B95" s="8" t="s">
        <v>21</v>
      </c>
      <c r="C95" s="8" t="s">
        <v>22</v>
      </c>
      <c r="D95" s="8" t="s">
        <v>615</v>
      </c>
      <c r="E95" s="8" t="s">
        <v>36</v>
      </c>
      <c r="F95" s="8" t="s">
        <v>46</v>
      </c>
      <c r="G95" s="8" t="s">
        <v>31</v>
      </c>
      <c r="H95" s="8" t="s">
        <v>31</v>
      </c>
      <c r="I95" s="8" t="n">
        <f aca="false">IF(EXACT(G95,H95),1,0)</f>
        <v>1</v>
      </c>
      <c r="J95" s="8" t="n">
        <v>0</v>
      </c>
      <c r="K95" s="8" t="s">
        <v>116</v>
      </c>
      <c r="L95" s="8" t="n">
        <v>2</v>
      </c>
      <c r="M95" s="8" t="n">
        <v>5</v>
      </c>
      <c r="N95" s="8" t="s">
        <v>1492</v>
      </c>
      <c r="O95" s="8" t="n">
        <v>2</v>
      </c>
      <c r="P95" s="10" t="n">
        <v>31.25</v>
      </c>
      <c r="Q95" s="8" t="n">
        <v>8459</v>
      </c>
      <c r="R95" s="8" t="n">
        <v>1190</v>
      </c>
      <c r="S95" s="8" t="s">
        <v>222</v>
      </c>
      <c r="T95" s="8" t="s">
        <v>217</v>
      </c>
      <c r="U95" s="8" t="s">
        <v>223</v>
      </c>
      <c r="V95" s="8"/>
      <c r="W95" s="8" t="s">
        <v>224</v>
      </c>
      <c r="X95" s="8" t="s">
        <v>225</v>
      </c>
      <c r="Y95" s="8" t="s">
        <v>3174</v>
      </c>
      <c r="Z95" s="8" t="s">
        <v>3175</v>
      </c>
    </row>
    <row r="96" customFormat="false" ht="15" hidden="false" customHeight="false" outlineLevel="0" collapsed="false">
      <c r="A96" s="8" t="s">
        <v>221</v>
      </c>
      <c r="B96" s="8" t="s">
        <v>21</v>
      </c>
      <c r="C96" s="8" t="s">
        <v>22</v>
      </c>
      <c r="D96" s="8" t="s">
        <v>615</v>
      </c>
      <c r="E96" s="8" t="s">
        <v>36</v>
      </c>
      <c r="F96" s="8" t="s">
        <v>46</v>
      </c>
      <c r="G96" s="8" t="s">
        <v>31</v>
      </c>
      <c r="H96" s="8" t="s">
        <v>31</v>
      </c>
      <c r="I96" s="8" t="n">
        <f aca="false">IF(EXACT(G96,H96),1,0)</f>
        <v>1</v>
      </c>
      <c r="J96" s="8" t="n">
        <v>1</v>
      </c>
      <c r="K96" s="8" t="s">
        <v>116</v>
      </c>
      <c r="L96" s="8" t="n">
        <v>2</v>
      </c>
      <c r="M96" s="8" t="n">
        <v>5</v>
      </c>
      <c r="N96" s="8" t="s">
        <v>1492</v>
      </c>
      <c r="O96" s="8" t="n">
        <v>2</v>
      </c>
      <c r="P96" s="10" t="n">
        <v>29.48</v>
      </c>
      <c r="Q96" s="8" t="n">
        <v>8442</v>
      </c>
      <c r="R96" s="8" t="n">
        <v>1209</v>
      </c>
      <c r="S96" s="8" t="s">
        <v>222</v>
      </c>
      <c r="T96" s="8" t="s">
        <v>217</v>
      </c>
      <c r="U96" s="8" t="s">
        <v>223</v>
      </c>
      <c r="V96" s="8"/>
      <c r="W96" s="8" t="s">
        <v>224</v>
      </c>
      <c r="X96" s="8" t="s">
        <v>225</v>
      </c>
      <c r="Y96" s="8" t="s">
        <v>3176</v>
      </c>
      <c r="Z96" s="8" t="s">
        <v>3177</v>
      </c>
    </row>
    <row r="97" customFormat="false" ht="15" hidden="false" customHeight="false" outlineLevel="0" collapsed="false">
      <c r="A97" s="8" t="s">
        <v>221</v>
      </c>
      <c r="B97" s="8" t="s">
        <v>21</v>
      </c>
      <c r="C97" s="8" t="s">
        <v>22</v>
      </c>
      <c r="D97" s="8" t="s">
        <v>615</v>
      </c>
      <c r="E97" s="8" t="s">
        <v>36</v>
      </c>
      <c r="F97" s="8" t="s">
        <v>46</v>
      </c>
      <c r="G97" s="8" t="s">
        <v>31</v>
      </c>
      <c r="H97" s="8" t="s">
        <v>31</v>
      </c>
      <c r="I97" s="8" t="n">
        <f aca="false">IF(EXACT(G97,H97),1,0)</f>
        <v>1</v>
      </c>
      <c r="J97" s="8" t="n">
        <v>2</v>
      </c>
      <c r="K97" s="8" t="s">
        <v>116</v>
      </c>
      <c r="L97" s="8" t="n">
        <v>2</v>
      </c>
      <c r="M97" s="8" t="n">
        <v>5</v>
      </c>
      <c r="N97" s="8" t="s">
        <v>1492</v>
      </c>
      <c r="O97" s="8" t="n">
        <v>2</v>
      </c>
      <c r="P97" s="10" t="n">
        <v>28.38</v>
      </c>
      <c r="Q97" s="8" t="n">
        <v>8442</v>
      </c>
      <c r="R97" s="8" t="n">
        <v>1188</v>
      </c>
      <c r="S97" s="8" t="s">
        <v>222</v>
      </c>
      <c r="T97" s="8" t="s">
        <v>217</v>
      </c>
      <c r="U97" s="8" t="s">
        <v>223</v>
      </c>
      <c r="V97" s="8"/>
      <c r="W97" s="8" t="s">
        <v>224</v>
      </c>
      <c r="X97" s="8" t="s">
        <v>225</v>
      </c>
      <c r="Y97" s="8" t="s">
        <v>3178</v>
      </c>
      <c r="Z97" s="8" t="s">
        <v>3179</v>
      </c>
    </row>
    <row r="98" customFormat="false" ht="15" hidden="false" customHeight="false" outlineLevel="0" collapsed="false">
      <c r="A98" s="8" t="s">
        <v>227</v>
      </c>
      <c r="B98" s="8" t="s">
        <v>21</v>
      </c>
      <c r="C98" s="8" t="s">
        <v>22</v>
      </c>
      <c r="D98" s="8" t="s">
        <v>615</v>
      </c>
      <c r="E98" s="8" t="s">
        <v>36</v>
      </c>
      <c r="F98" s="8" t="s">
        <v>46</v>
      </c>
      <c r="G98" s="8" t="s">
        <v>31</v>
      </c>
      <c r="H98" s="8" t="s">
        <v>31</v>
      </c>
      <c r="I98" s="8" t="n">
        <f aca="false">IF(EXACT(G98,H98),1,0)</f>
        <v>1</v>
      </c>
      <c r="J98" s="8" t="n">
        <v>0</v>
      </c>
      <c r="K98" s="8" t="s">
        <v>116</v>
      </c>
      <c r="L98" s="8" t="n">
        <v>2</v>
      </c>
      <c r="M98" s="8" t="n">
        <v>5</v>
      </c>
      <c r="N98" s="8" t="s">
        <v>1492</v>
      </c>
      <c r="O98" s="8" t="n">
        <v>2</v>
      </c>
      <c r="P98" s="10" t="n">
        <v>29.59</v>
      </c>
      <c r="Q98" s="8" t="n">
        <v>8453</v>
      </c>
      <c r="R98" s="8" t="n">
        <v>1206</v>
      </c>
      <c r="S98" s="8" t="s">
        <v>228</v>
      </c>
      <c r="T98" s="8" t="s">
        <v>217</v>
      </c>
      <c r="U98" s="8" t="s">
        <v>223</v>
      </c>
      <c r="V98" s="8"/>
      <c r="W98" s="8" t="s">
        <v>229</v>
      </c>
      <c r="X98" s="8" t="s">
        <v>230</v>
      </c>
      <c r="Y98" s="8" t="s">
        <v>3180</v>
      </c>
      <c r="Z98" s="8" t="s">
        <v>3181</v>
      </c>
    </row>
    <row r="99" customFormat="false" ht="15" hidden="false" customHeight="false" outlineLevel="0" collapsed="false">
      <c r="A99" s="8" t="s">
        <v>227</v>
      </c>
      <c r="B99" s="8" t="s">
        <v>21</v>
      </c>
      <c r="C99" s="8" t="s">
        <v>22</v>
      </c>
      <c r="D99" s="8" t="s">
        <v>615</v>
      </c>
      <c r="E99" s="8" t="s">
        <v>36</v>
      </c>
      <c r="F99" s="8" t="s">
        <v>46</v>
      </c>
      <c r="G99" s="8" t="s">
        <v>31</v>
      </c>
      <c r="H99" s="8" t="s">
        <v>31</v>
      </c>
      <c r="I99" s="8" t="n">
        <f aca="false">IF(EXACT(G99,H99),1,0)</f>
        <v>1</v>
      </c>
      <c r="J99" s="8" t="n">
        <v>1</v>
      </c>
      <c r="K99" s="8" t="s">
        <v>116</v>
      </c>
      <c r="L99" s="8" t="n">
        <v>2</v>
      </c>
      <c r="M99" s="8" t="n">
        <v>5</v>
      </c>
      <c r="N99" s="8" t="s">
        <v>1492</v>
      </c>
      <c r="O99" s="8" t="n">
        <v>2</v>
      </c>
      <c r="P99" s="10" t="n">
        <v>27.13</v>
      </c>
      <c r="Q99" s="8" t="n">
        <v>8442</v>
      </c>
      <c r="R99" s="8" t="n">
        <v>1183</v>
      </c>
      <c r="S99" s="8" t="s">
        <v>228</v>
      </c>
      <c r="T99" s="8" t="s">
        <v>217</v>
      </c>
      <c r="U99" s="8" t="s">
        <v>223</v>
      </c>
      <c r="V99" s="8"/>
      <c r="W99" s="8" t="s">
        <v>229</v>
      </c>
      <c r="X99" s="8" t="s">
        <v>230</v>
      </c>
      <c r="Y99" s="8" t="s">
        <v>3182</v>
      </c>
      <c r="Z99" s="8" t="s">
        <v>3183</v>
      </c>
    </row>
    <row r="100" customFormat="false" ht="15" hidden="false" customHeight="false" outlineLevel="0" collapsed="false">
      <c r="A100" s="8" t="s">
        <v>227</v>
      </c>
      <c r="B100" s="8" t="s">
        <v>21</v>
      </c>
      <c r="C100" s="8" t="s">
        <v>22</v>
      </c>
      <c r="D100" s="8" t="s">
        <v>615</v>
      </c>
      <c r="E100" s="8" t="s">
        <v>36</v>
      </c>
      <c r="F100" s="8" t="s">
        <v>46</v>
      </c>
      <c r="G100" s="8" t="s">
        <v>31</v>
      </c>
      <c r="H100" s="8" t="s">
        <v>31</v>
      </c>
      <c r="I100" s="8" t="n">
        <f aca="false">IF(EXACT(G100,H100),1,0)</f>
        <v>1</v>
      </c>
      <c r="J100" s="8" t="n">
        <v>2</v>
      </c>
      <c r="K100" s="8" t="s">
        <v>116</v>
      </c>
      <c r="L100" s="8" t="n">
        <v>2</v>
      </c>
      <c r="M100" s="8" t="n">
        <v>5</v>
      </c>
      <c r="N100" s="8" t="s">
        <v>1492</v>
      </c>
      <c r="O100" s="8" t="n">
        <v>2</v>
      </c>
      <c r="P100" s="10" t="n">
        <v>29.35</v>
      </c>
      <c r="Q100" s="8" t="n">
        <v>8454</v>
      </c>
      <c r="R100" s="8" t="n">
        <v>1170</v>
      </c>
      <c r="S100" s="8" t="s">
        <v>228</v>
      </c>
      <c r="T100" s="8" t="s">
        <v>217</v>
      </c>
      <c r="U100" s="8" t="s">
        <v>223</v>
      </c>
      <c r="V100" s="8"/>
      <c r="W100" s="8" t="s">
        <v>229</v>
      </c>
      <c r="X100" s="8" t="s">
        <v>230</v>
      </c>
      <c r="Y100" s="8" t="s">
        <v>3184</v>
      </c>
      <c r="Z100" s="8" t="s">
        <v>3185</v>
      </c>
    </row>
    <row r="101" customFormat="false" ht="15" hidden="false" customHeight="false" outlineLevel="0" collapsed="false">
      <c r="A101" s="8" t="s">
        <v>231</v>
      </c>
      <c r="B101" s="8" t="s">
        <v>21</v>
      </c>
      <c r="C101" s="8" t="s">
        <v>22</v>
      </c>
      <c r="D101" s="8" t="s">
        <v>615</v>
      </c>
      <c r="E101" s="8" t="s">
        <v>36</v>
      </c>
      <c r="F101" s="8" t="s">
        <v>46</v>
      </c>
      <c r="G101" s="8" t="s">
        <v>30</v>
      </c>
      <c r="H101" s="8" t="s">
        <v>31</v>
      </c>
      <c r="I101" s="8" t="n">
        <f aca="false">IF(EXACT(G101,H101),1,0)</f>
        <v>0</v>
      </c>
      <c r="J101" s="8" t="n">
        <v>0</v>
      </c>
      <c r="K101" s="8" t="s">
        <v>2333</v>
      </c>
      <c r="L101" s="8" t="n">
        <v>1</v>
      </c>
      <c r="M101" s="8" t="n">
        <v>5</v>
      </c>
      <c r="N101" s="8" t="s">
        <v>1492</v>
      </c>
      <c r="O101" s="8" t="n">
        <v>2</v>
      </c>
      <c r="P101" s="10" t="n">
        <v>26.94</v>
      </c>
      <c r="Q101" s="8" t="n">
        <v>8509</v>
      </c>
      <c r="R101" s="8" t="n">
        <v>1062</v>
      </c>
      <c r="S101" s="8" t="s">
        <v>232</v>
      </c>
      <c r="T101" s="8" t="s">
        <v>217</v>
      </c>
      <c r="U101" s="8" t="s">
        <v>218</v>
      </c>
      <c r="V101" s="8"/>
      <c r="W101" s="8" t="s">
        <v>233</v>
      </c>
      <c r="X101" s="8" t="s">
        <v>234</v>
      </c>
      <c r="Y101" s="8" t="s">
        <v>3186</v>
      </c>
      <c r="Z101" s="8" t="s">
        <v>3187</v>
      </c>
    </row>
    <row r="102" customFormat="false" ht="15" hidden="false" customHeight="false" outlineLevel="0" collapsed="false">
      <c r="A102" s="8" t="s">
        <v>231</v>
      </c>
      <c r="B102" s="8" t="s">
        <v>21</v>
      </c>
      <c r="C102" s="8" t="s">
        <v>22</v>
      </c>
      <c r="D102" s="8" t="s">
        <v>615</v>
      </c>
      <c r="E102" s="8" t="s">
        <v>36</v>
      </c>
      <c r="F102" s="8" t="s">
        <v>46</v>
      </c>
      <c r="G102" s="8" t="s">
        <v>30</v>
      </c>
      <c r="H102" s="8" t="s">
        <v>31</v>
      </c>
      <c r="I102" s="8" t="n">
        <f aca="false">IF(EXACT(G102,H102),1,0)</f>
        <v>0</v>
      </c>
      <c r="J102" s="8" t="n">
        <v>1</v>
      </c>
      <c r="K102" s="8" t="s">
        <v>2333</v>
      </c>
      <c r="L102" s="8" t="n">
        <v>1</v>
      </c>
      <c r="M102" s="8" t="n">
        <v>5</v>
      </c>
      <c r="N102" s="8" t="s">
        <v>1492</v>
      </c>
      <c r="O102" s="8" t="n">
        <v>2</v>
      </c>
      <c r="P102" s="10" t="n">
        <v>26.13</v>
      </c>
      <c r="Q102" s="8" t="n">
        <v>8509</v>
      </c>
      <c r="R102" s="8" t="n">
        <v>1082</v>
      </c>
      <c r="S102" s="8" t="s">
        <v>232</v>
      </c>
      <c r="T102" s="8" t="s">
        <v>217</v>
      </c>
      <c r="U102" s="8" t="s">
        <v>218</v>
      </c>
      <c r="V102" s="8"/>
      <c r="W102" s="8" t="s">
        <v>233</v>
      </c>
      <c r="X102" s="8" t="s">
        <v>234</v>
      </c>
      <c r="Y102" s="8" t="s">
        <v>3188</v>
      </c>
      <c r="Z102" s="8" t="s">
        <v>3189</v>
      </c>
    </row>
    <row r="103" customFormat="false" ht="15" hidden="false" customHeight="false" outlineLevel="0" collapsed="false">
      <c r="A103" s="8" t="s">
        <v>231</v>
      </c>
      <c r="B103" s="8" t="s">
        <v>21</v>
      </c>
      <c r="C103" s="8" t="s">
        <v>22</v>
      </c>
      <c r="D103" s="8" t="s">
        <v>615</v>
      </c>
      <c r="E103" s="8" t="s">
        <v>36</v>
      </c>
      <c r="F103" s="8" t="s">
        <v>46</v>
      </c>
      <c r="G103" s="8" t="s">
        <v>30</v>
      </c>
      <c r="H103" s="8" t="s">
        <v>31</v>
      </c>
      <c r="I103" s="8" t="n">
        <f aca="false">IF(EXACT(G103,H103),1,0)</f>
        <v>0</v>
      </c>
      <c r="J103" s="8" t="n">
        <v>2</v>
      </c>
      <c r="K103" s="8" t="s">
        <v>2333</v>
      </c>
      <c r="L103" s="8" t="n">
        <v>1</v>
      </c>
      <c r="M103" s="8" t="n">
        <v>5</v>
      </c>
      <c r="N103" s="8" t="s">
        <v>1492</v>
      </c>
      <c r="O103" s="8" t="n">
        <v>2</v>
      </c>
      <c r="P103" s="10" t="n">
        <v>24.73</v>
      </c>
      <c r="Q103" s="8" t="n">
        <v>8509</v>
      </c>
      <c r="R103" s="8" t="n">
        <v>1037</v>
      </c>
      <c r="S103" s="8" t="s">
        <v>232</v>
      </c>
      <c r="T103" s="8" t="s">
        <v>217</v>
      </c>
      <c r="U103" s="8" t="s">
        <v>218</v>
      </c>
      <c r="V103" s="8"/>
      <c r="W103" s="8" t="s">
        <v>233</v>
      </c>
      <c r="X103" s="8" t="s">
        <v>234</v>
      </c>
      <c r="Y103" s="8" t="s">
        <v>3190</v>
      </c>
      <c r="Z103" s="8" t="s">
        <v>3187</v>
      </c>
    </row>
    <row r="104" customFormat="false" ht="15" hidden="false" customHeight="false" outlineLevel="0" collapsed="false">
      <c r="A104" s="8" t="s">
        <v>235</v>
      </c>
      <c r="B104" s="8" t="s">
        <v>21</v>
      </c>
      <c r="C104" s="8" t="s">
        <v>22</v>
      </c>
      <c r="D104" s="8" t="s">
        <v>615</v>
      </c>
      <c r="E104" s="8" t="s">
        <v>36</v>
      </c>
      <c r="F104" s="8" t="s">
        <v>46</v>
      </c>
      <c r="G104" s="8" t="s">
        <v>32</v>
      </c>
      <c r="H104" s="8" t="s">
        <v>31</v>
      </c>
      <c r="I104" s="8" t="n">
        <f aca="false">IF(EXACT(G104,H104),1,0)</f>
        <v>0</v>
      </c>
      <c r="J104" s="8" t="n">
        <v>0</v>
      </c>
      <c r="K104" s="8" t="s">
        <v>737</v>
      </c>
      <c r="L104" s="8" t="n">
        <v>2</v>
      </c>
      <c r="M104" s="8" t="n">
        <v>5</v>
      </c>
      <c r="N104" s="8" t="s">
        <v>1492</v>
      </c>
      <c r="O104" s="8" t="n">
        <v>2</v>
      </c>
      <c r="P104" s="10" t="n">
        <v>29.01</v>
      </c>
      <c r="Q104" s="8" t="n">
        <v>8512</v>
      </c>
      <c r="R104" s="8" t="n">
        <v>1280</v>
      </c>
      <c r="S104" s="8" t="s">
        <v>125</v>
      </c>
      <c r="T104" s="8" t="s">
        <v>217</v>
      </c>
      <c r="U104" s="8" t="s">
        <v>218</v>
      </c>
      <c r="V104" s="8"/>
      <c r="W104" s="8" t="s">
        <v>236</v>
      </c>
      <c r="X104" s="8" t="s">
        <v>237</v>
      </c>
      <c r="Y104" s="8" t="s">
        <v>3191</v>
      </c>
      <c r="Z104" s="8" t="s">
        <v>3192</v>
      </c>
    </row>
    <row r="105" customFormat="false" ht="15" hidden="false" customHeight="false" outlineLevel="0" collapsed="false">
      <c r="A105" s="8" t="s">
        <v>235</v>
      </c>
      <c r="B105" s="8" t="s">
        <v>21</v>
      </c>
      <c r="C105" s="8" t="s">
        <v>22</v>
      </c>
      <c r="D105" s="8" t="s">
        <v>615</v>
      </c>
      <c r="E105" s="8" t="s">
        <v>36</v>
      </c>
      <c r="F105" s="8" t="s">
        <v>46</v>
      </c>
      <c r="G105" s="8" t="s">
        <v>32</v>
      </c>
      <c r="H105" s="8" t="s">
        <v>31</v>
      </c>
      <c r="I105" s="8" t="n">
        <f aca="false">IF(EXACT(G105,H105),1,0)</f>
        <v>0</v>
      </c>
      <c r="J105" s="8" t="n">
        <v>1</v>
      </c>
      <c r="K105" s="8" t="s">
        <v>737</v>
      </c>
      <c r="L105" s="8" t="n">
        <v>2</v>
      </c>
      <c r="M105" s="8" t="n">
        <v>5</v>
      </c>
      <c r="N105" s="8" t="s">
        <v>1492</v>
      </c>
      <c r="O105" s="8" t="n">
        <v>2</v>
      </c>
      <c r="P105" s="10" t="n">
        <v>28.9</v>
      </c>
      <c r="Q105" s="8" t="n">
        <v>8512</v>
      </c>
      <c r="R105" s="8" t="n">
        <v>1266</v>
      </c>
      <c r="S105" s="8" t="s">
        <v>125</v>
      </c>
      <c r="T105" s="8" t="s">
        <v>217</v>
      </c>
      <c r="U105" s="8" t="s">
        <v>218</v>
      </c>
      <c r="V105" s="8"/>
      <c r="W105" s="8" t="s">
        <v>236</v>
      </c>
      <c r="X105" s="8" t="s">
        <v>237</v>
      </c>
      <c r="Y105" s="8" t="s">
        <v>3193</v>
      </c>
      <c r="Z105" s="8" t="s">
        <v>3194</v>
      </c>
    </row>
    <row r="106" customFormat="false" ht="15" hidden="false" customHeight="false" outlineLevel="0" collapsed="false">
      <c r="A106" s="8" t="s">
        <v>235</v>
      </c>
      <c r="B106" s="8" t="s">
        <v>21</v>
      </c>
      <c r="C106" s="8" t="s">
        <v>22</v>
      </c>
      <c r="D106" s="8" t="s">
        <v>615</v>
      </c>
      <c r="E106" s="8" t="s">
        <v>36</v>
      </c>
      <c r="F106" s="8" t="s">
        <v>46</v>
      </c>
      <c r="G106" s="8" t="s">
        <v>32</v>
      </c>
      <c r="H106" s="8" t="s">
        <v>31</v>
      </c>
      <c r="I106" s="8" t="n">
        <f aca="false">IF(EXACT(G106,H106),1,0)</f>
        <v>0</v>
      </c>
      <c r="J106" s="8" t="n">
        <v>2</v>
      </c>
      <c r="K106" s="8" t="s">
        <v>737</v>
      </c>
      <c r="L106" s="8" t="n">
        <v>2</v>
      </c>
      <c r="M106" s="8" t="n">
        <v>5</v>
      </c>
      <c r="N106" s="8" t="s">
        <v>1492</v>
      </c>
      <c r="O106" s="8" t="n">
        <v>2</v>
      </c>
      <c r="P106" s="10" t="n">
        <v>32</v>
      </c>
      <c r="Q106" s="8" t="n">
        <v>8512</v>
      </c>
      <c r="R106" s="8" t="n">
        <v>1282</v>
      </c>
      <c r="S106" s="8" t="s">
        <v>125</v>
      </c>
      <c r="T106" s="8" t="s">
        <v>217</v>
      </c>
      <c r="U106" s="8" t="s">
        <v>218</v>
      </c>
      <c r="V106" s="8"/>
      <c r="W106" s="8" t="s">
        <v>236</v>
      </c>
      <c r="X106" s="8" t="s">
        <v>237</v>
      </c>
      <c r="Y106" s="8" t="s">
        <v>3195</v>
      </c>
      <c r="Z106" s="8" t="s">
        <v>3196</v>
      </c>
    </row>
    <row r="107" customFormat="false" ht="15" hidden="false" customHeight="false" outlineLevel="0" collapsed="false">
      <c r="A107" s="8" t="s">
        <v>238</v>
      </c>
      <c r="B107" s="8" t="s">
        <v>21</v>
      </c>
      <c r="C107" s="8" t="s">
        <v>22</v>
      </c>
      <c r="D107" s="8" t="s">
        <v>615</v>
      </c>
      <c r="E107" s="8" t="s">
        <v>36</v>
      </c>
      <c r="F107" s="8" t="s">
        <v>46</v>
      </c>
      <c r="G107" s="8" t="s">
        <v>32</v>
      </c>
      <c r="H107" s="8" t="s">
        <v>31</v>
      </c>
      <c r="I107" s="8" t="n">
        <f aca="false">IF(EXACT(G107,H107),1,0)</f>
        <v>0</v>
      </c>
      <c r="J107" s="8" t="n">
        <v>0</v>
      </c>
      <c r="K107" s="8" t="s">
        <v>2333</v>
      </c>
      <c r="L107" s="8" t="n">
        <v>1</v>
      </c>
      <c r="M107" s="8" t="n">
        <v>5</v>
      </c>
      <c r="N107" s="8" t="s">
        <v>1492</v>
      </c>
      <c r="O107" s="8" t="n">
        <v>2</v>
      </c>
      <c r="P107" s="10" t="n">
        <v>25.11</v>
      </c>
      <c r="Q107" s="8" t="n">
        <v>8429</v>
      </c>
      <c r="R107" s="8" t="n">
        <v>981</v>
      </c>
      <c r="S107" s="8" t="s">
        <v>239</v>
      </c>
      <c r="T107" s="8" t="s">
        <v>217</v>
      </c>
      <c r="U107" s="8" t="s">
        <v>223</v>
      </c>
      <c r="V107" s="8"/>
      <c r="W107" s="8" t="s">
        <v>240</v>
      </c>
      <c r="X107" s="8" t="s">
        <v>241</v>
      </c>
      <c r="Y107" s="8" t="s">
        <v>3197</v>
      </c>
      <c r="Z107" s="8" t="s">
        <v>3198</v>
      </c>
    </row>
    <row r="108" customFormat="false" ht="15" hidden="false" customHeight="false" outlineLevel="0" collapsed="false">
      <c r="A108" s="8" t="s">
        <v>238</v>
      </c>
      <c r="B108" s="8" t="s">
        <v>21</v>
      </c>
      <c r="C108" s="8" t="s">
        <v>22</v>
      </c>
      <c r="D108" s="8" t="s">
        <v>615</v>
      </c>
      <c r="E108" s="8" t="s">
        <v>36</v>
      </c>
      <c r="F108" s="8" t="s">
        <v>46</v>
      </c>
      <c r="G108" s="8" t="s">
        <v>32</v>
      </c>
      <c r="H108" s="8" t="s">
        <v>31</v>
      </c>
      <c r="I108" s="8" t="n">
        <f aca="false">IF(EXACT(G108,H108),1,0)</f>
        <v>0</v>
      </c>
      <c r="J108" s="8" t="n">
        <v>1</v>
      </c>
      <c r="K108" s="8" t="s">
        <v>2333</v>
      </c>
      <c r="L108" s="8" t="n">
        <v>1</v>
      </c>
      <c r="M108" s="8" t="n">
        <v>5</v>
      </c>
      <c r="N108" s="8" t="s">
        <v>1492</v>
      </c>
      <c r="O108" s="8" t="n">
        <v>2</v>
      </c>
      <c r="P108" s="10" t="n">
        <v>21.99</v>
      </c>
      <c r="Q108" s="8" t="n">
        <v>8429</v>
      </c>
      <c r="R108" s="8" t="n">
        <v>987</v>
      </c>
      <c r="S108" s="8" t="s">
        <v>239</v>
      </c>
      <c r="T108" s="8" t="s">
        <v>217</v>
      </c>
      <c r="U108" s="8" t="s">
        <v>223</v>
      </c>
      <c r="V108" s="8"/>
      <c r="W108" s="8" t="s">
        <v>240</v>
      </c>
      <c r="X108" s="8" t="s">
        <v>241</v>
      </c>
      <c r="Y108" s="8" t="s">
        <v>3199</v>
      </c>
      <c r="Z108" s="8" t="s">
        <v>3200</v>
      </c>
    </row>
    <row r="109" customFormat="false" ht="15" hidden="false" customHeight="false" outlineLevel="0" collapsed="false">
      <c r="A109" s="8" t="s">
        <v>238</v>
      </c>
      <c r="B109" s="8" t="s">
        <v>21</v>
      </c>
      <c r="C109" s="8" t="s">
        <v>22</v>
      </c>
      <c r="D109" s="8" t="s">
        <v>615</v>
      </c>
      <c r="E109" s="8" t="s">
        <v>36</v>
      </c>
      <c r="F109" s="8" t="s">
        <v>46</v>
      </c>
      <c r="G109" s="8" t="s">
        <v>32</v>
      </c>
      <c r="H109" s="8" t="s">
        <v>31</v>
      </c>
      <c r="I109" s="8" t="n">
        <f aca="false">IF(EXACT(G109,H109),1,0)</f>
        <v>0</v>
      </c>
      <c r="J109" s="8" t="n">
        <v>2</v>
      </c>
      <c r="K109" s="8" t="s">
        <v>2333</v>
      </c>
      <c r="L109" s="8" t="n">
        <v>1</v>
      </c>
      <c r="M109" s="8" t="n">
        <v>5</v>
      </c>
      <c r="N109" s="8" t="s">
        <v>1492</v>
      </c>
      <c r="O109" s="8" t="n">
        <v>2</v>
      </c>
      <c r="P109" s="10" t="n">
        <v>21.91</v>
      </c>
      <c r="Q109" s="8" t="n">
        <v>8429</v>
      </c>
      <c r="R109" s="8" t="n">
        <v>993</v>
      </c>
      <c r="S109" s="8" t="s">
        <v>239</v>
      </c>
      <c r="T109" s="8" t="s">
        <v>217</v>
      </c>
      <c r="U109" s="8" t="s">
        <v>223</v>
      </c>
      <c r="V109" s="8"/>
      <c r="W109" s="8" t="s">
        <v>240</v>
      </c>
      <c r="X109" s="8" t="s">
        <v>241</v>
      </c>
      <c r="Y109" s="8" t="s">
        <v>3201</v>
      </c>
      <c r="Z109" s="8" t="s">
        <v>3202</v>
      </c>
    </row>
    <row r="110" customFormat="false" ht="15" hidden="false" customHeight="false" outlineLevel="0" collapsed="false">
      <c r="A110" s="8" t="s">
        <v>242</v>
      </c>
      <c r="B110" s="8" t="s">
        <v>21</v>
      </c>
      <c r="C110" s="8" t="s">
        <v>22</v>
      </c>
      <c r="D110" s="8" t="s">
        <v>615</v>
      </c>
      <c r="E110" s="8" t="s">
        <v>36</v>
      </c>
      <c r="F110" s="8" t="s">
        <v>48</v>
      </c>
      <c r="G110" s="8" t="s">
        <v>32</v>
      </c>
      <c r="H110" s="8" t="s">
        <v>31</v>
      </c>
      <c r="I110" s="8" t="n">
        <f aca="false">IF(EXACT(G110,H110),1,0)</f>
        <v>0</v>
      </c>
      <c r="J110" s="8" t="n">
        <v>0</v>
      </c>
      <c r="K110" s="8" t="s">
        <v>2333</v>
      </c>
      <c r="L110" s="8" t="n">
        <v>1</v>
      </c>
      <c r="M110" s="8" t="n">
        <v>5</v>
      </c>
      <c r="N110" s="8" t="s">
        <v>1492</v>
      </c>
      <c r="O110" s="8" t="n">
        <v>2</v>
      </c>
      <c r="P110" s="10" t="n">
        <v>20.81</v>
      </c>
      <c r="Q110" s="8" t="n">
        <v>8485</v>
      </c>
      <c r="R110" s="8" t="n">
        <v>1005</v>
      </c>
      <c r="S110" s="8" t="s">
        <v>94</v>
      </c>
      <c r="T110" s="8" t="s">
        <v>243</v>
      </c>
      <c r="U110" s="8" t="s">
        <v>244</v>
      </c>
      <c r="V110" s="8"/>
      <c r="W110" s="8" t="s">
        <v>245</v>
      </c>
      <c r="X110" s="8" t="s">
        <v>246</v>
      </c>
      <c r="Y110" s="8" t="s">
        <v>3203</v>
      </c>
      <c r="Z110" s="8" t="s">
        <v>3204</v>
      </c>
    </row>
    <row r="111" customFormat="false" ht="15" hidden="false" customHeight="false" outlineLevel="0" collapsed="false">
      <c r="A111" s="8" t="s">
        <v>242</v>
      </c>
      <c r="B111" s="8" t="s">
        <v>21</v>
      </c>
      <c r="C111" s="8" t="s">
        <v>22</v>
      </c>
      <c r="D111" s="8" t="s">
        <v>615</v>
      </c>
      <c r="E111" s="8" t="s">
        <v>36</v>
      </c>
      <c r="F111" s="8" t="s">
        <v>48</v>
      </c>
      <c r="G111" s="8" t="s">
        <v>32</v>
      </c>
      <c r="H111" s="8" t="s">
        <v>31</v>
      </c>
      <c r="I111" s="8" t="n">
        <f aca="false">IF(EXACT(G111,H111),1,0)</f>
        <v>0</v>
      </c>
      <c r="J111" s="8" t="n">
        <v>1</v>
      </c>
      <c r="K111" s="8" t="s">
        <v>2333</v>
      </c>
      <c r="L111" s="8" t="n">
        <v>1</v>
      </c>
      <c r="M111" s="8" t="n">
        <v>5</v>
      </c>
      <c r="N111" s="8" t="s">
        <v>1492</v>
      </c>
      <c r="O111" s="8" t="n">
        <v>2</v>
      </c>
      <c r="P111" s="10" t="n">
        <v>21.66</v>
      </c>
      <c r="Q111" s="8" t="n">
        <v>8485</v>
      </c>
      <c r="R111" s="8" t="n">
        <v>1030</v>
      </c>
      <c r="S111" s="8" t="s">
        <v>94</v>
      </c>
      <c r="T111" s="8" t="s">
        <v>243</v>
      </c>
      <c r="U111" s="8" t="s">
        <v>244</v>
      </c>
      <c r="V111" s="8"/>
      <c r="W111" s="8" t="s">
        <v>245</v>
      </c>
      <c r="X111" s="8" t="s">
        <v>246</v>
      </c>
      <c r="Y111" s="8" t="s">
        <v>3205</v>
      </c>
      <c r="Z111" s="8" t="s">
        <v>3206</v>
      </c>
    </row>
    <row r="112" customFormat="false" ht="15" hidden="false" customHeight="false" outlineLevel="0" collapsed="false">
      <c r="A112" s="8" t="s">
        <v>242</v>
      </c>
      <c r="B112" s="8" t="s">
        <v>21</v>
      </c>
      <c r="C112" s="8" t="s">
        <v>22</v>
      </c>
      <c r="D112" s="8" t="s">
        <v>615</v>
      </c>
      <c r="E112" s="8" t="s">
        <v>36</v>
      </c>
      <c r="F112" s="8" t="s">
        <v>48</v>
      </c>
      <c r="G112" s="8" t="s">
        <v>32</v>
      </c>
      <c r="H112" s="8" t="s">
        <v>31</v>
      </c>
      <c r="I112" s="8" t="n">
        <f aca="false">IF(EXACT(G112,H112),1,0)</f>
        <v>0</v>
      </c>
      <c r="J112" s="8" t="n">
        <v>2</v>
      </c>
      <c r="K112" s="8" t="s">
        <v>2333</v>
      </c>
      <c r="L112" s="8" t="n">
        <v>1</v>
      </c>
      <c r="M112" s="8" t="n">
        <v>5</v>
      </c>
      <c r="N112" s="8" t="s">
        <v>1492</v>
      </c>
      <c r="O112" s="8" t="n">
        <v>2</v>
      </c>
      <c r="P112" s="10" t="n">
        <v>21.44</v>
      </c>
      <c r="Q112" s="8" t="n">
        <v>8485</v>
      </c>
      <c r="R112" s="8" t="n">
        <v>1012</v>
      </c>
      <c r="S112" s="8" t="s">
        <v>94</v>
      </c>
      <c r="T112" s="8" t="s">
        <v>243</v>
      </c>
      <c r="U112" s="8" t="s">
        <v>244</v>
      </c>
      <c r="V112" s="8"/>
      <c r="W112" s="8" t="s">
        <v>245</v>
      </c>
      <c r="X112" s="8" t="s">
        <v>246</v>
      </c>
      <c r="Y112" s="8" t="s">
        <v>3207</v>
      </c>
      <c r="Z112" s="8" t="s">
        <v>3208</v>
      </c>
    </row>
    <row r="113" customFormat="false" ht="15" hidden="false" customHeight="false" outlineLevel="0" collapsed="false">
      <c r="A113" s="8" t="s">
        <v>247</v>
      </c>
      <c r="B113" s="8" t="s">
        <v>21</v>
      </c>
      <c r="C113" s="8" t="s">
        <v>22</v>
      </c>
      <c r="D113" s="8" t="s">
        <v>615</v>
      </c>
      <c r="E113" s="8" t="s">
        <v>36</v>
      </c>
      <c r="F113" s="8" t="s">
        <v>48</v>
      </c>
      <c r="G113" s="8" t="s">
        <v>30</v>
      </c>
      <c r="H113" s="8" t="s">
        <v>31</v>
      </c>
      <c r="I113" s="8" t="n">
        <f aca="false">IF(EXACT(G113,H113),1,0)</f>
        <v>0</v>
      </c>
      <c r="J113" s="8" t="n">
        <v>0</v>
      </c>
      <c r="K113" s="8" t="s">
        <v>2333</v>
      </c>
      <c r="L113" s="8" t="n">
        <v>1</v>
      </c>
      <c r="M113" s="8" t="n">
        <v>5</v>
      </c>
      <c r="N113" s="8" t="s">
        <v>1492</v>
      </c>
      <c r="O113" s="8" t="n">
        <v>2</v>
      </c>
      <c r="P113" s="10" t="n">
        <v>32.54</v>
      </c>
      <c r="Q113" s="8" t="n">
        <v>8676</v>
      </c>
      <c r="R113" s="8" t="n">
        <v>1512</v>
      </c>
      <c r="S113" s="8" t="s">
        <v>216</v>
      </c>
      <c r="T113" s="8" t="s">
        <v>243</v>
      </c>
      <c r="U113" s="8" t="s">
        <v>244</v>
      </c>
      <c r="V113" s="8"/>
      <c r="W113" s="8" t="s">
        <v>248</v>
      </c>
      <c r="X113" s="8" t="s">
        <v>249</v>
      </c>
      <c r="Y113" s="8" t="s">
        <v>3209</v>
      </c>
      <c r="Z113" s="8" t="s">
        <v>3210</v>
      </c>
    </row>
    <row r="114" customFormat="false" ht="15" hidden="false" customHeight="false" outlineLevel="0" collapsed="false">
      <c r="A114" s="8" t="s">
        <v>247</v>
      </c>
      <c r="B114" s="8" t="s">
        <v>21</v>
      </c>
      <c r="C114" s="8" t="s">
        <v>22</v>
      </c>
      <c r="D114" s="8" t="s">
        <v>615</v>
      </c>
      <c r="E114" s="8" t="s">
        <v>36</v>
      </c>
      <c r="F114" s="8" t="s">
        <v>48</v>
      </c>
      <c r="G114" s="8" t="s">
        <v>30</v>
      </c>
      <c r="H114" s="8" t="s">
        <v>31</v>
      </c>
      <c r="I114" s="8" t="n">
        <f aca="false">IF(EXACT(G114,H114),1,0)</f>
        <v>0</v>
      </c>
      <c r="J114" s="8" t="n">
        <v>1</v>
      </c>
      <c r="K114" s="8" t="s">
        <v>2333</v>
      </c>
      <c r="L114" s="8" t="n">
        <v>1</v>
      </c>
      <c r="M114" s="8" t="n">
        <v>5</v>
      </c>
      <c r="N114" s="8" t="s">
        <v>1492</v>
      </c>
      <c r="O114" s="8" t="n">
        <v>2</v>
      </c>
      <c r="P114" s="10" t="n">
        <v>26.91</v>
      </c>
      <c r="Q114" s="8" t="n">
        <v>8674</v>
      </c>
      <c r="R114" s="8" t="n">
        <v>1215</v>
      </c>
      <c r="S114" s="8" t="s">
        <v>216</v>
      </c>
      <c r="T114" s="8" t="s">
        <v>243</v>
      </c>
      <c r="U114" s="8" t="s">
        <v>244</v>
      </c>
      <c r="V114" s="8"/>
      <c r="W114" s="8" t="s">
        <v>248</v>
      </c>
      <c r="X114" s="8" t="s">
        <v>249</v>
      </c>
      <c r="Y114" s="8" t="s">
        <v>3211</v>
      </c>
      <c r="Z114" s="8" t="s">
        <v>3212</v>
      </c>
    </row>
    <row r="115" customFormat="false" ht="15" hidden="false" customHeight="false" outlineLevel="0" collapsed="false">
      <c r="A115" s="8" t="s">
        <v>247</v>
      </c>
      <c r="B115" s="8" t="s">
        <v>21</v>
      </c>
      <c r="C115" s="8" t="s">
        <v>22</v>
      </c>
      <c r="D115" s="8" t="s">
        <v>615</v>
      </c>
      <c r="E115" s="8" t="s">
        <v>36</v>
      </c>
      <c r="F115" s="8" t="s">
        <v>48</v>
      </c>
      <c r="G115" s="8" t="s">
        <v>30</v>
      </c>
      <c r="H115" s="8" t="s">
        <v>31</v>
      </c>
      <c r="I115" s="8" t="n">
        <f aca="false">IF(EXACT(G115,H115),1,0)</f>
        <v>0</v>
      </c>
      <c r="J115" s="8" t="n">
        <v>2</v>
      </c>
      <c r="K115" s="8" t="s">
        <v>2333</v>
      </c>
      <c r="L115" s="8" t="n">
        <v>1</v>
      </c>
      <c r="M115" s="8" t="n">
        <v>5</v>
      </c>
      <c r="N115" s="8" t="s">
        <v>1492</v>
      </c>
      <c r="O115" s="8" t="n">
        <v>2</v>
      </c>
      <c r="P115" s="10" t="n">
        <v>32.78</v>
      </c>
      <c r="Q115" s="8" t="n">
        <v>8676</v>
      </c>
      <c r="R115" s="8" t="n">
        <v>1523</v>
      </c>
      <c r="S115" s="8" t="s">
        <v>216</v>
      </c>
      <c r="T115" s="8" t="s">
        <v>243</v>
      </c>
      <c r="U115" s="8" t="s">
        <v>244</v>
      </c>
      <c r="V115" s="8"/>
      <c r="W115" s="8" t="s">
        <v>248</v>
      </c>
      <c r="X115" s="8" t="s">
        <v>249</v>
      </c>
      <c r="Y115" s="8" t="s">
        <v>3213</v>
      </c>
      <c r="Z115" s="8" t="s">
        <v>3214</v>
      </c>
    </row>
    <row r="116" customFormat="false" ht="15" hidden="false" customHeight="false" outlineLevel="0" collapsed="false">
      <c r="A116" s="8" t="s">
        <v>250</v>
      </c>
      <c r="B116" s="8" t="s">
        <v>21</v>
      </c>
      <c r="C116" s="8" t="s">
        <v>22</v>
      </c>
      <c r="D116" s="8" t="s">
        <v>615</v>
      </c>
      <c r="E116" s="8" t="s">
        <v>36</v>
      </c>
      <c r="F116" s="8" t="s">
        <v>48</v>
      </c>
      <c r="G116" s="8" t="s">
        <v>32</v>
      </c>
      <c r="H116" s="8" t="s">
        <v>31</v>
      </c>
      <c r="I116" s="8" t="n">
        <f aca="false">IF(EXACT(G116,H116),1,0)</f>
        <v>0</v>
      </c>
      <c r="J116" s="8" t="n">
        <v>0</v>
      </c>
      <c r="K116" s="8" t="s">
        <v>2333</v>
      </c>
      <c r="L116" s="8" t="n">
        <v>1</v>
      </c>
      <c r="M116" s="8" t="n">
        <v>5</v>
      </c>
      <c r="N116" s="8" t="s">
        <v>1492</v>
      </c>
      <c r="O116" s="8" t="n">
        <v>2</v>
      </c>
      <c r="P116" s="10" t="n">
        <v>26.62</v>
      </c>
      <c r="Q116" s="8" t="n">
        <v>8809</v>
      </c>
      <c r="R116" s="8" t="n">
        <v>1263</v>
      </c>
      <c r="S116" s="8" t="s">
        <v>251</v>
      </c>
      <c r="T116" s="8" t="s">
        <v>243</v>
      </c>
      <c r="U116" s="8" t="s">
        <v>244</v>
      </c>
      <c r="V116" s="8"/>
      <c r="W116" s="8" t="s">
        <v>252</v>
      </c>
      <c r="X116" s="8" t="s">
        <v>253</v>
      </c>
      <c r="Y116" s="8" t="s">
        <v>3215</v>
      </c>
      <c r="Z116" s="8" t="s">
        <v>3216</v>
      </c>
    </row>
    <row r="117" customFormat="false" ht="15" hidden="false" customHeight="false" outlineLevel="0" collapsed="false">
      <c r="A117" s="8" t="s">
        <v>250</v>
      </c>
      <c r="B117" s="8" t="s">
        <v>21</v>
      </c>
      <c r="C117" s="8" t="s">
        <v>22</v>
      </c>
      <c r="D117" s="8" t="s">
        <v>615</v>
      </c>
      <c r="E117" s="8" t="s">
        <v>36</v>
      </c>
      <c r="F117" s="8" t="s">
        <v>48</v>
      </c>
      <c r="G117" s="8" t="s">
        <v>32</v>
      </c>
      <c r="H117" s="8" t="s">
        <v>31</v>
      </c>
      <c r="I117" s="8" t="n">
        <f aca="false">IF(EXACT(G117,H117),1,0)</f>
        <v>0</v>
      </c>
      <c r="J117" s="8" t="n">
        <v>1</v>
      </c>
      <c r="K117" s="8" t="s">
        <v>2333</v>
      </c>
      <c r="L117" s="8" t="n">
        <v>1</v>
      </c>
      <c r="M117" s="8" t="n">
        <v>5</v>
      </c>
      <c r="N117" s="8" t="s">
        <v>1492</v>
      </c>
      <c r="O117" s="8" t="n">
        <v>2</v>
      </c>
      <c r="P117" s="10" t="n">
        <v>28.1</v>
      </c>
      <c r="Q117" s="8" t="n">
        <v>8809</v>
      </c>
      <c r="R117" s="8" t="n">
        <v>1284</v>
      </c>
      <c r="S117" s="8" t="s">
        <v>251</v>
      </c>
      <c r="T117" s="8" t="s">
        <v>243</v>
      </c>
      <c r="U117" s="8" t="s">
        <v>244</v>
      </c>
      <c r="V117" s="8"/>
      <c r="W117" s="8" t="s">
        <v>252</v>
      </c>
      <c r="X117" s="8" t="s">
        <v>253</v>
      </c>
      <c r="Y117" s="8" t="s">
        <v>3217</v>
      </c>
      <c r="Z117" s="8" t="s">
        <v>3218</v>
      </c>
    </row>
    <row r="118" customFormat="false" ht="15" hidden="false" customHeight="false" outlineLevel="0" collapsed="false">
      <c r="A118" s="8" t="s">
        <v>250</v>
      </c>
      <c r="B118" s="8" t="s">
        <v>21</v>
      </c>
      <c r="C118" s="8" t="s">
        <v>22</v>
      </c>
      <c r="D118" s="8" t="s">
        <v>615</v>
      </c>
      <c r="E118" s="8" t="s">
        <v>36</v>
      </c>
      <c r="F118" s="8" t="s">
        <v>48</v>
      </c>
      <c r="G118" s="8" t="s">
        <v>32</v>
      </c>
      <c r="H118" s="8" t="s">
        <v>31</v>
      </c>
      <c r="I118" s="8" t="n">
        <f aca="false">IF(EXACT(G118,H118),1,0)</f>
        <v>0</v>
      </c>
      <c r="J118" s="8" t="n">
        <v>2</v>
      </c>
      <c r="K118" s="8" t="s">
        <v>2333</v>
      </c>
      <c r="L118" s="8" t="n">
        <v>1</v>
      </c>
      <c r="M118" s="8" t="n">
        <v>5</v>
      </c>
      <c r="N118" s="8" t="s">
        <v>1492</v>
      </c>
      <c r="O118" s="8" t="n">
        <v>2</v>
      </c>
      <c r="P118" s="10" t="n">
        <v>28.07</v>
      </c>
      <c r="Q118" s="8" t="n">
        <v>8809</v>
      </c>
      <c r="R118" s="8" t="n">
        <v>1302</v>
      </c>
      <c r="S118" s="8" t="s">
        <v>251</v>
      </c>
      <c r="T118" s="8" t="s">
        <v>243</v>
      </c>
      <c r="U118" s="8" t="s">
        <v>244</v>
      </c>
      <c r="V118" s="8"/>
      <c r="W118" s="8" t="s">
        <v>252</v>
      </c>
      <c r="X118" s="8" t="s">
        <v>253</v>
      </c>
      <c r="Y118" s="8" t="s">
        <v>3219</v>
      </c>
      <c r="Z118" s="8" t="s">
        <v>3220</v>
      </c>
    </row>
    <row r="119" customFormat="false" ht="15" hidden="false" customHeight="false" outlineLevel="0" collapsed="false">
      <c r="A119" s="8" t="s">
        <v>254</v>
      </c>
      <c r="B119" s="8" t="s">
        <v>21</v>
      </c>
      <c r="C119" s="8" t="s">
        <v>22</v>
      </c>
      <c r="D119" s="8" t="s">
        <v>615</v>
      </c>
      <c r="E119" s="8" t="s">
        <v>36</v>
      </c>
      <c r="F119" s="8" t="s">
        <v>48</v>
      </c>
      <c r="G119" s="8" t="s">
        <v>31</v>
      </c>
      <c r="H119" s="8" t="s">
        <v>31</v>
      </c>
      <c r="I119" s="8" t="n">
        <f aca="false">IF(EXACT(G119,H119),1,0)</f>
        <v>1</v>
      </c>
      <c r="J119" s="8" t="n">
        <v>0</v>
      </c>
      <c r="K119" s="8" t="s">
        <v>2333</v>
      </c>
      <c r="L119" s="8" t="n">
        <v>1</v>
      </c>
      <c r="M119" s="8" t="n">
        <v>5</v>
      </c>
      <c r="N119" s="8" t="s">
        <v>1492</v>
      </c>
      <c r="O119" s="8" t="n">
        <v>2</v>
      </c>
      <c r="P119" s="10" t="n">
        <v>34.95</v>
      </c>
      <c r="Q119" s="8" t="n">
        <v>8759</v>
      </c>
      <c r="R119" s="8" t="n">
        <v>1622</v>
      </c>
      <c r="S119" s="8" t="s">
        <v>255</v>
      </c>
      <c r="T119" s="8" t="s">
        <v>256</v>
      </c>
      <c r="U119" s="8" t="s">
        <v>257</v>
      </c>
      <c r="V119" s="8"/>
      <c r="W119" s="8" t="s">
        <v>258</v>
      </c>
      <c r="X119" s="8" t="s">
        <v>259</v>
      </c>
      <c r="Y119" s="8" t="s">
        <v>3221</v>
      </c>
      <c r="Z119" s="8" t="s">
        <v>3222</v>
      </c>
    </row>
    <row r="120" customFormat="false" ht="15" hidden="false" customHeight="false" outlineLevel="0" collapsed="false">
      <c r="A120" s="8" t="s">
        <v>254</v>
      </c>
      <c r="B120" s="8" t="s">
        <v>21</v>
      </c>
      <c r="C120" s="8" t="s">
        <v>22</v>
      </c>
      <c r="D120" s="8" t="s">
        <v>615</v>
      </c>
      <c r="E120" s="8" t="s">
        <v>36</v>
      </c>
      <c r="F120" s="8" t="s">
        <v>48</v>
      </c>
      <c r="G120" s="8" t="s">
        <v>31</v>
      </c>
      <c r="H120" s="8" t="s">
        <v>31</v>
      </c>
      <c r="I120" s="8" t="n">
        <f aca="false">IF(EXACT(G120,H120),1,0)</f>
        <v>1</v>
      </c>
      <c r="J120" s="8" t="n">
        <v>1</v>
      </c>
      <c r="K120" s="8" t="s">
        <v>2333</v>
      </c>
      <c r="L120" s="8" t="n">
        <v>1</v>
      </c>
      <c r="M120" s="8" t="n">
        <v>5</v>
      </c>
      <c r="N120" s="8" t="s">
        <v>1492</v>
      </c>
      <c r="O120" s="8" t="n">
        <v>2</v>
      </c>
      <c r="P120" s="10" t="n">
        <v>33.77</v>
      </c>
      <c r="Q120" s="8" t="n">
        <v>8759</v>
      </c>
      <c r="R120" s="8" t="n">
        <v>1549</v>
      </c>
      <c r="S120" s="8" t="s">
        <v>255</v>
      </c>
      <c r="T120" s="8" t="s">
        <v>256</v>
      </c>
      <c r="U120" s="8" t="s">
        <v>257</v>
      </c>
      <c r="V120" s="8"/>
      <c r="W120" s="8" t="s">
        <v>258</v>
      </c>
      <c r="X120" s="8" t="s">
        <v>259</v>
      </c>
      <c r="Y120" s="8" t="s">
        <v>3223</v>
      </c>
      <c r="Z120" s="8" t="s">
        <v>3224</v>
      </c>
    </row>
    <row r="121" customFormat="false" ht="15" hidden="false" customHeight="false" outlineLevel="0" collapsed="false">
      <c r="A121" s="8" t="s">
        <v>254</v>
      </c>
      <c r="B121" s="8" t="s">
        <v>21</v>
      </c>
      <c r="C121" s="8" t="s">
        <v>22</v>
      </c>
      <c r="D121" s="8" t="s">
        <v>615</v>
      </c>
      <c r="E121" s="8" t="s">
        <v>36</v>
      </c>
      <c r="F121" s="8" t="s">
        <v>48</v>
      </c>
      <c r="G121" s="8" t="s">
        <v>31</v>
      </c>
      <c r="H121" s="8" t="s">
        <v>31</v>
      </c>
      <c r="I121" s="8" t="n">
        <f aca="false">IF(EXACT(G121,H121),1,0)</f>
        <v>1</v>
      </c>
      <c r="J121" s="8" t="n">
        <v>2</v>
      </c>
      <c r="K121" s="8" t="s">
        <v>2333</v>
      </c>
      <c r="L121" s="8" t="n">
        <v>2</v>
      </c>
      <c r="M121" s="8" t="n">
        <v>5</v>
      </c>
      <c r="N121" s="8" t="s">
        <v>1492</v>
      </c>
      <c r="O121" s="8" t="n">
        <v>2</v>
      </c>
      <c r="P121" s="10" t="n">
        <v>29.47</v>
      </c>
      <c r="Q121" s="8" t="n">
        <v>8759</v>
      </c>
      <c r="R121" s="8" t="n">
        <v>1398</v>
      </c>
      <c r="S121" s="8" t="s">
        <v>255</v>
      </c>
      <c r="T121" s="8" t="s">
        <v>256</v>
      </c>
      <c r="U121" s="8" t="s">
        <v>257</v>
      </c>
      <c r="V121" s="8"/>
      <c r="W121" s="8" t="s">
        <v>258</v>
      </c>
      <c r="X121" s="8" t="s">
        <v>259</v>
      </c>
      <c r="Y121" s="8" t="s">
        <v>3225</v>
      </c>
      <c r="Z121" s="8" t="s">
        <v>3226</v>
      </c>
    </row>
    <row r="122" customFormat="false" ht="15" hidden="false" customHeight="false" outlineLevel="0" collapsed="false">
      <c r="A122" s="8" t="s">
        <v>261</v>
      </c>
      <c r="B122" s="8" t="s">
        <v>21</v>
      </c>
      <c r="C122" s="8" t="s">
        <v>22</v>
      </c>
      <c r="D122" s="8" t="s">
        <v>615</v>
      </c>
      <c r="E122" s="8" t="s">
        <v>36</v>
      </c>
      <c r="F122" s="8" t="s">
        <v>48</v>
      </c>
      <c r="G122" s="8" t="s">
        <v>30</v>
      </c>
      <c r="H122" s="8" t="s">
        <v>31</v>
      </c>
      <c r="I122" s="8" t="n">
        <f aca="false">IF(EXACT(G122,H122),1,0)</f>
        <v>0</v>
      </c>
      <c r="J122" s="8" t="n">
        <v>0</v>
      </c>
      <c r="K122" s="8" t="s">
        <v>2333</v>
      </c>
      <c r="L122" s="8" t="n">
        <v>1</v>
      </c>
      <c r="M122" s="8" t="n">
        <v>5</v>
      </c>
      <c r="N122" s="8" t="s">
        <v>1492</v>
      </c>
      <c r="O122" s="8" t="n">
        <v>2</v>
      </c>
      <c r="P122" s="10" t="n">
        <v>24.69</v>
      </c>
      <c r="Q122" s="8" t="n">
        <v>8753</v>
      </c>
      <c r="R122" s="8" t="n">
        <v>1156</v>
      </c>
      <c r="S122" s="8" t="s">
        <v>262</v>
      </c>
      <c r="T122" s="8" t="s">
        <v>256</v>
      </c>
      <c r="U122" s="8" t="s">
        <v>257</v>
      </c>
      <c r="V122" s="8"/>
      <c r="W122" s="8" t="s">
        <v>263</v>
      </c>
      <c r="X122" s="8" t="s">
        <v>264</v>
      </c>
      <c r="Y122" s="8" t="s">
        <v>3227</v>
      </c>
      <c r="Z122" s="8" t="s">
        <v>3228</v>
      </c>
    </row>
    <row r="123" customFormat="false" ht="15" hidden="false" customHeight="false" outlineLevel="0" collapsed="false">
      <c r="A123" s="8" t="s">
        <v>261</v>
      </c>
      <c r="B123" s="8" t="s">
        <v>21</v>
      </c>
      <c r="C123" s="8" t="s">
        <v>22</v>
      </c>
      <c r="D123" s="8" t="s">
        <v>615</v>
      </c>
      <c r="E123" s="8" t="s">
        <v>36</v>
      </c>
      <c r="F123" s="8" t="s">
        <v>48</v>
      </c>
      <c r="G123" s="8" t="s">
        <v>30</v>
      </c>
      <c r="H123" s="8" t="s">
        <v>31</v>
      </c>
      <c r="I123" s="8" t="n">
        <f aca="false">IF(EXACT(G123,H123),1,0)</f>
        <v>0</v>
      </c>
      <c r="J123" s="8" t="n">
        <v>1</v>
      </c>
      <c r="K123" s="8" t="s">
        <v>2333</v>
      </c>
      <c r="L123" s="8" t="n">
        <v>1</v>
      </c>
      <c r="M123" s="8" t="n">
        <v>5</v>
      </c>
      <c r="N123" s="8" t="s">
        <v>1492</v>
      </c>
      <c r="O123" s="8" t="n">
        <v>2</v>
      </c>
      <c r="P123" s="10" t="n">
        <v>27.21</v>
      </c>
      <c r="Q123" s="8" t="n">
        <v>8750</v>
      </c>
      <c r="R123" s="8" t="n">
        <v>1159</v>
      </c>
      <c r="S123" s="8" t="s">
        <v>262</v>
      </c>
      <c r="T123" s="8" t="s">
        <v>256</v>
      </c>
      <c r="U123" s="8" t="s">
        <v>257</v>
      </c>
      <c r="V123" s="8"/>
      <c r="W123" s="8" t="s">
        <v>263</v>
      </c>
      <c r="X123" s="8" t="s">
        <v>264</v>
      </c>
      <c r="Y123" s="8" t="s">
        <v>3229</v>
      </c>
      <c r="Z123" s="8" t="s">
        <v>3230</v>
      </c>
    </row>
    <row r="124" customFormat="false" ht="15" hidden="false" customHeight="false" outlineLevel="0" collapsed="false">
      <c r="A124" s="8" t="s">
        <v>261</v>
      </c>
      <c r="B124" s="8" t="s">
        <v>21</v>
      </c>
      <c r="C124" s="8" t="s">
        <v>22</v>
      </c>
      <c r="D124" s="8" t="s">
        <v>615</v>
      </c>
      <c r="E124" s="8" t="s">
        <v>36</v>
      </c>
      <c r="F124" s="8" t="s">
        <v>48</v>
      </c>
      <c r="G124" s="8" t="s">
        <v>30</v>
      </c>
      <c r="H124" s="8" t="s">
        <v>31</v>
      </c>
      <c r="I124" s="8" t="n">
        <f aca="false">IF(EXACT(G124,H124),1,0)</f>
        <v>0</v>
      </c>
      <c r="J124" s="8" t="n">
        <v>2</v>
      </c>
      <c r="K124" s="8" t="s">
        <v>2333</v>
      </c>
      <c r="L124" s="8" t="n">
        <v>1</v>
      </c>
      <c r="M124" s="8" t="n">
        <v>5</v>
      </c>
      <c r="N124" s="8" t="s">
        <v>1492</v>
      </c>
      <c r="O124" s="8" t="n">
        <v>2</v>
      </c>
      <c r="P124" s="10" t="n">
        <v>26.23</v>
      </c>
      <c r="Q124" s="8" t="n">
        <v>8753</v>
      </c>
      <c r="R124" s="8" t="n">
        <v>1150</v>
      </c>
      <c r="S124" s="8" t="s">
        <v>262</v>
      </c>
      <c r="T124" s="8" t="s">
        <v>256</v>
      </c>
      <c r="U124" s="8" t="s">
        <v>257</v>
      </c>
      <c r="V124" s="8"/>
      <c r="W124" s="8" t="s">
        <v>263</v>
      </c>
      <c r="X124" s="8" t="s">
        <v>264</v>
      </c>
      <c r="Y124" s="8" t="s">
        <v>3231</v>
      </c>
      <c r="Z124" s="8" t="s">
        <v>3232</v>
      </c>
    </row>
    <row r="125" customFormat="false" ht="15" hidden="false" customHeight="false" outlineLevel="0" collapsed="false">
      <c r="A125" s="8" t="s">
        <v>265</v>
      </c>
      <c r="B125" s="8" t="s">
        <v>21</v>
      </c>
      <c r="C125" s="8" t="s">
        <v>22</v>
      </c>
      <c r="D125" s="8" t="s">
        <v>615</v>
      </c>
      <c r="E125" s="8" t="s">
        <v>36</v>
      </c>
      <c r="F125" s="8" t="s">
        <v>48</v>
      </c>
      <c r="G125" s="8" t="s">
        <v>31</v>
      </c>
      <c r="H125" s="8" t="s">
        <v>31</v>
      </c>
      <c r="I125" s="8" t="n">
        <f aca="false">IF(EXACT(G125,H125),1,0)</f>
        <v>1</v>
      </c>
      <c r="J125" s="8" t="n">
        <v>0</v>
      </c>
      <c r="K125" s="8" t="s">
        <v>2333</v>
      </c>
      <c r="L125" s="8" t="n">
        <v>2</v>
      </c>
      <c r="M125" s="8" t="n">
        <v>5</v>
      </c>
      <c r="N125" s="8" t="s">
        <v>1492</v>
      </c>
      <c r="O125" s="8" t="n">
        <v>2</v>
      </c>
      <c r="P125" s="10" t="n">
        <v>35.27</v>
      </c>
      <c r="Q125" s="8" t="n">
        <v>8579</v>
      </c>
      <c r="R125" s="8" t="n">
        <v>1657</v>
      </c>
      <c r="S125" s="8" t="s">
        <v>117</v>
      </c>
      <c r="T125" s="8" t="s">
        <v>256</v>
      </c>
      <c r="U125" s="8" t="s">
        <v>257</v>
      </c>
      <c r="V125" s="8"/>
      <c r="W125" s="8" t="s">
        <v>266</v>
      </c>
      <c r="X125" s="8" t="s">
        <v>267</v>
      </c>
      <c r="Y125" s="8" t="s">
        <v>3233</v>
      </c>
      <c r="Z125" s="8" t="s">
        <v>3234</v>
      </c>
    </row>
    <row r="126" customFormat="false" ht="15" hidden="false" customHeight="false" outlineLevel="0" collapsed="false">
      <c r="A126" s="8" t="s">
        <v>265</v>
      </c>
      <c r="B126" s="8" t="s">
        <v>21</v>
      </c>
      <c r="C126" s="8" t="s">
        <v>22</v>
      </c>
      <c r="D126" s="8" t="s">
        <v>615</v>
      </c>
      <c r="E126" s="8" t="s">
        <v>36</v>
      </c>
      <c r="F126" s="8" t="s">
        <v>48</v>
      </c>
      <c r="G126" s="8" t="s">
        <v>31</v>
      </c>
      <c r="H126" s="8" t="s">
        <v>31</v>
      </c>
      <c r="I126" s="8" t="n">
        <f aca="false">IF(EXACT(G126,H126),1,0)</f>
        <v>1</v>
      </c>
      <c r="J126" s="8" t="n">
        <v>1</v>
      </c>
      <c r="K126" s="8" t="s">
        <v>2333</v>
      </c>
      <c r="L126" s="8" t="n">
        <v>2</v>
      </c>
      <c r="M126" s="8" t="n">
        <v>5</v>
      </c>
      <c r="N126" s="8" t="s">
        <v>1492</v>
      </c>
      <c r="O126" s="8" t="n">
        <v>2</v>
      </c>
      <c r="P126" s="10" t="n">
        <v>28.64</v>
      </c>
      <c r="Q126" s="8" t="n">
        <v>8571</v>
      </c>
      <c r="R126" s="8" t="n">
        <v>1294</v>
      </c>
      <c r="S126" s="8" t="s">
        <v>117</v>
      </c>
      <c r="T126" s="8" t="s">
        <v>256</v>
      </c>
      <c r="U126" s="8" t="s">
        <v>257</v>
      </c>
      <c r="V126" s="8"/>
      <c r="W126" s="8" t="s">
        <v>266</v>
      </c>
      <c r="X126" s="8" t="s">
        <v>267</v>
      </c>
      <c r="Y126" s="8" t="s">
        <v>3235</v>
      </c>
      <c r="Z126" s="8" t="s">
        <v>3236</v>
      </c>
    </row>
    <row r="127" customFormat="false" ht="15" hidden="false" customHeight="false" outlineLevel="0" collapsed="false">
      <c r="A127" s="8" t="s">
        <v>265</v>
      </c>
      <c r="B127" s="8" t="s">
        <v>21</v>
      </c>
      <c r="C127" s="8" t="s">
        <v>22</v>
      </c>
      <c r="D127" s="8" t="s">
        <v>615</v>
      </c>
      <c r="E127" s="8" t="s">
        <v>36</v>
      </c>
      <c r="F127" s="8" t="s">
        <v>48</v>
      </c>
      <c r="G127" s="8" t="s">
        <v>31</v>
      </c>
      <c r="H127" s="8" t="s">
        <v>31</v>
      </c>
      <c r="I127" s="8" t="n">
        <f aca="false">IF(EXACT(G127,H127),1,0)</f>
        <v>1</v>
      </c>
      <c r="J127" s="8" t="n">
        <v>2</v>
      </c>
      <c r="K127" s="8" t="s">
        <v>2333</v>
      </c>
      <c r="L127" s="8" t="n">
        <v>1</v>
      </c>
      <c r="M127" s="8" t="n">
        <v>5</v>
      </c>
      <c r="N127" s="8" t="s">
        <v>1492</v>
      </c>
      <c r="O127" s="8" t="n">
        <v>2</v>
      </c>
      <c r="P127" s="10" t="n">
        <v>32.79</v>
      </c>
      <c r="Q127" s="8" t="n">
        <v>8588</v>
      </c>
      <c r="R127" s="8" t="n">
        <v>1555</v>
      </c>
      <c r="S127" s="8" t="s">
        <v>117</v>
      </c>
      <c r="T127" s="8" t="s">
        <v>256</v>
      </c>
      <c r="U127" s="8" t="s">
        <v>257</v>
      </c>
      <c r="V127" s="8"/>
      <c r="W127" s="8" t="s">
        <v>266</v>
      </c>
      <c r="X127" s="8" t="s">
        <v>267</v>
      </c>
      <c r="Y127" s="8" t="s">
        <v>3237</v>
      </c>
      <c r="Z127" s="8" t="s">
        <v>3238</v>
      </c>
    </row>
    <row r="128" customFormat="false" ht="15" hidden="false" customHeight="false" outlineLevel="0" collapsed="false">
      <c r="A128" s="8" t="s">
        <v>268</v>
      </c>
      <c r="B128" s="8" t="s">
        <v>21</v>
      </c>
      <c r="C128" s="8" t="s">
        <v>22</v>
      </c>
      <c r="D128" s="8" t="s">
        <v>615</v>
      </c>
      <c r="E128" s="8" t="s">
        <v>36</v>
      </c>
      <c r="F128" s="8" t="s">
        <v>47</v>
      </c>
      <c r="G128" s="8" t="s">
        <v>30</v>
      </c>
      <c r="H128" s="8" t="s">
        <v>31</v>
      </c>
      <c r="I128" s="8" t="n">
        <f aca="false">IF(EXACT(G128,H128),1,0)</f>
        <v>0</v>
      </c>
      <c r="J128" s="8" t="n">
        <v>0</v>
      </c>
      <c r="K128" s="8" t="s">
        <v>2333</v>
      </c>
      <c r="L128" s="8" t="n">
        <v>1</v>
      </c>
      <c r="M128" s="8" t="n">
        <v>5</v>
      </c>
      <c r="N128" s="8" t="s">
        <v>1492</v>
      </c>
      <c r="O128" s="8" t="n">
        <v>2</v>
      </c>
      <c r="P128" s="10" t="n">
        <v>35.37</v>
      </c>
      <c r="Q128" s="8" t="n">
        <v>8554</v>
      </c>
      <c r="R128" s="8" t="n">
        <v>1065</v>
      </c>
      <c r="S128" s="8" t="s">
        <v>262</v>
      </c>
      <c r="T128" s="8" t="s">
        <v>269</v>
      </c>
      <c r="U128" s="8" t="s">
        <v>270</v>
      </c>
      <c r="V128" s="8"/>
      <c r="W128" s="8" t="s">
        <v>271</v>
      </c>
      <c r="X128" s="8" t="s">
        <v>272</v>
      </c>
      <c r="Y128" s="8" t="s">
        <v>3239</v>
      </c>
      <c r="Z128" s="8" t="s">
        <v>3240</v>
      </c>
    </row>
    <row r="129" customFormat="false" ht="15" hidden="false" customHeight="false" outlineLevel="0" collapsed="false">
      <c r="A129" s="8" t="s">
        <v>268</v>
      </c>
      <c r="B129" s="8" t="s">
        <v>21</v>
      </c>
      <c r="C129" s="8" t="s">
        <v>22</v>
      </c>
      <c r="D129" s="8" t="s">
        <v>615</v>
      </c>
      <c r="E129" s="8" t="s">
        <v>36</v>
      </c>
      <c r="F129" s="8" t="s">
        <v>47</v>
      </c>
      <c r="G129" s="8" t="s">
        <v>30</v>
      </c>
      <c r="H129" s="8" t="s">
        <v>31</v>
      </c>
      <c r="I129" s="8" t="n">
        <f aca="false">IF(EXACT(G129,H129),1,0)</f>
        <v>0</v>
      </c>
      <c r="J129" s="8" t="n">
        <v>1</v>
      </c>
      <c r="K129" s="8" t="s">
        <v>2333</v>
      </c>
      <c r="L129" s="8" t="n">
        <v>1</v>
      </c>
      <c r="M129" s="8" t="n">
        <v>5</v>
      </c>
      <c r="N129" s="8" t="s">
        <v>1492</v>
      </c>
      <c r="O129" s="8" t="n">
        <v>2</v>
      </c>
      <c r="P129" s="10" t="n">
        <v>25.58</v>
      </c>
      <c r="Q129" s="8" t="n">
        <v>8554</v>
      </c>
      <c r="R129" s="8" t="n">
        <v>1107</v>
      </c>
      <c r="S129" s="8" t="s">
        <v>262</v>
      </c>
      <c r="T129" s="8" t="s">
        <v>269</v>
      </c>
      <c r="U129" s="8" t="s">
        <v>270</v>
      </c>
      <c r="V129" s="8"/>
      <c r="W129" s="8" t="s">
        <v>271</v>
      </c>
      <c r="X129" s="8" t="s">
        <v>272</v>
      </c>
      <c r="Y129" s="8" t="s">
        <v>3241</v>
      </c>
      <c r="Z129" s="8" t="s">
        <v>3242</v>
      </c>
    </row>
    <row r="130" customFormat="false" ht="15" hidden="false" customHeight="false" outlineLevel="0" collapsed="false">
      <c r="A130" s="8" t="s">
        <v>268</v>
      </c>
      <c r="B130" s="8" t="s">
        <v>21</v>
      </c>
      <c r="C130" s="8" t="s">
        <v>22</v>
      </c>
      <c r="D130" s="8" t="s">
        <v>615</v>
      </c>
      <c r="E130" s="8" t="s">
        <v>36</v>
      </c>
      <c r="F130" s="8" t="s">
        <v>47</v>
      </c>
      <c r="G130" s="8" t="s">
        <v>30</v>
      </c>
      <c r="H130" s="8" t="s">
        <v>31</v>
      </c>
      <c r="I130" s="8" t="n">
        <f aca="false">IF(EXACT(G130,H130),1,0)</f>
        <v>0</v>
      </c>
      <c r="J130" s="8" t="n">
        <v>2</v>
      </c>
      <c r="K130" s="8" t="s">
        <v>2333</v>
      </c>
      <c r="L130" s="8" t="n">
        <v>1</v>
      </c>
      <c r="M130" s="8" t="n">
        <v>5</v>
      </c>
      <c r="N130" s="8" t="s">
        <v>1492</v>
      </c>
      <c r="O130" s="8" t="n">
        <v>2</v>
      </c>
      <c r="P130" s="10" t="n">
        <v>25.32</v>
      </c>
      <c r="Q130" s="8" t="n">
        <v>8554</v>
      </c>
      <c r="R130" s="8" t="n">
        <v>1082</v>
      </c>
      <c r="S130" s="8" t="s">
        <v>262</v>
      </c>
      <c r="T130" s="8" t="s">
        <v>269</v>
      </c>
      <c r="U130" s="8" t="s">
        <v>270</v>
      </c>
      <c r="V130" s="8"/>
      <c r="W130" s="8" t="s">
        <v>271</v>
      </c>
      <c r="X130" s="8" t="s">
        <v>272</v>
      </c>
      <c r="Y130" s="8" t="s">
        <v>3243</v>
      </c>
      <c r="Z130" s="8" t="s">
        <v>3244</v>
      </c>
    </row>
    <row r="131" customFormat="false" ht="15" hidden="false" customHeight="false" outlineLevel="0" collapsed="false">
      <c r="A131" s="8" t="s">
        <v>273</v>
      </c>
      <c r="B131" s="8" t="s">
        <v>21</v>
      </c>
      <c r="C131" s="8" t="s">
        <v>22</v>
      </c>
      <c r="D131" s="8" t="s">
        <v>615</v>
      </c>
      <c r="E131" s="8" t="s">
        <v>36</v>
      </c>
      <c r="F131" s="8" t="s">
        <v>47</v>
      </c>
      <c r="G131" s="8" t="s">
        <v>30</v>
      </c>
      <c r="H131" s="8" t="s">
        <v>31</v>
      </c>
      <c r="I131" s="8" t="n">
        <f aca="false">IF(EXACT(G131,H131),1,0)</f>
        <v>0</v>
      </c>
      <c r="J131" s="8" t="n">
        <v>0</v>
      </c>
      <c r="K131" s="8" t="s">
        <v>2333</v>
      </c>
      <c r="L131" s="8" t="n">
        <v>1</v>
      </c>
      <c r="M131" s="8" t="n">
        <v>5</v>
      </c>
      <c r="N131" s="8" t="s">
        <v>1492</v>
      </c>
      <c r="O131" s="8" t="n">
        <v>2</v>
      </c>
      <c r="P131" s="10" t="n">
        <v>24.32</v>
      </c>
      <c r="Q131" s="8" t="n">
        <v>8485</v>
      </c>
      <c r="R131" s="8" t="n">
        <v>983</v>
      </c>
      <c r="S131" s="8" t="s">
        <v>274</v>
      </c>
      <c r="T131" s="8" t="s">
        <v>269</v>
      </c>
      <c r="U131" s="8" t="s">
        <v>270</v>
      </c>
      <c r="V131" s="8"/>
      <c r="W131" s="8" t="s">
        <v>275</v>
      </c>
      <c r="X131" s="8" t="s">
        <v>276</v>
      </c>
      <c r="Y131" s="8" t="s">
        <v>3245</v>
      </c>
      <c r="Z131" s="8" t="s">
        <v>3246</v>
      </c>
    </row>
    <row r="132" customFormat="false" ht="15" hidden="false" customHeight="false" outlineLevel="0" collapsed="false">
      <c r="A132" s="8" t="s">
        <v>273</v>
      </c>
      <c r="B132" s="8" t="s">
        <v>21</v>
      </c>
      <c r="C132" s="8" t="s">
        <v>22</v>
      </c>
      <c r="D132" s="8" t="s">
        <v>615</v>
      </c>
      <c r="E132" s="8" t="s">
        <v>36</v>
      </c>
      <c r="F132" s="8" t="s">
        <v>47</v>
      </c>
      <c r="G132" s="8" t="s">
        <v>30</v>
      </c>
      <c r="H132" s="8" t="s">
        <v>31</v>
      </c>
      <c r="I132" s="8" t="n">
        <f aca="false">IF(EXACT(G132,H132),1,0)</f>
        <v>0</v>
      </c>
      <c r="J132" s="8" t="n">
        <v>1</v>
      </c>
      <c r="K132" s="8" t="s">
        <v>2333</v>
      </c>
      <c r="L132" s="8" t="n">
        <v>1</v>
      </c>
      <c r="M132" s="8" t="n">
        <v>5</v>
      </c>
      <c r="N132" s="8" t="s">
        <v>1492</v>
      </c>
      <c r="O132" s="8" t="n">
        <v>2</v>
      </c>
      <c r="P132" s="10" t="n">
        <v>24.68</v>
      </c>
      <c r="Q132" s="8" t="n">
        <v>8485</v>
      </c>
      <c r="R132" s="8" t="n">
        <v>1024</v>
      </c>
      <c r="S132" s="8" t="s">
        <v>274</v>
      </c>
      <c r="T132" s="8" t="s">
        <v>269</v>
      </c>
      <c r="U132" s="8" t="s">
        <v>270</v>
      </c>
      <c r="V132" s="8"/>
      <c r="W132" s="8" t="s">
        <v>275</v>
      </c>
      <c r="X132" s="8" t="s">
        <v>276</v>
      </c>
      <c r="Y132" s="8" t="s">
        <v>3247</v>
      </c>
      <c r="Z132" s="8" t="s">
        <v>3248</v>
      </c>
    </row>
    <row r="133" customFormat="false" ht="15" hidden="false" customHeight="false" outlineLevel="0" collapsed="false">
      <c r="A133" s="8" t="s">
        <v>273</v>
      </c>
      <c r="B133" s="8" t="s">
        <v>21</v>
      </c>
      <c r="C133" s="8" t="s">
        <v>22</v>
      </c>
      <c r="D133" s="8" t="s">
        <v>615</v>
      </c>
      <c r="E133" s="8" t="s">
        <v>36</v>
      </c>
      <c r="F133" s="8" t="s">
        <v>47</v>
      </c>
      <c r="G133" s="8" t="s">
        <v>30</v>
      </c>
      <c r="H133" s="8" t="s">
        <v>31</v>
      </c>
      <c r="I133" s="8" t="n">
        <f aca="false">IF(EXACT(G133,H133),1,0)</f>
        <v>0</v>
      </c>
      <c r="J133" s="8" t="n">
        <v>2</v>
      </c>
      <c r="K133" s="8" t="s">
        <v>2333</v>
      </c>
      <c r="L133" s="8" t="n">
        <v>1</v>
      </c>
      <c r="M133" s="8" t="n">
        <v>5</v>
      </c>
      <c r="N133" s="8" t="s">
        <v>1492</v>
      </c>
      <c r="O133" s="8" t="n">
        <v>2</v>
      </c>
      <c r="P133" s="10" t="n">
        <v>27.49</v>
      </c>
      <c r="Q133" s="8" t="n">
        <v>8485</v>
      </c>
      <c r="R133" s="8" t="n">
        <v>1010</v>
      </c>
      <c r="S133" s="8" t="s">
        <v>274</v>
      </c>
      <c r="T133" s="8" t="s">
        <v>269</v>
      </c>
      <c r="U133" s="8" t="s">
        <v>270</v>
      </c>
      <c r="V133" s="8"/>
      <c r="W133" s="8" t="s">
        <v>275</v>
      </c>
      <c r="X133" s="8" t="s">
        <v>276</v>
      </c>
      <c r="Y133" s="8" t="s">
        <v>3249</v>
      </c>
      <c r="Z133" s="8" t="s">
        <v>3250</v>
      </c>
    </row>
    <row r="134" customFormat="false" ht="15" hidden="false" customHeight="false" outlineLevel="0" collapsed="false">
      <c r="A134" s="8" t="s">
        <v>277</v>
      </c>
      <c r="B134" s="8" t="s">
        <v>21</v>
      </c>
      <c r="C134" s="8" t="s">
        <v>22</v>
      </c>
      <c r="D134" s="8" t="s">
        <v>615</v>
      </c>
      <c r="E134" s="8" t="s">
        <v>36</v>
      </c>
      <c r="F134" s="8" t="s">
        <v>47</v>
      </c>
      <c r="G134" s="8" t="s">
        <v>31</v>
      </c>
      <c r="H134" s="8" t="s">
        <v>31</v>
      </c>
      <c r="I134" s="8" t="n">
        <f aca="false">IF(EXACT(G134,H134),1,0)</f>
        <v>1</v>
      </c>
      <c r="J134" s="8" t="n">
        <v>0</v>
      </c>
      <c r="K134" s="8" t="s">
        <v>116</v>
      </c>
      <c r="L134" s="8" t="n">
        <v>2</v>
      </c>
      <c r="M134" s="8" t="n">
        <v>5</v>
      </c>
      <c r="N134" s="8" t="s">
        <v>1492</v>
      </c>
      <c r="O134" s="8" t="n">
        <v>2</v>
      </c>
      <c r="P134" s="10" t="n">
        <v>23.79</v>
      </c>
      <c r="Q134" s="8" t="n">
        <v>8597</v>
      </c>
      <c r="R134" s="8" t="n">
        <v>1145</v>
      </c>
      <c r="S134" s="8" t="s">
        <v>278</v>
      </c>
      <c r="T134" s="8" t="s">
        <v>269</v>
      </c>
      <c r="U134" s="8" t="s">
        <v>270</v>
      </c>
      <c r="V134" s="8"/>
      <c r="W134" s="8" t="s">
        <v>279</v>
      </c>
      <c r="X134" s="8" t="s">
        <v>280</v>
      </c>
      <c r="Y134" s="8" t="s">
        <v>3251</v>
      </c>
      <c r="Z134" s="8" t="s">
        <v>3252</v>
      </c>
    </row>
    <row r="135" customFormat="false" ht="15" hidden="false" customHeight="false" outlineLevel="0" collapsed="false">
      <c r="A135" s="8" t="s">
        <v>277</v>
      </c>
      <c r="B135" s="8" t="s">
        <v>21</v>
      </c>
      <c r="C135" s="8" t="s">
        <v>22</v>
      </c>
      <c r="D135" s="8" t="s">
        <v>615</v>
      </c>
      <c r="E135" s="8" t="s">
        <v>36</v>
      </c>
      <c r="F135" s="8" t="s">
        <v>47</v>
      </c>
      <c r="G135" s="8" t="s">
        <v>31</v>
      </c>
      <c r="H135" s="8" t="s">
        <v>31</v>
      </c>
      <c r="I135" s="8" t="n">
        <f aca="false">IF(EXACT(G135,H135),1,0)</f>
        <v>1</v>
      </c>
      <c r="J135" s="8" t="n">
        <v>1</v>
      </c>
      <c r="K135" s="8" t="s">
        <v>116</v>
      </c>
      <c r="L135" s="8" t="n">
        <v>2</v>
      </c>
      <c r="M135" s="8" t="n">
        <v>5</v>
      </c>
      <c r="N135" s="8" t="s">
        <v>1492</v>
      </c>
      <c r="O135" s="8" t="n">
        <v>2</v>
      </c>
      <c r="P135" s="10" t="n">
        <v>26.44</v>
      </c>
      <c r="Q135" s="8" t="n">
        <v>8597</v>
      </c>
      <c r="R135" s="8" t="n">
        <v>1140</v>
      </c>
      <c r="S135" s="8" t="s">
        <v>278</v>
      </c>
      <c r="T135" s="8" t="s">
        <v>269</v>
      </c>
      <c r="U135" s="8" t="s">
        <v>270</v>
      </c>
      <c r="V135" s="8"/>
      <c r="W135" s="8" t="s">
        <v>279</v>
      </c>
      <c r="X135" s="8" t="s">
        <v>280</v>
      </c>
      <c r="Y135" s="8" t="s">
        <v>3253</v>
      </c>
      <c r="Z135" s="8" t="s">
        <v>3254</v>
      </c>
    </row>
    <row r="136" customFormat="false" ht="15" hidden="false" customHeight="false" outlineLevel="0" collapsed="false">
      <c r="A136" s="8" t="s">
        <v>277</v>
      </c>
      <c r="B136" s="8" t="s">
        <v>21</v>
      </c>
      <c r="C136" s="8" t="s">
        <v>22</v>
      </c>
      <c r="D136" s="8" t="s">
        <v>615</v>
      </c>
      <c r="E136" s="8" t="s">
        <v>36</v>
      </c>
      <c r="F136" s="8" t="s">
        <v>47</v>
      </c>
      <c r="G136" s="8" t="s">
        <v>31</v>
      </c>
      <c r="H136" s="8" t="s">
        <v>31</v>
      </c>
      <c r="I136" s="8" t="n">
        <f aca="false">IF(EXACT(G136,H136),1,0)</f>
        <v>1</v>
      </c>
      <c r="J136" s="8" t="n">
        <v>2</v>
      </c>
      <c r="K136" s="8" t="s">
        <v>116</v>
      </c>
      <c r="L136" s="8" t="n">
        <v>2</v>
      </c>
      <c r="M136" s="8" t="n">
        <v>5</v>
      </c>
      <c r="N136" s="8" t="s">
        <v>1492</v>
      </c>
      <c r="O136" s="8" t="n">
        <v>2</v>
      </c>
      <c r="P136" s="10" t="n">
        <v>24.59</v>
      </c>
      <c r="Q136" s="8" t="n">
        <v>8597</v>
      </c>
      <c r="R136" s="8" t="n">
        <v>1136</v>
      </c>
      <c r="S136" s="8" t="s">
        <v>278</v>
      </c>
      <c r="T136" s="8" t="s">
        <v>269</v>
      </c>
      <c r="U136" s="8" t="s">
        <v>270</v>
      </c>
      <c r="V136" s="8"/>
      <c r="W136" s="8" t="s">
        <v>279</v>
      </c>
      <c r="X136" s="8" t="s">
        <v>280</v>
      </c>
      <c r="Y136" s="8" t="s">
        <v>3255</v>
      </c>
      <c r="Z136" s="8" t="s">
        <v>3256</v>
      </c>
    </row>
    <row r="137" customFormat="false" ht="15" hidden="false" customHeight="false" outlineLevel="0" collapsed="false">
      <c r="A137" s="8" t="s">
        <v>281</v>
      </c>
      <c r="B137" s="8" t="s">
        <v>21</v>
      </c>
      <c r="C137" s="8" t="s">
        <v>22</v>
      </c>
      <c r="D137" s="8" t="s">
        <v>615</v>
      </c>
      <c r="E137" s="8" t="s">
        <v>36</v>
      </c>
      <c r="F137" s="8" t="s">
        <v>47</v>
      </c>
      <c r="G137" s="8" t="s">
        <v>32</v>
      </c>
      <c r="H137" s="8" t="s">
        <v>31</v>
      </c>
      <c r="I137" s="8" t="n">
        <f aca="false">IF(EXACT(G137,H137),1,0)</f>
        <v>0</v>
      </c>
      <c r="J137" s="8" t="n">
        <v>0</v>
      </c>
      <c r="K137" s="8" t="s">
        <v>2333</v>
      </c>
      <c r="L137" s="8" t="n">
        <v>1</v>
      </c>
      <c r="M137" s="8" t="n">
        <v>5</v>
      </c>
      <c r="N137" s="8" t="s">
        <v>1492</v>
      </c>
      <c r="O137" s="8" t="n">
        <v>2</v>
      </c>
      <c r="P137" s="10" t="n">
        <v>22.2</v>
      </c>
      <c r="Q137" s="8" t="n">
        <v>8653</v>
      </c>
      <c r="R137" s="8" t="n">
        <v>1112</v>
      </c>
      <c r="S137" s="8" t="s">
        <v>101</v>
      </c>
      <c r="T137" s="8" t="s">
        <v>269</v>
      </c>
      <c r="U137" s="8" t="s">
        <v>270</v>
      </c>
      <c r="V137" s="8"/>
      <c r="W137" s="8" t="s">
        <v>282</v>
      </c>
      <c r="X137" s="8" t="s">
        <v>283</v>
      </c>
      <c r="Y137" s="8" t="s">
        <v>3257</v>
      </c>
      <c r="Z137" s="8" t="s">
        <v>3258</v>
      </c>
    </row>
    <row r="138" customFormat="false" ht="15" hidden="false" customHeight="false" outlineLevel="0" collapsed="false">
      <c r="A138" s="8" t="s">
        <v>281</v>
      </c>
      <c r="B138" s="8" t="s">
        <v>21</v>
      </c>
      <c r="C138" s="8" t="s">
        <v>22</v>
      </c>
      <c r="D138" s="8" t="s">
        <v>615</v>
      </c>
      <c r="E138" s="8" t="s">
        <v>36</v>
      </c>
      <c r="F138" s="8" t="s">
        <v>47</v>
      </c>
      <c r="G138" s="8" t="s">
        <v>32</v>
      </c>
      <c r="H138" s="8" t="s">
        <v>31</v>
      </c>
      <c r="I138" s="8" t="n">
        <f aca="false">IF(EXACT(G138,H138),1,0)</f>
        <v>0</v>
      </c>
      <c r="J138" s="8" t="n">
        <v>1</v>
      </c>
      <c r="K138" s="8" t="s">
        <v>2333</v>
      </c>
      <c r="L138" s="8" t="n">
        <v>1</v>
      </c>
      <c r="M138" s="8" t="n">
        <v>5</v>
      </c>
      <c r="N138" s="8" t="s">
        <v>1492</v>
      </c>
      <c r="O138" s="8" t="n">
        <v>2</v>
      </c>
      <c r="P138" s="10" t="n">
        <v>21.93</v>
      </c>
      <c r="Q138" s="8" t="n">
        <v>8653</v>
      </c>
      <c r="R138" s="8" t="n">
        <v>1113</v>
      </c>
      <c r="S138" s="8" t="s">
        <v>101</v>
      </c>
      <c r="T138" s="8" t="s">
        <v>269</v>
      </c>
      <c r="U138" s="8" t="s">
        <v>270</v>
      </c>
      <c r="V138" s="8"/>
      <c r="W138" s="8" t="s">
        <v>282</v>
      </c>
      <c r="X138" s="8" t="s">
        <v>283</v>
      </c>
      <c r="Y138" s="8" t="s">
        <v>3259</v>
      </c>
      <c r="Z138" s="8" t="s">
        <v>3260</v>
      </c>
    </row>
    <row r="139" customFormat="false" ht="15" hidden="false" customHeight="false" outlineLevel="0" collapsed="false">
      <c r="A139" s="8" t="s">
        <v>281</v>
      </c>
      <c r="B139" s="8" t="s">
        <v>21</v>
      </c>
      <c r="C139" s="8" t="s">
        <v>22</v>
      </c>
      <c r="D139" s="8" t="s">
        <v>615</v>
      </c>
      <c r="E139" s="8" t="s">
        <v>36</v>
      </c>
      <c r="F139" s="8" t="s">
        <v>47</v>
      </c>
      <c r="G139" s="8" t="s">
        <v>32</v>
      </c>
      <c r="H139" s="8" t="s">
        <v>31</v>
      </c>
      <c r="I139" s="8" t="n">
        <f aca="false">IF(EXACT(G139,H139),1,0)</f>
        <v>0</v>
      </c>
      <c r="J139" s="8" t="n">
        <v>2</v>
      </c>
      <c r="K139" s="8" t="s">
        <v>2333</v>
      </c>
      <c r="L139" s="8" t="n">
        <v>1</v>
      </c>
      <c r="M139" s="8" t="n">
        <v>5</v>
      </c>
      <c r="N139" s="8" t="s">
        <v>1492</v>
      </c>
      <c r="O139" s="8" t="n">
        <v>2</v>
      </c>
      <c r="P139" s="10" t="n">
        <v>22.07</v>
      </c>
      <c r="Q139" s="8" t="n">
        <v>8653</v>
      </c>
      <c r="R139" s="8" t="n">
        <v>1110</v>
      </c>
      <c r="S139" s="8" t="s">
        <v>101</v>
      </c>
      <c r="T139" s="8" t="s">
        <v>269</v>
      </c>
      <c r="U139" s="8" t="s">
        <v>270</v>
      </c>
      <c r="V139" s="8"/>
      <c r="W139" s="8" t="s">
        <v>282</v>
      </c>
      <c r="X139" s="8" t="s">
        <v>283</v>
      </c>
      <c r="Y139" s="8" t="s">
        <v>3261</v>
      </c>
      <c r="Z139" s="8" t="s">
        <v>3262</v>
      </c>
    </row>
    <row r="140" customFormat="false" ht="15" hidden="false" customHeight="false" outlineLevel="0" collapsed="false">
      <c r="A140" s="8" t="s">
        <v>284</v>
      </c>
      <c r="B140" s="8" t="s">
        <v>21</v>
      </c>
      <c r="C140" s="8" t="s">
        <v>22</v>
      </c>
      <c r="D140" s="8" t="s">
        <v>615</v>
      </c>
      <c r="E140" s="8" t="s">
        <v>36</v>
      </c>
      <c r="F140" s="8" t="s">
        <v>47</v>
      </c>
      <c r="G140" s="8" t="s">
        <v>32</v>
      </c>
      <c r="H140" s="8" t="s">
        <v>31</v>
      </c>
      <c r="I140" s="8" t="n">
        <f aca="false">IF(EXACT(G140,H140),1,0)</f>
        <v>0</v>
      </c>
      <c r="J140" s="8" t="n">
        <v>0</v>
      </c>
      <c r="K140" s="8" t="s">
        <v>2333</v>
      </c>
      <c r="L140" s="8" t="n">
        <v>1</v>
      </c>
      <c r="M140" s="8" t="n">
        <v>5</v>
      </c>
      <c r="N140" s="8" t="s">
        <v>1492</v>
      </c>
      <c r="O140" s="8" t="n">
        <v>2</v>
      </c>
      <c r="P140" s="10" t="n">
        <v>24.45</v>
      </c>
      <c r="Q140" s="8" t="n">
        <v>8455</v>
      </c>
      <c r="R140" s="8" t="n">
        <v>984</v>
      </c>
      <c r="S140" s="8" t="s">
        <v>132</v>
      </c>
      <c r="T140" s="8" t="s">
        <v>269</v>
      </c>
      <c r="U140" s="8" t="s">
        <v>270</v>
      </c>
      <c r="V140" s="8"/>
      <c r="W140" s="8" t="s">
        <v>285</v>
      </c>
      <c r="X140" s="8" t="s">
        <v>286</v>
      </c>
      <c r="Y140" s="8" t="s">
        <v>3263</v>
      </c>
      <c r="Z140" s="8" t="s">
        <v>3264</v>
      </c>
    </row>
    <row r="141" customFormat="false" ht="15" hidden="false" customHeight="false" outlineLevel="0" collapsed="false">
      <c r="A141" s="8" t="s">
        <v>284</v>
      </c>
      <c r="B141" s="8" t="s">
        <v>21</v>
      </c>
      <c r="C141" s="8" t="s">
        <v>22</v>
      </c>
      <c r="D141" s="8" t="s">
        <v>615</v>
      </c>
      <c r="E141" s="8" t="s">
        <v>36</v>
      </c>
      <c r="F141" s="8" t="s">
        <v>47</v>
      </c>
      <c r="G141" s="8" t="s">
        <v>32</v>
      </c>
      <c r="H141" s="8" t="s">
        <v>31</v>
      </c>
      <c r="I141" s="8" t="n">
        <f aca="false">IF(EXACT(G141,H141),1,0)</f>
        <v>0</v>
      </c>
      <c r="J141" s="8" t="n">
        <v>1</v>
      </c>
      <c r="K141" s="8" t="s">
        <v>2333</v>
      </c>
      <c r="L141" s="8" t="n">
        <v>1</v>
      </c>
      <c r="M141" s="8" t="n">
        <v>5</v>
      </c>
      <c r="N141" s="8" t="s">
        <v>1492</v>
      </c>
      <c r="O141" s="8" t="n">
        <v>2</v>
      </c>
      <c r="P141" s="10" t="n">
        <v>24.2</v>
      </c>
      <c r="Q141" s="8" t="n">
        <v>8455</v>
      </c>
      <c r="R141" s="8" t="n">
        <v>990</v>
      </c>
      <c r="S141" s="8" t="s">
        <v>132</v>
      </c>
      <c r="T141" s="8" t="s">
        <v>269</v>
      </c>
      <c r="U141" s="8" t="s">
        <v>270</v>
      </c>
      <c r="V141" s="8"/>
      <c r="W141" s="8" t="s">
        <v>285</v>
      </c>
      <c r="X141" s="8" t="s">
        <v>286</v>
      </c>
      <c r="Y141" s="8" t="s">
        <v>3265</v>
      </c>
      <c r="Z141" s="8" t="s">
        <v>3266</v>
      </c>
    </row>
    <row r="142" customFormat="false" ht="15" hidden="false" customHeight="false" outlineLevel="0" collapsed="false">
      <c r="A142" s="8" t="s">
        <v>284</v>
      </c>
      <c r="B142" s="8" t="s">
        <v>21</v>
      </c>
      <c r="C142" s="8" t="s">
        <v>22</v>
      </c>
      <c r="D142" s="8" t="s">
        <v>615</v>
      </c>
      <c r="E142" s="8" t="s">
        <v>36</v>
      </c>
      <c r="F142" s="8" t="s">
        <v>47</v>
      </c>
      <c r="G142" s="8" t="s">
        <v>32</v>
      </c>
      <c r="H142" s="8" t="s">
        <v>31</v>
      </c>
      <c r="I142" s="8" t="n">
        <f aca="false">IF(EXACT(G142,H142),1,0)</f>
        <v>0</v>
      </c>
      <c r="J142" s="8" t="n">
        <v>2</v>
      </c>
      <c r="K142" s="8" t="s">
        <v>2333</v>
      </c>
      <c r="L142" s="8" t="n">
        <v>1</v>
      </c>
      <c r="M142" s="8" t="n">
        <v>5</v>
      </c>
      <c r="N142" s="8" t="s">
        <v>1492</v>
      </c>
      <c r="O142" s="8" t="n">
        <v>2</v>
      </c>
      <c r="P142" s="10" t="n">
        <v>24.46</v>
      </c>
      <c r="Q142" s="8" t="n">
        <v>8455</v>
      </c>
      <c r="R142" s="8" t="n">
        <v>976</v>
      </c>
      <c r="S142" s="8" t="s">
        <v>132</v>
      </c>
      <c r="T142" s="8" t="s">
        <v>269</v>
      </c>
      <c r="U142" s="8" t="s">
        <v>270</v>
      </c>
      <c r="V142" s="8"/>
      <c r="W142" s="8" t="s">
        <v>285</v>
      </c>
      <c r="X142" s="8" t="s">
        <v>286</v>
      </c>
      <c r="Y142" s="8" t="s">
        <v>3267</v>
      </c>
      <c r="Z142" s="8" t="s">
        <v>3268</v>
      </c>
    </row>
    <row r="143" customFormat="false" ht="15" hidden="false" customHeight="false" outlineLevel="0" collapsed="false">
      <c r="A143" s="8" t="s">
        <v>287</v>
      </c>
      <c r="B143" s="8" t="s">
        <v>21</v>
      </c>
      <c r="C143" s="8" t="s">
        <v>22</v>
      </c>
      <c r="D143" s="8" t="s">
        <v>615</v>
      </c>
      <c r="E143" s="8" t="s">
        <v>36</v>
      </c>
      <c r="F143" s="8" t="s">
        <v>47</v>
      </c>
      <c r="G143" s="8" t="s">
        <v>31</v>
      </c>
      <c r="H143" s="8" t="s">
        <v>31</v>
      </c>
      <c r="I143" s="8" t="n">
        <f aca="false">IF(EXACT(G143,H143),1,0)</f>
        <v>1</v>
      </c>
      <c r="J143" s="8" t="n">
        <v>0</v>
      </c>
      <c r="K143" s="8" t="s">
        <v>116</v>
      </c>
      <c r="L143" s="8" t="n">
        <v>2</v>
      </c>
      <c r="M143" s="8" t="n">
        <v>5</v>
      </c>
      <c r="N143" s="8" t="s">
        <v>1492</v>
      </c>
      <c r="O143" s="8" t="n">
        <v>2</v>
      </c>
      <c r="P143" s="10" t="n">
        <v>33.12</v>
      </c>
      <c r="Q143" s="8" t="n">
        <v>9087</v>
      </c>
      <c r="R143" s="8" t="n">
        <v>1584</v>
      </c>
      <c r="S143" s="8" t="s">
        <v>222</v>
      </c>
      <c r="T143" s="8" t="s">
        <v>269</v>
      </c>
      <c r="U143" s="8" t="s">
        <v>270</v>
      </c>
      <c r="V143" s="8"/>
      <c r="W143" s="8" t="s">
        <v>288</v>
      </c>
      <c r="X143" s="8" t="s">
        <v>289</v>
      </c>
      <c r="Y143" s="8" t="s">
        <v>3269</v>
      </c>
      <c r="Z143" s="8" t="s">
        <v>3270</v>
      </c>
    </row>
    <row r="144" customFormat="false" ht="15" hidden="false" customHeight="false" outlineLevel="0" collapsed="false">
      <c r="A144" s="8" t="s">
        <v>287</v>
      </c>
      <c r="B144" s="8" t="s">
        <v>21</v>
      </c>
      <c r="C144" s="8" t="s">
        <v>22</v>
      </c>
      <c r="D144" s="8" t="s">
        <v>615</v>
      </c>
      <c r="E144" s="8" t="s">
        <v>36</v>
      </c>
      <c r="F144" s="8" t="s">
        <v>47</v>
      </c>
      <c r="G144" s="8" t="s">
        <v>31</v>
      </c>
      <c r="H144" s="8" t="s">
        <v>31</v>
      </c>
      <c r="I144" s="8" t="n">
        <f aca="false">IF(EXACT(G144,H144),1,0)</f>
        <v>1</v>
      </c>
      <c r="J144" s="8" t="n">
        <v>1</v>
      </c>
      <c r="K144" s="8" t="s">
        <v>116</v>
      </c>
      <c r="L144" s="8" t="n">
        <v>2</v>
      </c>
      <c r="M144" s="8" t="n">
        <v>5</v>
      </c>
      <c r="N144" s="8" t="s">
        <v>1492</v>
      </c>
      <c r="O144" s="8" t="n">
        <v>2</v>
      </c>
      <c r="P144" s="10" t="n">
        <v>29.92</v>
      </c>
      <c r="Q144" s="8" t="n">
        <v>9096</v>
      </c>
      <c r="R144" s="8" t="n">
        <v>1513</v>
      </c>
      <c r="S144" s="8" t="s">
        <v>222</v>
      </c>
      <c r="T144" s="8" t="s">
        <v>269</v>
      </c>
      <c r="U144" s="8" t="s">
        <v>270</v>
      </c>
      <c r="V144" s="8"/>
      <c r="W144" s="8" t="s">
        <v>288</v>
      </c>
      <c r="X144" s="8" t="s">
        <v>289</v>
      </c>
      <c r="Y144" s="8" t="s">
        <v>3271</v>
      </c>
      <c r="Z144" s="8" t="s">
        <v>3272</v>
      </c>
    </row>
    <row r="145" customFormat="false" ht="15" hidden="false" customHeight="false" outlineLevel="0" collapsed="false">
      <c r="A145" s="8" t="s">
        <v>287</v>
      </c>
      <c r="B145" s="8" t="s">
        <v>21</v>
      </c>
      <c r="C145" s="8" t="s">
        <v>22</v>
      </c>
      <c r="D145" s="8" t="s">
        <v>615</v>
      </c>
      <c r="E145" s="8" t="s">
        <v>36</v>
      </c>
      <c r="F145" s="8" t="s">
        <v>47</v>
      </c>
      <c r="G145" s="8" t="s">
        <v>31</v>
      </c>
      <c r="H145" s="8" t="s">
        <v>31</v>
      </c>
      <c r="I145" s="8" t="n">
        <f aca="false">IF(EXACT(G145,H145),1,0)</f>
        <v>1</v>
      </c>
      <c r="J145" s="8" t="n">
        <v>2</v>
      </c>
      <c r="K145" s="8" t="s">
        <v>116</v>
      </c>
      <c r="L145" s="8" t="n">
        <v>2</v>
      </c>
      <c r="M145" s="8" t="n">
        <v>5</v>
      </c>
      <c r="N145" s="8" t="s">
        <v>1492</v>
      </c>
      <c r="O145" s="8" t="n">
        <v>2</v>
      </c>
      <c r="P145" s="10" t="n">
        <v>33.23</v>
      </c>
      <c r="Q145" s="8" t="n">
        <v>9089</v>
      </c>
      <c r="R145" s="8" t="n">
        <v>1598</v>
      </c>
      <c r="S145" s="8" t="s">
        <v>222</v>
      </c>
      <c r="T145" s="8" t="s">
        <v>269</v>
      </c>
      <c r="U145" s="8" t="s">
        <v>270</v>
      </c>
      <c r="V145" s="8"/>
      <c r="W145" s="8" t="s">
        <v>288</v>
      </c>
      <c r="X145" s="8" t="s">
        <v>289</v>
      </c>
      <c r="Y145" s="8" t="s">
        <v>3273</v>
      </c>
      <c r="Z145" s="8" t="s">
        <v>3274</v>
      </c>
    </row>
    <row r="146" customFormat="false" ht="15" hidden="false" customHeight="false" outlineLevel="0" collapsed="false">
      <c r="A146" s="8" t="s">
        <v>290</v>
      </c>
      <c r="B146" s="8" t="s">
        <v>21</v>
      </c>
      <c r="C146" s="8" t="s">
        <v>22</v>
      </c>
      <c r="D146" s="8" t="s">
        <v>615</v>
      </c>
      <c r="E146" s="8" t="s">
        <v>36</v>
      </c>
      <c r="F146" s="8" t="s">
        <v>51</v>
      </c>
      <c r="G146" s="8" t="s">
        <v>32</v>
      </c>
      <c r="H146" s="8" t="s">
        <v>31</v>
      </c>
      <c r="I146" s="8" t="n">
        <f aca="false">IF(EXACT(G146,H146),1,0)</f>
        <v>0</v>
      </c>
      <c r="J146" s="8" t="n">
        <v>0</v>
      </c>
      <c r="K146" s="8" t="s">
        <v>2333</v>
      </c>
      <c r="L146" s="8" t="n">
        <v>1</v>
      </c>
      <c r="M146" s="8" t="n">
        <v>5</v>
      </c>
      <c r="N146" s="8" t="s">
        <v>1492</v>
      </c>
      <c r="O146" s="8" t="n">
        <v>2</v>
      </c>
      <c r="P146" s="10" t="n">
        <v>23.06</v>
      </c>
      <c r="Q146" s="8" t="n">
        <v>8755</v>
      </c>
      <c r="R146" s="8" t="n">
        <v>1220</v>
      </c>
      <c r="S146" s="8" t="s">
        <v>101</v>
      </c>
      <c r="T146" s="8" t="s">
        <v>291</v>
      </c>
      <c r="U146" s="8" t="s">
        <v>292</v>
      </c>
      <c r="V146" s="8"/>
      <c r="W146" s="8" t="s">
        <v>293</v>
      </c>
      <c r="X146" s="8" t="s">
        <v>294</v>
      </c>
      <c r="Y146" s="8" t="s">
        <v>3275</v>
      </c>
      <c r="Z146" s="8" t="s">
        <v>3276</v>
      </c>
    </row>
    <row r="147" customFormat="false" ht="15" hidden="false" customHeight="false" outlineLevel="0" collapsed="false">
      <c r="A147" s="8" t="s">
        <v>290</v>
      </c>
      <c r="B147" s="8" t="s">
        <v>21</v>
      </c>
      <c r="C147" s="8" t="s">
        <v>22</v>
      </c>
      <c r="D147" s="8" t="s">
        <v>615</v>
      </c>
      <c r="E147" s="8" t="s">
        <v>36</v>
      </c>
      <c r="F147" s="8" t="s">
        <v>51</v>
      </c>
      <c r="G147" s="8" t="s">
        <v>32</v>
      </c>
      <c r="H147" s="8" t="s">
        <v>31</v>
      </c>
      <c r="I147" s="8" t="n">
        <f aca="false">IF(EXACT(G147,H147),1,0)</f>
        <v>0</v>
      </c>
      <c r="J147" s="8" t="n">
        <v>1</v>
      </c>
      <c r="K147" s="8" t="s">
        <v>2333</v>
      </c>
      <c r="L147" s="8" t="n">
        <v>1</v>
      </c>
      <c r="M147" s="8" t="n">
        <v>5</v>
      </c>
      <c r="N147" s="8" t="s">
        <v>1492</v>
      </c>
      <c r="O147" s="8" t="n">
        <v>2</v>
      </c>
      <c r="P147" s="10" t="n">
        <v>23.29</v>
      </c>
      <c r="Q147" s="8" t="n">
        <v>8755</v>
      </c>
      <c r="R147" s="8" t="n">
        <v>1182</v>
      </c>
      <c r="S147" s="8" t="s">
        <v>101</v>
      </c>
      <c r="T147" s="8" t="s">
        <v>291</v>
      </c>
      <c r="U147" s="8" t="s">
        <v>292</v>
      </c>
      <c r="V147" s="8"/>
      <c r="W147" s="8" t="s">
        <v>293</v>
      </c>
      <c r="X147" s="8" t="s">
        <v>294</v>
      </c>
      <c r="Y147" s="8" t="s">
        <v>3277</v>
      </c>
      <c r="Z147" s="8" t="s">
        <v>3278</v>
      </c>
    </row>
    <row r="148" customFormat="false" ht="15" hidden="false" customHeight="false" outlineLevel="0" collapsed="false">
      <c r="A148" s="8" t="s">
        <v>290</v>
      </c>
      <c r="B148" s="8" t="s">
        <v>21</v>
      </c>
      <c r="C148" s="8" t="s">
        <v>22</v>
      </c>
      <c r="D148" s="8" t="s">
        <v>615</v>
      </c>
      <c r="E148" s="8" t="s">
        <v>36</v>
      </c>
      <c r="F148" s="8" t="s">
        <v>51</v>
      </c>
      <c r="G148" s="8" t="s">
        <v>32</v>
      </c>
      <c r="H148" s="8" t="s">
        <v>31</v>
      </c>
      <c r="I148" s="8" t="n">
        <f aca="false">IF(EXACT(G148,H148),1,0)</f>
        <v>0</v>
      </c>
      <c r="J148" s="8" t="n">
        <v>2</v>
      </c>
      <c r="K148" s="8" t="s">
        <v>2333</v>
      </c>
      <c r="L148" s="8" t="n">
        <v>1</v>
      </c>
      <c r="M148" s="8" t="n">
        <v>5</v>
      </c>
      <c r="N148" s="8" t="s">
        <v>1492</v>
      </c>
      <c r="O148" s="8" t="n">
        <v>2</v>
      </c>
      <c r="P148" s="10" t="n">
        <v>25.54</v>
      </c>
      <c r="Q148" s="8" t="n">
        <v>8755</v>
      </c>
      <c r="R148" s="8" t="n">
        <v>1265</v>
      </c>
      <c r="S148" s="8" t="s">
        <v>101</v>
      </c>
      <c r="T148" s="8" t="s">
        <v>291</v>
      </c>
      <c r="U148" s="8" t="s">
        <v>292</v>
      </c>
      <c r="V148" s="8"/>
      <c r="W148" s="8" t="s">
        <v>293</v>
      </c>
      <c r="X148" s="8" t="s">
        <v>294</v>
      </c>
      <c r="Y148" s="8" t="s">
        <v>3279</v>
      </c>
      <c r="Z148" s="8" t="s">
        <v>3280</v>
      </c>
    </row>
    <row r="149" customFormat="false" ht="15" hidden="false" customHeight="false" outlineLevel="0" collapsed="false">
      <c r="A149" s="8" t="s">
        <v>295</v>
      </c>
      <c r="B149" s="8" t="s">
        <v>21</v>
      </c>
      <c r="C149" s="8" t="s">
        <v>22</v>
      </c>
      <c r="D149" s="8" t="s">
        <v>615</v>
      </c>
      <c r="E149" s="8" t="s">
        <v>36</v>
      </c>
      <c r="F149" s="8" t="s">
        <v>51</v>
      </c>
      <c r="G149" s="8" t="s">
        <v>30</v>
      </c>
      <c r="H149" s="8" t="s">
        <v>31</v>
      </c>
      <c r="I149" s="8" t="n">
        <f aca="false">IF(EXACT(G149,H149),1,0)</f>
        <v>0</v>
      </c>
      <c r="J149" s="8" t="n">
        <v>0</v>
      </c>
      <c r="K149" s="8" t="s">
        <v>2333</v>
      </c>
      <c r="L149" s="8" t="n">
        <v>2</v>
      </c>
      <c r="M149" s="8" t="n">
        <v>5</v>
      </c>
      <c r="N149" s="8" t="s">
        <v>1492</v>
      </c>
      <c r="O149" s="8" t="n">
        <v>2</v>
      </c>
      <c r="P149" s="10" t="n">
        <v>37</v>
      </c>
      <c r="Q149" s="8" t="n">
        <v>9233</v>
      </c>
      <c r="R149" s="8" t="n">
        <v>1881</v>
      </c>
      <c r="S149" s="8" t="s">
        <v>110</v>
      </c>
      <c r="T149" s="8" t="s">
        <v>291</v>
      </c>
      <c r="U149" s="8" t="s">
        <v>292</v>
      </c>
      <c r="V149" s="8"/>
      <c r="W149" s="8" t="s">
        <v>296</v>
      </c>
      <c r="X149" s="8" t="s">
        <v>297</v>
      </c>
      <c r="Y149" s="8" t="s">
        <v>3281</v>
      </c>
      <c r="Z149" s="8" t="s">
        <v>3282</v>
      </c>
    </row>
    <row r="150" customFormat="false" ht="15" hidden="false" customHeight="false" outlineLevel="0" collapsed="false">
      <c r="A150" s="8" t="s">
        <v>295</v>
      </c>
      <c r="B150" s="8" t="s">
        <v>21</v>
      </c>
      <c r="C150" s="8" t="s">
        <v>22</v>
      </c>
      <c r="D150" s="8" t="s">
        <v>615</v>
      </c>
      <c r="E150" s="8" t="s">
        <v>36</v>
      </c>
      <c r="F150" s="8" t="s">
        <v>51</v>
      </c>
      <c r="G150" s="8" t="s">
        <v>30</v>
      </c>
      <c r="H150" s="8" t="s">
        <v>31</v>
      </c>
      <c r="I150" s="8" t="n">
        <f aca="false">IF(EXACT(G150,H150),1,0)</f>
        <v>0</v>
      </c>
      <c r="J150" s="8" t="n">
        <v>1</v>
      </c>
      <c r="K150" s="8" t="s">
        <v>2333</v>
      </c>
      <c r="L150" s="8" t="n">
        <v>2</v>
      </c>
      <c r="M150" s="8" t="n">
        <v>5</v>
      </c>
      <c r="N150" s="8" t="s">
        <v>1492</v>
      </c>
      <c r="O150" s="8" t="n">
        <v>2</v>
      </c>
      <c r="P150" s="10" t="n">
        <v>41.3</v>
      </c>
      <c r="Q150" s="8" t="n">
        <v>9234</v>
      </c>
      <c r="R150" s="8" t="n">
        <v>2157</v>
      </c>
      <c r="S150" s="8" t="s">
        <v>110</v>
      </c>
      <c r="T150" s="8" t="s">
        <v>291</v>
      </c>
      <c r="U150" s="8" t="s">
        <v>292</v>
      </c>
      <c r="V150" s="8"/>
      <c r="W150" s="8" t="s">
        <v>296</v>
      </c>
      <c r="X150" s="8" t="s">
        <v>297</v>
      </c>
      <c r="Y150" s="8" t="s">
        <v>3283</v>
      </c>
      <c r="Z150" s="8" t="s">
        <v>3284</v>
      </c>
    </row>
    <row r="151" customFormat="false" ht="15" hidden="false" customHeight="false" outlineLevel="0" collapsed="false">
      <c r="A151" s="8" t="s">
        <v>295</v>
      </c>
      <c r="B151" s="8" t="s">
        <v>21</v>
      </c>
      <c r="C151" s="8" t="s">
        <v>22</v>
      </c>
      <c r="D151" s="8" t="s">
        <v>615</v>
      </c>
      <c r="E151" s="8" t="s">
        <v>36</v>
      </c>
      <c r="F151" s="8" t="s">
        <v>51</v>
      </c>
      <c r="G151" s="8" t="s">
        <v>30</v>
      </c>
      <c r="H151" s="8" t="s">
        <v>31</v>
      </c>
      <c r="I151" s="8" t="n">
        <f aca="false">IF(EXACT(G151,H151),1,0)</f>
        <v>0</v>
      </c>
      <c r="J151" s="8" t="n">
        <v>2</v>
      </c>
      <c r="K151" s="8" t="s">
        <v>2333</v>
      </c>
      <c r="L151" s="8" t="n">
        <v>2</v>
      </c>
      <c r="M151" s="8" t="n">
        <v>5</v>
      </c>
      <c r="N151" s="8" t="s">
        <v>1492</v>
      </c>
      <c r="O151" s="8" t="n">
        <v>2</v>
      </c>
      <c r="P151" s="10" t="n">
        <v>33.76</v>
      </c>
      <c r="Q151" s="8" t="n">
        <v>9236</v>
      </c>
      <c r="R151" s="8" t="n">
        <v>1738</v>
      </c>
      <c r="S151" s="8" t="s">
        <v>110</v>
      </c>
      <c r="T151" s="8" t="s">
        <v>291</v>
      </c>
      <c r="U151" s="8" t="s">
        <v>292</v>
      </c>
      <c r="V151" s="8"/>
      <c r="W151" s="8" t="s">
        <v>296</v>
      </c>
      <c r="X151" s="8" t="s">
        <v>297</v>
      </c>
      <c r="Y151" s="8" t="s">
        <v>3285</v>
      </c>
      <c r="Z151" s="8" t="s">
        <v>3286</v>
      </c>
    </row>
    <row r="152" customFormat="false" ht="15" hidden="false" customHeight="false" outlineLevel="0" collapsed="false">
      <c r="A152" s="8" t="s">
        <v>298</v>
      </c>
      <c r="B152" s="8" t="s">
        <v>21</v>
      </c>
      <c r="C152" s="8" t="s">
        <v>22</v>
      </c>
      <c r="D152" s="8" t="s">
        <v>615</v>
      </c>
      <c r="E152" s="8" t="s">
        <v>36</v>
      </c>
      <c r="F152" s="8" t="s">
        <v>51</v>
      </c>
      <c r="G152" s="8" t="s">
        <v>30</v>
      </c>
      <c r="H152" s="8" t="s">
        <v>31</v>
      </c>
      <c r="I152" s="8" t="n">
        <f aca="false">IF(EXACT(G152,H152),1,0)</f>
        <v>0</v>
      </c>
      <c r="J152" s="8" t="n">
        <v>0</v>
      </c>
      <c r="K152" s="8" t="s">
        <v>2333</v>
      </c>
      <c r="L152" s="8" t="n">
        <v>2</v>
      </c>
      <c r="M152" s="8" t="n">
        <v>5</v>
      </c>
      <c r="N152" s="8" t="s">
        <v>1492</v>
      </c>
      <c r="O152" s="8" t="n">
        <v>2</v>
      </c>
      <c r="P152" s="10" t="n">
        <v>39.47</v>
      </c>
      <c r="Q152" s="8" t="n">
        <v>9194</v>
      </c>
      <c r="R152" s="8" t="n">
        <v>1799</v>
      </c>
      <c r="S152" s="8" t="s">
        <v>150</v>
      </c>
      <c r="T152" s="8" t="s">
        <v>291</v>
      </c>
      <c r="U152" s="8" t="s">
        <v>292</v>
      </c>
      <c r="V152" s="8"/>
      <c r="W152" s="8" t="s">
        <v>299</v>
      </c>
      <c r="X152" s="8" t="s">
        <v>300</v>
      </c>
      <c r="Y152" s="8" t="s">
        <v>3287</v>
      </c>
      <c r="Z152" s="8" t="s">
        <v>3288</v>
      </c>
    </row>
    <row r="153" customFormat="false" ht="15" hidden="false" customHeight="false" outlineLevel="0" collapsed="false">
      <c r="A153" s="8" t="s">
        <v>298</v>
      </c>
      <c r="B153" s="8" t="s">
        <v>21</v>
      </c>
      <c r="C153" s="8" t="s">
        <v>22</v>
      </c>
      <c r="D153" s="8" t="s">
        <v>615</v>
      </c>
      <c r="E153" s="8" t="s">
        <v>36</v>
      </c>
      <c r="F153" s="8" t="s">
        <v>51</v>
      </c>
      <c r="G153" s="8" t="s">
        <v>30</v>
      </c>
      <c r="H153" s="8" t="s">
        <v>31</v>
      </c>
      <c r="I153" s="8" t="n">
        <f aca="false">IF(EXACT(G153,H153),1,0)</f>
        <v>0</v>
      </c>
      <c r="J153" s="8" t="n">
        <v>1</v>
      </c>
      <c r="K153" s="8" t="s">
        <v>2333</v>
      </c>
      <c r="L153" s="8" t="n">
        <v>1</v>
      </c>
      <c r="M153" s="8" t="n">
        <v>5</v>
      </c>
      <c r="N153" s="8" t="s">
        <v>1492</v>
      </c>
      <c r="O153" s="8" t="n">
        <v>2</v>
      </c>
      <c r="P153" s="10" t="n">
        <v>31.45</v>
      </c>
      <c r="Q153" s="8" t="n">
        <v>9194</v>
      </c>
      <c r="R153" s="8" t="n">
        <v>1597</v>
      </c>
      <c r="S153" s="8" t="s">
        <v>150</v>
      </c>
      <c r="T153" s="8" t="s">
        <v>291</v>
      </c>
      <c r="U153" s="8" t="s">
        <v>292</v>
      </c>
      <c r="V153" s="8"/>
      <c r="W153" s="8" t="s">
        <v>299</v>
      </c>
      <c r="X153" s="8" t="s">
        <v>300</v>
      </c>
      <c r="Y153" s="8" t="s">
        <v>3289</v>
      </c>
      <c r="Z153" s="8" t="s">
        <v>3290</v>
      </c>
    </row>
    <row r="154" customFormat="false" ht="15" hidden="false" customHeight="false" outlineLevel="0" collapsed="false">
      <c r="A154" s="8" t="s">
        <v>298</v>
      </c>
      <c r="B154" s="8" t="s">
        <v>21</v>
      </c>
      <c r="C154" s="8" t="s">
        <v>22</v>
      </c>
      <c r="D154" s="8" t="s">
        <v>615</v>
      </c>
      <c r="E154" s="8" t="s">
        <v>36</v>
      </c>
      <c r="F154" s="8" t="s">
        <v>51</v>
      </c>
      <c r="G154" s="8" t="s">
        <v>30</v>
      </c>
      <c r="H154" s="8" t="s">
        <v>31</v>
      </c>
      <c r="I154" s="8" t="n">
        <f aca="false">IF(EXACT(G154,H154),1,0)</f>
        <v>0</v>
      </c>
      <c r="J154" s="8" t="n">
        <v>2</v>
      </c>
      <c r="K154" s="8" t="s">
        <v>2333</v>
      </c>
      <c r="L154" s="8" t="n">
        <v>2</v>
      </c>
      <c r="M154" s="8" t="n">
        <v>5</v>
      </c>
      <c r="N154" s="8" t="s">
        <v>1492</v>
      </c>
      <c r="O154" s="8" t="n">
        <v>2</v>
      </c>
      <c r="P154" s="10" t="n">
        <v>35.45</v>
      </c>
      <c r="Q154" s="8" t="n">
        <v>9194</v>
      </c>
      <c r="R154" s="8" t="n">
        <v>1781</v>
      </c>
      <c r="S154" s="8" t="s">
        <v>150</v>
      </c>
      <c r="T154" s="8" t="s">
        <v>291</v>
      </c>
      <c r="U154" s="8" t="s">
        <v>292</v>
      </c>
      <c r="V154" s="8"/>
      <c r="W154" s="8" t="s">
        <v>299</v>
      </c>
      <c r="X154" s="8" t="s">
        <v>300</v>
      </c>
      <c r="Y154" s="8" t="s">
        <v>3291</v>
      </c>
      <c r="Z154" s="8" t="s">
        <v>3292</v>
      </c>
    </row>
    <row r="155" customFormat="false" ht="15" hidden="false" customHeight="false" outlineLevel="0" collapsed="false">
      <c r="A155" s="8" t="s">
        <v>301</v>
      </c>
      <c r="B155" s="8" t="s">
        <v>21</v>
      </c>
      <c r="C155" s="8" t="s">
        <v>22</v>
      </c>
      <c r="D155" s="8" t="s">
        <v>615</v>
      </c>
      <c r="E155" s="8" t="s">
        <v>36</v>
      </c>
      <c r="F155" s="8" t="s">
        <v>51</v>
      </c>
      <c r="G155" s="8" t="s">
        <v>32</v>
      </c>
      <c r="H155" s="8" t="s">
        <v>31</v>
      </c>
      <c r="I155" s="8" t="n">
        <f aca="false">IF(EXACT(G155,H155),1,0)</f>
        <v>0</v>
      </c>
      <c r="J155" s="8" t="n">
        <v>0</v>
      </c>
      <c r="K155" s="8" t="s">
        <v>2333</v>
      </c>
      <c r="L155" s="8" t="n">
        <v>1</v>
      </c>
      <c r="M155" s="8" t="n">
        <v>5</v>
      </c>
      <c r="N155" s="8" t="s">
        <v>1492</v>
      </c>
      <c r="O155" s="8" t="n">
        <v>2</v>
      </c>
      <c r="P155" s="10" t="n">
        <v>41.3</v>
      </c>
      <c r="Q155" s="8" t="n">
        <v>8932</v>
      </c>
      <c r="R155" s="8" t="n">
        <v>1306</v>
      </c>
      <c r="S155" s="8" t="s">
        <v>132</v>
      </c>
      <c r="T155" s="8" t="s">
        <v>291</v>
      </c>
      <c r="U155" s="8" t="s">
        <v>292</v>
      </c>
      <c r="V155" s="8"/>
      <c r="W155" s="8" t="s">
        <v>302</v>
      </c>
      <c r="X155" s="8" t="s">
        <v>303</v>
      </c>
      <c r="Y155" s="8" t="s">
        <v>3293</v>
      </c>
      <c r="Z155" s="8" t="s">
        <v>3294</v>
      </c>
    </row>
    <row r="156" customFormat="false" ht="15" hidden="false" customHeight="false" outlineLevel="0" collapsed="false">
      <c r="A156" s="8" t="s">
        <v>301</v>
      </c>
      <c r="B156" s="8" t="s">
        <v>21</v>
      </c>
      <c r="C156" s="8" t="s">
        <v>22</v>
      </c>
      <c r="D156" s="8" t="s">
        <v>615</v>
      </c>
      <c r="E156" s="8" t="s">
        <v>36</v>
      </c>
      <c r="F156" s="8" t="s">
        <v>51</v>
      </c>
      <c r="G156" s="8" t="s">
        <v>32</v>
      </c>
      <c r="H156" s="8" t="s">
        <v>31</v>
      </c>
      <c r="I156" s="8" t="n">
        <f aca="false">IF(EXACT(G156,H156),1,0)</f>
        <v>0</v>
      </c>
      <c r="J156" s="8" t="n">
        <v>1</v>
      </c>
      <c r="K156" s="8" t="s">
        <v>2333</v>
      </c>
      <c r="L156" s="8" t="n">
        <v>1</v>
      </c>
      <c r="M156" s="8" t="n">
        <v>5</v>
      </c>
      <c r="N156" s="8" t="s">
        <v>1492</v>
      </c>
      <c r="O156" s="8" t="n">
        <v>2</v>
      </c>
      <c r="P156" s="10" t="n">
        <v>34.54</v>
      </c>
      <c r="Q156" s="8" t="n">
        <v>8938</v>
      </c>
      <c r="R156" s="8" t="n">
        <v>1343</v>
      </c>
      <c r="S156" s="8" t="s">
        <v>132</v>
      </c>
      <c r="T156" s="8" t="s">
        <v>291</v>
      </c>
      <c r="U156" s="8" t="s">
        <v>292</v>
      </c>
      <c r="V156" s="8"/>
      <c r="W156" s="8" t="s">
        <v>302</v>
      </c>
      <c r="X156" s="8" t="s">
        <v>303</v>
      </c>
      <c r="Y156" s="8" t="s">
        <v>3295</v>
      </c>
      <c r="Z156" s="8" t="s">
        <v>3296</v>
      </c>
    </row>
    <row r="157" customFormat="false" ht="15" hidden="false" customHeight="false" outlineLevel="0" collapsed="false">
      <c r="A157" s="8" t="s">
        <v>301</v>
      </c>
      <c r="B157" s="8" t="s">
        <v>21</v>
      </c>
      <c r="C157" s="8" t="s">
        <v>22</v>
      </c>
      <c r="D157" s="8" t="s">
        <v>615</v>
      </c>
      <c r="E157" s="8" t="s">
        <v>36</v>
      </c>
      <c r="F157" s="8" t="s">
        <v>51</v>
      </c>
      <c r="G157" s="8" t="s">
        <v>32</v>
      </c>
      <c r="H157" s="8" t="s">
        <v>31</v>
      </c>
      <c r="I157" s="8" t="n">
        <f aca="false">IF(EXACT(G157,H157),1,0)</f>
        <v>0</v>
      </c>
      <c r="J157" s="8" t="n">
        <v>2</v>
      </c>
      <c r="K157" s="8" t="s">
        <v>2333</v>
      </c>
      <c r="L157" s="8" t="n">
        <v>1</v>
      </c>
      <c r="M157" s="8" t="n">
        <v>5</v>
      </c>
      <c r="N157" s="8" t="s">
        <v>1492</v>
      </c>
      <c r="O157" s="8" t="n">
        <v>2</v>
      </c>
      <c r="P157" s="10" t="n">
        <v>27.94</v>
      </c>
      <c r="Q157" s="8" t="n">
        <v>8938</v>
      </c>
      <c r="R157" s="8" t="n">
        <v>1364</v>
      </c>
      <c r="S157" s="8" t="s">
        <v>132</v>
      </c>
      <c r="T157" s="8" t="s">
        <v>291</v>
      </c>
      <c r="U157" s="8" t="s">
        <v>292</v>
      </c>
      <c r="V157" s="8"/>
      <c r="W157" s="8" t="s">
        <v>302</v>
      </c>
      <c r="X157" s="8" t="s">
        <v>303</v>
      </c>
      <c r="Y157" s="8" t="s">
        <v>3297</v>
      </c>
      <c r="Z157" s="8" t="s">
        <v>3298</v>
      </c>
    </row>
    <row r="158" customFormat="false" ht="15" hidden="false" customHeight="false" outlineLevel="0" collapsed="false">
      <c r="A158" s="8" t="s">
        <v>304</v>
      </c>
      <c r="B158" s="8" t="s">
        <v>21</v>
      </c>
      <c r="C158" s="8" t="s">
        <v>22</v>
      </c>
      <c r="D158" s="8" t="s">
        <v>615</v>
      </c>
      <c r="E158" s="8" t="s">
        <v>36</v>
      </c>
      <c r="F158" s="8" t="s">
        <v>51</v>
      </c>
      <c r="G158" s="8" t="s">
        <v>31</v>
      </c>
      <c r="H158" s="8" t="s">
        <v>31</v>
      </c>
      <c r="I158" s="8" t="n">
        <f aca="false">IF(EXACT(G158,H158),1,0)</f>
        <v>1</v>
      </c>
      <c r="J158" s="8" t="n">
        <v>0</v>
      </c>
      <c r="K158" s="8" t="s">
        <v>116</v>
      </c>
      <c r="L158" s="8" t="n">
        <v>2</v>
      </c>
      <c r="M158" s="8" t="n">
        <v>6</v>
      </c>
      <c r="N158" s="8" t="s">
        <v>3299</v>
      </c>
      <c r="O158" s="8" t="n">
        <v>3</v>
      </c>
      <c r="P158" s="10" t="n">
        <v>51.64</v>
      </c>
      <c r="Q158" s="8" t="n">
        <v>14854</v>
      </c>
      <c r="R158" s="8" t="n">
        <v>2031</v>
      </c>
      <c r="S158" s="8" t="s">
        <v>117</v>
      </c>
      <c r="T158" s="8" t="s">
        <v>291</v>
      </c>
      <c r="U158" s="8" t="s">
        <v>292</v>
      </c>
      <c r="V158" s="8"/>
      <c r="W158" s="8" t="s">
        <v>305</v>
      </c>
      <c r="X158" s="8" t="s">
        <v>306</v>
      </c>
      <c r="Y158" s="8" t="s">
        <v>3300</v>
      </c>
      <c r="Z158" s="8" t="s">
        <v>3301</v>
      </c>
    </row>
    <row r="159" customFormat="false" ht="15" hidden="false" customHeight="false" outlineLevel="0" collapsed="false">
      <c r="A159" s="8" t="s">
        <v>304</v>
      </c>
      <c r="B159" s="8" t="s">
        <v>21</v>
      </c>
      <c r="C159" s="8" t="s">
        <v>22</v>
      </c>
      <c r="D159" s="8" t="s">
        <v>615</v>
      </c>
      <c r="E159" s="8" t="s">
        <v>36</v>
      </c>
      <c r="F159" s="8" t="s">
        <v>51</v>
      </c>
      <c r="G159" s="8" t="s">
        <v>31</v>
      </c>
      <c r="H159" s="8" t="s">
        <v>31</v>
      </c>
      <c r="I159" s="8" t="n">
        <f aca="false">IF(EXACT(G159,H159),1,0)</f>
        <v>1</v>
      </c>
      <c r="J159" s="8" t="n">
        <v>1</v>
      </c>
      <c r="K159" s="8" t="s">
        <v>737</v>
      </c>
      <c r="L159" s="8" t="n">
        <v>2</v>
      </c>
      <c r="M159" s="8" t="n">
        <v>5</v>
      </c>
      <c r="N159" s="8" t="s">
        <v>1492</v>
      </c>
      <c r="O159" s="8" t="n">
        <v>2</v>
      </c>
      <c r="P159" s="10" t="n">
        <v>30.51</v>
      </c>
      <c r="Q159" s="8" t="n">
        <v>9044</v>
      </c>
      <c r="R159" s="8" t="n">
        <v>1563</v>
      </c>
      <c r="S159" s="8" t="s">
        <v>117</v>
      </c>
      <c r="T159" s="8" t="s">
        <v>291</v>
      </c>
      <c r="U159" s="8" t="s">
        <v>292</v>
      </c>
      <c r="V159" s="8"/>
      <c r="W159" s="8" t="s">
        <v>305</v>
      </c>
      <c r="X159" s="8" t="s">
        <v>306</v>
      </c>
      <c r="Y159" s="8" t="s">
        <v>3302</v>
      </c>
      <c r="Z159" s="8" t="s">
        <v>3303</v>
      </c>
    </row>
    <row r="160" customFormat="false" ht="15" hidden="false" customHeight="false" outlineLevel="0" collapsed="false">
      <c r="A160" s="8" t="s">
        <v>304</v>
      </c>
      <c r="B160" s="8" t="s">
        <v>21</v>
      </c>
      <c r="C160" s="8" t="s">
        <v>22</v>
      </c>
      <c r="D160" s="8" t="s">
        <v>615</v>
      </c>
      <c r="E160" s="8" t="s">
        <v>36</v>
      </c>
      <c r="F160" s="8" t="s">
        <v>51</v>
      </c>
      <c r="G160" s="8" t="s">
        <v>31</v>
      </c>
      <c r="H160" s="8" t="s">
        <v>31</v>
      </c>
      <c r="I160" s="8" t="n">
        <f aca="false">IF(EXACT(G160,H160),1,0)</f>
        <v>1</v>
      </c>
      <c r="J160" s="8" t="n">
        <v>2</v>
      </c>
      <c r="K160" s="8" t="s">
        <v>737</v>
      </c>
      <c r="L160" s="8" t="n">
        <v>2</v>
      </c>
      <c r="M160" s="8" t="n">
        <v>5</v>
      </c>
      <c r="N160" s="8" t="s">
        <v>1492</v>
      </c>
      <c r="O160" s="8" t="n">
        <v>2</v>
      </c>
      <c r="P160" s="10" t="n">
        <v>37.17</v>
      </c>
      <c r="Q160" s="8" t="n">
        <v>9044</v>
      </c>
      <c r="R160" s="8" t="n">
        <v>1928</v>
      </c>
      <c r="S160" s="8" t="s">
        <v>117</v>
      </c>
      <c r="T160" s="8" t="s">
        <v>291</v>
      </c>
      <c r="U160" s="8" t="s">
        <v>292</v>
      </c>
      <c r="V160" s="8"/>
      <c r="W160" s="8" t="s">
        <v>305</v>
      </c>
      <c r="X160" s="8" t="s">
        <v>306</v>
      </c>
      <c r="Y160" s="8" t="s">
        <v>3304</v>
      </c>
      <c r="Z160" s="8" t="s">
        <v>3305</v>
      </c>
    </row>
    <row r="161" customFormat="false" ht="15" hidden="false" customHeight="false" outlineLevel="0" collapsed="false">
      <c r="A161" s="8" t="s">
        <v>307</v>
      </c>
      <c r="B161" s="8" t="s">
        <v>21</v>
      </c>
      <c r="C161" s="8" t="s">
        <v>22</v>
      </c>
      <c r="D161" s="8" t="s">
        <v>615</v>
      </c>
      <c r="E161" s="8" t="s">
        <v>36</v>
      </c>
      <c r="F161" s="8" t="s">
        <v>51</v>
      </c>
      <c r="G161" s="8" t="s">
        <v>31</v>
      </c>
      <c r="H161" s="8" t="s">
        <v>31</v>
      </c>
      <c r="I161" s="8" t="n">
        <f aca="false">IF(EXACT(G161,H161),1,0)</f>
        <v>1</v>
      </c>
      <c r="J161" s="8" t="n">
        <v>0</v>
      </c>
      <c r="K161" s="8" t="s">
        <v>116</v>
      </c>
      <c r="L161" s="8" t="n">
        <v>1</v>
      </c>
      <c r="M161" s="8" t="n">
        <v>5</v>
      </c>
      <c r="N161" s="8" t="s">
        <v>1492</v>
      </c>
      <c r="O161" s="8" t="n">
        <v>2</v>
      </c>
      <c r="P161" s="10" t="n">
        <v>30.73</v>
      </c>
      <c r="Q161" s="8" t="n">
        <v>8670</v>
      </c>
      <c r="R161" s="8" t="n">
        <v>1235</v>
      </c>
      <c r="S161" s="8" t="s">
        <v>308</v>
      </c>
      <c r="T161" s="8"/>
      <c r="U161" s="8"/>
      <c r="V161" s="8" t="s">
        <v>309</v>
      </c>
      <c r="W161" s="8"/>
      <c r="X161" s="8" t="s">
        <v>310</v>
      </c>
      <c r="Y161" s="8" t="s">
        <v>3306</v>
      </c>
      <c r="Z161" s="8" t="s">
        <v>3307</v>
      </c>
    </row>
    <row r="162" customFormat="false" ht="15" hidden="false" customHeight="false" outlineLevel="0" collapsed="false">
      <c r="A162" s="8" t="s">
        <v>307</v>
      </c>
      <c r="B162" s="8" t="s">
        <v>21</v>
      </c>
      <c r="C162" s="8" t="s">
        <v>22</v>
      </c>
      <c r="D162" s="8" t="s">
        <v>615</v>
      </c>
      <c r="E162" s="8" t="s">
        <v>36</v>
      </c>
      <c r="F162" s="8" t="s">
        <v>51</v>
      </c>
      <c r="G162" s="8" t="s">
        <v>31</v>
      </c>
      <c r="H162" s="8" t="s">
        <v>31</v>
      </c>
      <c r="I162" s="8" t="n">
        <f aca="false">IF(EXACT(G162,H162),1,0)</f>
        <v>1</v>
      </c>
      <c r="J162" s="8" t="n">
        <v>1</v>
      </c>
      <c r="K162" s="8" t="s">
        <v>116</v>
      </c>
      <c r="L162" s="8" t="n">
        <v>1</v>
      </c>
      <c r="M162" s="8" t="n">
        <v>5</v>
      </c>
      <c r="N162" s="8" t="s">
        <v>1492</v>
      </c>
      <c r="O162" s="8" t="n">
        <v>2</v>
      </c>
      <c r="P162" s="10" t="n">
        <v>26.33</v>
      </c>
      <c r="Q162" s="8" t="n">
        <v>8669</v>
      </c>
      <c r="R162" s="8" t="n">
        <v>1199</v>
      </c>
      <c r="S162" s="8" t="s">
        <v>308</v>
      </c>
      <c r="T162" s="8"/>
      <c r="U162" s="8"/>
      <c r="V162" s="8" t="s">
        <v>309</v>
      </c>
      <c r="W162" s="8"/>
      <c r="X162" s="8" t="s">
        <v>310</v>
      </c>
      <c r="Y162" s="8" t="s">
        <v>3308</v>
      </c>
      <c r="Z162" s="8" t="s">
        <v>3309</v>
      </c>
    </row>
    <row r="163" customFormat="false" ht="15" hidden="false" customHeight="false" outlineLevel="0" collapsed="false">
      <c r="A163" s="8" t="s">
        <v>307</v>
      </c>
      <c r="B163" s="8" t="s">
        <v>21</v>
      </c>
      <c r="C163" s="8" t="s">
        <v>22</v>
      </c>
      <c r="D163" s="8" t="s">
        <v>615</v>
      </c>
      <c r="E163" s="8" t="s">
        <v>36</v>
      </c>
      <c r="F163" s="8" t="s">
        <v>51</v>
      </c>
      <c r="G163" s="8" t="s">
        <v>31</v>
      </c>
      <c r="H163" s="8" t="s">
        <v>31</v>
      </c>
      <c r="I163" s="8" t="n">
        <f aca="false">IF(EXACT(G163,H163),1,0)</f>
        <v>1</v>
      </c>
      <c r="J163" s="8" t="n">
        <v>2</v>
      </c>
      <c r="K163" s="8" t="s">
        <v>116</v>
      </c>
      <c r="L163" s="8" t="n">
        <v>1</v>
      </c>
      <c r="M163" s="8" t="n">
        <v>5</v>
      </c>
      <c r="N163" s="8" t="s">
        <v>1492</v>
      </c>
      <c r="O163" s="8" t="n">
        <v>2</v>
      </c>
      <c r="P163" s="10" t="n">
        <v>26.36</v>
      </c>
      <c r="Q163" s="8" t="n">
        <v>8670</v>
      </c>
      <c r="R163" s="8" t="n">
        <v>1197</v>
      </c>
      <c r="S163" s="8" t="s">
        <v>308</v>
      </c>
      <c r="T163" s="8"/>
      <c r="U163" s="8"/>
      <c r="V163" s="8" t="s">
        <v>309</v>
      </c>
      <c r="W163" s="8"/>
      <c r="X163" s="8" t="s">
        <v>310</v>
      </c>
      <c r="Y163" s="8" t="s">
        <v>3310</v>
      </c>
      <c r="Z163" s="8" t="s">
        <v>3311</v>
      </c>
    </row>
    <row r="164" customFormat="false" ht="15" hidden="false" customHeight="false" outlineLevel="0" collapsed="false">
      <c r="A164" s="8" t="s">
        <v>312</v>
      </c>
      <c r="B164" s="8" t="s">
        <v>21</v>
      </c>
      <c r="C164" s="8" t="s">
        <v>22</v>
      </c>
      <c r="D164" s="8" t="s">
        <v>615</v>
      </c>
      <c r="E164" s="8" t="s">
        <v>36</v>
      </c>
      <c r="F164" s="8" t="s">
        <v>57</v>
      </c>
      <c r="G164" s="8" t="s">
        <v>31</v>
      </c>
      <c r="H164" s="8" t="s">
        <v>30</v>
      </c>
      <c r="I164" s="8" t="n">
        <f aca="false">IF(EXACT(G164,H164),1,0)</f>
        <v>0</v>
      </c>
      <c r="J164" s="8" t="n">
        <v>0</v>
      </c>
      <c r="K164" s="8" t="s">
        <v>92</v>
      </c>
      <c r="L164" s="8" t="n">
        <v>0</v>
      </c>
      <c r="M164" s="8" t="n">
        <v>5</v>
      </c>
      <c r="N164" s="8" t="s">
        <v>1492</v>
      </c>
      <c r="O164" s="8" t="n">
        <v>2</v>
      </c>
      <c r="P164" s="10" t="n">
        <v>36.86</v>
      </c>
      <c r="Q164" s="8" t="n">
        <v>9139</v>
      </c>
      <c r="R164" s="8" t="n">
        <v>1291</v>
      </c>
      <c r="S164" s="8" t="s">
        <v>313</v>
      </c>
      <c r="T164" s="8"/>
      <c r="U164" s="8"/>
      <c r="V164" s="8" t="s">
        <v>155</v>
      </c>
      <c r="W164" s="8"/>
      <c r="X164" s="8" t="s">
        <v>314</v>
      </c>
      <c r="Y164" s="8" t="s">
        <v>3312</v>
      </c>
      <c r="Z164" s="8"/>
    </row>
    <row r="165" customFormat="false" ht="15" hidden="false" customHeight="false" outlineLevel="0" collapsed="false">
      <c r="A165" s="8" t="s">
        <v>312</v>
      </c>
      <c r="B165" s="8" t="s">
        <v>21</v>
      </c>
      <c r="C165" s="8" t="s">
        <v>22</v>
      </c>
      <c r="D165" s="8" t="s">
        <v>615</v>
      </c>
      <c r="E165" s="8" t="s">
        <v>36</v>
      </c>
      <c r="F165" s="8" t="s">
        <v>57</v>
      </c>
      <c r="G165" s="8" t="s">
        <v>31</v>
      </c>
      <c r="H165" s="8" t="s">
        <v>30</v>
      </c>
      <c r="I165" s="8" t="n">
        <f aca="false">IF(EXACT(G165,H165),1,0)</f>
        <v>0</v>
      </c>
      <c r="J165" s="8" t="n">
        <v>1</v>
      </c>
      <c r="K165" s="8" t="s">
        <v>92</v>
      </c>
      <c r="L165" s="8" t="n">
        <v>0</v>
      </c>
      <c r="M165" s="8" t="n">
        <v>5</v>
      </c>
      <c r="N165" s="8" t="s">
        <v>1492</v>
      </c>
      <c r="O165" s="8" t="n">
        <v>2</v>
      </c>
      <c r="P165" s="10" t="n">
        <v>33.51</v>
      </c>
      <c r="Q165" s="8" t="n">
        <v>9139</v>
      </c>
      <c r="R165" s="8" t="n">
        <v>1317</v>
      </c>
      <c r="S165" s="8" t="s">
        <v>313</v>
      </c>
      <c r="T165" s="8"/>
      <c r="U165" s="8"/>
      <c r="V165" s="8" t="s">
        <v>155</v>
      </c>
      <c r="W165" s="8"/>
      <c r="X165" s="8" t="s">
        <v>314</v>
      </c>
      <c r="Y165" s="8" t="s">
        <v>3313</v>
      </c>
      <c r="Z165" s="8"/>
    </row>
    <row r="166" customFormat="false" ht="15" hidden="false" customHeight="false" outlineLevel="0" collapsed="false">
      <c r="A166" s="8" t="s">
        <v>312</v>
      </c>
      <c r="B166" s="8" t="s">
        <v>21</v>
      </c>
      <c r="C166" s="8" t="s">
        <v>22</v>
      </c>
      <c r="D166" s="8" t="s">
        <v>615</v>
      </c>
      <c r="E166" s="8" t="s">
        <v>36</v>
      </c>
      <c r="F166" s="8" t="s">
        <v>57</v>
      </c>
      <c r="G166" s="8" t="s">
        <v>31</v>
      </c>
      <c r="H166" s="8" t="s">
        <v>30</v>
      </c>
      <c r="I166" s="8" t="n">
        <f aca="false">IF(EXACT(G166,H166),1,0)</f>
        <v>0</v>
      </c>
      <c r="J166" s="8" t="n">
        <v>2</v>
      </c>
      <c r="K166" s="8" t="s">
        <v>92</v>
      </c>
      <c r="L166" s="8" t="n">
        <v>0</v>
      </c>
      <c r="M166" s="8" t="n">
        <v>5</v>
      </c>
      <c r="N166" s="8" t="s">
        <v>1492</v>
      </c>
      <c r="O166" s="8" t="n">
        <v>2</v>
      </c>
      <c r="P166" s="10" t="n">
        <v>34.07</v>
      </c>
      <c r="Q166" s="8" t="n">
        <v>9139</v>
      </c>
      <c r="R166" s="8" t="n">
        <v>1302</v>
      </c>
      <c r="S166" s="8" t="s">
        <v>313</v>
      </c>
      <c r="T166" s="8"/>
      <c r="U166" s="8"/>
      <c r="V166" s="8" t="s">
        <v>155</v>
      </c>
      <c r="W166" s="8"/>
      <c r="X166" s="8" t="s">
        <v>314</v>
      </c>
      <c r="Y166" s="8" t="s">
        <v>3314</v>
      </c>
      <c r="Z166" s="8"/>
    </row>
    <row r="167" customFormat="false" ht="15" hidden="false" customHeight="false" outlineLevel="0" collapsed="false">
      <c r="A167" s="8" t="s">
        <v>315</v>
      </c>
      <c r="B167" s="8" t="s">
        <v>21</v>
      </c>
      <c r="C167" s="8" t="s">
        <v>22</v>
      </c>
      <c r="D167" s="8" t="s">
        <v>615</v>
      </c>
      <c r="E167" s="8" t="s">
        <v>36</v>
      </c>
      <c r="F167" s="8" t="s">
        <v>57</v>
      </c>
      <c r="G167" s="8" t="s">
        <v>31</v>
      </c>
      <c r="H167" s="8" t="s">
        <v>30</v>
      </c>
      <c r="I167" s="8" t="n">
        <f aca="false">IF(EXACT(G167,H167),1,0)</f>
        <v>0</v>
      </c>
      <c r="J167" s="8" t="n">
        <v>0</v>
      </c>
      <c r="K167" s="8" t="s">
        <v>92</v>
      </c>
      <c r="L167" s="8" t="n">
        <v>0</v>
      </c>
      <c r="M167" s="8" t="n">
        <v>5</v>
      </c>
      <c r="N167" s="8" t="s">
        <v>1492</v>
      </c>
      <c r="O167" s="8" t="n">
        <v>2</v>
      </c>
      <c r="P167" s="10" t="n">
        <v>34.71</v>
      </c>
      <c r="Q167" s="8" t="n">
        <v>9133</v>
      </c>
      <c r="R167" s="8" t="n">
        <v>1346</v>
      </c>
      <c r="S167" s="8" t="s">
        <v>316</v>
      </c>
      <c r="T167" s="8"/>
      <c r="U167" s="8"/>
      <c r="V167" s="8" t="s">
        <v>155</v>
      </c>
      <c r="W167" s="8"/>
      <c r="X167" s="8" t="s">
        <v>317</v>
      </c>
      <c r="Y167" s="8" t="s">
        <v>3315</v>
      </c>
      <c r="Z167" s="8"/>
    </row>
    <row r="168" customFormat="false" ht="15" hidden="false" customHeight="false" outlineLevel="0" collapsed="false">
      <c r="A168" s="8" t="s">
        <v>315</v>
      </c>
      <c r="B168" s="8" t="s">
        <v>21</v>
      </c>
      <c r="C168" s="8" t="s">
        <v>22</v>
      </c>
      <c r="D168" s="8" t="s">
        <v>615</v>
      </c>
      <c r="E168" s="8" t="s">
        <v>36</v>
      </c>
      <c r="F168" s="8" t="s">
        <v>57</v>
      </c>
      <c r="G168" s="8" t="s">
        <v>31</v>
      </c>
      <c r="H168" s="8" t="s">
        <v>30</v>
      </c>
      <c r="I168" s="8" t="n">
        <f aca="false">IF(EXACT(G168,H168),1,0)</f>
        <v>0</v>
      </c>
      <c r="J168" s="8" t="n">
        <v>1</v>
      </c>
      <c r="K168" s="8" t="s">
        <v>92</v>
      </c>
      <c r="L168" s="8" t="n">
        <v>0</v>
      </c>
      <c r="M168" s="8" t="n">
        <v>5</v>
      </c>
      <c r="N168" s="8" t="s">
        <v>1492</v>
      </c>
      <c r="O168" s="8" t="n">
        <v>2</v>
      </c>
      <c r="P168" s="10" t="n">
        <v>33.78</v>
      </c>
      <c r="Q168" s="8" t="n">
        <v>9131</v>
      </c>
      <c r="R168" s="8" t="n">
        <v>1323</v>
      </c>
      <c r="S168" s="8" t="s">
        <v>316</v>
      </c>
      <c r="T168" s="8"/>
      <c r="U168" s="8"/>
      <c r="V168" s="8" t="s">
        <v>155</v>
      </c>
      <c r="W168" s="8"/>
      <c r="X168" s="8" t="s">
        <v>317</v>
      </c>
      <c r="Y168" s="8" t="s">
        <v>3316</v>
      </c>
      <c r="Z168" s="8"/>
    </row>
    <row r="169" customFormat="false" ht="15" hidden="false" customHeight="false" outlineLevel="0" collapsed="false">
      <c r="A169" s="8" t="s">
        <v>315</v>
      </c>
      <c r="B169" s="8" t="s">
        <v>21</v>
      </c>
      <c r="C169" s="8" t="s">
        <v>22</v>
      </c>
      <c r="D169" s="8" t="s">
        <v>615</v>
      </c>
      <c r="E169" s="8" t="s">
        <v>36</v>
      </c>
      <c r="F169" s="8" t="s">
        <v>57</v>
      </c>
      <c r="G169" s="8" t="s">
        <v>31</v>
      </c>
      <c r="H169" s="8" t="s">
        <v>30</v>
      </c>
      <c r="I169" s="8" t="n">
        <f aca="false">IF(EXACT(G169,H169),1,0)</f>
        <v>0</v>
      </c>
      <c r="J169" s="8" t="n">
        <v>2</v>
      </c>
      <c r="K169" s="8" t="s">
        <v>92</v>
      </c>
      <c r="L169" s="8" t="n">
        <v>0</v>
      </c>
      <c r="M169" s="8" t="n">
        <v>5</v>
      </c>
      <c r="N169" s="8" t="s">
        <v>1492</v>
      </c>
      <c r="O169" s="8" t="n">
        <v>2</v>
      </c>
      <c r="P169" s="10" t="n">
        <v>33.49</v>
      </c>
      <c r="Q169" s="8" t="n">
        <v>9129</v>
      </c>
      <c r="R169" s="8" t="n">
        <v>1329</v>
      </c>
      <c r="S169" s="8" t="s">
        <v>316</v>
      </c>
      <c r="T169" s="8"/>
      <c r="U169" s="8"/>
      <c r="V169" s="8" t="s">
        <v>155</v>
      </c>
      <c r="W169" s="8"/>
      <c r="X169" s="8" t="s">
        <v>317</v>
      </c>
      <c r="Y169" s="8" t="s">
        <v>3317</v>
      </c>
      <c r="Z169" s="8"/>
    </row>
    <row r="170" customFormat="false" ht="15" hidden="false" customHeight="false" outlineLevel="0" collapsed="false">
      <c r="A170" s="8" t="s">
        <v>318</v>
      </c>
      <c r="B170" s="8" t="s">
        <v>21</v>
      </c>
      <c r="C170" s="8" t="s">
        <v>22</v>
      </c>
      <c r="D170" s="8" t="s">
        <v>615</v>
      </c>
      <c r="E170" s="8" t="s">
        <v>36</v>
      </c>
      <c r="F170" s="8" t="s">
        <v>57</v>
      </c>
      <c r="G170" s="8" t="s">
        <v>32</v>
      </c>
      <c r="H170" s="8" t="s">
        <v>30</v>
      </c>
      <c r="I170" s="8" t="n">
        <f aca="false">IF(EXACT(G170,H170),1,0)</f>
        <v>0</v>
      </c>
      <c r="J170" s="8" t="n">
        <v>0</v>
      </c>
      <c r="K170" s="8" t="s">
        <v>92</v>
      </c>
      <c r="L170" s="8" t="n">
        <v>0</v>
      </c>
      <c r="M170" s="8" t="n">
        <v>5</v>
      </c>
      <c r="N170" s="8" t="s">
        <v>1492</v>
      </c>
      <c r="O170" s="8" t="n">
        <v>2</v>
      </c>
      <c r="P170" s="10" t="n">
        <v>633.86</v>
      </c>
      <c r="Q170" s="8" t="n">
        <v>8693</v>
      </c>
      <c r="R170" s="8" t="n">
        <v>1014</v>
      </c>
      <c r="S170" s="8" t="s">
        <v>319</v>
      </c>
      <c r="T170" s="8"/>
      <c r="U170" s="8"/>
      <c r="V170" s="8" t="s">
        <v>155</v>
      </c>
      <c r="W170" s="8"/>
      <c r="X170" s="8" t="s">
        <v>320</v>
      </c>
      <c r="Y170" s="8" t="s">
        <v>3318</v>
      </c>
      <c r="Z170" s="8"/>
    </row>
    <row r="171" customFormat="false" ht="15" hidden="false" customHeight="false" outlineLevel="0" collapsed="false">
      <c r="A171" s="8" t="s">
        <v>318</v>
      </c>
      <c r="B171" s="8" t="s">
        <v>21</v>
      </c>
      <c r="C171" s="8" t="s">
        <v>22</v>
      </c>
      <c r="D171" s="8" t="s">
        <v>615</v>
      </c>
      <c r="E171" s="8" t="s">
        <v>36</v>
      </c>
      <c r="F171" s="8" t="s">
        <v>57</v>
      </c>
      <c r="G171" s="8" t="s">
        <v>32</v>
      </c>
      <c r="H171" s="8" t="s">
        <v>30</v>
      </c>
      <c r="I171" s="8" t="n">
        <f aca="false">IF(EXACT(G171,H171),1,0)</f>
        <v>0</v>
      </c>
      <c r="J171" s="8" t="n">
        <v>1</v>
      </c>
      <c r="K171" s="8" t="s">
        <v>92</v>
      </c>
      <c r="L171" s="8" t="n">
        <v>0</v>
      </c>
      <c r="M171" s="8" t="n">
        <v>5</v>
      </c>
      <c r="N171" s="8" t="s">
        <v>1492</v>
      </c>
      <c r="O171" s="8" t="n">
        <v>2</v>
      </c>
      <c r="P171" s="10" t="n">
        <v>33.38</v>
      </c>
      <c r="Q171" s="8" t="n">
        <v>8693</v>
      </c>
      <c r="R171" s="8" t="n">
        <v>1014</v>
      </c>
      <c r="S171" s="8" t="s">
        <v>319</v>
      </c>
      <c r="T171" s="8"/>
      <c r="U171" s="8"/>
      <c r="V171" s="8" t="s">
        <v>155</v>
      </c>
      <c r="W171" s="8"/>
      <c r="X171" s="8" t="s">
        <v>320</v>
      </c>
      <c r="Y171" s="8" t="s">
        <v>3319</v>
      </c>
      <c r="Z171" s="8"/>
    </row>
    <row r="172" customFormat="false" ht="15" hidden="false" customHeight="false" outlineLevel="0" collapsed="false">
      <c r="A172" s="8" t="s">
        <v>318</v>
      </c>
      <c r="B172" s="8" t="s">
        <v>21</v>
      </c>
      <c r="C172" s="8" t="s">
        <v>22</v>
      </c>
      <c r="D172" s="8" t="s">
        <v>615</v>
      </c>
      <c r="E172" s="8" t="s">
        <v>36</v>
      </c>
      <c r="F172" s="8" t="s">
        <v>57</v>
      </c>
      <c r="G172" s="8" t="s">
        <v>32</v>
      </c>
      <c r="H172" s="8" t="s">
        <v>30</v>
      </c>
      <c r="I172" s="8" t="n">
        <f aca="false">IF(EXACT(G172,H172),1,0)</f>
        <v>0</v>
      </c>
      <c r="J172" s="8" t="n">
        <v>2</v>
      </c>
      <c r="K172" s="8" t="s">
        <v>92</v>
      </c>
      <c r="L172" s="8" t="n">
        <v>0</v>
      </c>
      <c r="M172" s="8" t="n">
        <v>5</v>
      </c>
      <c r="N172" s="8" t="s">
        <v>1492</v>
      </c>
      <c r="O172" s="8" t="n">
        <v>2</v>
      </c>
      <c r="P172" s="10" t="n">
        <v>29.48</v>
      </c>
      <c r="Q172" s="8" t="n">
        <v>8693</v>
      </c>
      <c r="R172" s="8" t="n">
        <v>1010</v>
      </c>
      <c r="S172" s="8" t="s">
        <v>319</v>
      </c>
      <c r="T172" s="8"/>
      <c r="U172" s="8"/>
      <c r="V172" s="8" t="s">
        <v>155</v>
      </c>
      <c r="W172" s="8"/>
      <c r="X172" s="8" t="s">
        <v>320</v>
      </c>
      <c r="Y172" s="8" t="s">
        <v>3320</v>
      </c>
      <c r="Z172" s="8"/>
    </row>
    <row r="173" customFormat="false" ht="15" hidden="false" customHeight="false" outlineLevel="0" collapsed="false">
      <c r="A173" s="8" t="s">
        <v>321</v>
      </c>
      <c r="B173" s="8" t="s">
        <v>21</v>
      </c>
      <c r="C173" s="8" t="s">
        <v>22</v>
      </c>
      <c r="D173" s="8" t="s">
        <v>615</v>
      </c>
      <c r="E173" s="8" t="s">
        <v>36</v>
      </c>
      <c r="F173" s="8" t="s">
        <v>57</v>
      </c>
      <c r="G173" s="8" t="s">
        <v>32</v>
      </c>
      <c r="H173" s="8" t="s">
        <v>30</v>
      </c>
      <c r="I173" s="8" t="n">
        <f aca="false">IF(EXACT(G173,H173),1,0)</f>
        <v>0</v>
      </c>
      <c r="J173" s="8" t="n">
        <v>0</v>
      </c>
      <c r="K173" s="8" t="s">
        <v>92</v>
      </c>
      <c r="L173" s="8" t="n">
        <v>0</v>
      </c>
      <c r="M173" s="8" t="n">
        <v>5</v>
      </c>
      <c r="N173" s="8" t="s">
        <v>1492</v>
      </c>
      <c r="O173" s="8" t="n">
        <v>2</v>
      </c>
      <c r="P173" s="10" t="n">
        <v>41.16</v>
      </c>
      <c r="Q173" s="8" t="n">
        <v>9006</v>
      </c>
      <c r="R173" s="8" t="n">
        <v>1582</v>
      </c>
      <c r="S173" s="8" t="s">
        <v>322</v>
      </c>
      <c r="T173" s="8"/>
      <c r="U173" s="8"/>
      <c r="V173" s="8" t="s">
        <v>155</v>
      </c>
      <c r="W173" s="8"/>
      <c r="X173" s="8" t="s">
        <v>323</v>
      </c>
      <c r="Y173" s="8" t="s">
        <v>3321</v>
      </c>
      <c r="Z173" s="8"/>
    </row>
    <row r="174" customFormat="false" ht="15" hidden="false" customHeight="false" outlineLevel="0" collapsed="false">
      <c r="A174" s="8" t="s">
        <v>321</v>
      </c>
      <c r="B174" s="8" t="s">
        <v>21</v>
      </c>
      <c r="C174" s="8" t="s">
        <v>22</v>
      </c>
      <c r="D174" s="8" t="s">
        <v>615</v>
      </c>
      <c r="E174" s="8" t="s">
        <v>36</v>
      </c>
      <c r="F174" s="8" t="s">
        <v>57</v>
      </c>
      <c r="G174" s="8" t="s">
        <v>32</v>
      </c>
      <c r="H174" s="8" t="s">
        <v>30</v>
      </c>
      <c r="I174" s="8" t="n">
        <f aca="false">IF(EXACT(G174,H174),1,0)</f>
        <v>0</v>
      </c>
      <c r="J174" s="8" t="n">
        <v>1</v>
      </c>
      <c r="K174" s="8" t="s">
        <v>92</v>
      </c>
      <c r="L174" s="8" t="n">
        <v>0</v>
      </c>
      <c r="M174" s="8" t="n">
        <v>5</v>
      </c>
      <c r="N174" s="8" t="s">
        <v>1492</v>
      </c>
      <c r="O174" s="8" t="n">
        <v>2</v>
      </c>
      <c r="P174" s="10" t="n">
        <v>34.1</v>
      </c>
      <c r="Q174" s="8" t="n">
        <v>9005</v>
      </c>
      <c r="R174" s="8" t="n">
        <v>1292</v>
      </c>
      <c r="S174" s="8" t="s">
        <v>322</v>
      </c>
      <c r="T174" s="8"/>
      <c r="U174" s="8"/>
      <c r="V174" s="8" t="s">
        <v>155</v>
      </c>
      <c r="W174" s="8"/>
      <c r="X174" s="8" t="s">
        <v>323</v>
      </c>
      <c r="Y174" s="8" t="s">
        <v>3322</v>
      </c>
      <c r="Z174" s="8"/>
    </row>
    <row r="175" customFormat="false" ht="15" hidden="false" customHeight="false" outlineLevel="0" collapsed="false">
      <c r="A175" s="8" t="s">
        <v>321</v>
      </c>
      <c r="B175" s="8" t="s">
        <v>21</v>
      </c>
      <c r="C175" s="8" t="s">
        <v>22</v>
      </c>
      <c r="D175" s="8" t="s">
        <v>615</v>
      </c>
      <c r="E175" s="8" t="s">
        <v>36</v>
      </c>
      <c r="F175" s="8" t="s">
        <v>57</v>
      </c>
      <c r="G175" s="8" t="s">
        <v>32</v>
      </c>
      <c r="H175" s="8" t="s">
        <v>30</v>
      </c>
      <c r="I175" s="8" t="n">
        <f aca="false">IF(EXACT(G175,H175),1,0)</f>
        <v>0</v>
      </c>
      <c r="J175" s="8" t="n">
        <v>2</v>
      </c>
      <c r="K175" s="8" t="s">
        <v>92</v>
      </c>
      <c r="L175" s="8" t="n">
        <v>0</v>
      </c>
      <c r="M175" s="8" t="n">
        <v>5</v>
      </c>
      <c r="N175" s="8" t="s">
        <v>1492</v>
      </c>
      <c r="O175" s="8" t="n">
        <v>2</v>
      </c>
      <c r="P175" s="10" t="n">
        <v>38.71</v>
      </c>
      <c r="Q175" s="8" t="n">
        <v>9006</v>
      </c>
      <c r="R175" s="8" t="n">
        <v>1575</v>
      </c>
      <c r="S175" s="8" t="s">
        <v>322</v>
      </c>
      <c r="T175" s="8"/>
      <c r="U175" s="8"/>
      <c r="V175" s="8" t="s">
        <v>155</v>
      </c>
      <c r="W175" s="8"/>
      <c r="X175" s="8" t="s">
        <v>323</v>
      </c>
      <c r="Y175" s="8" t="s">
        <v>3323</v>
      </c>
      <c r="Z175" s="8"/>
    </row>
    <row r="176" customFormat="false" ht="15" hidden="false" customHeight="false" outlineLevel="0" collapsed="false">
      <c r="A176" s="8" t="s">
        <v>324</v>
      </c>
      <c r="B176" s="8" t="s">
        <v>21</v>
      </c>
      <c r="C176" s="8" t="s">
        <v>22</v>
      </c>
      <c r="D176" s="8" t="s">
        <v>615</v>
      </c>
      <c r="E176" s="8" t="s">
        <v>36</v>
      </c>
      <c r="F176" s="8" t="s">
        <v>57</v>
      </c>
      <c r="G176" s="8" t="s">
        <v>30</v>
      </c>
      <c r="H176" s="8" t="s">
        <v>30</v>
      </c>
      <c r="I176" s="8" t="n">
        <f aca="false">IF(EXACT(G176,H176),1,0)</f>
        <v>1</v>
      </c>
      <c r="J176" s="8" t="n">
        <v>0</v>
      </c>
      <c r="K176" s="8" t="s">
        <v>92</v>
      </c>
      <c r="L176" s="8" t="n">
        <v>0</v>
      </c>
      <c r="M176" s="8" t="n">
        <v>5</v>
      </c>
      <c r="N176" s="8" t="s">
        <v>1492</v>
      </c>
      <c r="O176" s="8" t="n">
        <v>2</v>
      </c>
      <c r="P176" s="10" t="n">
        <v>31.05</v>
      </c>
      <c r="Q176" s="8" t="n">
        <v>9379</v>
      </c>
      <c r="R176" s="8" t="n">
        <v>1510</v>
      </c>
      <c r="S176" s="8" t="s">
        <v>325</v>
      </c>
      <c r="T176" s="8"/>
      <c r="U176" s="8"/>
      <c r="V176" s="8" t="s">
        <v>155</v>
      </c>
      <c r="W176" s="8"/>
      <c r="X176" s="8" t="s">
        <v>326</v>
      </c>
      <c r="Y176" s="8" t="s">
        <v>3324</v>
      </c>
      <c r="Z176" s="8"/>
    </row>
    <row r="177" customFormat="false" ht="15" hidden="false" customHeight="false" outlineLevel="0" collapsed="false">
      <c r="A177" s="8" t="s">
        <v>324</v>
      </c>
      <c r="B177" s="8" t="s">
        <v>21</v>
      </c>
      <c r="C177" s="8" t="s">
        <v>22</v>
      </c>
      <c r="D177" s="8" t="s">
        <v>615</v>
      </c>
      <c r="E177" s="8" t="s">
        <v>36</v>
      </c>
      <c r="F177" s="8" t="s">
        <v>57</v>
      </c>
      <c r="G177" s="8" t="s">
        <v>30</v>
      </c>
      <c r="H177" s="8" t="s">
        <v>30</v>
      </c>
      <c r="I177" s="8" t="n">
        <f aca="false">IF(EXACT(G177,H177),1,0)</f>
        <v>1</v>
      </c>
      <c r="J177" s="8" t="n">
        <v>1</v>
      </c>
      <c r="K177" s="8" t="s">
        <v>92</v>
      </c>
      <c r="L177" s="8" t="n">
        <v>0</v>
      </c>
      <c r="M177" s="8" t="n">
        <v>5</v>
      </c>
      <c r="N177" s="8" t="s">
        <v>1492</v>
      </c>
      <c r="O177" s="8" t="n">
        <v>2</v>
      </c>
      <c r="P177" s="10" t="n">
        <v>28.2</v>
      </c>
      <c r="Q177" s="8" t="n">
        <v>9379</v>
      </c>
      <c r="R177" s="8" t="n">
        <v>1505</v>
      </c>
      <c r="S177" s="8" t="s">
        <v>325</v>
      </c>
      <c r="T177" s="8"/>
      <c r="U177" s="8"/>
      <c r="V177" s="8" t="s">
        <v>155</v>
      </c>
      <c r="W177" s="8"/>
      <c r="X177" s="8" t="s">
        <v>326</v>
      </c>
      <c r="Y177" s="8" t="s">
        <v>3325</v>
      </c>
      <c r="Z177" s="8"/>
    </row>
    <row r="178" customFormat="false" ht="15" hidden="false" customHeight="false" outlineLevel="0" collapsed="false">
      <c r="A178" s="8" t="s">
        <v>324</v>
      </c>
      <c r="B178" s="8" t="s">
        <v>21</v>
      </c>
      <c r="C178" s="8" t="s">
        <v>22</v>
      </c>
      <c r="D178" s="8" t="s">
        <v>615</v>
      </c>
      <c r="E178" s="8" t="s">
        <v>36</v>
      </c>
      <c r="F178" s="8" t="s">
        <v>57</v>
      </c>
      <c r="G178" s="8" t="s">
        <v>30</v>
      </c>
      <c r="H178" s="8" t="s">
        <v>30</v>
      </c>
      <c r="I178" s="8" t="n">
        <f aca="false">IF(EXACT(G178,H178),1,0)</f>
        <v>1</v>
      </c>
      <c r="J178" s="8" t="n">
        <v>2</v>
      </c>
      <c r="K178" s="8" t="s">
        <v>92</v>
      </c>
      <c r="L178" s="8" t="n">
        <v>0</v>
      </c>
      <c r="M178" s="8" t="n">
        <v>5</v>
      </c>
      <c r="N178" s="8" t="s">
        <v>1492</v>
      </c>
      <c r="O178" s="8" t="n">
        <v>2</v>
      </c>
      <c r="P178" s="10" t="n">
        <v>28.58</v>
      </c>
      <c r="Q178" s="8" t="n">
        <v>9381</v>
      </c>
      <c r="R178" s="8" t="n">
        <v>1552</v>
      </c>
      <c r="S178" s="8" t="s">
        <v>325</v>
      </c>
      <c r="T178" s="8"/>
      <c r="U178" s="8"/>
      <c r="V178" s="8" t="s">
        <v>155</v>
      </c>
      <c r="W178" s="8"/>
      <c r="X178" s="8" t="s">
        <v>326</v>
      </c>
      <c r="Y178" s="8" t="s">
        <v>3326</v>
      </c>
      <c r="Z178" s="8"/>
    </row>
    <row r="179" customFormat="false" ht="15" hidden="false" customHeight="false" outlineLevel="0" collapsed="false">
      <c r="A179" s="8" t="s">
        <v>327</v>
      </c>
      <c r="B179" s="8" t="s">
        <v>21</v>
      </c>
      <c r="C179" s="8" t="s">
        <v>22</v>
      </c>
      <c r="D179" s="8" t="s">
        <v>615</v>
      </c>
      <c r="E179" s="8" t="s">
        <v>36</v>
      </c>
      <c r="F179" s="8" t="s">
        <v>57</v>
      </c>
      <c r="G179" s="8" t="s">
        <v>30</v>
      </c>
      <c r="H179" s="8" t="s">
        <v>30</v>
      </c>
      <c r="I179" s="8" t="n">
        <f aca="false">IF(EXACT(G179,H179),1,0)</f>
        <v>1</v>
      </c>
      <c r="J179" s="8" t="n">
        <v>0</v>
      </c>
      <c r="K179" s="8" t="s">
        <v>92</v>
      </c>
      <c r="L179" s="8" t="n">
        <v>0</v>
      </c>
      <c r="M179" s="8" t="n">
        <v>5</v>
      </c>
      <c r="N179" s="8" t="s">
        <v>1492</v>
      </c>
      <c r="O179" s="8" t="n">
        <v>2</v>
      </c>
      <c r="P179" s="10" t="n">
        <v>39.52</v>
      </c>
      <c r="Q179" s="8" t="n">
        <v>9358</v>
      </c>
      <c r="R179" s="8" t="n">
        <v>1510</v>
      </c>
      <c r="S179" s="8" t="s">
        <v>328</v>
      </c>
      <c r="T179" s="8"/>
      <c r="U179" s="8"/>
      <c r="V179" s="8" t="s">
        <v>155</v>
      </c>
      <c r="W179" s="8"/>
      <c r="X179" s="8" t="s">
        <v>329</v>
      </c>
      <c r="Y179" s="8" t="s">
        <v>3327</v>
      </c>
      <c r="Z179" s="8"/>
    </row>
    <row r="180" customFormat="false" ht="15" hidden="false" customHeight="false" outlineLevel="0" collapsed="false">
      <c r="A180" s="8" t="s">
        <v>327</v>
      </c>
      <c r="B180" s="8" t="s">
        <v>21</v>
      </c>
      <c r="C180" s="8" t="s">
        <v>22</v>
      </c>
      <c r="D180" s="8" t="s">
        <v>615</v>
      </c>
      <c r="E180" s="8" t="s">
        <v>36</v>
      </c>
      <c r="F180" s="8" t="s">
        <v>57</v>
      </c>
      <c r="G180" s="8" t="s">
        <v>30</v>
      </c>
      <c r="H180" s="8" t="s">
        <v>30</v>
      </c>
      <c r="I180" s="8" t="n">
        <f aca="false">IF(EXACT(G180,H180),1,0)</f>
        <v>1</v>
      </c>
      <c r="J180" s="8" t="n">
        <v>1</v>
      </c>
      <c r="K180" s="8" t="s">
        <v>92</v>
      </c>
      <c r="L180" s="8" t="n">
        <v>0</v>
      </c>
      <c r="M180" s="8" t="n">
        <v>5</v>
      </c>
      <c r="N180" s="8" t="s">
        <v>1492</v>
      </c>
      <c r="O180" s="8" t="n">
        <v>2</v>
      </c>
      <c r="P180" s="10" t="n">
        <v>34.43</v>
      </c>
      <c r="Q180" s="8" t="n">
        <v>9358</v>
      </c>
      <c r="R180" s="8" t="n">
        <v>1486</v>
      </c>
      <c r="S180" s="8" t="s">
        <v>328</v>
      </c>
      <c r="T180" s="8"/>
      <c r="U180" s="8"/>
      <c r="V180" s="8" t="s">
        <v>155</v>
      </c>
      <c r="W180" s="8"/>
      <c r="X180" s="8" t="s">
        <v>329</v>
      </c>
      <c r="Y180" s="8" t="s">
        <v>3328</v>
      </c>
      <c r="Z180" s="8"/>
    </row>
    <row r="181" customFormat="false" ht="15" hidden="false" customHeight="false" outlineLevel="0" collapsed="false">
      <c r="A181" s="8" t="s">
        <v>327</v>
      </c>
      <c r="B181" s="8" t="s">
        <v>21</v>
      </c>
      <c r="C181" s="8" t="s">
        <v>22</v>
      </c>
      <c r="D181" s="8" t="s">
        <v>615</v>
      </c>
      <c r="E181" s="8" t="s">
        <v>36</v>
      </c>
      <c r="F181" s="8" t="s">
        <v>57</v>
      </c>
      <c r="G181" s="8" t="s">
        <v>30</v>
      </c>
      <c r="H181" s="8" t="s">
        <v>30</v>
      </c>
      <c r="I181" s="8" t="n">
        <f aca="false">IF(EXACT(G181,H181),1,0)</f>
        <v>1</v>
      </c>
      <c r="J181" s="8" t="n">
        <v>2</v>
      </c>
      <c r="K181" s="8" t="s">
        <v>92</v>
      </c>
      <c r="L181" s="8" t="n">
        <v>0</v>
      </c>
      <c r="M181" s="8" t="n">
        <v>5</v>
      </c>
      <c r="N181" s="8" t="s">
        <v>1492</v>
      </c>
      <c r="O181" s="8" t="n">
        <v>2</v>
      </c>
      <c r="P181" s="10" t="n">
        <v>38.47</v>
      </c>
      <c r="Q181" s="8" t="n">
        <v>9358</v>
      </c>
      <c r="R181" s="8" t="n">
        <v>1745</v>
      </c>
      <c r="S181" s="8" t="s">
        <v>328</v>
      </c>
      <c r="T181" s="8"/>
      <c r="U181" s="8"/>
      <c r="V181" s="8" t="s">
        <v>155</v>
      </c>
      <c r="W181" s="8"/>
      <c r="X181" s="8" t="s">
        <v>329</v>
      </c>
      <c r="Y181" s="8" t="s">
        <v>3329</v>
      </c>
      <c r="Z181" s="8"/>
    </row>
    <row r="182" customFormat="false" ht="15" hidden="false" customHeight="false" outlineLevel="0" collapsed="false">
      <c r="A182" s="8" t="s">
        <v>330</v>
      </c>
      <c r="B182" s="8" t="s">
        <v>21</v>
      </c>
      <c r="C182" s="8" t="s">
        <v>22</v>
      </c>
      <c r="D182" s="8" t="s">
        <v>615</v>
      </c>
      <c r="E182" s="8" t="s">
        <v>37</v>
      </c>
      <c r="F182" s="8" t="s">
        <v>45</v>
      </c>
      <c r="G182" s="8" t="s">
        <v>31</v>
      </c>
      <c r="H182" s="8" t="s">
        <v>31</v>
      </c>
      <c r="I182" s="8" t="n">
        <f aca="false">IF(EXACT(G182,H182),1,0)</f>
        <v>1</v>
      </c>
      <c r="J182" s="8" t="n">
        <v>0</v>
      </c>
      <c r="K182" s="8" t="s">
        <v>116</v>
      </c>
      <c r="L182" s="8" t="n">
        <v>2</v>
      </c>
      <c r="M182" s="8" t="n">
        <v>3</v>
      </c>
      <c r="N182" s="8" t="s">
        <v>1641</v>
      </c>
      <c r="O182" s="8" t="n">
        <v>2</v>
      </c>
      <c r="P182" s="10" t="n">
        <v>28.57</v>
      </c>
      <c r="Q182" s="8" t="n">
        <v>7941</v>
      </c>
      <c r="R182" s="8" t="n">
        <v>1292</v>
      </c>
      <c r="S182" s="8" t="s">
        <v>255</v>
      </c>
      <c r="T182" s="8" t="s">
        <v>331</v>
      </c>
      <c r="U182" s="8" t="s">
        <v>332</v>
      </c>
      <c r="V182" s="8"/>
      <c r="W182" s="8" t="s">
        <v>333</v>
      </c>
      <c r="X182" s="8" t="s">
        <v>334</v>
      </c>
      <c r="Y182" s="8" t="s">
        <v>3330</v>
      </c>
      <c r="Z182" s="8" t="s">
        <v>3331</v>
      </c>
    </row>
    <row r="183" customFormat="false" ht="15" hidden="false" customHeight="false" outlineLevel="0" collapsed="false">
      <c r="A183" s="8" t="s">
        <v>330</v>
      </c>
      <c r="B183" s="8" t="s">
        <v>21</v>
      </c>
      <c r="C183" s="8" t="s">
        <v>22</v>
      </c>
      <c r="D183" s="8" t="s">
        <v>615</v>
      </c>
      <c r="E183" s="8" t="s">
        <v>37</v>
      </c>
      <c r="F183" s="8" t="s">
        <v>45</v>
      </c>
      <c r="G183" s="8" t="s">
        <v>31</v>
      </c>
      <c r="H183" s="8" t="s">
        <v>31</v>
      </c>
      <c r="I183" s="8" t="n">
        <f aca="false">IF(EXACT(G183,H183),1,0)</f>
        <v>1</v>
      </c>
      <c r="J183" s="8" t="n">
        <v>1</v>
      </c>
      <c r="K183" s="8" t="s">
        <v>140</v>
      </c>
      <c r="L183" s="8" t="n">
        <v>2</v>
      </c>
      <c r="M183" s="8" t="n">
        <v>3</v>
      </c>
      <c r="N183" s="8" t="s">
        <v>1641</v>
      </c>
      <c r="O183" s="8" t="n">
        <v>2</v>
      </c>
      <c r="P183" s="10" t="n">
        <v>29.18</v>
      </c>
      <c r="Q183" s="8" t="n">
        <v>7941</v>
      </c>
      <c r="R183" s="8" t="n">
        <v>1414</v>
      </c>
      <c r="S183" s="8" t="s">
        <v>255</v>
      </c>
      <c r="T183" s="8" t="s">
        <v>331</v>
      </c>
      <c r="U183" s="8" t="s">
        <v>332</v>
      </c>
      <c r="V183" s="8"/>
      <c r="W183" s="8" t="s">
        <v>333</v>
      </c>
      <c r="X183" s="8" t="s">
        <v>334</v>
      </c>
      <c r="Y183" s="8" t="s">
        <v>3332</v>
      </c>
      <c r="Z183" s="8" t="s">
        <v>3333</v>
      </c>
    </row>
    <row r="184" customFormat="false" ht="15" hidden="false" customHeight="false" outlineLevel="0" collapsed="false">
      <c r="A184" s="8" t="s">
        <v>330</v>
      </c>
      <c r="B184" s="8" t="s">
        <v>21</v>
      </c>
      <c r="C184" s="8" t="s">
        <v>22</v>
      </c>
      <c r="D184" s="8" t="s">
        <v>615</v>
      </c>
      <c r="E184" s="8" t="s">
        <v>37</v>
      </c>
      <c r="F184" s="8" t="s">
        <v>45</v>
      </c>
      <c r="G184" s="8" t="s">
        <v>31</v>
      </c>
      <c r="H184" s="8" t="s">
        <v>31</v>
      </c>
      <c r="I184" s="8" t="n">
        <f aca="false">IF(EXACT(G184,H184),1,0)</f>
        <v>1</v>
      </c>
      <c r="J184" s="8" t="n">
        <v>2</v>
      </c>
      <c r="K184" s="8" t="s">
        <v>116</v>
      </c>
      <c r="L184" s="8" t="n">
        <v>2</v>
      </c>
      <c r="M184" s="8" t="n">
        <v>3</v>
      </c>
      <c r="N184" s="8" t="s">
        <v>1641</v>
      </c>
      <c r="O184" s="8" t="n">
        <v>2</v>
      </c>
      <c r="P184" s="10" t="n">
        <v>27.65</v>
      </c>
      <c r="Q184" s="8" t="n">
        <v>7941</v>
      </c>
      <c r="R184" s="8" t="n">
        <v>1306</v>
      </c>
      <c r="S184" s="8" t="s">
        <v>255</v>
      </c>
      <c r="T184" s="8" t="s">
        <v>331</v>
      </c>
      <c r="U184" s="8" t="s">
        <v>332</v>
      </c>
      <c r="V184" s="8"/>
      <c r="W184" s="8" t="s">
        <v>333</v>
      </c>
      <c r="X184" s="8" t="s">
        <v>334</v>
      </c>
      <c r="Y184" s="8" t="s">
        <v>3334</v>
      </c>
      <c r="Z184" s="8" t="s">
        <v>3335</v>
      </c>
    </row>
    <row r="185" customFormat="false" ht="15" hidden="false" customHeight="false" outlineLevel="0" collapsed="false">
      <c r="A185" s="8" t="s">
        <v>336</v>
      </c>
      <c r="B185" s="8" t="s">
        <v>21</v>
      </c>
      <c r="C185" s="8" t="s">
        <v>22</v>
      </c>
      <c r="D185" s="8" t="s">
        <v>615</v>
      </c>
      <c r="E185" s="8" t="s">
        <v>37</v>
      </c>
      <c r="F185" s="8" t="s">
        <v>45</v>
      </c>
      <c r="G185" s="8" t="s">
        <v>32</v>
      </c>
      <c r="H185" s="8" t="s">
        <v>32</v>
      </c>
      <c r="I185" s="8" t="n">
        <f aca="false">IF(EXACT(G185,H185),1,0)</f>
        <v>1</v>
      </c>
      <c r="J185" s="8" t="n">
        <v>0</v>
      </c>
      <c r="K185" s="8" t="s">
        <v>92</v>
      </c>
      <c r="L185" s="8" t="n">
        <v>0</v>
      </c>
      <c r="M185" s="8" t="n">
        <v>3</v>
      </c>
      <c r="N185" s="8" t="s">
        <v>1641</v>
      </c>
      <c r="O185" s="8" t="n">
        <v>2</v>
      </c>
      <c r="P185" s="10" t="n">
        <v>19.36</v>
      </c>
      <c r="Q185" s="8" t="n">
        <v>8271</v>
      </c>
      <c r="R185" s="8" t="n">
        <v>917</v>
      </c>
      <c r="S185" s="8" t="s">
        <v>94</v>
      </c>
      <c r="T185" s="8" t="s">
        <v>337</v>
      </c>
      <c r="U185" s="8" t="s">
        <v>338</v>
      </c>
      <c r="V185" s="8"/>
      <c r="W185" s="8" t="s">
        <v>339</v>
      </c>
      <c r="X185" s="8" t="s">
        <v>340</v>
      </c>
      <c r="Y185" s="8" t="s">
        <v>3336</v>
      </c>
      <c r="Z185" s="8"/>
    </row>
    <row r="186" customFormat="false" ht="15" hidden="false" customHeight="false" outlineLevel="0" collapsed="false">
      <c r="A186" s="8" t="s">
        <v>336</v>
      </c>
      <c r="B186" s="8" t="s">
        <v>21</v>
      </c>
      <c r="C186" s="8" t="s">
        <v>22</v>
      </c>
      <c r="D186" s="8" t="s">
        <v>615</v>
      </c>
      <c r="E186" s="8" t="s">
        <v>37</v>
      </c>
      <c r="F186" s="8" t="s">
        <v>45</v>
      </c>
      <c r="G186" s="8" t="s">
        <v>32</v>
      </c>
      <c r="H186" s="8" t="s">
        <v>32</v>
      </c>
      <c r="I186" s="8" t="n">
        <f aca="false">IF(EXACT(G186,H186),1,0)</f>
        <v>1</v>
      </c>
      <c r="J186" s="8" t="n">
        <v>1</v>
      </c>
      <c r="K186" s="8" t="s">
        <v>92</v>
      </c>
      <c r="L186" s="8" t="n">
        <v>0</v>
      </c>
      <c r="M186" s="8" t="n">
        <v>3</v>
      </c>
      <c r="N186" s="8" t="s">
        <v>1641</v>
      </c>
      <c r="O186" s="8" t="n">
        <v>2</v>
      </c>
      <c r="P186" s="10" t="n">
        <v>18.02</v>
      </c>
      <c r="Q186" s="8" t="n">
        <v>8259</v>
      </c>
      <c r="R186" s="8" t="n">
        <v>903</v>
      </c>
      <c r="S186" s="8" t="s">
        <v>94</v>
      </c>
      <c r="T186" s="8" t="s">
        <v>337</v>
      </c>
      <c r="U186" s="8" t="s">
        <v>338</v>
      </c>
      <c r="V186" s="8"/>
      <c r="W186" s="8" t="s">
        <v>339</v>
      </c>
      <c r="X186" s="8" t="s">
        <v>340</v>
      </c>
      <c r="Y186" s="8" t="s">
        <v>3337</v>
      </c>
      <c r="Z186" s="8"/>
    </row>
    <row r="187" customFormat="false" ht="15" hidden="false" customHeight="false" outlineLevel="0" collapsed="false">
      <c r="A187" s="8" t="s">
        <v>336</v>
      </c>
      <c r="B187" s="8" t="s">
        <v>21</v>
      </c>
      <c r="C187" s="8" t="s">
        <v>22</v>
      </c>
      <c r="D187" s="8" t="s">
        <v>615</v>
      </c>
      <c r="E187" s="8" t="s">
        <v>37</v>
      </c>
      <c r="F187" s="8" t="s">
        <v>45</v>
      </c>
      <c r="G187" s="8" t="s">
        <v>32</v>
      </c>
      <c r="H187" s="8" t="s">
        <v>31</v>
      </c>
      <c r="I187" s="8" t="n">
        <f aca="false">IF(EXACT(G187,H187),1,0)</f>
        <v>0</v>
      </c>
      <c r="J187" s="8" t="n">
        <v>2</v>
      </c>
      <c r="K187" s="8" t="s">
        <v>116</v>
      </c>
      <c r="L187" s="8" t="n">
        <v>2</v>
      </c>
      <c r="M187" s="8" t="n">
        <v>3</v>
      </c>
      <c r="N187" s="8" t="s">
        <v>1641</v>
      </c>
      <c r="O187" s="8" t="n">
        <v>2</v>
      </c>
      <c r="P187" s="10" t="n">
        <v>26.35</v>
      </c>
      <c r="Q187" s="8" t="n">
        <v>8271</v>
      </c>
      <c r="R187" s="8" t="n">
        <v>1333</v>
      </c>
      <c r="S187" s="8" t="s">
        <v>94</v>
      </c>
      <c r="T187" s="8" t="s">
        <v>337</v>
      </c>
      <c r="U187" s="8" t="s">
        <v>338</v>
      </c>
      <c r="V187" s="8"/>
      <c r="W187" s="8" t="s">
        <v>339</v>
      </c>
      <c r="X187" s="8" t="s">
        <v>340</v>
      </c>
      <c r="Y187" s="8" t="s">
        <v>3338</v>
      </c>
      <c r="Z187" s="8" t="s">
        <v>3339</v>
      </c>
    </row>
    <row r="188" customFormat="false" ht="15" hidden="false" customHeight="false" outlineLevel="0" collapsed="false">
      <c r="A188" s="8" t="s">
        <v>341</v>
      </c>
      <c r="B188" s="8" t="s">
        <v>21</v>
      </c>
      <c r="C188" s="8" t="s">
        <v>22</v>
      </c>
      <c r="D188" s="8" t="s">
        <v>615</v>
      </c>
      <c r="E188" s="8" t="s">
        <v>37</v>
      </c>
      <c r="F188" s="8" t="s">
        <v>45</v>
      </c>
      <c r="G188" s="8" t="s">
        <v>32</v>
      </c>
      <c r="H188" s="8" t="s">
        <v>32</v>
      </c>
      <c r="I188" s="8" t="n">
        <f aca="false">IF(EXACT(G188,H188),1,0)</f>
        <v>1</v>
      </c>
      <c r="J188" s="8" t="n">
        <v>0</v>
      </c>
      <c r="K188" s="8" t="s">
        <v>92</v>
      </c>
      <c r="L188" s="8" t="n">
        <v>0</v>
      </c>
      <c r="M188" s="8" t="n">
        <v>3</v>
      </c>
      <c r="N188" s="8" t="s">
        <v>1641</v>
      </c>
      <c r="O188" s="8" t="n">
        <v>2</v>
      </c>
      <c r="P188" s="10" t="n">
        <v>18.34</v>
      </c>
      <c r="Q188" s="8" t="n">
        <v>8079</v>
      </c>
      <c r="R188" s="8" t="n">
        <v>733</v>
      </c>
      <c r="S188" s="8" t="s">
        <v>125</v>
      </c>
      <c r="T188" s="8" t="s">
        <v>342</v>
      </c>
      <c r="U188" s="8" t="s">
        <v>343</v>
      </c>
      <c r="V188" s="8"/>
      <c r="W188" s="8" t="s">
        <v>344</v>
      </c>
      <c r="X188" s="8" t="s">
        <v>345</v>
      </c>
      <c r="Y188" s="8" t="s">
        <v>3340</v>
      </c>
      <c r="Z188" s="8"/>
    </row>
    <row r="189" customFormat="false" ht="15" hidden="false" customHeight="false" outlineLevel="0" collapsed="false">
      <c r="A189" s="8" t="s">
        <v>341</v>
      </c>
      <c r="B189" s="8" t="s">
        <v>21</v>
      </c>
      <c r="C189" s="8" t="s">
        <v>22</v>
      </c>
      <c r="D189" s="8" t="s">
        <v>615</v>
      </c>
      <c r="E189" s="8" t="s">
        <v>37</v>
      </c>
      <c r="F189" s="8" t="s">
        <v>45</v>
      </c>
      <c r="G189" s="8" t="s">
        <v>32</v>
      </c>
      <c r="H189" s="8" t="s">
        <v>32</v>
      </c>
      <c r="I189" s="8" t="n">
        <f aca="false">IF(EXACT(G189,H189),1,0)</f>
        <v>1</v>
      </c>
      <c r="J189" s="8" t="n">
        <v>1</v>
      </c>
      <c r="K189" s="8" t="s">
        <v>92</v>
      </c>
      <c r="L189" s="8" t="n">
        <v>0</v>
      </c>
      <c r="M189" s="8" t="n">
        <v>3</v>
      </c>
      <c r="N189" s="8" t="s">
        <v>1641</v>
      </c>
      <c r="O189" s="8" t="n">
        <v>2</v>
      </c>
      <c r="P189" s="10" t="n">
        <v>17.54</v>
      </c>
      <c r="Q189" s="8" t="n">
        <v>8079</v>
      </c>
      <c r="R189" s="8" t="n">
        <v>756</v>
      </c>
      <c r="S189" s="8" t="s">
        <v>125</v>
      </c>
      <c r="T189" s="8" t="s">
        <v>342</v>
      </c>
      <c r="U189" s="8" t="s">
        <v>343</v>
      </c>
      <c r="V189" s="8"/>
      <c r="W189" s="8" t="s">
        <v>344</v>
      </c>
      <c r="X189" s="8" t="s">
        <v>345</v>
      </c>
      <c r="Y189" s="8" t="s">
        <v>3341</v>
      </c>
      <c r="Z189" s="8"/>
    </row>
    <row r="190" customFormat="false" ht="15" hidden="false" customHeight="false" outlineLevel="0" collapsed="false">
      <c r="A190" s="8" t="s">
        <v>341</v>
      </c>
      <c r="B190" s="8" t="s">
        <v>21</v>
      </c>
      <c r="C190" s="8" t="s">
        <v>22</v>
      </c>
      <c r="D190" s="8" t="s">
        <v>615</v>
      </c>
      <c r="E190" s="8" t="s">
        <v>37</v>
      </c>
      <c r="F190" s="8" t="s">
        <v>45</v>
      </c>
      <c r="G190" s="8" t="s">
        <v>32</v>
      </c>
      <c r="H190" s="8" t="s">
        <v>32</v>
      </c>
      <c r="I190" s="8" t="n">
        <f aca="false">IF(EXACT(G190,H190),1,0)</f>
        <v>1</v>
      </c>
      <c r="J190" s="8" t="n">
        <v>2</v>
      </c>
      <c r="K190" s="8" t="s">
        <v>92</v>
      </c>
      <c r="L190" s="8" t="n">
        <v>0</v>
      </c>
      <c r="M190" s="8" t="n">
        <v>3</v>
      </c>
      <c r="N190" s="8" t="s">
        <v>1641</v>
      </c>
      <c r="O190" s="8" t="n">
        <v>2</v>
      </c>
      <c r="P190" s="10" t="n">
        <v>26.19</v>
      </c>
      <c r="Q190" s="8" t="n">
        <v>8079</v>
      </c>
      <c r="R190" s="8" t="n">
        <v>1150</v>
      </c>
      <c r="S190" s="8" t="s">
        <v>125</v>
      </c>
      <c r="T190" s="8" t="s">
        <v>342</v>
      </c>
      <c r="U190" s="8" t="s">
        <v>343</v>
      </c>
      <c r="V190" s="8"/>
      <c r="W190" s="8" t="s">
        <v>344</v>
      </c>
      <c r="X190" s="8" t="s">
        <v>345</v>
      </c>
      <c r="Y190" s="8" t="s">
        <v>3342</v>
      </c>
      <c r="Z190" s="8"/>
    </row>
    <row r="191" customFormat="false" ht="15" hidden="false" customHeight="false" outlineLevel="0" collapsed="false">
      <c r="A191" s="8" t="s">
        <v>346</v>
      </c>
      <c r="B191" s="8" t="s">
        <v>21</v>
      </c>
      <c r="C191" s="8" t="s">
        <v>22</v>
      </c>
      <c r="D191" s="8" t="s">
        <v>615</v>
      </c>
      <c r="E191" s="8" t="s">
        <v>37</v>
      </c>
      <c r="F191" s="8" t="s">
        <v>45</v>
      </c>
      <c r="G191" s="8" t="s">
        <v>31</v>
      </c>
      <c r="H191" s="8" t="s">
        <v>31</v>
      </c>
      <c r="I191" s="8" t="n">
        <f aca="false">IF(EXACT(G191,H191),1,0)</f>
        <v>1</v>
      </c>
      <c r="J191" s="8" t="n">
        <v>0</v>
      </c>
      <c r="K191" s="8" t="s">
        <v>116</v>
      </c>
      <c r="L191" s="8" t="n">
        <v>2</v>
      </c>
      <c r="M191" s="8" t="n">
        <v>3</v>
      </c>
      <c r="N191" s="8" t="s">
        <v>1641</v>
      </c>
      <c r="O191" s="8" t="n">
        <v>2</v>
      </c>
      <c r="P191" s="10" t="n">
        <v>27.03</v>
      </c>
      <c r="Q191" s="8" t="n">
        <v>7986</v>
      </c>
      <c r="R191" s="8" t="n">
        <v>1104</v>
      </c>
      <c r="S191" s="8" t="s">
        <v>347</v>
      </c>
      <c r="T191" s="8" t="s">
        <v>331</v>
      </c>
      <c r="U191" s="8" t="s">
        <v>332</v>
      </c>
      <c r="V191" s="8"/>
      <c r="W191" s="8" t="s">
        <v>348</v>
      </c>
      <c r="X191" s="8" t="s">
        <v>349</v>
      </c>
      <c r="Y191" s="8" t="s">
        <v>3343</v>
      </c>
      <c r="Z191" s="8" t="s">
        <v>3344</v>
      </c>
    </row>
    <row r="192" customFormat="false" ht="15" hidden="false" customHeight="false" outlineLevel="0" collapsed="false">
      <c r="A192" s="8" t="s">
        <v>346</v>
      </c>
      <c r="B192" s="8" t="s">
        <v>21</v>
      </c>
      <c r="C192" s="8" t="s">
        <v>22</v>
      </c>
      <c r="D192" s="8" t="s">
        <v>615</v>
      </c>
      <c r="E192" s="8" t="s">
        <v>37</v>
      </c>
      <c r="F192" s="8" t="s">
        <v>45</v>
      </c>
      <c r="G192" s="8" t="s">
        <v>31</v>
      </c>
      <c r="H192" s="8" t="s">
        <v>31</v>
      </c>
      <c r="I192" s="8" t="n">
        <f aca="false">IF(EXACT(G192,H192),1,0)</f>
        <v>1</v>
      </c>
      <c r="J192" s="8" t="n">
        <v>1</v>
      </c>
      <c r="K192" s="8" t="s">
        <v>116</v>
      </c>
      <c r="L192" s="8" t="n">
        <v>2</v>
      </c>
      <c r="M192" s="8" t="n">
        <v>3</v>
      </c>
      <c r="N192" s="8" t="s">
        <v>1641</v>
      </c>
      <c r="O192" s="8" t="n">
        <v>2</v>
      </c>
      <c r="P192" s="10" t="n">
        <v>23.96</v>
      </c>
      <c r="Q192" s="8" t="n">
        <v>7986</v>
      </c>
      <c r="R192" s="8" t="n">
        <v>1011</v>
      </c>
      <c r="S192" s="8" t="s">
        <v>347</v>
      </c>
      <c r="T192" s="8" t="s">
        <v>331</v>
      </c>
      <c r="U192" s="8" t="s">
        <v>332</v>
      </c>
      <c r="V192" s="8"/>
      <c r="W192" s="8" t="s">
        <v>348</v>
      </c>
      <c r="X192" s="8" t="s">
        <v>349</v>
      </c>
      <c r="Y192" s="8" t="s">
        <v>3345</v>
      </c>
      <c r="Z192" s="8" t="s">
        <v>3346</v>
      </c>
    </row>
    <row r="193" customFormat="false" ht="15" hidden="false" customHeight="false" outlineLevel="0" collapsed="false">
      <c r="A193" s="8" t="s">
        <v>346</v>
      </c>
      <c r="B193" s="8" t="s">
        <v>21</v>
      </c>
      <c r="C193" s="8" t="s">
        <v>22</v>
      </c>
      <c r="D193" s="8" t="s">
        <v>615</v>
      </c>
      <c r="E193" s="8" t="s">
        <v>37</v>
      </c>
      <c r="F193" s="8" t="s">
        <v>45</v>
      </c>
      <c r="G193" s="8" t="s">
        <v>31</v>
      </c>
      <c r="H193" s="8" t="s">
        <v>31</v>
      </c>
      <c r="I193" s="8" t="n">
        <f aca="false">IF(EXACT(G193,H193),1,0)</f>
        <v>1</v>
      </c>
      <c r="J193" s="8" t="n">
        <v>2</v>
      </c>
      <c r="K193" s="8" t="s">
        <v>116</v>
      </c>
      <c r="L193" s="8" t="n">
        <v>3</v>
      </c>
      <c r="M193" s="8" t="n">
        <v>4</v>
      </c>
      <c r="N193" s="8" t="s">
        <v>3347</v>
      </c>
      <c r="O193" s="8" t="n">
        <v>2</v>
      </c>
      <c r="P193" s="10" t="n">
        <v>42.9</v>
      </c>
      <c r="Q193" s="8" t="n">
        <v>8778</v>
      </c>
      <c r="R193" s="8" t="n">
        <v>1624</v>
      </c>
      <c r="S193" s="8" t="s">
        <v>347</v>
      </c>
      <c r="T193" s="8" t="s">
        <v>331</v>
      </c>
      <c r="U193" s="8" t="s">
        <v>332</v>
      </c>
      <c r="V193" s="8"/>
      <c r="W193" s="8" t="s">
        <v>348</v>
      </c>
      <c r="X193" s="8" t="s">
        <v>349</v>
      </c>
      <c r="Y193" s="8" t="s">
        <v>3348</v>
      </c>
      <c r="Z193" s="8" t="s">
        <v>3349</v>
      </c>
    </row>
    <row r="194" customFormat="false" ht="15" hidden="false" customHeight="false" outlineLevel="0" collapsed="false">
      <c r="A194" s="8" t="s">
        <v>351</v>
      </c>
      <c r="B194" s="8" t="s">
        <v>21</v>
      </c>
      <c r="C194" s="8" t="s">
        <v>22</v>
      </c>
      <c r="D194" s="8" t="s">
        <v>615</v>
      </c>
      <c r="E194" s="8" t="s">
        <v>37</v>
      </c>
      <c r="F194" s="8" t="s">
        <v>45</v>
      </c>
      <c r="G194" s="8" t="s">
        <v>30</v>
      </c>
      <c r="H194" s="8" t="s">
        <v>30</v>
      </c>
      <c r="I194" s="8" t="n">
        <f aca="false">IF(EXACT(G194,H194),1,0)</f>
        <v>1</v>
      </c>
      <c r="J194" s="8" t="n">
        <v>0</v>
      </c>
      <c r="K194" s="8" t="s">
        <v>92</v>
      </c>
      <c r="L194" s="8" t="n">
        <v>0</v>
      </c>
      <c r="M194" s="8" t="n">
        <v>3</v>
      </c>
      <c r="N194" s="8" t="s">
        <v>1641</v>
      </c>
      <c r="O194" s="8" t="n">
        <v>2</v>
      </c>
      <c r="P194" s="10" t="n">
        <v>22.73</v>
      </c>
      <c r="Q194" s="8" t="n">
        <v>8296</v>
      </c>
      <c r="R194" s="8" t="n">
        <v>1126</v>
      </c>
      <c r="S194" s="8" t="s">
        <v>110</v>
      </c>
      <c r="T194" s="8" t="s">
        <v>337</v>
      </c>
      <c r="U194" s="8" t="s">
        <v>338</v>
      </c>
      <c r="V194" s="8"/>
      <c r="W194" s="8" t="s">
        <v>352</v>
      </c>
      <c r="X194" s="8" t="s">
        <v>353</v>
      </c>
      <c r="Y194" s="8" t="s">
        <v>3350</v>
      </c>
      <c r="Z194" s="8"/>
    </row>
    <row r="195" customFormat="false" ht="15" hidden="false" customHeight="false" outlineLevel="0" collapsed="false">
      <c r="A195" s="8" t="s">
        <v>351</v>
      </c>
      <c r="B195" s="8" t="s">
        <v>21</v>
      </c>
      <c r="C195" s="8" t="s">
        <v>22</v>
      </c>
      <c r="D195" s="8" t="s">
        <v>615</v>
      </c>
      <c r="E195" s="8" t="s">
        <v>37</v>
      </c>
      <c r="F195" s="8" t="s">
        <v>45</v>
      </c>
      <c r="G195" s="8" t="s">
        <v>30</v>
      </c>
      <c r="H195" s="8" t="s">
        <v>30</v>
      </c>
      <c r="I195" s="8" t="n">
        <f aca="false">IF(EXACT(G195,H195),1,0)</f>
        <v>1</v>
      </c>
      <c r="J195" s="8" t="n">
        <v>1</v>
      </c>
      <c r="K195" s="8" t="s">
        <v>92</v>
      </c>
      <c r="L195" s="8" t="n">
        <v>0</v>
      </c>
      <c r="M195" s="8" t="n">
        <v>3</v>
      </c>
      <c r="N195" s="8" t="s">
        <v>1641</v>
      </c>
      <c r="O195" s="8" t="n">
        <v>2</v>
      </c>
      <c r="P195" s="10" t="n">
        <v>23.96</v>
      </c>
      <c r="Q195" s="8" t="n">
        <v>8344</v>
      </c>
      <c r="R195" s="8" t="n">
        <v>1220</v>
      </c>
      <c r="S195" s="8" t="s">
        <v>110</v>
      </c>
      <c r="T195" s="8" t="s">
        <v>337</v>
      </c>
      <c r="U195" s="8" t="s">
        <v>338</v>
      </c>
      <c r="V195" s="8"/>
      <c r="W195" s="8" t="s">
        <v>352</v>
      </c>
      <c r="X195" s="8" t="s">
        <v>353</v>
      </c>
      <c r="Y195" s="8" t="s">
        <v>3351</v>
      </c>
      <c r="Z195" s="8"/>
    </row>
    <row r="196" customFormat="false" ht="15" hidden="false" customHeight="false" outlineLevel="0" collapsed="false">
      <c r="A196" s="8" t="s">
        <v>351</v>
      </c>
      <c r="B196" s="8" t="s">
        <v>21</v>
      </c>
      <c r="C196" s="8" t="s">
        <v>22</v>
      </c>
      <c r="D196" s="8" t="s">
        <v>615</v>
      </c>
      <c r="E196" s="8" t="s">
        <v>37</v>
      </c>
      <c r="F196" s="8" t="s">
        <v>45</v>
      </c>
      <c r="G196" s="8" t="s">
        <v>30</v>
      </c>
      <c r="H196" s="8" t="s">
        <v>30</v>
      </c>
      <c r="I196" s="8" t="n">
        <f aca="false">IF(EXACT(G196,H196),1,0)</f>
        <v>1</v>
      </c>
      <c r="J196" s="8" t="n">
        <v>2</v>
      </c>
      <c r="K196" s="8" t="s">
        <v>92</v>
      </c>
      <c r="L196" s="8" t="n">
        <v>0</v>
      </c>
      <c r="M196" s="8" t="n">
        <v>3</v>
      </c>
      <c r="N196" s="8" t="s">
        <v>1641</v>
      </c>
      <c r="O196" s="8" t="n">
        <v>2</v>
      </c>
      <c r="P196" s="10" t="n">
        <v>23.07</v>
      </c>
      <c r="Q196" s="8" t="n">
        <v>8296</v>
      </c>
      <c r="R196" s="8" t="n">
        <v>1129</v>
      </c>
      <c r="S196" s="8" t="s">
        <v>110</v>
      </c>
      <c r="T196" s="8" t="s">
        <v>337</v>
      </c>
      <c r="U196" s="8" t="s">
        <v>338</v>
      </c>
      <c r="V196" s="8"/>
      <c r="W196" s="8" t="s">
        <v>352</v>
      </c>
      <c r="X196" s="8" t="s">
        <v>353</v>
      </c>
      <c r="Y196" s="8" t="s">
        <v>3352</v>
      </c>
      <c r="Z196" s="8"/>
    </row>
    <row r="197" customFormat="false" ht="15" hidden="false" customHeight="false" outlineLevel="0" collapsed="false">
      <c r="A197" s="8" t="s">
        <v>354</v>
      </c>
      <c r="B197" s="8" t="s">
        <v>21</v>
      </c>
      <c r="C197" s="8" t="s">
        <v>22</v>
      </c>
      <c r="D197" s="8" t="s">
        <v>615</v>
      </c>
      <c r="E197" s="8" t="s">
        <v>37</v>
      </c>
      <c r="F197" s="8" t="s">
        <v>45</v>
      </c>
      <c r="G197" s="8" t="s">
        <v>30</v>
      </c>
      <c r="H197" s="8" t="s">
        <v>30</v>
      </c>
      <c r="I197" s="8" t="n">
        <f aca="false">IF(EXACT(G197,H197),1,0)</f>
        <v>1</v>
      </c>
      <c r="J197" s="8" t="n">
        <v>0</v>
      </c>
      <c r="K197" s="8" t="s">
        <v>92</v>
      </c>
      <c r="L197" s="8" t="n">
        <v>0</v>
      </c>
      <c r="M197" s="8" t="n">
        <v>3</v>
      </c>
      <c r="N197" s="8" t="s">
        <v>1641</v>
      </c>
      <c r="O197" s="8" t="n">
        <v>2</v>
      </c>
      <c r="P197" s="10" t="n">
        <v>22.6</v>
      </c>
      <c r="Q197" s="8" t="n">
        <v>8248</v>
      </c>
      <c r="R197" s="8" t="n">
        <v>1116</v>
      </c>
      <c r="S197" s="8" t="s">
        <v>216</v>
      </c>
      <c r="T197" s="8" t="s">
        <v>355</v>
      </c>
      <c r="U197" s="8" t="s">
        <v>356</v>
      </c>
      <c r="V197" s="8"/>
      <c r="W197" s="8" t="s">
        <v>357</v>
      </c>
      <c r="X197" s="8" t="s">
        <v>358</v>
      </c>
      <c r="Y197" s="8" t="s">
        <v>3353</v>
      </c>
      <c r="Z197" s="8"/>
    </row>
    <row r="198" customFormat="false" ht="15" hidden="false" customHeight="false" outlineLevel="0" collapsed="false">
      <c r="A198" s="8" t="s">
        <v>354</v>
      </c>
      <c r="B198" s="8" t="s">
        <v>21</v>
      </c>
      <c r="C198" s="8" t="s">
        <v>22</v>
      </c>
      <c r="D198" s="8" t="s">
        <v>615</v>
      </c>
      <c r="E198" s="8" t="s">
        <v>37</v>
      </c>
      <c r="F198" s="8" t="s">
        <v>45</v>
      </c>
      <c r="G198" s="8" t="s">
        <v>30</v>
      </c>
      <c r="H198" s="8" t="s">
        <v>30</v>
      </c>
      <c r="I198" s="8" t="n">
        <f aca="false">IF(EXACT(G198,H198),1,0)</f>
        <v>1</v>
      </c>
      <c r="J198" s="8" t="n">
        <v>1</v>
      </c>
      <c r="K198" s="8" t="s">
        <v>92</v>
      </c>
      <c r="L198" s="8" t="n">
        <v>0</v>
      </c>
      <c r="M198" s="8" t="n">
        <v>3</v>
      </c>
      <c r="N198" s="8" t="s">
        <v>1641</v>
      </c>
      <c r="O198" s="8" t="n">
        <v>2</v>
      </c>
      <c r="P198" s="10" t="n">
        <v>18.25</v>
      </c>
      <c r="Q198" s="8" t="n">
        <v>8248</v>
      </c>
      <c r="R198" s="8" t="n">
        <v>873</v>
      </c>
      <c r="S198" s="8" t="s">
        <v>216</v>
      </c>
      <c r="T198" s="8" t="s">
        <v>355</v>
      </c>
      <c r="U198" s="8" t="s">
        <v>356</v>
      </c>
      <c r="V198" s="8"/>
      <c r="W198" s="8" t="s">
        <v>357</v>
      </c>
      <c r="X198" s="8" t="s">
        <v>358</v>
      </c>
      <c r="Y198" s="8" t="s">
        <v>3354</v>
      </c>
      <c r="Z198" s="8"/>
    </row>
    <row r="199" customFormat="false" ht="15" hidden="false" customHeight="false" outlineLevel="0" collapsed="false">
      <c r="A199" s="8" t="s">
        <v>354</v>
      </c>
      <c r="B199" s="8" t="s">
        <v>21</v>
      </c>
      <c r="C199" s="8" t="s">
        <v>22</v>
      </c>
      <c r="D199" s="8" t="s">
        <v>615</v>
      </c>
      <c r="E199" s="8" t="s">
        <v>37</v>
      </c>
      <c r="F199" s="8" t="s">
        <v>45</v>
      </c>
      <c r="G199" s="8" t="s">
        <v>30</v>
      </c>
      <c r="H199" s="8" t="s">
        <v>30</v>
      </c>
      <c r="I199" s="8" t="n">
        <f aca="false">IF(EXACT(G199,H199),1,0)</f>
        <v>1</v>
      </c>
      <c r="J199" s="8" t="n">
        <v>2</v>
      </c>
      <c r="K199" s="8" t="s">
        <v>92</v>
      </c>
      <c r="L199" s="8" t="n">
        <v>0</v>
      </c>
      <c r="M199" s="8" t="n">
        <v>3</v>
      </c>
      <c r="N199" s="8" t="s">
        <v>1641</v>
      </c>
      <c r="O199" s="8" t="n">
        <v>2</v>
      </c>
      <c r="P199" s="10" t="n">
        <v>18.33</v>
      </c>
      <c r="Q199" s="8" t="n">
        <v>8248</v>
      </c>
      <c r="R199" s="8" t="n">
        <v>884</v>
      </c>
      <c r="S199" s="8" t="s">
        <v>216</v>
      </c>
      <c r="T199" s="8" t="s">
        <v>355</v>
      </c>
      <c r="U199" s="8" t="s">
        <v>356</v>
      </c>
      <c r="V199" s="8"/>
      <c r="W199" s="8" t="s">
        <v>357</v>
      </c>
      <c r="X199" s="8" t="s">
        <v>358</v>
      </c>
      <c r="Y199" s="8" t="s">
        <v>3355</v>
      </c>
      <c r="Z199" s="8"/>
    </row>
    <row r="200" customFormat="false" ht="15" hidden="false" customHeight="false" outlineLevel="0" collapsed="false">
      <c r="A200" s="8" t="s">
        <v>290</v>
      </c>
      <c r="B200" s="8" t="s">
        <v>21</v>
      </c>
      <c r="C200" s="8" t="s">
        <v>22</v>
      </c>
      <c r="D200" s="8" t="s">
        <v>615</v>
      </c>
      <c r="E200" s="8" t="s">
        <v>37</v>
      </c>
      <c r="F200" s="8" t="s">
        <v>51</v>
      </c>
      <c r="G200" s="8" t="s">
        <v>32</v>
      </c>
      <c r="H200" s="8" t="s">
        <v>32</v>
      </c>
      <c r="I200" s="8" t="n">
        <f aca="false">IF(EXACT(G200,H200),1,0)</f>
        <v>1</v>
      </c>
      <c r="J200" s="8" t="n">
        <v>0</v>
      </c>
      <c r="K200" s="8" t="s">
        <v>92</v>
      </c>
      <c r="L200" s="8" t="n">
        <v>0</v>
      </c>
      <c r="M200" s="8" t="n">
        <v>3</v>
      </c>
      <c r="N200" s="8" t="s">
        <v>1641</v>
      </c>
      <c r="O200" s="8" t="n">
        <v>2</v>
      </c>
      <c r="P200" s="10" t="n">
        <v>21.39</v>
      </c>
      <c r="Q200" s="8" t="n">
        <v>8116</v>
      </c>
      <c r="R200" s="8" t="n">
        <v>1000</v>
      </c>
      <c r="S200" s="8" t="s">
        <v>101</v>
      </c>
      <c r="T200" s="8" t="s">
        <v>291</v>
      </c>
      <c r="U200" s="8" t="s">
        <v>292</v>
      </c>
      <c r="V200" s="8"/>
      <c r="W200" s="8" t="s">
        <v>293</v>
      </c>
      <c r="X200" s="8" t="s">
        <v>359</v>
      </c>
      <c r="Y200" s="8" t="s">
        <v>3356</v>
      </c>
      <c r="Z200" s="8"/>
    </row>
    <row r="201" customFormat="false" ht="15" hidden="false" customHeight="false" outlineLevel="0" collapsed="false">
      <c r="A201" s="8" t="s">
        <v>290</v>
      </c>
      <c r="B201" s="8" t="s">
        <v>21</v>
      </c>
      <c r="C201" s="8" t="s">
        <v>22</v>
      </c>
      <c r="D201" s="8" t="s">
        <v>615</v>
      </c>
      <c r="E201" s="8" t="s">
        <v>37</v>
      </c>
      <c r="F201" s="8" t="s">
        <v>51</v>
      </c>
      <c r="G201" s="8" t="s">
        <v>32</v>
      </c>
      <c r="H201" s="8" t="s">
        <v>32</v>
      </c>
      <c r="I201" s="8" t="n">
        <f aca="false">IF(EXACT(G201,H201),1,0)</f>
        <v>1</v>
      </c>
      <c r="J201" s="8" t="n">
        <v>1</v>
      </c>
      <c r="K201" s="8" t="s">
        <v>92</v>
      </c>
      <c r="L201" s="8" t="n">
        <v>0</v>
      </c>
      <c r="M201" s="8" t="n">
        <v>4</v>
      </c>
      <c r="N201" s="8" t="s">
        <v>3357</v>
      </c>
      <c r="O201" s="8" t="n">
        <v>2</v>
      </c>
      <c r="P201" s="10" t="n">
        <v>25.91</v>
      </c>
      <c r="Q201" s="8" t="n">
        <v>8378</v>
      </c>
      <c r="R201" s="8" t="n">
        <v>1020</v>
      </c>
      <c r="S201" s="8" t="s">
        <v>101</v>
      </c>
      <c r="T201" s="8" t="s">
        <v>291</v>
      </c>
      <c r="U201" s="8" t="s">
        <v>292</v>
      </c>
      <c r="V201" s="8"/>
      <c r="W201" s="8" t="s">
        <v>293</v>
      </c>
      <c r="X201" s="8" t="s">
        <v>359</v>
      </c>
      <c r="Y201" s="8" t="s">
        <v>3358</v>
      </c>
      <c r="Z201" s="8"/>
    </row>
    <row r="202" customFormat="false" ht="15" hidden="false" customHeight="false" outlineLevel="0" collapsed="false">
      <c r="A202" s="8" t="s">
        <v>290</v>
      </c>
      <c r="B202" s="8" t="s">
        <v>21</v>
      </c>
      <c r="C202" s="8" t="s">
        <v>22</v>
      </c>
      <c r="D202" s="8" t="s">
        <v>615</v>
      </c>
      <c r="E202" s="8" t="s">
        <v>37</v>
      </c>
      <c r="F202" s="8" t="s">
        <v>51</v>
      </c>
      <c r="G202" s="8" t="s">
        <v>32</v>
      </c>
      <c r="H202" s="8" t="s">
        <v>32</v>
      </c>
      <c r="I202" s="8" t="n">
        <f aca="false">IF(EXACT(G202,H202),1,0)</f>
        <v>1</v>
      </c>
      <c r="J202" s="8" t="n">
        <v>2</v>
      </c>
      <c r="K202" s="8" t="s">
        <v>92</v>
      </c>
      <c r="L202" s="8" t="n">
        <v>0</v>
      </c>
      <c r="M202" s="8" t="n">
        <v>4</v>
      </c>
      <c r="N202" s="8" t="s">
        <v>3357</v>
      </c>
      <c r="O202" s="8" t="n">
        <v>2</v>
      </c>
      <c r="P202" s="10" t="n">
        <v>26.42</v>
      </c>
      <c r="Q202" s="8" t="n">
        <v>8377</v>
      </c>
      <c r="R202" s="8" t="n">
        <v>1006</v>
      </c>
      <c r="S202" s="8" t="s">
        <v>101</v>
      </c>
      <c r="T202" s="8" t="s">
        <v>291</v>
      </c>
      <c r="U202" s="8" t="s">
        <v>292</v>
      </c>
      <c r="V202" s="8"/>
      <c r="W202" s="8" t="s">
        <v>293</v>
      </c>
      <c r="X202" s="8" t="s">
        <v>359</v>
      </c>
      <c r="Y202" s="8" t="s">
        <v>3359</v>
      </c>
      <c r="Z202" s="8"/>
    </row>
    <row r="203" customFormat="false" ht="15" hidden="false" customHeight="false" outlineLevel="0" collapsed="false">
      <c r="A203" s="8" t="s">
        <v>295</v>
      </c>
      <c r="B203" s="8" t="s">
        <v>21</v>
      </c>
      <c r="C203" s="8" t="s">
        <v>22</v>
      </c>
      <c r="D203" s="8" t="s">
        <v>615</v>
      </c>
      <c r="E203" s="8" t="s">
        <v>37</v>
      </c>
      <c r="F203" s="8" t="s">
        <v>51</v>
      </c>
      <c r="G203" s="8" t="s">
        <v>30</v>
      </c>
      <c r="H203" s="8" t="s">
        <v>30</v>
      </c>
      <c r="I203" s="8" t="n">
        <f aca="false">IF(EXACT(G203,H203),1,0)</f>
        <v>1</v>
      </c>
      <c r="J203" s="8" t="n">
        <v>0</v>
      </c>
      <c r="K203" s="8" t="s">
        <v>92</v>
      </c>
      <c r="L203" s="8" t="n">
        <v>0</v>
      </c>
      <c r="M203" s="8" t="n">
        <v>3</v>
      </c>
      <c r="N203" s="8" t="s">
        <v>1641</v>
      </c>
      <c r="O203" s="8" t="n">
        <v>2</v>
      </c>
      <c r="P203" s="10" t="n">
        <v>27.98</v>
      </c>
      <c r="Q203" s="8" t="n">
        <v>8462</v>
      </c>
      <c r="R203" s="8" t="n">
        <v>1330</v>
      </c>
      <c r="S203" s="8" t="s">
        <v>110</v>
      </c>
      <c r="T203" s="8" t="s">
        <v>291</v>
      </c>
      <c r="U203" s="8" t="s">
        <v>292</v>
      </c>
      <c r="V203" s="8"/>
      <c r="W203" s="8" t="s">
        <v>296</v>
      </c>
      <c r="X203" s="8" t="s">
        <v>360</v>
      </c>
      <c r="Y203" s="8" t="s">
        <v>3360</v>
      </c>
      <c r="Z203" s="8"/>
    </row>
    <row r="204" customFormat="false" ht="15" hidden="false" customHeight="false" outlineLevel="0" collapsed="false">
      <c r="A204" s="8" t="s">
        <v>295</v>
      </c>
      <c r="B204" s="8" t="s">
        <v>21</v>
      </c>
      <c r="C204" s="8" t="s">
        <v>22</v>
      </c>
      <c r="D204" s="8" t="s">
        <v>615</v>
      </c>
      <c r="E204" s="8" t="s">
        <v>37</v>
      </c>
      <c r="F204" s="8" t="s">
        <v>51</v>
      </c>
      <c r="G204" s="8" t="s">
        <v>30</v>
      </c>
      <c r="H204" s="8" t="s">
        <v>31</v>
      </c>
      <c r="I204" s="8" t="n">
        <f aca="false">IF(EXACT(G204,H204),1,0)</f>
        <v>0</v>
      </c>
      <c r="J204" s="8" t="n">
        <v>1</v>
      </c>
      <c r="K204" s="8" t="s">
        <v>737</v>
      </c>
      <c r="L204" s="8" t="n">
        <v>3</v>
      </c>
      <c r="M204" s="8" t="n">
        <v>3</v>
      </c>
      <c r="N204" s="8" t="s">
        <v>1641</v>
      </c>
      <c r="O204" s="8" t="n">
        <v>2</v>
      </c>
      <c r="P204" s="10" t="n">
        <v>33.67</v>
      </c>
      <c r="Q204" s="8" t="n">
        <v>8462</v>
      </c>
      <c r="R204" s="8" t="n">
        <v>1812</v>
      </c>
      <c r="S204" s="8" t="s">
        <v>110</v>
      </c>
      <c r="T204" s="8" t="s">
        <v>291</v>
      </c>
      <c r="U204" s="8" t="s">
        <v>292</v>
      </c>
      <c r="V204" s="8"/>
      <c r="W204" s="8" t="s">
        <v>296</v>
      </c>
      <c r="X204" s="8" t="s">
        <v>360</v>
      </c>
      <c r="Y204" s="8" t="s">
        <v>3361</v>
      </c>
      <c r="Z204" s="8" t="s">
        <v>3362</v>
      </c>
    </row>
    <row r="205" customFormat="false" ht="15" hidden="false" customHeight="false" outlineLevel="0" collapsed="false">
      <c r="A205" s="8" t="s">
        <v>295</v>
      </c>
      <c r="B205" s="8" t="s">
        <v>21</v>
      </c>
      <c r="C205" s="8" t="s">
        <v>22</v>
      </c>
      <c r="D205" s="8" t="s">
        <v>615</v>
      </c>
      <c r="E205" s="8" t="s">
        <v>37</v>
      </c>
      <c r="F205" s="8" t="s">
        <v>51</v>
      </c>
      <c r="G205" s="8" t="s">
        <v>30</v>
      </c>
      <c r="H205" s="8" t="s">
        <v>31</v>
      </c>
      <c r="I205" s="8" t="n">
        <f aca="false">IF(EXACT(G205,H205),1,0)</f>
        <v>0</v>
      </c>
      <c r="J205" s="8" t="n">
        <v>2</v>
      </c>
      <c r="K205" s="8" t="s">
        <v>2333</v>
      </c>
      <c r="L205" s="8" t="n">
        <v>3</v>
      </c>
      <c r="M205" s="8" t="n">
        <v>3</v>
      </c>
      <c r="N205" s="8" t="s">
        <v>1641</v>
      </c>
      <c r="O205" s="8" t="n">
        <v>2</v>
      </c>
      <c r="P205" s="10" t="n">
        <v>33.89</v>
      </c>
      <c r="Q205" s="8" t="n">
        <v>8462</v>
      </c>
      <c r="R205" s="8" t="n">
        <v>1790</v>
      </c>
      <c r="S205" s="8" t="s">
        <v>110</v>
      </c>
      <c r="T205" s="8" t="s">
        <v>291</v>
      </c>
      <c r="U205" s="8" t="s">
        <v>292</v>
      </c>
      <c r="V205" s="8"/>
      <c r="W205" s="8" t="s">
        <v>296</v>
      </c>
      <c r="X205" s="8" t="s">
        <v>360</v>
      </c>
      <c r="Y205" s="8" t="s">
        <v>3363</v>
      </c>
      <c r="Z205" s="8" t="s">
        <v>3364</v>
      </c>
    </row>
    <row r="206" customFormat="false" ht="15" hidden="false" customHeight="false" outlineLevel="0" collapsed="false">
      <c r="A206" s="8" t="s">
        <v>298</v>
      </c>
      <c r="B206" s="8" t="s">
        <v>21</v>
      </c>
      <c r="C206" s="8" t="s">
        <v>22</v>
      </c>
      <c r="D206" s="8" t="s">
        <v>615</v>
      </c>
      <c r="E206" s="8" t="s">
        <v>37</v>
      </c>
      <c r="F206" s="8" t="s">
        <v>51</v>
      </c>
      <c r="G206" s="8" t="s">
        <v>30</v>
      </c>
      <c r="H206" s="8" t="s">
        <v>31</v>
      </c>
      <c r="I206" s="8" t="n">
        <f aca="false">IF(EXACT(G206,H206),1,0)</f>
        <v>0</v>
      </c>
      <c r="J206" s="8" t="n">
        <v>0</v>
      </c>
      <c r="K206" s="8" t="s">
        <v>2333</v>
      </c>
      <c r="L206" s="8" t="n">
        <v>1</v>
      </c>
      <c r="M206" s="8" t="n">
        <v>3</v>
      </c>
      <c r="N206" s="8" t="s">
        <v>1641</v>
      </c>
      <c r="O206" s="8" t="n">
        <v>2</v>
      </c>
      <c r="P206" s="10" t="n">
        <v>33.18</v>
      </c>
      <c r="Q206" s="8" t="n">
        <v>8434</v>
      </c>
      <c r="R206" s="8" t="n">
        <v>1570</v>
      </c>
      <c r="S206" s="8" t="s">
        <v>150</v>
      </c>
      <c r="T206" s="8" t="s">
        <v>291</v>
      </c>
      <c r="U206" s="8" t="s">
        <v>292</v>
      </c>
      <c r="V206" s="8"/>
      <c r="W206" s="8" t="s">
        <v>299</v>
      </c>
      <c r="X206" s="8" t="s">
        <v>361</v>
      </c>
      <c r="Y206" s="8" t="s">
        <v>3365</v>
      </c>
      <c r="Z206" s="8" t="s">
        <v>3366</v>
      </c>
    </row>
    <row r="207" customFormat="false" ht="15" hidden="false" customHeight="false" outlineLevel="0" collapsed="false">
      <c r="A207" s="8" t="s">
        <v>298</v>
      </c>
      <c r="B207" s="8" t="s">
        <v>21</v>
      </c>
      <c r="C207" s="8" t="s">
        <v>22</v>
      </c>
      <c r="D207" s="8" t="s">
        <v>615</v>
      </c>
      <c r="E207" s="8" t="s">
        <v>37</v>
      </c>
      <c r="F207" s="8" t="s">
        <v>51</v>
      </c>
      <c r="G207" s="8" t="s">
        <v>30</v>
      </c>
      <c r="H207" s="8" t="s">
        <v>31</v>
      </c>
      <c r="I207" s="8" t="n">
        <f aca="false">IF(EXACT(G207,H207),1,0)</f>
        <v>0</v>
      </c>
      <c r="J207" s="8" t="n">
        <v>1</v>
      </c>
      <c r="K207" s="8" t="s">
        <v>116</v>
      </c>
      <c r="L207" s="8" t="n">
        <v>5</v>
      </c>
      <c r="M207" s="8" t="n">
        <v>3</v>
      </c>
      <c r="N207" s="8" t="s">
        <v>1641</v>
      </c>
      <c r="O207" s="8" t="n">
        <v>2</v>
      </c>
      <c r="P207" s="10" t="n">
        <v>43.21</v>
      </c>
      <c r="Q207" s="8" t="n">
        <v>8434</v>
      </c>
      <c r="R207" s="8" t="n">
        <v>2185</v>
      </c>
      <c r="S207" s="8" t="s">
        <v>150</v>
      </c>
      <c r="T207" s="8" t="s">
        <v>291</v>
      </c>
      <c r="U207" s="8" t="s">
        <v>292</v>
      </c>
      <c r="V207" s="8"/>
      <c r="W207" s="8" t="s">
        <v>299</v>
      </c>
      <c r="X207" s="8" t="s">
        <v>361</v>
      </c>
      <c r="Y207" s="8" t="s">
        <v>3367</v>
      </c>
      <c r="Z207" s="8" t="s">
        <v>3368</v>
      </c>
    </row>
    <row r="208" customFormat="false" ht="15" hidden="false" customHeight="false" outlineLevel="0" collapsed="false">
      <c r="A208" s="8" t="s">
        <v>298</v>
      </c>
      <c r="B208" s="8" t="s">
        <v>21</v>
      </c>
      <c r="C208" s="8" t="s">
        <v>22</v>
      </c>
      <c r="D208" s="8" t="s">
        <v>615</v>
      </c>
      <c r="E208" s="8" t="s">
        <v>37</v>
      </c>
      <c r="F208" s="8" t="s">
        <v>51</v>
      </c>
      <c r="G208" s="8" t="s">
        <v>30</v>
      </c>
      <c r="H208" s="8" t="s">
        <v>31</v>
      </c>
      <c r="I208" s="8" t="n">
        <f aca="false">IF(EXACT(G208,H208),1,0)</f>
        <v>0</v>
      </c>
      <c r="J208" s="8" t="n">
        <v>2</v>
      </c>
      <c r="K208" s="8" t="s">
        <v>2333</v>
      </c>
      <c r="L208" s="8" t="n">
        <v>1</v>
      </c>
      <c r="M208" s="8" t="n">
        <v>3</v>
      </c>
      <c r="N208" s="8" t="s">
        <v>1641</v>
      </c>
      <c r="O208" s="8" t="n">
        <v>2</v>
      </c>
      <c r="P208" s="10" t="n">
        <v>32.55</v>
      </c>
      <c r="Q208" s="8" t="n">
        <v>8434</v>
      </c>
      <c r="R208" s="8" t="n">
        <v>1686</v>
      </c>
      <c r="S208" s="8" t="s">
        <v>150</v>
      </c>
      <c r="T208" s="8" t="s">
        <v>291</v>
      </c>
      <c r="U208" s="8" t="s">
        <v>292</v>
      </c>
      <c r="V208" s="8"/>
      <c r="W208" s="8" t="s">
        <v>299</v>
      </c>
      <c r="X208" s="8" t="s">
        <v>361</v>
      </c>
      <c r="Y208" s="8" t="s">
        <v>3369</v>
      </c>
      <c r="Z208" s="8" t="s">
        <v>3370</v>
      </c>
    </row>
    <row r="209" customFormat="false" ht="15" hidden="false" customHeight="false" outlineLevel="0" collapsed="false">
      <c r="A209" s="8" t="s">
        <v>301</v>
      </c>
      <c r="B209" s="8" t="s">
        <v>21</v>
      </c>
      <c r="C209" s="8" t="s">
        <v>22</v>
      </c>
      <c r="D209" s="8" t="s">
        <v>615</v>
      </c>
      <c r="E209" s="8" t="s">
        <v>37</v>
      </c>
      <c r="F209" s="8" t="s">
        <v>51</v>
      </c>
      <c r="G209" s="8" t="s">
        <v>32</v>
      </c>
      <c r="H209" s="8" t="s">
        <v>32</v>
      </c>
      <c r="I209" s="8" t="n">
        <f aca="false">IF(EXACT(G209,H209),1,0)</f>
        <v>1</v>
      </c>
      <c r="J209" s="8" t="n">
        <v>0</v>
      </c>
      <c r="K209" s="8" t="s">
        <v>92</v>
      </c>
      <c r="L209" s="8" t="n">
        <v>0</v>
      </c>
      <c r="M209" s="8" t="n">
        <v>3</v>
      </c>
      <c r="N209" s="8" t="s">
        <v>1641</v>
      </c>
      <c r="O209" s="8" t="n">
        <v>2</v>
      </c>
      <c r="P209" s="10" t="n">
        <v>18.36</v>
      </c>
      <c r="Q209" s="8" t="n">
        <v>8243</v>
      </c>
      <c r="R209" s="8" t="n">
        <v>842</v>
      </c>
      <c r="S209" s="8" t="s">
        <v>132</v>
      </c>
      <c r="T209" s="8" t="s">
        <v>291</v>
      </c>
      <c r="U209" s="8" t="s">
        <v>292</v>
      </c>
      <c r="V209" s="8"/>
      <c r="W209" s="8" t="s">
        <v>302</v>
      </c>
      <c r="X209" s="8" t="s">
        <v>362</v>
      </c>
      <c r="Y209" s="8" t="s">
        <v>3371</v>
      </c>
      <c r="Z209" s="8"/>
    </row>
    <row r="210" customFormat="false" ht="15" hidden="false" customHeight="false" outlineLevel="0" collapsed="false">
      <c r="A210" s="8" t="s">
        <v>301</v>
      </c>
      <c r="B210" s="8" t="s">
        <v>21</v>
      </c>
      <c r="C210" s="8" t="s">
        <v>22</v>
      </c>
      <c r="D210" s="8" t="s">
        <v>615</v>
      </c>
      <c r="E210" s="8" t="s">
        <v>37</v>
      </c>
      <c r="F210" s="8" t="s">
        <v>51</v>
      </c>
      <c r="G210" s="8" t="s">
        <v>32</v>
      </c>
      <c r="H210" s="8" t="s">
        <v>32</v>
      </c>
      <c r="I210" s="8" t="n">
        <f aca="false">IF(EXACT(G210,H210),1,0)</f>
        <v>1</v>
      </c>
      <c r="J210" s="8" t="n">
        <v>1</v>
      </c>
      <c r="K210" s="8" t="s">
        <v>92</v>
      </c>
      <c r="L210" s="8" t="n">
        <v>0</v>
      </c>
      <c r="M210" s="8" t="n">
        <v>3</v>
      </c>
      <c r="N210" s="8" t="s">
        <v>1641</v>
      </c>
      <c r="O210" s="8" t="n">
        <v>2</v>
      </c>
      <c r="P210" s="10" t="n">
        <v>19.05</v>
      </c>
      <c r="Q210" s="8" t="n">
        <v>8243</v>
      </c>
      <c r="R210" s="8" t="n">
        <v>892</v>
      </c>
      <c r="S210" s="8" t="s">
        <v>132</v>
      </c>
      <c r="T210" s="8" t="s">
        <v>291</v>
      </c>
      <c r="U210" s="8" t="s">
        <v>292</v>
      </c>
      <c r="V210" s="8"/>
      <c r="W210" s="8" t="s">
        <v>302</v>
      </c>
      <c r="X210" s="8" t="s">
        <v>362</v>
      </c>
      <c r="Y210" s="8" t="s">
        <v>3372</v>
      </c>
      <c r="Z210" s="8"/>
    </row>
    <row r="211" customFormat="false" ht="15" hidden="false" customHeight="false" outlineLevel="0" collapsed="false">
      <c r="A211" s="8" t="s">
        <v>301</v>
      </c>
      <c r="B211" s="8" t="s">
        <v>21</v>
      </c>
      <c r="C211" s="8" t="s">
        <v>22</v>
      </c>
      <c r="D211" s="8" t="s">
        <v>615</v>
      </c>
      <c r="E211" s="8" t="s">
        <v>37</v>
      </c>
      <c r="F211" s="8" t="s">
        <v>51</v>
      </c>
      <c r="G211" s="8" t="s">
        <v>32</v>
      </c>
      <c r="H211" s="8" t="s">
        <v>32</v>
      </c>
      <c r="I211" s="8" t="n">
        <f aca="false">IF(EXACT(G211,H211),1,0)</f>
        <v>1</v>
      </c>
      <c r="J211" s="8" t="n">
        <v>2</v>
      </c>
      <c r="K211" s="8" t="s">
        <v>92</v>
      </c>
      <c r="L211" s="8" t="n">
        <v>0</v>
      </c>
      <c r="M211" s="8" t="n">
        <v>3</v>
      </c>
      <c r="N211" s="8" t="s">
        <v>1641</v>
      </c>
      <c r="O211" s="8" t="n">
        <v>2</v>
      </c>
      <c r="P211" s="10" t="n">
        <v>19.67</v>
      </c>
      <c r="Q211" s="8" t="n">
        <v>8243</v>
      </c>
      <c r="R211" s="8" t="n">
        <v>906</v>
      </c>
      <c r="S211" s="8" t="s">
        <v>132</v>
      </c>
      <c r="T211" s="8" t="s">
        <v>291</v>
      </c>
      <c r="U211" s="8" t="s">
        <v>292</v>
      </c>
      <c r="V211" s="8"/>
      <c r="W211" s="8" t="s">
        <v>302</v>
      </c>
      <c r="X211" s="8" t="s">
        <v>362</v>
      </c>
      <c r="Y211" s="8" t="s">
        <v>3373</v>
      </c>
      <c r="Z211" s="8"/>
    </row>
    <row r="212" customFormat="false" ht="15" hidden="false" customHeight="false" outlineLevel="0" collapsed="false">
      <c r="A212" s="8" t="s">
        <v>304</v>
      </c>
      <c r="B212" s="8" t="s">
        <v>21</v>
      </c>
      <c r="C212" s="8" t="s">
        <v>22</v>
      </c>
      <c r="D212" s="8" t="s">
        <v>615</v>
      </c>
      <c r="E212" s="8" t="s">
        <v>37</v>
      </c>
      <c r="F212" s="8" t="s">
        <v>51</v>
      </c>
      <c r="G212" s="8" t="s">
        <v>31</v>
      </c>
      <c r="H212" s="8" t="s">
        <v>31</v>
      </c>
      <c r="I212" s="8" t="n">
        <f aca="false">IF(EXACT(G212,H212),1,0)</f>
        <v>1</v>
      </c>
      <c r="J212" s="8" t="n">
        <v>0</v>
      </c>
      <c r="K212" s="8" t="s">
        <v>116</v>
      </c>
      <c r="L212" s="8" t="n">
        <v>4</v>
      </c>
      <c r="M212" s="8" t="n">
        <v>4</v>
      </c>
      <c r="N212" s="8" t="s">
        <v>3357</v>
      </c>
      <c r="O212" s="8" t="n">
        <v>2</v>
      </c>
      <c r="P212" s="10" t="n">
        <v>42.09</v>
      </c>
      <c r="Q212" s="8" t="n">
        <v>8633</v>
      </c>
      <c r="R212" s="8" t="n">
        <v>1886</v>
      </c>
      <c r="S212" s="8" t="s">
        <v>117</v>
      </c>
      <c r="T212" s="8" t="s">
        <v>291</v>
      </c>
      <c r="U212" s="8" t="s">
        <v>292</v>
      </c>
      <c r="V212" s="8"/>
      <c r="W212" s="8" t="s">
        <v>305</v>
      </c>
      <c r="X212" s="8" t="s">
        <v>363</v>
      </c>
      <c r="Y212" s="8" t="s">
        <v>3374</v>
      </c>
      <c r="Z212" s="8" t="s">
        <v>3375</v>
      </c>
    </row>
    <row r="213" customFormat="false" ht="15" hidden="false" customHeight="false" outlineLevel="0" collapsed="false">
      <c r="A213" s="8" t="s">
        <v>304</v>
      </c>
      <c r="B213" s="8" t="s">
        <v>21</v>
      </c>
      <c r="C213" s="8" t="s">
        <v>22</v>
      </c>
      <c r="D213" s="8" t="s">
        <v>615</v>
      </c>
      <c r="E213" s="8" t="s">
        <v>37</v>
      </c>
      <c r="F213" s="8" t="s">
        <v>51</v>
      </c>
      <c r="G213" s="8" t="s">
        <v>31</v>
      </c>
      <c r="H213" s="8" t="s">
        <v>31</v>
      </c>
      <c r="I213" s="8" t="n">
        <f aca="false">IF(EXACT(G213,H213),1,0)</f>
        <v>1</v>
      </c>
      <c r="J213" s="8" t="n">
        <v>1</v>
      </c>
      <c r="K213" s="8" t="s">
        <v>116</v>
      </c>
      <c r="L213" s="8" t="n">
        <v>4</v>
      </c>
      <c r="M213" s="8" t="n">
        <v>4</v>
      </c>
      <c r="N213" s="8" t="s">
        <v>3357</v>
      </c>
      <c r="O213" s="8" t="n">
        <v>2</v>
      </c>
      <c r="P213" s="10" t="n">
        <v>40.86</v>
      </c>
      <c r="Q213" s="8" t="n">
        <v>8633</v>
      </c>
      <c r="R213" s="8" t="n">
        <v>1957</v>
      </c>
      <c r="S213" s="8" t="s">
        <v>117</v>
      </c>
      <c r="T213" s="8" t="s">
        <v>291</v>
      </c>
      <c r="U213" s="8" t="s">
        <v>292</v>
      </c>
      <c r="V213" s="8"/>
      <c r="W213" s="8" t="s">
        <v>305</v>
      </c>
      <c r="X213" s="8" t="s">
        <v>363</v>
      </c>
      <c r="Y213" s="8" t="s">
        <v>3376</v>
      </c>
      <c r="Z213" s="8" t="s">
        <v>3377</v>
      </c>
    </row>
    <row r="214" customFormat="false" ht="15" hidden="false" customHeight="false" outlineLevel="0" collapsed="false">
      <c r="A214" s="8" t="s">
        <v>304</v>
      </c>
      <c r="B214" s="8" t="s">
        <v>21</v>
      </c>
      <c r="C214" s="8" t="s">
        <v>22</v>
      </c>
      <c r="D214" s="8" t="s">
        <v>615</v>
      </c>
      <c r="E214" s="8" t="s">
        <v>37</v>
      </c>
      <c r="F214" s="8" t="s">
        <v>51</v>
      </c>
      <c r="G214" s="8" t="s">
        <v>31</v>
      </c>
      <c r="H214" s="8" t="s">
        <v>31</v>
      </c>
      <c r="I214" s="8" t="n">
        <f aca="false">IF(EXACT(G214,H214),1,0)</f>
        <v>1</v>
      </c>
      <c r="J214" s="8" t="n">
        <v>2</v>
      </c>
      <c r="K214" s="8" t="s">
        <v>116</v>
      </c>
      <c r="L214" s="8" t="n">
        <v>3</v>
      </c>
      <c r="M214" s="8" t="n">
        <v>3</v>
      </c>
      <c r="N214" s="8" t="s">
        <v>3378</v>
      </c>
      <c r="O214" s="8" t="n">
        <v>2</v>
      </c>
      <c r="P214" s="10" t="n">
        <v>29.74</v>
      </c>
      <c r="Q214" s="8" t="n">
        <v>8360</v>
      </c>
      <c r="R214" s="8" t="n">
        <v>1566</v>
      </c>
      <c r="S214" s="8" t="s">
        <v>117</v>
      </c>
      <c r="T214" s="8" t="s">
        <v>291</v>
      </c>
      <c r="U214" s="8" t="s">
        <v>292</v>
      </c>
      <c r="V214" s="8"/>
      <c r="W214" s="8" t="s">
        <v>305</v>
      </c>
      <c r="X214" s="8" t="s">
        <v>363</v>
      </c>
      <c r="Y214" s="8" t="s">
        <v>3379</v>
      </c>
      <c r="Z214" s="8" t="s">
        <v>3380</v>
      </c>
    </row>
    <row r="215" customFormat="false" ht="15" hidden="false" customHeight="false" outlineLevel="0" collapsed="false">
      <c r="A215" s="8" t="s">
        <v>307</v>
      </c>
      <c r="B215" s="8" t="s">
        <v>21</v>
      </c>
      <c r="C215" s="8" t="s">
        <v>22</v>
      </c>
      <c r="D215" s="8" t="s">
        <v>615</v>
      </c>
      <c r="E215" s="8" t="s">
        <v>37</v>
      </c>
      <c r="F215" s="8" t="s">
        <v>51</v>
      </c>
      <c r="G215" s="8" t="s">
        <v>31</v>
      </c>
      <c r="H215" s="8" t="s">
        <v>31</v>
      </c>
      <c r="I215" s="8" t="n">
        <f aca="false">IF(EXACT(G215,H215),1,0)</f>
        <v>1</v>
      </c>
      <c r="J215" s="8" t="n">
        <v>0</v>
      </c>
      <c r="K215" s="8" t="s">
        <v>116</v>
      </c>
      <c r="L215" s="8" t="n">
        <v>1</v>
      </c>
      <c r="M215" s="8" t="n">
        <v>3</v>
      </c>
      <c r="N215" s="8" t="s">
        <v>3378</v>
      </c>
      <c r="O215" s="8" t="n">
        <v>2</v>
      </c>
      <c r="P215" s="10" t="n">
        <v>31.23</v>
      </c>
      <c r="Q215" s="8" t="n">
        <v>8077</v>
      </c>
      <c r="R215" s="8" t="n">
        <v>915</v>
      </c>
      <c r="S215" s="8" t="s">
        <v>308</v>
      </c>
      <c r="T215" s="8"/>
      <c r="U215" s="8"/>
      <c r="V215" s="8" t="s">
        <v>309</v>
      </c>
      <c r="W215" s="8"/>
      <c r="X215" s="8" t="s">
        <v>364</v>
      </c>
      <c r="Y215" s="8" t="s">
        <v>3381</v>
      </c>
      <c r="Z215" s="8" t="s">
        <v>3382</v>
      </c>
    </row>
    <row r="216" customFormat="false" ht="15" hidden="false" customHeight="false" outlineLevel="0" collapsed="false">
      <c r="A216" s="8" t="s">
        <v>307</v>
      </c>
      <c r="B216" s="8" t="s">
        <v>21</v>
      </c>
      <c r="C216" s="8" t="s">
        <v>22</v>
      </c>
      <c r="D216" s="8" t="s">
        <v>615</v>
      </c>
      <c r="E216" s="8" t="s">
        <v>37</v>
      </c>
      <c r="F216" s="8" t="s">
        <v>51</v>
      </c>
      <c r="G216" s="8" t="s">
        <v>31</v>
      </c>
      <c r="H216" s="8" t="s">
        <v>31</v>
      </c>
      <c r="I216" s="8" t="n">
        <f aca="false">IF(EXACT(G216,H216),1,0)</f>
        <v>1</v>
      </c>
      <c r="J216" s="8" t="n">
        <v>1</v>
      </c>
      <c r="K216" s="8" t="s">
        <v>116</v>
      </c>
      <c r="L216" s="8" t="n">
        <v>1</v>
      </c>
      <c r="M216" s="8" t="n">
        <v>3</v>
      </c>
      <c r="N216" s="8" t="s">
        <v>3378</v>
      </c>
      <c r="O216" s="8" t="n">
        <v>2</v>
      </c>
      <c r="P216" s="10" t="n">
        <v>20.27</v>
      </c>
      <c r="Q216" s="8" t="n">
        <v>8076</v>
      </c>
      <c r="R216" s="8" t="n">
        <v>890</v>
      </c>
      <c r="S216" s="8" t="s">
        <v>308</v>
      </c>
      <c r="T216" s="8"/>
      <c r="U216" s="8"/>
      <c r="V216" s="8" t="s">
        <v>309</v>
      </c>
      <c r="W216" s="8"/>
      <c r="X216" s="8" t="s">
        <v>364</v>
      </c>
      <c r="Y216" s="8" t="s">
        <v>3383</v>
      </c>
      <c r="Z216" s="8" t="s">
        <v>3384</v>
      </c>
    </row>
    <row r="217" customFormat="false" ht="15" hidden="false" customHeight="false" outlineLevel="0" collapsed="false">
      <c r="A217" s="8" t="s">
        <v>307</v>
      </c>
      <c r="B217" s="8" t="s">
        <v>21</v>
      </c>
      <c r="C217" s="8" t="s">
        <v>22</v>
      </c>
      <c r="D217" s="8" t="s">
        <v>615</v>
      </c>
      <c r="E217" s="8" t="s">
        <v>37</v>
      </c>
      <c r="F217" s="8" t="s">
        <v>51</v>
      </c>
      <c r="G217" s="8" t="s">
        <v>31</v>
      </c>
      <c r="H217" s="8" t="s">
        <v>31</v>
      </c>
      <c r="I217" s="8" t="n">
        <f aca="false">IF(EXACT(G217,H217),1,0)</f>
        <v>1</v>
      </c>
      <c r="J217" s="8" t="n">
        <v>2</v>
      </c>
      <c r="K217" s="8" t="s">
        <v>116</v>
      </c>
      <c r="L217" s="8" t="n">
        <v>1</v>
      </c>
      <c r="M217" s="8" t="n">
        <v>3</v>
      </c>
      <c r="N217" s="8" t="s">
        <v>3378</v>
      </c>
      <c r="O217" s="8" t="n">
        <v>2</v>
      </c>
      <c r="P217" s="10" t="n">
        <v>24.05</v>
      </c>
      <c r="Q217" s="8" t="n">
        <v>8077</v>
      </c>
      <c r="R217" s="8" t="n">
        <v>1057</v>
      </c>
      <c r="S217" s="8" t="s">
        <v>308</v>
      </c>
      <c r="T217" s="8"/>
      <c r="U217" s="8"/>
      <c r="V217" s="8" t="s">
        <v>309</v>
      </c>
      <c r="W217" s="8"/>
      <c r="X217" s="8" t="s">
        <v>364</v>
      </c>
      <c r="Y217" s="8" t="s">
        <v>3385</v>
      </c>
      <c r="Z217" s="8" t="s">
        <v>3386</v>
      </c>
    </row>
    <row r="218" customFormat="false" ht="15" hidden="false" customHeight="false" outlineLevel="0" collapsed="false">
      <c r="A218" s="8" t="s">
        <v>365</v>
      </c>
      <c r="B218" s="8" t="s">
        <v>21</v>
      </c>
      <c r="C218" s="8" t="s">
        <v>22</v>
      </c>
      <c r="D218" s="8" t="s">
        <v>615</v>
      </c>
      <c r="E218" s="8" t="s">
        <v>37</v>
      </c>
      <c r="F218" s="8" t="s">
        <v>55</v>
      </c>
      <c r="G218" s="8" t="s">
        <v>30</v>
      </c>
      <c r="H218" s="8" t="s">
        <v>31</v>
      </c>
      <c r="I218" s="8" t="n">
        <f aca="false">IF(EXACT(G218,H218),1,0)</f>
        <v>0</v>
      </c>
      <c r="J218" s="8" t="n">
        <v>0</v>
      </c>
      <c r="K218" s="8" t="s">
        <v>116</v>
      </c>
      <c r="L218" s="8" t="n">
        <v>2</v>
      </c>
      <c r="M218" s="8" t="n">
        <v>3</v>
      </c>
      <c r="N218" s="8" t="s">
        <v>1641</v>
      </c>
      <c r="O218" s="8" t="n">
        <v>2</v>
      </c>
      <c r="P218" s="10" t="n">
        <v>27.64</v>
      </c>
      <c r="Q218" s="8" t="n">
        <v>7791</v>
      </c>
      <c r="R218" s="8" t="n">
        <v>998</v>
      </c>
      <c r="S218" s="8" t="s">
        <v>366</v>
      </c>
      <c r="T218" s="8" t="s">
        <v>367</v>
      </c>
      <c r="U218" s="8" t="s">
        <v>368</v>
      </c>
      <c r="V218" s="8"/>
      <c r="W218" s="8" t="s">
        <v>369</v>
      </c>
      <c r="X218" s="8" t="s">
        <v>370</v>
      </c>
      <c r="Y218" s="8" t="s">
        <v>3387</v>
      </c>
      <c r="Z218" s="8" t="s">
        <v>3388</v>
      </c>
    </row>
    <row r="219" customFormat="false" ht="15" hidden="false" customHeight="false" outlineLevel="0" collapsed="false">
      <c r="A219" s="8" t="s">
        <v>365</v>
      </c>
      <c r="B219" s="8" t="s">
        <v>21</v>
      </c>
      <c r="C219" s="8" t="s">
        <v>22</v>
      </c>
      <c r="D219" s="8" t="s">
        <v>615</v>
      </c>
      <c r="E219" s="8" t="s">
        <v>37</v>
      </c>
      <c r="F219" s="8" t="s">
        <v>55</v>
      </c>
      <c r="G219" s="8" t="s">
        <v>30</v>
      </c>
      <c r="H219" s="8" t="s">
        <v>31</v>
      </c>
      <c r="I219" s="8" t="n">
        <f aca="false">IF(EXACT(G219,H219),1,0)</f>
        <v>0</v>
      </c>
      <c r="J219" s="8" t="n">
        <v>1</v>
      </c>
      <c r="K219" s="8" t="s">
        <v>116</v>
      </c>
      <c r="L219" s="8" t="n">
        <v>2</v>
      </c>
      <c r="M219" s="8" t="n">
        <v>3</v>
      </c>
      <c r="N219" s="8" t="s">
        <v>1641</v>
      </c>
      <c r="O219" s="8" t="n">
        <v>2</v>
      </c>
      <c r="P219" s="10" t="n">
        <v>23.34</v>
      </c>
      <c r="Q219" s="8" t="n">
        <v>7791</v>
      </c>
      <c r="R219" s="8" t="n">
        <v>962</v>
      </c>
      <c r="S219" s="8" t="s">
        <v>366</v>
      </c>
      <c r="T219" s="8" t="s">
        <v>367</v>
      </c>
      <c r="U219" s="8" t="s">
        <v>368</v>
      </c>
      <c r="V219" s="8"/>
      <c r="W219" s="8" t="s">
        <v>369</v>
      </c>
      <c r="X219" s="8" t="s">
        <v>370</v>
      </c>
      <c r="Y219" s="8" t="s">
        <v>3389</v>
      </c>
      <c r="Z219" s="8" t="s">
        <v>3390</v>
      </c>
    </row>
    <row r="220" customFormat="false" ht="15" hidden="false" customHeight="false" outlineLevel="0" collapsed="false">
      <c r="A220" s="8" t="s">
        <v>365</v>
      </c>
      <c r="B220" s="8" t="s">
        <v>21</v>
      </c>
      <c r="C220" s="8" t="s">
        <v>22</v>
      </c>
      <c r="D220" s="8" t="s">
        <v>615</v>
      </c>
      <c r="E220" s="8" t="s">
        <v>37</v>
      </c>
      <c r="F220" s="8" t="s">
        <v>55</v>
      </c>
      <c r="G220" s="8" t="s">
        <v>30</v>
      </c>
      <c r="H220" s="8" t="s">
        <v>31</v>
      </c>
      <c r="I220" s="8" t="n">
        <f aca="false">IF(EXACT(G220,H220),1,0)</f>
        <v>0</v>
      </c>
      <c r="J220" s="8" t="n">
        <v>2</v>
      </c>
      <c r="K220" s="8" t="s">
        <v>116</v>
      </c>
      <c r="L220" s="8" t="n">
        <v>2</v>
      </c>
      <c r="M220" s="8" t="n">
        <v>3</v>
      </c>
      <c r="N220" s="8" t="s">
        <v>1641</v>
      </c>
      <c r="O220" s="8" t="n">
        <v>2</v>
      </c>
      <c r="P220" s="10" t="n">
        <v>22.12</v>
      </c>
      <c r="Q220" s="8" t="n">
        <v>7789</v>
      </c>
      <c r="R220" s="8" t="n">
        <v>919</v>
      </c>
      <c r="S220" s="8" t="s">
        <v>366</v>
      </c>
      <c r="T220" s="8" t="s">
        <v>367</v>
      </c>
      <c r="U220" s="8" t="s">
        <v>368</v>
      </c>
      <c r="V220" s="8"/>
      <c r="W220" s="8" t="s">
        <v>369</v>
      </c>
      <c r="X220" s="8" t="s">
        <v>370</v>
      </c>
      <c r="Y220" s="8" t="s">
        <v>3391</v>
      </c>
      <c r="Z220" s="8" t="s">
        <v>3392</v>
      </c>
    </row>
    <row r="221" customFormat="false" ht="15" hidden="false" customHeight="false" outlineLevel="0" collapsed="false">
      <c r="A221" s="8" t="s">
        <v>371</v>
      </c>
      <c r="B221" s="8" t="s">
        <v>21</v>
      </c>
      <c r="C221" s="8" t="s">
        <v>22</v>
      </c>
      <c r="D221" s="8" t="s">
        <v>615</v>
      </c>
      <c r="E221" s="8" t="s">
        <v>37</v>
      </c>
      <c r="F221" s="8" t="s">
        <v>55</v>
      </c>
      <c r="G221" s="8" t="s">
        <v>30</v>
      </c>
      <c r="H221" s="8" t="s">
        <v>31</v>
      </c>
      <c r="I221" s="8" t="n">
        <f aca="false">IF(EXACT(G221,H221),1,0)</f>
        <v>0</v>
      </c>
      <c r="J221" s="8" t="n">
        <v>0</v>
      </c>
      <c r="K221" s="8" t="s">
        <v>2333</v>
      </c>
      <c r="L221" s="8" t="n">
        <v>1</v>
      </c>
      <c r="M221" s="8" t="n">
        <v>3</v>
      </c>
      <c r="N221" s="8" t="s">
        <v>1641</v>
      </c>
      <c r="O221" s="8" t="n">
        <v>2</v>
      </c>
      <c r="P221" s="10" t="n">
        <v>20.27</v>
      </c>
      <c r="Q221" s="8" t="n">
        <v>8256</v>
      </c>
      <c r="R221" s="8" t="n">
        <v>918</v>
      </c>
      <c r="S221" s="8" t="s">
        <v>180</v>
      </c>
      <c r="T221" s="8" t="s">
        <v>372</v>
      </c>
      <c r="U221" s="8" t="s">
        <v>373</v>
      </c>
      <c r="V221" s="8"/>
      <c r="W221" s="8" t="s">
        <v>374</v>
      </c>
      <c r="X221" s="8" t="s">
        <v>375</v>
      </c>
      <c r="Y221" s="8" t="s">
        <v>3393</v>
      </c>
      <c r="Z221" s="8" t="s">
        <v>3394</v>
      </c>
    </row>
    <row r="222" customFormat="false" ht="15" hidden="false" customHeight="false" outlineLevel="0" collapsed="false">
      <c r="A222" s="8" t="s">
        <v>371</v>
      </c>
      <c r="B222" s="8" t="s">
        <v>21</v>
      </c>
      <c r="C222" s="8" t="s">
        <v>22</v>
      </c>
      <c r="D222" s="8" t="s">
        <v>615</v>
      </c>
      <c r="E222" s="8" t="s">
        <v>37</v>
      </c>
      <c r="F222" s="8" t="s">
        <v>55</v>
      </c>
      <c r="G222" s="8" t="s">
        <v>30</v>
      </c>
      <c r="H222" s="8" t="s">
        <v>31</v>
      </c>
      <c r="I222" s="8" t="n">
        <f aca="false">IF(EXACT(G222,H222),1,0)</f>
        <v>0</v>
      </c>
      <c r="J222" s="8" t="n">
        <v>1</v>
      </c>
      <c r="K222" s="8" t="s">
        <v>2333</v>
      </c>
      <c r="L222" s="8" t="n">
        <v>1</v>
      </c>
      <c r="M222" s="8" t="n">
        <v>3</v>
      </c>
      <c r="N222" s="8" t="s">
        <v>1641</v>
      </c>
      <c r="O222" s="8" t="n">
        <v>2</v>
      </c>
      <c r="P222" s="10" t="n">
        <v>19.35</v>
      </c>
      <c r="Q222" s="8" t="n">
        <v>8256</v>
      </c>
      <c r="R222" s="8" t="n">
        <v>895</v>
      </c>
      <c r="S222" s="8" t="s">
        <v>180</v>
      </c>
      <c r="T222" s="8" t="s">
        <v>372</v>
      </c>
      <c r="U222" s="8" t="s">
        <v>373</v>
      </c>
      <c r="V222" s="8"/>
      <c r="W222" s="8" t="s">
        <v>374</v>
      </c>
      <c r="X222" s="8" t="s">
        <v>375</v>
      </c>
      <c r="Y222" s="8" t="s">
        <v>3395</v>
      </c>
      <c r="Z222" s="8" t="s">
        <v>3396</v>
      </c>
    </row>
    <row r="223" customFormat="false" ht="15" hidden="false" customHeight="false" outlineLevel="0" collapsed="false">
      <c r="A223" s="8" t="s">
        <v>371</v>
      </c>
      <c r="B223" s="8" t="s">
        <v>21</v>
      </c>
      <c r="C223" s="8" t="s">
        <v>22</v>
      </c>
      <c r="D223" s="8" t="s">
        <v>615</v>
      </c>
      <c r="E223" s="8" t="s">
        <v>37</v>
      </c>
      <c r="F223" s="8" t="s">
        <v>55</v>
      </c>
      <c r="G223" s="8" t="s">
        <v>30</v>
      </c>
      <c r="H223" s="8" t="s">
        <v>31</v>
      </c>
      <c r="I223" s="8" t="n">
        <f aca="false">IF(EXACT(G223,H223),1,0)</f>
        <v>0</v>
      </c>
      <c r="J223" s="8" t="n">
        <v>2</v>
      </c>
      <c r="K223" s="8" t="s">
        <v>116</v>
      </c>
      <c r="L223" s="8" t="n">
        <v>1</v>
      </c>
      <c r="M223" s="8" t="n">
        <v>3</v>
      </c>
      <c r="N223" s="8" t="s">
        <v>1641</v>
      </c>
      <c r="O223" s="8" t="n">
        <v>2</v>
      </c>
      <c r="P223" s="10" t="n">
        <v>19.04</v>
      </c>
      <c r="Q223" s="8" t="n">
        <v>8256</v>
      </c>
      <c r="R223" s="8" t="n">
        <v>901</v>
      </c>
      <c r="S223" s="8" t="s">
        <v>180</v>
      </c>
      <c r="T223" s="8" t="s">
        <v>372</v>
      </c>
      <c r="U223" s="8" t="s">
        <v>373</v>
      </c>
      <c r="V223" s="8"/>
      <c r="W223" s="8" t="s">
        <v>374</v>
      </c>
      <c r="X223" s="8" t="s">
        <v>375</v>
      </c>
      <c r="Y223" s="8" t="s">
        <v>3397</v>
      </c>
      <c r="Z223" s="8" t="s">
        <v>3398</v>
      </c>
    </row>
    <row r="224" customFormat="false" ht="15" hidden="false" customHeight="false" outlineLevel="0" collapsed="false">
      <c r="A224" s="8" t="s">
        <v>376</v>
      </c>
      <c r="B224" s="8" t="s">
        <v>21</v>
      </c>
      <c r="C224" s="8" t="s">
        <v>22</v>
      </c>
      <c r="D224" s="8" t="s">
        <v>615</v>
      </c>
      <c r="E224" s="8" t="s">
        <v>37</v>
      </c>
      <c r="F224" s="8" t="s">
        <v>55</v>
      </c>
      <c r="G224" s="8" t="s">
        <v>32</v>
      </c>
      <c r="H224" s="8" t="s">
        <v>31</v>
      </c>
      <c r="I224" s="8" t="n">
        <f aca="false">IF(EXACT(G224,H224),1,0)</f>
        <v>0</v>
      </c>
      <c r="J224" s="8" t="n">
        <v>0</v>
      </c>
      <c r="K224" s="8" t="s">
        <v>116</v>
      </c>
      <c r="L224" s="8" t="n">
        <v>2</v>
      </c>
      <c r="M224" s="8" t="n">
        <v>3</v>
      </c>
      <c r="N224" s="8" t="s">
        <v>1641</v>
      </c>
      <c r="O224" s="8" t="n">
        <v>2</v>
      </c>
      <c r="P224" s="10" t="n">
        <v>20.34</v>
      </c>
      <c r="Q224" s="8" t="n">
        <v>7771</v>
      </c>
      <c r="R224" s="8" t="n">
        <v>870</v>
      </c>
      <c r="S224" s="8" t="s">
        <v>132</v>
      </c>
      <c r="T224" s="8" t="s">
        <v>367</v>
      </c>
      <c r="U224" s="8" t="s">
        <v>368</v>
      </c>
      <c r="V224" s="8"/>
      <c r="W224" s="8" t="s">
        <v>377</v>
      </c>
      <c r="X224" s="8" t="s">
        <v>378</v>
      </c>
      <c r="Y224" s="8" t="s">
        <v>3399</v>
      </c>
      <c r="Z224" s="8" t="s">
        <v>3400</v>
      </c>
    </row>
    <row r="225" customFormat="false" ht="15" hidden="false" customHeight="false" outlineLevel="0" collapsed="false">
      <c r="A225" s="8" t="s">
        <v>376</v>
      </c>
      <c r="B225" s="8" t="s">
        <v>21</v>
      </c>
      <c r="C225" s="8" t="s">
        <v>22</v>
      </c>
      <c r="D225" s="8" t="s">
        <v>615</v>
      </c>
      <c r="E225" s="8" t="s">
        <v>37</v>
      </c>
      <c r="F225" s="8" t="s">
        <v>55</v>
      </c>
      <c r="G225" s="8" t="s">
        <v>32</v>
      </c>
      <c r="H225" s="8" t="s">
        <v>31</v>
      </c>
      <c r="I225" s="8" t="n">
        <f aca="false">IF(EXACT(G225,H225),1,0)</f>
        <v>0</v>
      </c>
      <c r="J225" s="8" t="n">
        <v>1</v>
      </c>
      <c r="K225" s="8" t="s">
        <v>116</v>
      </c>
      <c r="L225" s="8" t="n">
        <v>2</v>
      </c>
      <c r="M225" s="8" t="n">
        <v>3</v>
      </c>
      <c r="N225" s="8" t="s">
        <v>1641</v>
      </c>
      <c r="O225" s="8" t="n">
        <v>2</v>
      </c>
      <c r="P225" s="10" t="n">
        <v>19.66</v>
      </c>
      <c r="Q225" s="8" t="n">
        <v>7771</v>
      </c>
      <c r="R225" s="8" t="n">
        <v>879</v>
      </c>
      <c r="S225" s="8" t="s">
        <v>132</v>
      </c>
      <c r="T225" s="8" t="s">
        <v>367</v>
      </c>
      <c r="U225" s="8" t="s">
        <v>368</v>
      </c>
      <c r="V225" s="8"/>
      <c r="W225" s="8" t="s">
        <v>377</v>
      </c>
      <c r="X225" s="8" t="s">
        <v>378</v>
      </c>
      <c r="Y225" s="8" t="s">
        <v>3401</v>
      </c>
      <c r="Z225" s="8" t="s">
        <v>3402</v>
      </c>
    </row>
    <row r="226" customFormat="false" ht="15" hidden="false" customHeight="false" outlineLevel="0" collapsed="false">
      <c r="A226" s="8" t="s">
        <v>376</v>
      </c>
      <c r="B226" s="8" t="s">
        <v>21</v>
      </c>
      <c r="C226" s="8" t="s">
        <v>22</v>
      </c>
      <c r="D226" s="8" t="s">
        <v>615</v>
      </c>
      <c r="E226" s="8" t="s">
        <v>37</v>
      </c>
      <c r="F226" s="8" t="s">
        <v>55</v>
      </c>
      <c r="G226" s="8" t="s">
        <v>32</v>
      </c>
      <c r="H226" s="8" t="s">
        <v>31</v>
      </c>
      <c r="I226" s="8" t="n">
        <f aca="false">IF(EXACT(G226,H226),1,0)</f>
        <v>0</v>
      </c>
      <c r="J226" s="8" t="n">
        <v>2</v>
      </c>
      <c r="K226" s="8" t="s">
        <v>116</v>
      </c>
      <c r="L226" s="8" t="n">
        <v>2</v>
      </c>
      <c r="M226" s="8" t="n">
        <v>3</v>
      </c>
      <c r="N226" s="8" t="s">
        <v>1641</v>
      </c>
      <c r="O226" s="8" t="n">
        <v>2</v>
      </c>
      <c r="P226" s="10" t="n">
        <v>22.37</v>
      </c>
      <c r="Q226" s="8" t="n">
        <v>7771</v>
      </c>
      <c r="R226" s="8" t="n">
        <v>925</v>
      </c>
      <c r="S226" s="8" t="s">
        <v>132</v>
      </c>
      <c r="T226" s="8" t="s">
        <v>367</v>
      </c>
      <c r="U226" s="8" t="s">
        <v>368</v>
      </c>
      <c r="V226" s="8"/>
      <c r="W226" s="8" t="s">
        <v>377</v>
      </c>
      <c r="X226" s="8" t="s">
        <v>378</v>
      </c>
      <c r="Y226" s="8" t="s">
        <v>3403</v>
      </c>
      <c r="Z226" s="8" t="s">
        <v>3404</v>
      </c>
    </row>
    <row r="227" customFormat="false" ht="15" hidden="false" customHeight="false" outlineLevel="0" collapsed="false">
      <c r="A227" s="8" t="s">
        <v>379</v>
      </c>
      <c r="B227" s="8" t="s">
        <v>21</v>
      </c>
      <c r="C227" s="8" t="s">
        <v>22</v>
      </c>
      <c r="D227" s="8" t="s">
        <v>615</v>
      </c>
      <c r="E227" s="8" t="s">
        <v>37</v>
      </c>
      <c r="F227" s="8" t="s">
        <v>55</v>
      </c>
      <c r="G227" s="8" t="s">
        <v>31</v>
      </c>
      <c r="H227" s="8" t="s">
        <v>31</v>
      </c>
      <c r="I227" s="8" t="n">
        <f aca="false">IF(EXACT(G227,H227),1,0)</f>
        <v>1</v>
      </c>
      <c r="J227" s="8" t="n">
        <v>0</v>
      </c>
      <c r="K227" s="8" t="s">
        <v>116</v>
      </c>
      <c r="L227" s="8" t="n">
        <v>2</v>
      </c>
      <c r="M227" s="8" t="n">
        <v>3</v>
      </c>
      <c r="N227" s="8" t="s">
        <v>1641</v>
      </c>
      <c r="O227" s="8" t="n">
        <v>2</v>
      </c>
      <c r="P227" s="10" t="n">
        <v>22.73</v>
      </c>
      <c r="Q227" s="8" t="n">
        <v>7799</v>
      </c>
      <c r="R227" s="8" t="n">
        <v>976</v>
      </c>
      <c r="S227" s="8" t="s">
        <v>255</v>
      </c>
      <c r="T227" s="8" t="s">
        <v>367</v>
      </c>
      <c r="U227" s="8" t="s">
        <v>368</v>
      </c>
      <c r="V227" s="8"/>
      <c r="W227" s="8" t="s">
        <v>380</v>
      </c>
      <c r="X227" s="8" t="s">
        <v>381</v>
      </c>
      <c r="Y227" s="8" t="s">
        <v>3405</v>
      </c>
      <c r="Z227" s="8" t="s">
        <v>3406</v>
      </c>
    </row>
    <row r="228" customFormat="false" ht="15" hidden="false" customHeight="false" outlineLevel="0" collapsed="false">
      <c r="A228" s="8" t="s">
        <v>379</v>
      </c>
      <c r="B228" s="8" t="s">
        <v>21</v>
      </c>
      <c r="C228" s="8" t="s">
        <v>22</v>
      </c>
      <c r="D228" s="8" t="s">
        <v>615</v>
      </c>
      <c r="E228" s="8" t="s">
        <v>37</v>
      </c>
      <c r="F228" s="8" t="s">
        <v>55</v>
      </c>
      <c r="G228" s="8" t="s">
        <v>31</v>
      </c>
      <c r="H228" s="8" t="s">
        <v>31</v>
      </c>
      <c r="I228" s="8" t="n">
        <f aca="false">IF(EXACT(G228,H228),1,0)</f>
        <v>1</v>
      </c>
      <c r="J228" s="8" t="n">
        <v>1</v>
      </c>
      <c r="K228" s="8" t="s">
        <v>116</v>
      </c>
      <c r="L228" s="8" t="n">
        <v>3</v>
      </c>
      <c r="M228" s="8" t="n">
        <v>3</v>
      </c>
      <c r="N228" s="8" t="s">
        <v>1641</v>
      </c>
      <c r="O228" s="8" t="n">
        <v>2</v>
      </c>
      <c r="P228" s="10" t="n">
        <v>23.04</v>
      </c>
      <c r="Q228" s="8" t="n">
        <v>7801</v>
      </c>
      <c r="R228" s="8" t="n">
        <v>1053</v>
      </c>
      <c r="S228" s="8" t="s">
        <v>255</v>
      </c>
      <c r="T228" s="8" t="s">
        <v>367</v>
      </c>
      <c r="U228" s="8" t="s">
        <v>368</v>
      </c>
      <c r="V228" s="8"/>
      <c r="W228" s="8" t="s">
        <v>380</v>
      </c>
      <c r="X228" s="8" t="s">
        <v>381</v>
      </c>
      <c r="Y228" s="8" t="s">
        <v>3407</v>
      </c>
      <c r="Z228" s="8" t="s">
        <v>3408</v>
      </c>
    </row>
    <row r="229" customFormat="false" ht="15" hidden="false" customHeight="false" outlineLevel="0" collapsed="false">
      <c r="A229" s="8" t="s">
        <v>379</v>
      </c>
      <c r="B229" s="8" t="s">
        <v>21</v>
      </c>
      <c r="C229" s="8" t="s">
        <v>22</v>
      </c>
      <c r="D229" s="8" t="s">
        <v>615</v>
      </c>
      <c r="E229" s="8" t="s">
        <v>37</v>
      </c>
      <c r="F229" s="8" t="s">
        <v>55</v>
      </c>
      <c r="G229" s="8" t="s">
        <v>31</v>
      </c>
      <c r="H229" s="8" t="s">
        <v>31</v>
      </c>
      <c r="I229" s="8" t="n">
        <f aca="false">IF(EXACT(G229,H229),1,0)</f>
        <v>1</v>
      </c>
      <c r="J229" s="8" t="n">
        <v>2</v>
      </c>
      <c r="K229" s="8" t="s">
        <v>116</v>
      </c>
      <c r="L229" s="8" t="n">
        <v>2</v>
      </c>
      <c r="M229" s="8" t="n">
        <v>3</v>
      </c>
      <c r="N229" s="8" t="s">
        <v>1641</v>
      </c>
      <c r="O229" s="8" t="n">
        <v>2</v>
      </c>
      <c r="P229" s="10" t="n">
        <v>23.14</v>
      </c>
      <c r="Q229" s="8" t="n">
        <v>7801</v>
      </c>
      <c r="R229" s="8" t="n">
        <v>939</v>
      </c>
      <c r="S229" s="8" t="s">
        <v>255</v>
      </c>
      <c r="T229" s="8" t="s">
        <v>367</v>
      </c>
      <c r="U229" s="8" t="s">
        <v>368</v>
      </c>
      <c r="V229" s="8"/>
      <c r="W229" s="8" t="s">
        <v>380</v>
      </c>
      <c r="X229" s="8" t="s">
        <v>381</v>
      </c>
      <c r="Y229" s="8" t="s">
        <v>3409</v>
      </c>
      <c r="Z229" s="8" t="s">
        <v>3410</v>
      </c>
    </row>
    <row r="230" customFormat="false" ht="15" hidden="false" customHeight="false" outlineLevel="0" collapsed="false">
      <c r="A230" s="8" t="s">
        <v>383</v>
      </c>
      <c r="B230" s="8" t="s">
        <v>21</v>
      </c>
      <c r="C230" s="8" t="s">
        <v>22</v>
      </c>
      <c r="D230" s="8" t="s">
        <v>615</v>
      </c>
      <c r="E230" s="8" t="s">
        <v>37</v>
      </c>
      <c r="F230" s="8" t="s">
        <v>55</v>
      </c>
      <c r="G230" s="8" t="s">
        <v>32</v>
      </c>
      <c r="H230" s="8" t="s">
        <v>31</v>
      </c>
      <c r="I230" s="8" t="n">
        <f aca="false">IF(EXACT(G230,H230),1,0)</f>
        <v>0</v>
      </c>
      <c r="J230" s="8" t="n">
        <v>0</v>
      </c>
      <c r="K230" s="8" t="s">
        <v>116</v>
      </c>
      <c r="L230" s="8" t="n">
        <v>2</v>
      </c>
      <c r="M230" s="8" t="n">
        <v>3</v>
      </c>
      <c r="N230" s="8" t="s">
        <v>1641</v>
      </c>
      <c r="O230" s="8" t="n">
        <v>2</v>
      </c>
      <c r="P230" s="10" t="n">
        <v>19.36</v>
      </c>
      <c r="Q230" s="8" t="n">
        <v>7736</v>
      </c>
      <c r="R230" s="8" t="n">
        <v>780</v>
      </c>
      <c r="S230" s="8" t="s">
        <v>384</v>
      </c>
      <c r="T230" s="8" t="s">
        <v>372</v>
      </c>
      <c r="U230" s="8" t="s">
        <v>373</v>
      </c>
      <c r="V230" s="8"/>
      <c r="W230" s="8" t="s">
        <v>385</v>
      </c>
      <c r="X230" s="8" t="s">
        <v>386</v>
      </c>
      <c r="Y230" s="8" t="s">
        <v>3411</v>
      </c>
      <c r="Z230" s="8" t="s">
        <v>3412</v>
      </c>
    </row>
    <row r="231" customFormat="false" ht="15" hidden="false" customHeight="false" outlineLevel="0" collapsed="false">
      <c r="A231" s="8" t="s">
        <v>383</v>
      </c>
      <c r="B231" s="8" t="s">
        <v>21</v>
      </c>
      <c r="C231" s="8" t="s">
        <v>22</v>
      </c>
      <c r="D231" s="8" t="s">
        <v>615</v>
      </c>
      <c r="E231" s="8" t="s">
        <v>37</v>
      </c>
      <c r="F231" s="8" t="s">
        <v>55</v>
      </c>
      <c r="G231" s="8" t="s">
        <v>32</v>
      </c>
      <c r="H231" s="8" t="s">
        <v>31</v>
      </c>
      <c r="I231" s="8" t="n">
        <f aca="false">IF(EXACT(G231,H231),1,0)</f>
        <v>0</v>
      </c>
      <c r="J231" s="8" t="n">
        <v>1</v>
      </c>
      <c r="K231" s="8" t="s">
        <v>116</v>
      </c>
      <c r="L231" s="8" t="n">
        <v>2</v>
      </c>
      <c r="M231" s="8" t="n">
        <v>3</v>
      </c>
      <c r="N231" s="8" t="s">
        <v>1641</v>
      </c>
      <c r="O231" s="8" t="n">
        <v>2</v>
      </c>
      <c r="P231" s="10" t="n">
        <v>19.33</v>
      </c>
      <c r="Q231" s="8" t="n">
        <v>7736</v>
      </c>
      <c r="R231" s="8" t="n">
        <v>785</v>
      </c>
      <c r="S231" s="8" t="s">
        <v>384</v>
      </c>
      <c r="T231" s="8" t="s">
        <v>372</v>
      </c>
      <c r="U231" s="8" t="s">
        <v>373</v>
      </c>
      <c r="V231" s="8"/>
      <c r="W231" s="8" t="s">
        <v>385</v>
      </c>
      <c r="X231" s="8" t="s">
        <v>386</v>
      </c>
      <c r="Y231" s="8" t="s">
        <v>3413</v>
      </c>
      <c r="Z231" s="8" t="s">
        <v>3414</v>
      </c>
    </row>
    <row r="232" customFormat="false" ht="15" hidden="false" customHeight="false" outlineLevel="0" collapsed="false">
      <c r="A232" s="8" t="s">
        <v>383</v>
      </c>
      <c r="B232" s="8" t="s">
        <v>21</v>
      </c>
      <c r="C232" s="8" t="s">
        <v>22</v>
      </c>
      <c r="D232" s="8" t="s">
        <v>615</v>
      </c>
      <c r="E232" s="8" t="s">
        <v>37</v>
      </c>
      <c r="F232" s="8" t="s">
        <v>55</v>
      </c>
      <c r="G232" s="8" t="s">
        <v>32</v>
      </c>
      <c r="H232" s="8" t="s">
        <v>31</v>
      </c>
      <c r="I232" s="8" t="n">
        <f aca="false">IF(EXACT(G232,H232),1,0)</f>
        <v>0</v>
      </c>
      <c r="J232" s="8" t="n">
        <v>2</v>
      </c>
      <c r="K232" s="8" t="s">
        <v>116</v>
      </c>
      <c r="L232" s="8" t="n">
        <v>2</v>
      </c>
      <c r="M232" s="8" t="n">
        <v>3</v>
      </c>
      <c r="N232" s="8" t="s">
        <v>1641</v>
      </c>
      <c r="O232" s="8" t="n">
        <v>2</v>
      </c>
      <c r="P232" s="10" t="n">
        <v>23.07</v>
      </c>
      <c r="Q232" s="8" t="n">
        <v>7736</v>
      </c>
      <c r="R232" s="8" t="n">
        <v>869</v>
      </c>
      <c r="S232" s="8" t="s">
        <v>384</v>
      </c>
      <c r="T232" s="8" t="s">
        <v>372</v>
      </c>
      <c r="U232" s="8" t="s">
        <v>373</v>
      </c>
      <c r="V232" s="8"/>
      <c r="W232" s="8" t="s">
        <v>385</v>
      </c>
      <c r="X232" s="8" t="s">
        <v>386</v>
      </c>
      <c r="Y232" s="8" t="s">
        <v>3415</v>
      </c>
      <c r="Z232" s="8" t="s">
        <v>3416</v>
      </c>
    </row>
    <row r="233" customFormat="false" ht="15" hidden="false" customHeight="false" outlineLevel="0" collapsed="false">
      <c r="A233" s="8" t="s">
        <v>387</v>
      </c>
      <c r="B233" s="8" t="s">
        <v>21</v>
      </c>
      <c r="C233" s="8" t="s">
        <v>22</v>
      </c>
      <c r="D233" s="8" t="s">
        <v>615</v>
      </c>
      <c r="E233" s="8" t="s">
        <v>37</v>
      </c>
      <c r="F233" s="8" t="s">
        <v>55</v>
      </c>
      <c r="G233" s="8" t="s">
        <v>31</v>
      </c>
      <c r="H233" s="8" t="s">
        <v>31</v>
      </c>
      <c r="I233" s="8" t="n">
        <f aca="false">IF(EXACT(G233,H233),1,0)</f>
        <v>1</v>
      </c>
      <c r="J233" s="8" t="n">
        <v>0</v>
      </c>
      <c r="K233" s="8" t="s">
        <v>116</v>
      </c>
      <c r="L233" s="8" t="n">
        <v>2</v>
      </c>
      <c r="M233" s="8" t="n">
        <v>3</v>
      </c>
      <c r="N233" s="8" t="s">
        <v>1641</v>
      </c>
      <c r="O233" s="8" t="n">
        <v>2</v>
      </c>
      <c r="P233" s="10" t="n">
        <v>23.37</v>
      </c>
      <c r="Q233" s="8" t="n">
        <v>7916</v>
      </c>
      <c r="R233" s="8" t="n">
        <v>1038</v>
      </c>
      <c r="S233" s="8" t="s">
        <v>388</v>
      </c>
      <c r="T233" s="8" t="s">
        <v>367</v>
      </c>
      <c r="U233" s="8" t="s">
        <v>368</v>
      </c>
      <c r="V233" s="8"/>
      <c r="W233" s="8" t="s">
        <v>389</v>
      </c>
      <c r="X233" s="8" t="s">
        <v>390</v>
      </c>
      <c r="Y233" s="8" t="s">
        <v>3417</v>
      </c>
      <c r="Z233" s="8" t="s">
        <v>3418</v>
      </c>
    </row>
    <row r="234" customFormat="false" ht="15" hidden="false" customHeight="false" outlineLevel="0" collapsed="false">
      <c r="A234" s="8" t="s">
        <v>387</v>
      </c>
      <c r="B234" s="8" t="s">
        <v>21</v>
      </c>
      <c r="C234" s="8" t="s">
        <v>22</v>
      </c>
      <c r="D234" s="8" t="s">
        <v>615</v>
      </c>
      <c r="E234" s="8" t="s">
        <v>37</v>
      </c>
      <c r="F234" s="8" t="s">
        <v>55</v>
      </c>
      <c r="G234" s="8" t="s">
        <v>31</v>
      </c>
      <c r="H234" s="8" t="s">
        <v>31</v>
      </c>
      <c r="I234" s="8" t="n">
        <f aca="false">IF(EXACT(G234,H234),1,0)</f>
        <v>1</v>
      </c>
      <c r="J234" s="8" t="n">
        <v>1</v>
      </c>
      <c r="K234" s="8" t="s">
        <v>116</v>
      </c>
      <c r="L234" s="8" t="n">
        <v>4</v>
      </c>
      <c r="M234" s="8" t="n">
        <v>3</v>
      </c>
      <c r="N234" s="8" t="s">
        <v>1641</v>
      </c>
      <c r="O234" s="8" t="n">
        <v>2</v>
      </c>
      <c r="P234" s="10" t="n">
        <v>30.69</v>
      </c>
      <c r="Q234" s="8" t="n">
        <v>7916</v>
      </c>
      <c r="R234" s="8" t="n">
        <v>1447</v>
      </c>
      <c r="S234" s="8" t="s">
        <v>388</v>
      </c>
      <c r="T234" s="8" t="s">
        <v>367</v>
      </c>
      <c r="U234" s="8" t="s">
        <v>368</v>
      </c>
      <c r="V234" s="8"/>
      <c r="W234" s="8" t="s">
        <v>389</v>
      </c>
      <c r="X234" s="8" t="s">
        <v>390</v>
      </c>
      <c r="Y234" s="8" t="s">
        <v>3419</v>
      </c>
      <c r="Z234" s="8" t="s">
        <v>3420</v>
      </c>
    </row>
    <row r="235" customFormat="false" ht="15" hidden="false" customHeight="false" outlineLevel="0" collapsed="false">
      <c r="A235" s="8" t="s">
        <v>387</v>
      </c>
      <c r="B235" s="8" t="s">
        <v>21</v>
      </c>
      <c r="C235" s="8" t="s">
        <v>22</v>
      </c>
      <c r="D235" s="8" t="s">
        <v>615</v>
      </c>
      <c r="E235" s="8" t="s">
        <v>37</v>
      </c>
      <c r="F235" s="8" t="s">
        <v>55</v>
      </c>
      <c r="G235" s="8" t="s">
        <v>31</v>
      </c>
      <c r="H235" s="8" t="s">
        <v>31</v>
      </c>
      <c r="I235" s="8" t="n">
        <f aca="false">IF(EXACT(G235,H235),1,0)</f>
        <v>1</v>
      </c>
      <c r="J235" s="8" t="n">
        <v>2</v>
      </c>
      <c r="K235" s="8" t="s">
        <v>116</v>
      </c>
      <c r="L235" s="8" t="n">
        <v>2</v>
      </c>
      <c r="M235" s="8" t="n">
        <v>3</v>
      </c>
      <c r="N235" s="8" t="s">
        <v>1641</v>
      </c>
      <c r="O235" s="8" t="n">
        <v>2</v>
      </c>
      <c r="P235" s="10" t="n">
        <v>27.34</v>
      </c>
      <c r="Q235" s="8" t="n">
        <v>7916</v>
      </c>
      <c r="R235" s="8" t="n">
        <v>1161</v>
      </c>
      <c r="S235" s="8" t="s">
        <v>388</v>
      </c>
      <c r="T235" s="8" t="s">
        <v>367</v>
      </c>
      <c r="U235" s="8" t="s">
        <v>368</v>
      </c>
      <c r="V235" s="8"/>
      <c r="W235" s="8" t="s">
        <v>389</v>
      </c>
      <c r="X235" s="8" t="s">
        <v>390</v>
      </c>
      <c r="Y235" s="8" t="s">
        <v>3421</v>
      </c>
      <c r="Z235" s="8" t="s">
        <v>3422</v>
      </c>
    </row>
    <row r="236" customFormat="false" ht="15" hidden="false" customHeight="false" outlineLevel="0" collapsed="false">
      <c r="A236" s="8" t="s">
        <v>391</v>
      </c>
      <c r="B236" s="8" t="s">
        <v>21</v>
      </c>
      <c r="C236" s="8" t="s">
        <v>22</v>
      </c>
      <c r="D236" s="8" t="s">
        <v>615</v>
      </c>
      <c r="E236" s="8" t="s">
        <v>37</v>
      </c>
      <c r="F236" s="8" t="s">
        <v>59</v>
      </c>
      <c r="G236" s="8" t="s">
        <v>31</v>
      </c>
      <c r="H236" s="8" t="s">
        <v>31</v>
      </c>
      <c r="I236" s="8" t="n">
        <f aca="false">IF(EXACT(G236,H236),1,0)</f>
        <v>1</v>
      </c>
      <c r="J236" s="8" t="n">
        <v>0</v>
      </c>
      <c r="K236" s="8" t="s">
        <v>2333</v>
      </c>
      <c r="L236" s="8" t="n">
        <v>1</v>
      </c>
      <c r="M236" s="8" t="n">
        <v>3</v>
      </c>
      <c r="N236" s="8" t="s">
        <v>1641</v>
      </c>
      <c r="O236" s="8" t="n">
        <v>2</v>
      </c>
      <c r="P236" s="10" t="n">
        <v>23.11</v>
      </c>
      <c r="Q236" s="8" t="n">
        <v>8981</v>
      </c>
      <c r="R236" s="8" t="n">
        <v>1143</v>
      </c>
      <c r="S236" s="8" t="s">
        <v>392</v>
      </c>
      <c r="T236" s="8"/>
      <c r="U236" s="8"/>
      <c r="V236" s="8" t="s">
        <v>155</v>
      </c>
      <c r="W236" s="8"/>
      <c r="X236" s="8" t="s">
        <v>393</v>
      </c>
      <c r="Y236" s="8" t="s">
        <v>3423</v>
      </c>
      <c r="Z236" s="8" t="s">
        <v>3424</v>
      </c>
    </row>
    <row r="237" customFormat="false" ht="15" hidden="false" customHeight="false" outlineLevel="0" collapsed="false">
      <c r="A237" s="8" t="s">
        <v>391</v>
      </c>
      <c r="B237" s="8" t="s">
        <v>21</v>
      </c>
      <c r="C237" s="8" t="s">
        <v>22</v>
      </c>
      <c r="D237" s="8" t="s">
        <v>615</v>
      </c>
      <c r="E237" s="8" t="s">
        <v>37</v>
      </c>
      <c r="F237" s="8" t="s">
        <v>59</v>
      </c>
      <c r="G237" s="8" t="s">
        <v>31</v>
      </c>
      <c r="H237" s="8" t="s">
        <v>31</v>
      </c>
      <c r="I237" s="8" t="n">
        <f aca="false">IF(EXACT(G237,H237),1,0)</f>
        <v>1</v>
      </c>
      <c r="J237" s="8" t="n">
        <v>1</v>
      </c>
      <c r="K237" s="8" t="s">
        <v>2333</v>
      </c>
      <c r="L237" s="8" t="n">
        <v>1</v>
      </c>
      <c r="M237" s="8" t="n">
        <v>3</v>
      </c>
      <c r="N237" s="8" t="s">
        <v>1641</v>
      </c>
      <c r="O237" s="8" t="n">
        <v>2</v>
      </c>
      <c r="P237" s="10" t="n">
        <v>24.08</v>
      </c>
      <c r="Q237" s="8" t="n">
        <v>8983</v>
      </c>
      <c r="R237" s="8" t="n">
        <v>1191</v>
      </c>
      <c r="S237" s="8" t="s">
        <v>392</v>
      </c>
      <c r="T237" s="8"/>
      <c r="U237" s="8"/>
      <c r="V237" s="8" t="s">
        <v>155</v>
      </c>
      <c r="W237" s="8"/>
      <c r="X237" s="8" t="s">
        <v>393</v>
      </c>
      <c r="Y237" s="8" t="s">
        <v>3425</v>
      </c>
      <c r="Z237" s="8" t="s">
        <v>3426</v>
      </c>
    </row>
    <row r="238" customFormat="false" ht="15" hidden="false" customHeight="false" outlineLevel="0" collapsed="false">
      <c r="A238" s="8" t="s">
        <v>391</v>
      </c>
      <c r="B238" s="8" t="s">
        <v>21</v>
      </c>
      <c r="C238" s="8" t="s">
        <v>22</v>
      </c>
      <c r="D238" s="8" t="s">
        <v>615</v>
      </c>
      <c r="E238" s="8" t="s">
        <v>37</v>
      </c>
      <c r="F238" s="8" t="s">
        <v>59</v>
      </c>
      <c r="G238" s="8" t="s">
        <v>31</v>
      </c>
      <c r="H238" s="8" t="s">
        <v>31</v>
      </c>
      <c r="I238" s="8" t="n">
        <f aca="false">IF(EXACT(G238,H238),1,0)</f>
        <v>1</v>
      </c>
      <c r="J238" s="8" t="n">
        <v>2</v>
      </c>
      <c r="K238" s="8" t="s">
        <v>2333</v>
      </c>
      <c r="L238" s="8" t="n">
        <v>1</v>
      </c>
      <c r="M238" s="8" t="n">
        <v>3</v>
      </c>
      <c r="N238" s="8" t="s">
        <v>1641</v>
      </c>
      <c r="O238" s="8" t="n">
        <v>2</v>
      </c>
      <c r="P238" s="10" t="n">
        <v>26.96</v>
      </c>
      <c r="Q238" s="8" t="n">
        <v>8982</v>
      </c>
      <c r="R238" s="8" t="n">
        <v>1434</v>
      </c>
      <c r="S238" s="8" t="s">
        <v>392</v>
      </c>
      <c r="T238" s="8"/>
      <c r="U238" s="8"/>
      <c r="V238" s="8" t="s">
        <v>155</v>
      </c>
      <c r="W238" s="8"/>
      <c r="X238" s="8" t="s">
        <v>393</v>
      </c>
      <c r="Y238" s="8" t="s">
        <v>3427</v>
      </c>
      <c r="Z238" s="8" t="s">
        <v>3428</v>
      </c>
    </row>
    <row r="239" customFormat="false" ht="15" hidden="false" customHeight="false" outlineLevel="0" collapsed="false">
      <c r="A239" s="8" t="s">
        <v>395</v>
      </c>
      <c r="B239" s="8" t="s">
        <v>21</v>
      </c>
      <c r="C239" s="8" t="s">
        <v>22</v>
      </c>
      <c r="D239" s="8" t="s">
        <v>615</v>
      </c>
      <c r="E239" s="8" t="s">
        <v>37</v>
      </c>
      <c r="F239" s="8" t="s">
        <v>59</v>
      </c>
      <c r="G239" s="8" t="s">
        <v>31</v>
      </c>
      <c r="H239" s="8" t="s">
        <v>31</v>
      </c>
      <c r="I239" s="8" t="n">
        <f aca="false">IF(EXACT(G239,H239),1,0)</f>
        <v>1</v>
      </c>
      <c r="J239" s="8" t="n">
        <v>0</v>
      </c>
      <c r="K239" s="8" t="s">
        <v>737</v>
      </c>
      <c r="L239" s="8" t="n">
        <v>3</v>
      </c>
      <c r="M239" s="8" t="n">
        <v>3</v>
      </c>
      <c r="N239" s="8" t="s">
        <v>1641</v>
      </c>
      <c r="O239" s="8" t="n">
        <v>2</v>
      </c>
      <c r="P239" s="10" t="n">
        <v>22.83</v>
      </c>
      <c r="Q239" s="8" t="n">
        <v>8281</v>
      </c>
      <c r="R239" s="8" t="n">
        <v>1234</v>
      </c>
      <c r="S239" s="8" t="s">
        <v>396</v>
      </c>
      <c r="T239" s="8"/>
      <c r="U239" s="8"/>
      <c r="V239" s="8" t="s">
        <v>155</v>
      </c>
      <c r="W239" s="8"/>
      <c r="X239" s="8" t="s">
        <v>397</v>
      </c>
      <c r="Y239" s="8" t="s">
        <v>3429</v>
      </c>
      <c r="Z239" s="8" t="s">
        <v>3430</v>
      </c>
    </row>
    <row r="240" customFormat="false" ht="15" hidden="false" customHeight="false" outlineLevel="0" collapsed="false">
      <c r="A240" s="8" t="s">
        <v>395</v>
      </c>
      <c r="B240" s="8" t="s">
        <v>21</v>
      </c>
      <c r="C240" s="8" t="s">
        <v>22</v>
      </c>
      <c r="D240" s="8" t="s">
        <v>615</v>
      </c>
      <c r="E240" s="8" t="s">
        <v>37</v>
      </c>
      <c r="F240" s="8" t="s">
        <v>59</v>
      </c>
      <c r="G240" s="8" t="s">
        <v>31</v>
      </c>
      <c r="H240" s="8" t="s">
        <v>31</v>
      </c>
      <c r="I240" s="8" t="n">
        <f aca="false">IF(EXACT(G240,H240),1,0)</f>
        <v>1</v>
      </c>
      <c r="J240" s="8" t="n">
        <v>1</v>
      </c>
      <c r="K240" s="8" t="s">
        <v>737</v>
      </c>
      <c r="L240" s="8" t="n">
        <v>4</v>
      </c>
      <c r="M240" s="8" t="n">
        <v>4</v>
      </c>
      <c r="N240" s="8" t="s">
        <v>3431</v>
      </c>
      <c r="O240" s="8" t="n">
        <v>3</v>
      </c>
      <c r="P240" s="10" t="n">
        <v>31.85</v>
      </c>
      <c r="Q240" s="8" t="n">
        <v>13331</v>
      </c>
      <c r="R240" s="8" t="n">
        <v>1662</v>
      </c>
      <c r="S240" s="8" t="s">
        <v>396</v>
      </c>
      <c r="T240" s="8"/>
      <c r="U240" s="8"/>
      <c r="V240" s="8" t="s">
        <v>155</v>
      </c>
      <c r="W240" s="8"/>
      <c r="X240" s="8" t="s">
        <v>397</v>
      </c>
      <c r="Y240" s="8" t="s">
        <v>3432</v>
      </c>
      <c r="Z240" s="8" t="s">
        <v>3433</v>
      </c>
    </row>
    <row r="241" customFormat="false" ht="15" hidden="false" customHeight="false" outlineLevel="0" collapsed="false">
      <c r="A241" s="8" t="s">
        <v>395</v>
      </c>
      <c r="B241" s="8" t="s">
        <v>21</v>
      </c>
      <c r="C241" s="8" t="s">
        <v>22</v>
      </c>
      <c r="D241" s="8" t="s">
        <v>615</v>
      </c>
      <c r="E241" s="8" t="s">
        <v>37</v>
      </c>
      <c r="F241" s="8" t="s">
        <v>59</v>
      </c>
      <c r="G241" s="8" t="s">
        <v>31</v>
      </c>
      <c r="H241" s="8" t="s">
        <v>31</v>
      </c>
      <c r="I241" s="8" t="n">
        <f aca="false">IF(EXACT(G241,H241),1,0)</f>
        <v>1</v>
      </c>
      <c r="J241" s="8" t="n">
        <v>2</v>
      </c>
      <c r="K241" s="8" t="s">
        <v>737</v>
      </c>
      <c r="L241" s="8" t="n">
        <v>4</v>
      </c>
      <c r="M241" s="8" t="n">
        <v>4</v>
      </c>
      <c r="N241" s="8" t="s">
        <v>3347</v>
      </c>
      <c r="O241" s="8" t="n">
        <v>3</v>
      </c>
      <c r="P241" s="10" t="n">
        <v>39.72</v>
      </c>
      <c r="Q241" s="8" t="n">
        <v>13844</v>
      </c>
      <c r="R241" s="8" t="n">
        <v>1708</v>
      </c>
      <c r="S241" s="8" t="s">
        <v>396</v>
      </c>
      <c r="T241" s="8"/>
      <c r="U241" s="8"/>
      <c r="V241" s="8" t="s">
        <v>155</v>
      </c>
      <c r="W241" s="8"/>
      <c r="X241" s="8" t="s">
        <v>397</v>
      </c>
      <c r="Y241" s="8" t="s">
        <v>3434</v>
      </c>
      <c r="Z241" s="8" t="s">
        <v>3435</v>
      </c>
    </row>
    <row r="242" customFormat="false" ht="15" hidden="false" customHeight="false" outlineLevel="0" collapsed="false">
      <c r="A242" s="8" t="s">
        <v>399</v>
      </c>
      <c r="B242" s="8" t="s">
        <v>21</v>
      </c>
      <c r="C242" s="8" t="s">
        <v>22</v>
      </c>
      <c r="D242" s="8" t="s">
        <v>615</v>
      </c>
      <c r="E242" s="8" t="s">
        <v>37</v>
      </c>
      <c r="F242" s="8" t="s">
        <v>59</v>
      </c>
      <c r="G242" s="8" t="s">
        <v>32</v>
      </c>
      <c r="H242" s="8" t="s">
        <v>30</v>
      </c>
      <c r="I242" s="8" t="n">
        <f aca="false">IF(EXACT(G242,H242),1,0)</f>
        <v>0</v>
      </c>
      <c r="J242" s="8" t="n">
        <v>0</v>
      </c>
      <c r="K242" s="8" t="s">
        <v>92</v>
      </c>
      <c r="L242" s="8" t="n">
        <v>0</v>
      </c>
      <c r="M242" s="8" t="n">
        <v>3</v>
      </c>
      <c r="N242" s="8" t="s">
        <v>1641</v>
      </c>
      <c r="O242" s="8" t="n">
        <v>2</v>
      </c>
      <c r="P242" s="10" t="n">
        <v>22.65</v>
      </c>
      <c r="Q242" s="8" t="n">
        <v>8600</v>
      </c>
      <c r="R242" s="8" t="n">
        <v>926</v>
      </c>
      <c r="S242" s="8" t="s">
        <v>400</v>
      </c>
      <c r="T242" s="8"/>
      <c r="U242" s="8"/>
      <c r="V242" s="8" t="s">
        <v>155</v>
      </c>
      <c r="W242" s="8"/>
      <c r="X242" s="8" t="s">
        <v>401</v>
      </c>
      <c r="Y242" s="8" t="s">
        <v>3436</v>
      </c>
      <c r="Z242" s="8"/>
    </row>
    <row r="243" customFormat="false" ht="15" hidden="false" customHeight="false" outlineLevel="0" collapsed="false">
      <c r="A243" s="8" t="s">
        <v>399</v>
      </c>
      <c r="B243" s="8" t="s">
        <v>21</v>
      </c>
      <c r="C243" s="8" t="s">
        <v>22</v>
      </c>
      <c r="D243" s="8" t="s">
        <v>615</v>
      </c>
      <c r="E243" s="8" t="s">
        <v>37</v>
      </c>
      <c r="F243" s="8" t="s">
        <v>59</v>
      </c>
      <c r="G243" s="8" t="s">
        <v>32</v>
      </c>
      <c r="H243" s="8" t="s">
        <v>30</v>
      </c>
      <c r="I243" s="8" t="n">
        <f aca="false">IF(EXACT(G243,H243),1,0)</f>
        <v>0</v>
      </c>
      <c r="J243" s="8" t="n">
        <v>1</v>
      </c>
      <c r="K243" s="8" t="s">
        <v>92</v>
      </c>
      <c r="L243" s="8" t="n">
        <v>0</v>
      </c>
      <c r="M243" s="8" t="n">
        <v>3</v>
      </c>
      <c r="N243" s="8" t="s">
        <v>1641</v>
      </c>
      <c r="O243" s="8" t="n">
        <v>2</v>
      </c>
      <c r="P243" s="10" t="n">
        <v>18.82</v>
      </c>
      <c r="Q243" s="8" t="n">
        <v>8599</v>
      </c>
      <c r="R243" s="8" t="n">
        <v>907</v>
      </c>
      <c r="S243" s="8" t="s">
        <v>400</v>
      </c>
      <c r="T243" s="8"/>
      <c r="U243" s="8"/>
      <c r="V243" s="8" t="s">
        <v>155</v>
      </c>
      <c r="W243" s="8"/>
      <c r="X243" s="8" t="s">
        <v>401</v>
      </c>
      <c r="Y243" s="8" t="s">
        <v>3437</v>
      </c>
      <c r="Z243" s="8"/>
    </row>
    <row r="244" customFormat="false" ht="15" hidden="false" customHeight="false" outlineLevel="0" collapsed="false">
      <c r="A244" s="8" t="s">
        <v>399</v>
      </c>
      <c r="B244" s="8" t="s">
        <v>21</v>
      </c>
      <c r="C244" s="8" t="s">
        <v>22</v>
      </c>
      <c r="D244" s="8" t="s">
        <v>615</v>
      </c>
      <c r="E244" s="8" t="s">
        <v>37</v>
      </c>
      <c r="F244" s="8" t="s">
        <v>59</v>
      </c>
      <c r="G244" s="8" t="s">
        <v>32</v>
      </c>
      <c r="H244" s="8" t="s">
        <v>30</v>
      </c>
      <c r="I244" s="8" t="n">
        <f aca="false">IF(EXACT(G244,H244),1,0)</f>
        <v>0</v>
      </c>
      <c r="J244" s="8" t="n">
        <v>2</v>
      </c>
      <c r="K244" s="8" t="s">
        <v>92</v>
      </c>
      <c r="L244" s="8" t="n">
        <v>0</v>
      </c>
      <c r="M244" s="8" t="n">
        <v>3</v>
      </c>
      <c r="N244" s="8" t="s">
        <v>1641</v>
      </c>
      <c r="O244" s="8" t="n">
        <v>2</v>
      </c>
      <c r="P244" s="10" t="n">
        <v>20.89</v>
      </c>
      <c r="Q244" s="8" t="n">
        <v>8628</v>
      </c>
      <c r="R244" s="8" t="n">
        <v>938</v>
      </c>
      <c r="S244" s="8" t="s">
        <v>400</v>
      </c>
      <c r="T244" s="8"/>
      <c r="U244" s="8"/>
      <c r="V244" s="8" t="s">
        <v>155</v>
      </c>
      <c r="W244" s="8"/>
      <c r="X244" s="8" t="s">
        <v>401</v>
      </c>
      <c r="Y244" s="8" t="s">
        <v>3438</v>
      </c>
      <c r="Z244" s="8"/>
    </row>
    <row r="245" customFormat="false" ht="15" hidden="false" customHeight="false" outlineLevel="0" collapsed="false">
      <c r="A245" s="8" t="s">
        <v>402</v>
      </c>
      <c r="B245" s="8" t="s">
        <v>21</v>
      </c>
      <c r="C245" s="8" t="s">
        <v>22</v>
      </c>
      <c r="D245" s="8" t="s">
        <v>615</v>
      </c>
      <c r="E245" s="8" t="s">
        <v>37</v>
      </c>
      <c r="F245" s="8" t="s">
        <v>59</v>
      </c>
      <c r="G245" s="8" t="s">
        <v>32</v>
      </c>
      <c r="H245" s="8" t="s">
        <v>31</v>
      </c>
      <c r="I245" s="8" t="n">
        <f aca="false">IF(EXACT(G245,H245),1,0)</f>
        <v>0</v>
      </c>
      <c r="J245" s="8" t="n">
        <v>0</v>
      </c>
      <c r="K245" s="8" t="s">
        <v>2333</v>
      </c>
      <c r="L245" s="8" t="n">
        <v>1</v>
      </c>
      <c r="M245" s="8" t="n">
        <v>3</v>
      </c>
      <c r="N245" s="8" t="s">
        <v>1641</v>
      </c>
      <c r="O245" s="8" t="n">
        <v>2</v>
      </c>
      <c r="P245" s="10" t="n">
        <v>28.51</v>
      </c>
      <c r="Q245" s="8" t="n">
        <v>8153</v>
      </c>
      <c r="R245" s="8" t="n">
        <v>1366</v>
      </c>
      <c r="S245" s="8" t="s">
        <v>403</v>
      </c>
      <c r="T245" s="8"/>
      <c r="U245" s="8"/>
      <c r="V245" s="8" t="s">
        <v>155</v>
      </c>
      <c r="W245" s="8"/>
      <c r="X245" s="8" t="s">
        <v>404</v>
      </c>
      <c r="Y245" s="8" t="s">
        <v>3439</v>
      </c>
      <c r="Z245" s="8" t="s">
        <v>3440</v>
      </c>
    </row>
    <row r="246" customFormat="false" ht="15" hidden="false" customHeight="false" outlineLevel="0" collapsed="false">
      <c r="A246" s="8" t="s">
        <v>402</v>
      </c>
      <c r="B246" s="8" t="s">
        <v>21</v>
      </c>
      <c r="C246" s="8" t="s">
        <v>22</v>
      </c>
      <c r="D246" s="8" t="s">
        <v>615</v>
      </c>
      <c r="E246" s="8" t="s">
        <v>37</v>
      </c>
      <c r="F246" s="8" t="s">
        <v>59</v>
      </c>
      <c r="G246" s="8" t="s">
        <v>32</v>
      </c>
      <c r="H246" s="8" t="s">
        <v>31</v>
      </c>
      <c r="I246" s="8" t="n">
        <f aca="false">IF(EXACT(G246,H246),1,0)</f>
        <v>0</v>
      </c>
      <c r="J246" s="8" t="n">
        <v>1</v>
      </c>
      <c r="K246" s="8" t="s">
        <v>2333</v>
      </c>
      <c r="L246" s="8" t="n">
        <v>2</v>
      </c>
      <c r="M246" s="8" t="n">
        <v>3</v>
      </c>
      <c r="N246" s="8" t="s">
        <v>1641</v>
      </c>
      <c r="O246" s="8" t="n">
        <v>2</v>
      </c>
      <c r="P246" s="10" t="n">
        <v>30.02</v>
      </c>
      <c r="Q246" s="8" t="n">
        <v>8153</v>
      </c>
      <c r="R246" s="8" t="n">
        <v>1516</v>
      </c>
      <c r="S246" s="8" t="s">
        <v>403</v>
      </c>
      <c r="T246" s="8"/>
      <c r="U246" s="8"/>
      <c r="V246" s="8" t="s">
        <v>155</v>
      </c>
      <c r="W246" s="8"/>
      <c r="X246" s="8" t="s">
        <v>404</v>
      </c>
      <c r="Y246" s="8" t="s">
        <v>3441</v>
      </c>
      <c r="Z246" s="8" t="s">
        <v>3442</v>
      </c>
    </row>
    <row r="247" customFormat="false" ht="15" hidden="false" customHeight="false" outlineLevel="0" collapsed="false">
      <c r="A247" s="8" t="s">
        <v>402</v>
      </c>
      <c r="B247" s="8" t="s">
        <v>21</v>
      </c>
      <c r="C247" s="8" t="s">
        <v>22</v>
      </c>
      <c r="D247" s="8" t="s">
        <v>615</v>
      </c>
      <c r="E247" s="8" t="s">
        <v>37</v>
      </c>
      <c r="F247" s="8" t="s">
        <v>59</v>
      </c>
      <c r="G247" s="8" t="s">
        <v>32</v>
      </c>
      <c r="H247" s="8" t="s">
        <v>30</v>
      </c>
      <c r="I247" s="8" t="n">
        <f aca="false">IF(EXACT(G247,H247),1,0)</f>
        <v>0</v>
      </c>
      <c r="J247" s="8" t="n">
        <v>2</v>
      </c>
      <c r="K247" s="8" t="s">
        <v>92</v>
      </c>
      <c r="L247" s="8" t="n">
        <v>0</v>
      </c>
      <c r="M247" s="8" t="n">
        <v>3</v>
      </c>
      <c r="N247" s="8" t="s">
        <v>1641</v>
      </c>
      <c r="O247" s="8" t="n">
        <v>2</v>
      </c>
      <c r="P247" s="10" t="n">
        <v>21.03</v>
      </c>
      <c r="Q247" s="8" t="n">
        <v>8153</v>
      </c>
      <c r="R247" s="8" t="n">
        <v>1006</v>
      </c>
      <c r="S247" s="8" t="s">
        <v>403</v>
      </c>
      <c r="T247" s="8"/>
      <c r="U247" s="8"/>
      <c r="V247" s="8" t="s">
        <v>155</v>
      </c>
      <c r="W247" s="8"/>
      <c r="X247" s="8" t="s">
        <v>404</v>
      </c>
      <c r="Y247" s="8" t="s">
        <v>3443</v>
      </c>
      <c r="Z247" s="8"/>
    </row>
    <row r="248" customFormat="false" ht="15" hidden="false" customHeight="false" outlineLevel="0" collapsed="false">
      <c r="A248" s="8" t="s">
        <v>405</v>
      </c>
      <c r="B248" s="8" t="s">
        <v>21</v>
      </c>
      <c r="C248" s="8" t="s">
        <v>22</v>
      </c>
      <c r="D248" s="8" t="s">
        <v>615</v>
      </c>
      <c r="E248" s="8" t="s">
        <v>37</v>
      </c>
      <c r="F248" s="8" t="s">
        <v>59</v>
      </c>
      <c r="G248" s="8" t="s">
        <v>30</v>
      </c>
      <c r="H248" s="8" t="s">
        <v>30</v>
      </c>
      <c r="I248" s="8" t="n">
        <f aca="false">IF(EXACT(G248,H248),1,0)</f>
        <v>1</v>
      </c>
      <c r="J248" s="8" t="n">
        <v>0</v>
      </c>
      <c r="K248" s="8" t="s">
        <v>92</v>
      </c>
      <c r="L248" s="8" t="n">
        <v>0</v>
      </c>
      <c r="M248" s="8" t="n">
        <v>4</v>
      </c>
      <c r="N248" s="8" t="s">
        <v>3431</v>
      </c>
      <c r="O248" s="8" t="n">
        <v>3</v>
      </c>
      <c r="P248" s="10" t="n">
        <v>27.96</v>
      </c>
      <c r="Q248" s="8" t="n">
        <v>13675</v>
      </c>
      <c r="R248" s="8" t="n">
        <v>1401</v>
      </c>
      <c r="S248" s="8" t="s">
        <v>406</v>
      </c>
      <c r="T248" s="8"/>
      <c r="U248" s="8"/>
      <c r="V248" s="8" t="s">
        <v>155</v>
      </c>
      <c r="W248" s="8"/>
      <c r="X248" s="8" t="s">
        <v>407</v>
      </c>
      <c r="Y248" s="8" t="s">
        <v>3444</v>
      </c>
      <c r="Z248" s="8"/>
    </row>
    <row r="249" customFormat="false" ht="15" hidden="false" customHeight="false" outlineLevel="0" collapsed="false">
      <c r="A249" s="8" t="s">
        <v>405</v>
      </c>
      <c r="B249" s="8" t="s">
        <v>21</v>
      </c>
      <c r="C249" s="8" t="s">
        <v>22</v>
      </c>
      <c r="D249" s="8" t="s">
        <v>615</v>
      </c>
      <c r="E249" s="8" t="s">
        <v>37</v>
      </c>
      <c r="F249" s="8" t="s">
        <v>59</v>
      </c>
      <c r="G249" s="8" t="s">
        <v>30</v>
      </c>
      <c r="H249" s="8" t="s">
        <v>30</v>
      </c>
      <c r="I249" s="8" t="n">
        <f aca="false">IF(EXACT(G249,H249),1,0)</f>
        <v>1</v>
      </c>
      <c r="J249" s="8" t="n">
        <v>1</v>
      </c>
      <c r="K249" s="8" t="s">
        <v>92</v>
      </c>
      <c r="L249" s="8" t="n">
        <v>0</v>
      </c>
      <c r="M249" s="8" t="n">
        <v>3</v>
      </c>
      <c r="N249" s="8" t="s">
        <v>1641</v>
      </c>
      <c r="O249" s="8" t="n">
        <v>2</v>
      </c>
      <c r="P249" s="10" t="n">
        <v>23.45</v>
      </c>
      <c r="Q249" s="8" t="n">
        <v>8452</v>
      </c>
      <c r="R249" s="8" t="n">
        <v>1122</v>
      </c>
      <c r="S249" s="8" t="s">
        <v>406</v>
      </c>
      <c r="T249" s="8"/>
      <c r="U249" s="8"/>
      <c r="V249" s="8" t="s">
        <v>155</v>
      </c>
      <c r="W249" s="8"/>
      <c r="X249" s="8" t="s">
        <v>407</v>
      </c>
      <c r="Y249" s="8" t="s">
        <v>3445</v>
      </c>
      <c r="Z249" s="8"/>
    </row>
    <row r="250" customFormat="false" ht="15" hidden="false" customHeight="false" outlineLevel="0" collapsed="false">
      <c r="A250" s="8" t="s">
        <v>405</v>
      </c>
      <c r="B250" s="8" t="s">
        <v>21</v>
      </c>
      <c r="C250" s="8" t="s">
        <v>22</v>
      </c>
      <c r="D250" s="8" t="s">
        <v>615</v>
      </c>
      <c r="E250" s="8" t="s">
        <v>37</v>
      </c>
      <c r="F250" s="8" t="s">
        <v>59</v>
      </c>
      <c r="G250" s="8" t="s">
        <v>30</v>
      </c>
      <c r="H250" s="8" t="s">
        <v>30</v>
      </c>
      <c r="I250" s="8" t="n">
        <f aca="false">IF(EXACT(G250,H250),1,0)</f>
        <v>1</v>
      </c>
      <c r="J250" s="8" t="n">
        <v>2</v>
      </c>
      <c r="K250" s="8" t="s">
        <v>92</v>
      </c>
      <c r="L250" s="8" t="n">
        <v>0</v>
      </c>
      <c r="M250" s="8" t="n">
        <v>3</v>
      </c>
      <c r="N250" s="8" t="s">
        <v>1641</v>
      </c>
      <c r="O250" s="8" t="n">
        <v>2</v>
      </c>
      <c r="P250" s="10" t="n">
        <v>20.88</v>
      </c>
      <c r="Q250" s="8" t="n">
        <v>8452</v>
      </c>
      <c r="R250" s="8" t="n">
        <v>1067</v>
      </c>
      <c r="S250" s="8" t="s">
        <v>406</v>
      </c>
      <c r="T250" s="8"/>
      <c r="U250" s="8"/>
      <c r="V250" s="8" t="s">
        <v>155</v>
      </c>
      <c r="W250" s="8"/>
      <c r="X250" s="8" t="s">
        <v>407</v>
      </c>
      <c r="Y250" s="8" t="s">
        <v>3446</v>
      </c>
      <c r="Z250" s="8"/>
    </row>
    <row r="251" customFormat="false" ht="15" hidden="false" customHeight="false" outlineLevel="0" collapsed="false">
      <c r="A251" s="8" t="s">
        <v>408</v>
      </c>
      <c r="B251" s="8" t="s">
        <v>21</v>
      </c>
      <c r="C251" s="8" t="s">
        <v>22</v>
      </c>
      <c r="D251" s="8" t="s">
        <v>615</v>
      </c>
      <c r="E251" s="8" t="s">
        <v>37</v>
      </c>
      <c r="F251" s="8" t="s">
        <v>59</v>
      </c>
      <c r="G251" s="8" t="s">
        <v>30</v>
      </c>
      <c r="H251" s="8" t="s">
        <v>31</v>
      </c>
      <c r="I251" s="8" t="n">
        <f aca="false">IF(EXACT(G251,H251),1,0)</f>
        <v>0</v>
      </c>
      <c r="J251" s="8" t="n">
        <v>0</v>
      </c>
      <c r="K251" s="8" t="s">
        <v>2333</v>
      </c>
      <c r="L251" s="8" t="n">
        <v>3</v>
      </c>
      <c r="M251" s="8" t="n">
        <v>3</v>
      </c>
      <c r="N251" s="8" t="s">
        <v>1641</v>
      </c>
      <c r="O251" s="8" t="n">
        <v>2</v>
      </c>
      <c r="P251" s="10" t="n">
        <v>34.75</v>
      </c>
      <c r="Q251" s="8" t="n">
        <v>8759</v>
      </c>
      <c r="R251" s="8" t="n">
        <v>1799</v>
      </c>
      <c r="S251" s="8" t="s">
        <v>409</v>
      </c>
      <c r="T251" s="8"/>
      <c r="U251" s="8"/>
      <c r="V251" s="8" t="s">
        <v>155</v>
      </c>
      <c r="W251" s="8"/>
      <c r="X251" s="8" t="s">
        <v>410</v>
      </c>
      <c r="Y251" s="8" t="s">
        <v>3447</v>
      </c>
      <c r="Z251" s="8" t="s">
        <v>3448</v>
      </c>
    </row>
    <row r="252" customFormat="false" ht="15" hidden="false" customHeight="false" outlineLevel="0" collapsed="false">
      <c r="A252" s="8" t="s">
        <v>408</v>
      </c>
      <c r="B252" s="8" t="s">
        <v>21</v>
      </c>
      <c r="C252" s="8" t="s">
        <v>22</v>
      </c>
      <c r="D252" s="8" t="s">
        <v>615</v>
      </c>
      <c r="E252" s="8" t="s">
        <v>37</v>
      </c>
      <c r="F252" s="8" t="s">
        <v>59</v>
      </c>
      <c r="G252" s="8" t="s">
        <v>30</v>
      </c>
      <c r="H252" s="8" t="s">
        <v>31</v>
      </c>
      <c r="I252" s="8" t="n">
        <f aca="false">IF(EXACT(G252,H252),1,0)</f>
        <v>0</v>
      </c>
      <c r="J252" s="8" t="n">
        <v>1</v>
      </c>
      <c r="K252" s="8" t="s">
        <v>2333</v>
      </c>
      <c r="L252" s="8" t="n">
        <v>2</v>
      </c>
      <c r="M252" s="8" t="n">
        <v>3</v>
      </c>
      <c r="N252" s="8" t="s">
        <v>1641</v>
      </c>
      <c r="O252" s="8" t="n">
        <v>2</v>
      </c>
      <c r="P252" s="10" t="n">
        <v>31.34</v>
      </c>
      <c r="Q252" s="8" t="n">
        <v>8759</v>
      </c>
      <c r="R252" s="8" t="n">
        <v>1563</v>
      </c>
      <c r="S252" s="8" t="s">
        <v>409</v>
      </c>
      <c r="T252" s="8"/>
      <c r="U252" s="8"/>
      <c r="V252" s="8" t="s">
        <v>155</v>
      </c>
      <c r="W252" s="8"/>
      <c r="X252" s="8" t="s">
        <v>410</v>
      </c>
      <c r="Y252" s="8" t="s">
        <v>3449</v>
      </c>
      <c r="Z252" s="8" t="s">
        <v>3450</v>
      </c>
    </row>
    <row r="253" customFormat="false" ht="15" hidden="false" customHeight="false" outlineLevel="0" collapsed="false">
      <c r="A253" s="8" t="s">
        <v>408</v>
      </c>
      <c r="B253" s="8" t="s">
        <v>21</v>
      </c>
      <c r="C253" s="8" t="s">
        <v>22</v>
      </c>
      <c r="D253" s="8" t="s">
        <v>615</v>
      </c>
      <c r="E253" s="8" t="s">
        <v>37</v>
      </c>
      <c r="F253" s="8" t="s">
        <v>59</v>
      </c>
      <c r="G253" s="8" t="s">
        <v>30</v>
      </c>
      <c r="H253" s="8" t="s">
        <v>31</v>
      </c>
      <c r="I253" s="8" t="n">
        <f aca="false">IF(EXACT(G253,H253),1,0)</f>
        <v>0</v>
      </c>
      <c r="J253" s="8" t="n">
        <v>2</v>
      </c>
      <c r="K253" s="8" t="s">
        <v>2333</v>
      </c>
      <c r="L253" s="8" t="n">
        <v>1</v>
      </c>
      <c r="M253" s="8" t="n">
        <v>3</v>
      </c>
      <c r="N253" s="8" t="s">
        <v>1641</v>
      </c>
      <c r="O253" s="8" t="n">
        <v>2</v>
      </c>
      <c r="P253" s="10" t="n">
        <v>32.04</v>
      </c>
      <c r="Q253" s="8" t="n">
        <v>8759</v>
      </c>
      <c r="R253" s="8" t="n">
        <v>1651</v>
      </c>
      <c r="S253" s="8" t="s">
        <v>409</v>
      </c>
      <c r="T253" s="8"/>
      <c r="U253" s="8"/>
      <c r="V253" s="8" t="s">
        <v>155</v>
      </c>
      <c r="W253" s="8"/>
      <c r="X253" s="8" t="s">
        <v>410</v>
      </c>
      <c r="Y253" s="8" t="s">
        <v>3451</v>
      </c>
      <c r="Z253" s="8" t="s">
        <v>3452</v>
      </c>
    </row>
    <row r="254" customFormat="false" ht="15" hidden="false" customHeight="false" outlineLevel="0" collapsed="false">
      <c r="A254" s="8" t="s">
        <v>411</v>
      </c>
      <c r="B254" s="8" t="s">
        <v>21</v>
      </c>
      <c r="C254" s="8" t="s">
        <v>22</v>
      </c>
      <c r="D254" s="8" t="s">
        <v>615</v>
      </c>
      <c r="E254" s="8" t="s">
        <v>37</v>
      </c>
      <c r="F254" s="8" t="s">
        <v>60</v>
      </c>
      <c r="G254" s="8" t="s">
        <v>31</v>
      </c>
      <c r="H254" s="8" t="s">
        <v>31</v>
      </c>
      <c r="I254" s="8" t="n">
        <f aca="false">IF(EXACT(G254,H254),1,0)</f>
        <v>1</v>
      </c>
      <c r="J254" s="8" t="n">
        <v>0</v>
      </c>
      <c r="K254" s="8" t="s">
        <v>2333</v>
      </c>
      <c r="L254" s="8" t="n">
        <v>2</v>
      </c>
      <c r="M254" s="8" t="n">
        <v>3</v>
      </c>
      <c r="N254" s="8" t="s">
        <v>1641</v>
      </c>
      <c r="O254" s="8" t="n">
        <v>2</v>
      </c>
      <c r="P254" s="10" t="n">
        <v>32.56</v>
      </c>
      <c r="Q254" s="8" t="n">
        <v>9349</v>
      </c>
      <c r="R254" s="8" t="n">
        <v>1817</v>
      </c>
      <c r="S254" s="8" t="s">
        <v>412</v>
      </c>
      <c r="T254" s="8"/>
      <c r="U254" s="8"/>
      <c r="V254" s="8" t="s">
        <v>155</v>
      </c>
      <c r="W254" s="8"/>
      <c r="X254" s="8" t="s">
        <v>413</v>
      </c>
      <c r="Y254" s="8" t="s">
        <v>3453</v>
      </c>
      <c r="Z254" s="8" t="s">
        <v>3454</v>
      </c>
    </row>
    <row r="255" customFormat="false" ht="15" hidden="false" customHeight="false" outlineLevel="0" collapsed="false">
      <c r="A255" s="8" t="s">
        <v>411</v>
      </c>
      <c r="B255" s="8" t="s">
        <v>21</v>
      </c>
      <c r="C255" s="8" t="s">
        <v>22</v>
      </c>
      <c r="D255" s="8" t="s">
        <v>615</v>
      </c>
      <c r="E255" s="8" t="s">
        <v>37</v>
      </c>
      <c r="F255" s="8" t="s">
        <v>60</v>
      </c>
      <c r="G255" s="8" t="s">
        <v>31</v>
      </c>
      <c r="H255" s="8" t="s">
        <v>31</v>
      </c>
      <c r="I255" s="8" t="n">
        <f aca="false">IF(EXACT(G255,H255),1,0)</f>
        <v>1</v>
      </c>
      <c r="J255" s="8" t="n">
        <v>1</v>
      </c>
      <c r="K255" s="8" t="s">
        <v>737</v>
      </c>
      <c r="L255" s="8" t="n">
        <v>2</v>
      </c>
      <c r="M255" s="8" t="n">
        <v>3</v>
      </c>
      <c r="N255" s="8" t="s">
        <v>1641</v>
      </c>
      <c r="O255" s="8" t="n">
        <v>2</v>
      </c>
      <c r="P255" s="10" t="n">
        <v>30.21</v>
      </c>
      <c r="Q255" s="8" t="n">
        <v>9349</v>
      </c>
      <c r="R255" s="8" t="n">
        <v>1765</v>
      </c>
      <c r="S255" s="8" t="s">
        <v>412</v>
      </c>
      <c r="T255" s="8"/>
      <c r="U255" s="8"/>
      <c r="V255" s="8" t="s">
        <v>155</v>
      </c>
      <c r="W255" s="8"/>
      <c r="X255" s="8" t="s">
        <v>413</v>
      </c>
      <c r="Y255" s="8" t="s">
        <v>3455</v>
      </c>
      <c r="Z255" s="8" t="s">
        <v>3456</v>
      </c>
    </row>
    <row r="256" customFormat="false" ht="15" hidden="false" customHeight="false" outlineLevel="0" collapsed="false">
      <c r="A256" s="8" t="s">
        <v>411</v>
      </c>
      <c r="B256" s="8" t="s">
        <v>21</v>
      </c>
      <c r="C256" s="8" t="s">
        <v>22</v>
      </c>
      <c r="D256" s="8" t="s">
        <v>615</v>
      </c>
      <c r="E256" s="8" t="s">
        <v>37</v>
      </c>
      <c r="F256" s="8" t="s">
        <v>60</v>
      </c>
      <c r="G256" s="8" t="s">
        <v>31</v>
      </c>
      <c r="H256" s="8" t="s">
        <v>31</v>
      </c>
      <c r="I256" s="8" t="n">
        <f aca="false">IF(EXACT(G256,H256),1,0)</f>
        <v>1</v>
      </c>
      <c r="J256" s="8" t="n">
        <v>2</v>
      </c>
      <c r="K256" s="8" t="s">
        <v>737</v>
      </c>
      <c r="L256" s="8" t="n">
        <v>1</v>
      </c>
      <c r="M256" s="8" t="n">
        <v>3</v>
      </c>
      <c r="N256" s="8" t="s">
        <v>1641</v>
      </c>
      <c r="O256" s="8" t="n">
        <v>2</v>
      </c>
      <c r="P256" s="10" t="n">
        <v>27.13</v>
      </c>
      <c r="Q256" s="8" t="n">
        <v>9349</v>
      </c>
      <c r="R256" s="8" t="n">
        <v>1555</v>
      </c>
      <c r="S256" s="8" t="s">
        <v>412</v>
      </c>
      <c r="T256" s="8"/>
      <c r="U256" s="8"/>
      <c r="V256" s="8" t="s">
        <v>155</v>
      </c>
      <c r="W256" s="8"/>
      <c r="X256" s="8" t="s">
        <v>413</v>
      </c>
      <c r="Y256" s="8" t="s">
        <v>3457</v>
      </c>
      <c r="Z256" s="8" t="s">
        <v>3458</v>
      </c>
    </row>
    <row r="257" customFormat="false" ht="15" hidden="false" customHeight="false" outlineLevel="0" collapsed="false">
      <c r="A257" s="8" t="s">
        <v>414</v>
      </c>
      <c r="B257" s="8" t="s">
        <v>21</v>
      </c>
      <c r="C257" s="8" t="s">
        <v>22</v>
      </c>
      <c r="D257" s="8" t="s">
        <v>615</v>
      </c>
      <c r="E257" s="8" t="s">
        <v>37</v>
      </c>
      <c r="F257" s="8" t="s">
        <v>60</v>
      </c>
      <c r="G257" s="8" t="s">
        <v>31</v>
      </c>
      <c r="H257" s="8" t="s">
        <v>31</v>
      </c>
      <c r="I257" s="8" t="n">
        <f aca="false">IF(EXACT(G257,H257),1,0)</f>
        <v>1</v>
      </c>
      <c r="J257" s="8" t="n">
        <v>0</v>
      </c>
      <c r="K257" s="8" t="s">
        <v>116</v>
      </c>
      <c r="L257" s="8" t="n">
        <v>1</v>
      </c>
      <c r="M257" s="8" t="n">
        <v>3</v>
      </c>
      <c r="N257" s="8" t="s">
        <v>1641</v>
      </c>
      <c r="O257" s="8" t="n">
        <v>2</v>
      </c>
      <c r="P257" s="10" t="n">
        <v>28.47</v>
      </c>
      <c r="Q257" s="8" t="n">
        <v>8972</v>
      </c>
      <c r="R257" s="8" t="n">
        <v>1325</v>
      </c>
      <c r="S257" s="8" t="s">
        <v>415</v>
      </c>
      <c r="T257" s="8"/>
      <c r="U257" s="8"/>
      <c r="V257" s="8" t="s">
        <v>155</v>
      </c>
      <c r="W257" s="8"/>
      <c r="X257" s="8" t="s">
        <v>416</v>
      </c>
      <c r="Y257" s="8" t="s">
        <v>3459</v>
      </c>
      <c r="Z257" s="8" t="s">
        <v>3460</v>
      </c>
    </row>
    <row r="258" customFormat="false" ht="15" hidden="false" customHeight="false" outlineLevel="0" collapsed="false">
      <c r="A258" s="8" t="s">
        <v>414</v>
      </c>
      <c r="B258" s="8" t="s">
        <v>21</v>
      </c>
      <c r="C258" s="8" t="s">
        <v>22</v>
      </c>
      <c r="D258" s="8" t="s">
        <v>615</v>
      </c>
      <c r="E258" s="8" t="s">
        <v>37</v>
      </c>
      <c r="F258" s="8" t="s">
        <v>60</v>
      </c>
      <c r="G258" s="8" t="s">
        <v>31</v>
      </c>
      <c r="H258" s="8" t="s">
        <v>31</v>
      </c>
      <c r="I258" s="8" t="n">
        <f aca="false">IF(EXACT(G258,H258),1,0)</f>
        <v>1</v>
      </c>
      <c r="J258" s="8" t="n">
        <v>1</v>
      </c>
      <c r="K258" s="8" t="s">
        <v>737</v>
      </c>
      <c r="L258" s="8" t="n">
        <v>1</v>
      </c>
      <c r="M258" s="8" t="n">
        <v>3</v>
      </c>
      <c r="N258" s="8" t="s">
        <v>1641</v>
      </c>
      <c r="O258" s="8" t="n">
        <v>2</v>
      </c>
      <c r="P258" s="10" t="n">
        <v>26.16</v>
      </c>
      <c r="Q258" s="8" t="n">
        <v>8972</v>
      </c>
      <c r="R258" s="8" t="n">
        <v>1358</v>
      </c>
      <c r="S258" s="8" t="s">
        <v>415</v>
      </c>
      <c r="T258" s="8"/>
      <c r="U258" s="8"/>
      <c r="V258" s="8" t="s">
        <v>155</v>
      </c>
      <c r="W258" s="8"/>
      <c r="X258" s="8" t="s">
        <v>416</v>
      </c>
      <c r="Y258" s="8" t="s">
        <v>3461</v>
      </c>
      <c r="Z258" s="8" t="s">
        <v>3462</v>
      </c>
    </row>
    <row r="259" customFormat="false" ht="15" hidden="false" customHeight="false" outlineLevel="0" collapsed="false">
      <c r="A259" s="8" t="s">
        <v>414</v>
      </c>
      <c r="B259" s="8" t="s">
        <v>21</v>
      </c>
      <c r="C259" s="8" t="s">
        <v>22</v>
      </c>
      <c r="D259" s="8" t="s">
        <v>615</v>
      </c>
      <c r="E259" s="8" t="s">
        <v>37</v>
      </c>
      <c r="F259" s="8" t="s">
        <v>60</v>
      </c>
      <c r="G259" s="8" t="s">
        <v>31</v>
      </c>
      <c r="H259" s="8" t="s">
        <v>31</v>
      </c>
      <c r="I259" s="8" t="n">
        <f aca="false">IF(EXACT(G259,H259),1,0)</f>
        <v>1</v>
      </c>
      <c r="J259" s="8" t="n">
        <v>2</v>
      </c>
      <c r="K259" s="8" t="s">
        <v>116</v>
      </c>
      <c r="L259" s="8" t="n">
        <v>1</v>
      </c>
      <c r="M259" s="8" t="n">
        <v>3</v>
      </c>
      <c r="N259" s="8" t="s">
        <v>1641</v>
      </c>
      <c r="O259" s="8" t="n">
        <v>2</v>
      </c>
      <c r="P259" s="10" t="n">
        <v>25.25</v>
      </c>
      <c r="Q259" s="8" t="n">
        <v>8972</v>
      </c>
      <c r="R259" s="8" t="n">
        <v>1373</v>
      </c>
      <c r="S259" s="8" t="s">
        <v>415</v>
      </c>
      <c r="T259" s="8"/>
      <c r="U259" s="8"/>
      <c r="V259" s="8" t="s">
        <v>155</v>
      </c>
      <c r="W259" s="8"/>
      <c r="X259" s="8" t="s">
        <v>416</v>
      </c>
      <c r="Y259" s="8" t="s">
        <v>3463</v>
      </c>
      <c r="Z259" s="8" t="s">
        <v>3464</v>
      </c>
    </row>
    <row r="260" customFormat="false" ht="15" hidden="false" customHeight="false" outlineLevel="0" collapsed="false">
      <c r="A260" s="8" t="s">
        <v>417</v>
      </c>
      <c r="B260" s="8" t="s">
        <v>21</v>
      </c>
      <c r="C260" s="8" t="s">
        <v>22</v>
      </c>
      <c r="D260" s="8" t="s">
        <v>615</v>
      </c>
      <c r="E260" s="8" t="s">
        <v>37</v>
      </c>
      <c r="F260" s="8" t="s">
        <v>60</v>
      </c>
      <c r="G260" s="8" t="s">
        <v>32</v>
      </c>
      <c r="H260" s="8" t="s">
        <v>30</v>
      </c>
      <c r="I260" s="8" t="n">
        <f aca="false">IF(EXACT(G260,H260),1,0)</f>
        <v>0</v>
      </c>
      <c r="J260" s="8" t="n">
        <v>0</v>
      </c>
      <c r="K260" s="8" t="s">
        <v>92</v>
      </c>
      <c r="L260" s="8" t="n">
        <v>0</v>
      </c>
      <c r="M260" s="8" t="n">
        <v>3</v>
      </c>
      <c r="N260" s="8" t="s">
        <v>1641</v>
      </c>
      <c r="O260" s="8" t="n">
        <v>2</v>
      </c>
      <c r="P260" s="10" t="n">
        <v>34.1</v>
      </c>
      <c r="Q260" s="8" t="n">
        <v>8501</v>
      </c>
      <c r="R260" s="8" t="n">
        <v>1012</v>
      </c>
      <c r="S260" s="8" t="s">
        <v>418</v>
      </c>
      <c r="T260" s="8"/>
      <c r="U260" s="8"/>
      <c r="V260" s="8" t="s">
        <v>155</v>
      </c>
      <c r="W260" s="8"/>
      <c r="X260" s="8" t="s">
        <v>419</v>
      </c>
      <c r="Y260" s="8" t="s">
        <v>3465</v>
      </c>
      <c r="Z260" s="8"/>
    </row>
    <row r="261" customFormat="false" ht="15" hidden="false" customHeight="false" outlineLevel="0" collapsed="false">
      <c r="A261" s="8" t="s">
        <v>417</v>
      </c>
      <c r="B261" s="8" t="s">
        <v>21</v>
      </c>
      <c r="C261" s="8" t="s">
        <v>22</v>
      </c>
      <c r="D261" s="8" t="s">
        <v>615</v>
      </c>
      <c r="E261" s="8" t="s">
        <v>37</v>
      </c>
      <c r="F261" s="8" t="s">
        <v>60</v>
      </c>
      <c r="G261" s="8" t="s">
        <v>32</v>
      </c>
      <c r="H261" s="8" t="s">
        <v>30</v>
      </c>
      <c r="I261" s="8" t="n">
        <f aca="false">IF(EXACT(G261,H261),1,0)</f>
        <v>0</v>
      </c>
      <c r="J261" s="8" t="n">
        <v>1</v>
      </c>
      <c r="K261" s="8" t="s">
        <v>92</v>
      </c>
      <c r="L261" s="8" t="n">
        <v>0</v>
      </c>
      <c r="M261" s="8" t="n">
        <v>3</v>
      </c>
      <c r="N261" s="8" t="s">
        <v>1641</v>
      </c>
      <c r="O261" s="8" t="n">
        <v>2</v>
      </c>
      <c r="P261" s="10" t="n">
        <v>23.66</v>
      </c>
      <c r="Q261" s="8" t="n">
        <v>8501</v>
      </c>
      <c r="R261" s="8" t="n">
        <v>1036</v>
      </c>
      <c r="S261" s="8" t="s">
        <v>418</v>
      </c>
      <c r="T261" s="8"/>
      <c r="U261" s="8"/>
      <c r="V261" s="8" t="s">
        <v>155</v>
      </c>
      <c r="W261" s="8"/>
      <c r="X261" s="8" t="s">
        <v>419</v>
      </c>
      <c r="Y261" s="8" t="s">
        <v>3466</v>
      </c>
      <c r="Z261" s="8"/>
    </row>
    <row r="262" customFormat="false" ht="15" hidden="false" customHeight="false" outlineLevel="0" collapsed="false">
      <c r="A262" s="8" t="s">
        <v>417</v>
      </c>
      <c r="B262" s="8" t="s">
        <v>21</v>
      </c>
      <c r="C262" s="8" t="s">
        <v>22</v>
      </c>
      <c r="D262" s="8" t="s">
        <v>615</v>
      </c>
      <c r="E262" s="8" t="s">
        <v>37</v>
      </c>
      <c r="F262" s="8" t="s">
        <v>60</v>
      </c>
      <c r="G262" s="8" t="s">
        <v>32</v>
      </c>
      <c r="H262" s="8" t="s">
        <v>30</v>
      </c>
      <c r="I262" s="8" t="n">
        <f aca="false">IF(EXACT(G262,H262),1,0)</f>
        <v>0</v>
      </c>
      <c r="J262" s="8" t="n">
        <v>2</v>
      </c>
      <c r="K262" s="8" t="s">
        <v>92</v>
      </c>
      <c r="L262" s="8" t="n">
        <v>0</v>
      </c>
      <c r="M262" s="8" t="n">
        <v>3</v>
      </c>
      <c r="N262" s="8" t="s">
        <v>1641</v>
      </c>
      <c r="O262" s="8" t="n">
        <v>2</v>
      </c>
      <c r="P262" s="10" t="n">
        <v>19.17</v>
      </c>
      <c r="Q262" s="8" t="n">
        <v>8501</v>
      </c>
      <c r="R262" s="8" t="n">
        <v>1010</v>
      </c>
      <c r="S262" s="8" t="s">
        <v>418</v>
      </c>
      <c r="T262" s="8"/>
      <c r="U262" s="8"/>
      <c r="V262" s="8" t="s">
        <v>155</v>
      </c>
      <c r="W262" s="8"/>
      <c r="X262" s="8" t="s">
        <v>419</v>
      </c>
      <c r="Y262" s="8" t="s">
        <v>3467</v>
      </c>
      <c r="Z262" s="8"/>
    </row>
    <row r="263" customFormat="false" ht="15" hidden="false" customHeight="false" outlineLevel="0" collapsed="false">
      <c r="A263" s="8" t="s">
        <v>421</v>
      </c>
      <c r="B263" s="8" t="s">
        <v>21</v>
      </c>
      <c r="C263" s="8" t="s">
        <v>22</v>
      </c>
      <c r="D263" s="8" t="s">
        <v>615</v>
      </c>
      <c r="E263" s="8" t="s">
        <v>37</v>
      </c>
      <c r="F263" s="8" t="s">
        <v>60</v>
      </c>
      <c r="G263" s="8" t="s">
        <v>32</v>
      </c>
      <c r="H263" s="8" t="s">
        <v>30</v>
      </c>
      <c r="I263" s="8" t="n">
        <f aca="false">IF(EXACT(G263,H263),1,0)</f>
        <v>0</v>
      </c>
      <c r="J263" s="8" t="n">
        <v>0</v>
      </c>
      <c r="K263" s="8" t="s">
        <v>92</v>
      </c>
      <c r="L263" s="8" t="n">
        <v>0</v>
      </c>
      <c r="M263" s="8" t="n">
        <v>3</v>
      </c>
      <c r="N263" s="8" t="s">
        <v>1641</v>
      </c>
      <c r="O263" s="8" t="n">
        <v>2</v>
      </c>
      <c r="P263" s="10" t="n">
        <v>20.78</v>
      </c>
      <c r="Q263" s="8" t="n">
        <v>8447</v>
      </c>
      <c r="R263" s="8" t="n">
        <v>1009</v>
      </c>
      <c r="S263" s="8" t="s">
        <v>422</v>
      </c>
      <c r="T263" s="8"/>
      <c r="U263" s="8"/>
      <c r="V263" s="8" t="s">
        <v>155</v>
      </c>
      <c r="W263" s="8"/>
      <c r="X263" s="8" t="s">
        <v>423</v>
      </c>
      <c r="Y263" s="8" t="s">
        <v>3468</v>
      </c>
      <c r="Z263" s="8"/>
    </row>
    <row r="264" customFormat="false" ht="15" hidden="false" customHeight="false" outlineLevel="0" collapsed="false">
      <c r="A264" s="8" t="s">
        <v>421</v>
      </c>
      <c r="B264" s="8" t="s">
        <v>21</v>
      </c>
      <c r="C264" s="8" t="s">
        <v>22</v>
      </c>
      <c r="D264" s="8" t="s">
        <v>615</v>
      </c>
      <c r="E264" s="8" t="s">
        <v>37</v>
      </c>
      <c r="F264" s="8" t="s">
        <v>60</v>
      </c>
      <c r="G264" s="8" t="s">
        <v>32</v>
      </c>
      <c r="H264" s="8" t="s">
        <v>30</v>
      </c>
      <c r="I264" s="8" t="n">
        <f aca="false">IF(EXACT(G264,H264),1,0)</f>
        <v>0</v>
      </c>
      <c r="J264" s="8" t="n">
        <v>1</v>
      </c>
      <c r="K264" s="8" t="s">
        <v>92</v>
      </c>
      <c r="L264" s="8" t="n">
        <v>0</v>
      </c>
      <c r="M264" s="8" t="n">
        <v>3</v>
      </c>
      <c r="N264" s="8" t="s">
        <v>1641</v>
      </c>
      <c r="O264" s="8" t="n">
        <v>2</v>
      </c>
      <c r="P264" s="10" t="n">
        <v>20.13</v>
      </c>
      <c r="Q264" s="8" t="n">
        <v>8447</v>
      </c>
      <c r="R264" s="8" t="n">
        <v>1010</v>
      </c>
      <c r="S264" s="8" t="s">
        <v>422</v>
      </c>
      <c r="T264" s="8"/>
      <c r="U264" s="8"/>
      <c r="V264" s="8" t="s">
        <v>155</v>
      </c>
      <c r="W264" s="8"/>
      <c r="X264" s="8" t="s">
        <v>423</v>
      </c>
      <c r="Y264" s="8" t="s">
        <v>3469</v>
      </c>
      <c r="Z264" s="8"/>
    </row>
    <row r="265" customFormat="false" ht="15" hidden="false" customHeight="false" outlineLevel="0" collapsed="false">
      <c r="A265" s="8" t="s">
        <v>421</v>
      </c>
      <c r="B265" s="8" t="s">
        <v>21</v>
      </c>
      <c r="C265" s="8" t="s">
        <v>22</v>
      </c>
      <c r="D265" s="8" t="s">
        <v>615</v>
      </c>
      <c r="E265" s="8" t="s">
        <v>37</v>
      </c>
      <c r="F265" s="8" t="s">
        <v>60</v>
      </c>
      <c r="G265" s="8" t="s">
        <v>32</v>
      </c>
      <c r="H265" s="8" t="s">
        <v>30</v>
      </c>
      <c r="I265" s="8" t="n">
        <f aca="false">IF(EXACT(G265,H265),1,0)</f>
        <v>0</v>
      </c>
      <c r="J265" s="8" t="n">
        <v>2</v>
      </c>
      <c r="K265" s="8" t="s">
        <v>92</v>
      </c>
      <c r="L265" s="8" t="n">
        <v>0</v>
      </c>
      <c r="M265" s="8" t="n">
        <v>3</v>
      </c>
      <c r="N265" s="8" t="s">
        <v>1641</v>
      </c>
      <c r="O265" s="8" t="n">
        <v>2</v>
      </c>
      <c r="P265" s="10" t="n">
        <v>20.31</v>
      </c>
      <c r="Q265" s="8" t="n">
        <v>8447</v>
      </c>
      <c r="R265" s="8" t="n">
        <v>1020</v>
      </c>
      <c r="S265" s="8" t="s">
        <v>422</v>
      </c>
      <c r="T265" s="8"/>
      <c r="U265" s="8"/>
      <c r="V265" s="8" t="s">
        <v>155</v>
      </c>
      <c r="W265" s="8"/>
      <c r="X265" s="8" t="s">
        <v>423</v>
      </c>
      <c r="Y265" s="8" t="s">
        <v>3470</v>
      </c>
      <c r="Z265" s="8"/>
    </row>
    <row r="266" customFormat="false" ht="15" hidden="false" customHeight="false" outlineLevel="0" collapsed="false">
      <c r="A266" s="8" t="s">
        <v>424</v>
      </c>
      <c r="B266" s="8" t="s">
        <v>21</v>
      </c>
      <c r="C266" s="8" t="s">
        <v>22</v>
      </c>
      <c r="D266" s="8" t="s">
        <v>615</v>
      </c>
      <c r="E266" s="8" t="s">
        <v>37</v>
      </c>
      <c r="F266" s="8" t="s">
        <v>60</v>
      </c>
      <c r="G266" s="8" t="s">
        <v>30</v>
      </c>
      <c r="H266" s="8" t="s">
        <v>31</v>
      </c>
      <c r="I266" s="8" t="n">
        <f aca="false">IF(EXACT(G266,H266),1,0)</f>
        <v>0</v>
      </c>
      <c r="J266" s="8" t="n">
        <v>0</v>
      </c>
      <c r="K266" s="8" t="s">
        <v>737</v>
      </c>
      <c r="L266" s="8" t="n">
        <v>2</v>
      </c>
      <c r="M266" s="8" t="n">
        <v>3</v>
      </c>
      <c r="N266" s="8" t="s">
        <v>1641</v>
      </c>
      <c r="O266" s="8" t="n">
        <v>2</v>
      </c>
      <c r="P266" s="10" t="n">
        <v>37.82</v>
      </c>
      <c r="Q266" s="8" t="n">
        <v>9358</v>
      </c>
      <c r="R266" s="8" t="n">
        <v>2043</v>
      </c>
      <c r="S266" s="8" t="s">
        <v>425</v>
      </c>
      <c r="T266" s="8"/>
      <c r="U266" s="8"/>
      <c r="V266" s="8" t="s">
        <v>155</v>
      </c>
      <c r="W266" s="8"/>
      <c r="X266" s="8" t="s">
        <v>426</v>
      </c>
      <c r="Y266" s="8" t="s">
        <v>3471</v>
      </c>
      <c r="Z266" s="8" t="s">
        <v>3472</v>
      </c>
    </row>
    <row r="267" customFormat="false" ht="15" hidden="false" customHeight="false" outlineLevel="0" collapsed="false">
      <c r="A267" s="8" t="s">
        <v>424</v>
      </c>
      <c r="B267" s="8" t="s">
        <v>21</v>
      </c>
      <c r="C267" s="8" t="s">
        <v>22</v>
      </c>
      <c r="D267" s="8" t="s">
        <v>615</v>
      </c>
      <c r="E267" s="8" t="s">
        <v>37</v>
      </c>
      <c r="F267" s="8" t="s">
        <v>60</v>
      </c>
      <c r="G267" s="8" t="s">
        <v>30</v>
      </c>
      <c r="H267" s="8" t="s">
        <v>31</v>
      </c>
      <c r="I267" s="8" t="n">
        <f aca="false">IF(EXACT(G267,H267),1,0)</f>
        <v>0</v>
      </c>
      <c r="J267" s="8" t="n">
        <v>1</v>
      </c>
      <c r="K267" s="8" t="s">
        <v>2333</v>
      </c>
      <c r="L267" s="8" t="n">
        <v>2</v>
      </c>
      <c r="M267" s="8" t="n">
        <v>3</v>
      </c>
      <c r="N267" s="8" t="s">
        <v>1641</v>
      </c>
      <c r="O267" s="8" t="n">
        <v>2</v>
      </c>
      <c r="P267" s="10" t="n">
        <v>34.98</v>
      </c>
      <c r="Q267" s="8" t="n">
        <v>9358</v>
      </c>
      <c r="R267" s="8" t="n">
        <v>1930</v>
      </c>
      <c r="S267" s="8" t="s">
        <v>425</v>
      </c>
      <c r="T267" s="8"/>
      <c r="U267" s="8"/>
      <c r="V267" s="8" t="s">
        <v>155</v>
      </c>
      <c r="W267" s="8"/>
      <c r="X267" s="8" t="s">
        <v>426</v>
      </c>
      <c r="Y267" s="8" t="s">
        <v>3473</v>
      </c>
      <c r="Z267" s="8" t="s">
        <v>3474</v>
      </c>
    </row>
    <row r="268" customFormat="false" ht="15" hidden="false" customHeight="false" outlineLevel="0" collapsed="false">
      <c r="A268" s="8" t="s">
        <v>424</v>
      </c>
      <c r="B268" s="8" t="s">
        <v>21</v>
      </c>
      <c r="C268" s="8" t="s">
        <v>22</v>
      </c>
      <c r="D268" s="8" t="s">
        <v>615</v>
      </c>
      <c r="E268" s="8" t="s">
        <v>37</v>
      </c>
      <c r="F268" s="8" t="s">
        <v>60</v>
      </c>
      <c r="G268" s="8" t="s">
        <v>30</v>
      </c>
      <c r="H268" s="8" t="s">
        <v>31</v>
      </c>
      <c r="I268" s="8" t="n">
        <f aca="false">IF(EXACT(G268,H268),1,0)</f>
        <v>0</v>
      </c>
      <c r="J268" s="8" t="n">
        <v>2</v>
      </c>
      <c r="K268" s="8" t="s">
        <v>2333</v>
      </c>
      <c r="L268" s="8" t="n">
        <v>2</v>
      </c>
      <c r="M268" s="8" t="n">
        <v>3</v>
      </c>
      <c r="N268" s="8" t="s">
        <v>1641</v>
      </c>
      <c r="O268" s="8" t="n">
        <v>2</v>
      </c>
      <c r="P268" s="10" t="n">
        <v>33.8</v>
      </c>
      <c r="Q268" s="8" t="n">
        <v>9353</v>
      </c>
      <c r="R268" s="8" t="n">
        <v>1921</v>
      </c>
      <c r="S268" s="8" t="s">
        <v>425</v>
      </c>
      <c r="T268" s="8"/>
      <c r="U268" s="8"/>
      <c r="V268" s="8" t="s">
        <v>155</v>
      </c>
      <c r="W268" s="8"/>
      <c r="X268" s="8" t="s">
        <v>426</v>
      </c>
      <c r="Y268" s="8" t="s">
        <v>3475</v>
      </c>
      <c r="Z268" s="8" t="s">
        <v>3476</v>
      </c>
    </row>
    <row r="269" customFormat="false" ht="15" hidden="false" customHeight="false" outlineLevel="0" collapsed="false">
      <c r="A269" s="8" t="s">
        <v>427</v>
      </c>
      <c r="B269" s="8" t="s">
        <v>21</v>
      </c>
      <c r="C269" s="8" t="s">
        <v>22</v>
      </c>
      <c r="D269" s="8" t="s">
        <v>615</v>
      </c>
      <c r="E269" s="8" t="s">
        <v>37</v>
      </c>
      <c r="F269" s="8" t="s">
        <v>60</v>
      </c>
      <c r="G269" s="8" t="s">
        <v>30</v>
      </c>
      <c r="H269" s="8" t="s">
        <v>30</v>
      </c>
      <c r="I269" s="8" t="n">
        <f aca="false">IF(EXACT(G269,H269),1,0)</f>
        <v>1</v>
      </c>
      <c r="J269" s="8" t="n">
        <v>0</v>
      </c>
      <c r="K269" s="8" t="s">
        <v>92</v>
      </c>
      <c r="L269" s="8" t="n">
        <v>0</v>
      </c>
      <c r="M269" s="8" t="n">
        <v>3</v>
      </c>
      <c r="N269" s="8" t="s">
        <v>1641</v>
      </c>
      <c r="O269" s="8" t="n">
        <v>2</v>
      </c>
      <c r="P269" s="10" t="n">
        <v>21.6</v>
      </c>
      <c r="Q269" s="8" t="n">
        <v>8997</v>
      </c>
      <c r="R269" s="8" t="n">
        <v>1171</v>
      </c>
      <c r="S269" s="8" t="s">
        <v>428</v>
      </c>
      <c r="T269" s="8"/>
      <c r="U269" s="8"/>
      <c r="V269" s="8" t="s">
        <v>155</v>
      </c>
      <c r="W269" s="8"/>
      <c r="X269" s="8" t="s">
        <v>429</v>
      </c>
      <c r="Y269" s="8" t="s">
        <v>3477</v>
      </c>
      <c r="Z269" s="8"/>
    </row>
    <row r="270" customFormat="false" ht="15" hidden="false" customHeight="false" outlineLevel="0" collapsed="false">
      <c r="A270" s="8" t="s">
        <v>427</v>
      </c>
      <c r="B270" s="8" t="s">
        <v>21</v>
      </c>
      <c r="C270" s="8" t="s">
        <v>22</v>
      </c>
      <c r="D270" s="8" t="s">
        <v>615</v>
      </c>
      <c r="E270" s="8" t="s">
        <v>37</v>
      </c>
      <c r="F270" s="8" t="s">
        <v>60</v>
      </c>
      <c r="G270" s="8" t="s">
        <v>30</v>
      </c>
      <c r="H270" s="8" t="s">
        <v>30</v>
      </c>
      <c r="I270" s="8" t="n">
        <f aca="false">IF(EXACT(G270,H270),1,0)</f>
        <v>1</v>
      </c>
      <c r="J270" s="8" t="n">
        <v>1</v>
      </c>
      <c r="K270" s="8" t="s">
        <v>92</v>
      </c>
      <c r="L270" s="8" t="n">
        <v>0</v>
      </c>
      <c r="M270" s="8" t="n">
        <v>3</v>
      </c>
      <c r="N270" s="8" t="s">
        <v>1641</v>
      </c>
      <c r="O270" s="8" t="n">
        <v>2</v>
      </c>
      <c r="P270" s="10" t="n">
        <v>21.56</v>
      </c>
      <c r="Q270" s="8" t="n">
        <v>8997</v>
      </c>
      <c r="R270" s="8" t="n">
        <v>1174</v>
      </c>
      <c r="S270" s="8" t="s">
        <v>428</v>
      </c>
      <c r="T270" s="8"/>
      <c r="U270" s="8"/>
      <c r="V270" s="8" t="s">
        <v>155</v>
      </c>
      <c r="W270" s="8"/>
      <c r="X270" s="8" t="s">
        <v>429</v>
      </c>
      <c r="Y270" s="8" t="s">
        <v>3478</v>
      </c>
      <c r="Z270" s="8"/>
    </row>
    <row r="271" customFormat="false" ht="15" hidden="false" customHeight="false" outlineLevel="0" collapsed="false">
      <c r="A271" s="8" t="s">
        <v>427</v>
      </c>
      <c r="B271" s="8" t="s">
        <v>21</v>
      </c>
      <c r="C271" s="8" t="s">
        <v>22</v>
      </c>
      <c r="D271" s="8" t="s">
        <v>615</v>
      </c>
      <c r="E271" s="8" t="s">
        <v>37</v>
      </c>
      <c r="F271" s="8" t="s">
        <v>60</v>
      </c>
      <c r="G271" s="8" t="s">
        <v>30</v>
      </c>
      <c r="H271" s="8" t="s">
        <v>30</v>
      </c>
      <c r="I271" s="8" t="n">
        <f aca="false">IF(EXACT(G271,H271),1,0)</f>
        <v>1</v>
      </c>
      <c r="J271" s="8" t="n">
        <v>2</v>
      </c>
      <c r="K271" s="8" t="s">
        <v>92</v>
      </c>
      <c r="L271" s="8" t="n">
        <v>0</v>
      </c>
      <c r="M271" s="8" t="n">
        <v>3</v>
      </c>
      <c r="N271" s="8" t="s">
        <v>1641</v>
      </c>
      <c r="O271" s="8" t="n">
        <v>2</v>
      </c>
      <c r="P271" s="10" t="n">
        <v>21.83</v>
      </c>
      <c r="Q271" s="8" t="n">
        <v>8997</v>
      </c>
      <c r="R271" s="8" t="n">
        <v>1170</v>
      </c>
      <c r="S271" s="8" t="s">
        <v>428</v>
      </c>
      <c r="T271" s="8"/>
      <c r="U271" s="8"/>
      <c r="V271" s="8" t="s">
        <v>155</v>
      </c>
      <c r="W271" s="8"/>
      <c r="X271" s="8" t="s">
        <v>429</v>
      </c>
      <c r="Y271" s="8" t="s">
        <v>3479</v>
      </c>
      <c r="Z271" s="8"/>
    </row>
    <row r="272" customFormat="false" ht="15" hidden="false" customHeight="false" outlineLevel="0" collapsed="false">
      <c r="A272" s="8" t="s">
        <v>430</v>
      </c>
      <c r="B272" s="8" t="s">
        <v>21</v>
      </c>
      <c r="C272" s="8" t="s">
        <v>22</v>
      </c>
      <c r="D272" s="8" t="s">
        <v>615</v>
      </c>
      <c r="E272" s="8" t="s">
        <v>38</v>
      </c>
      <c r="F272" s="8" t="s">
        <v>44</v>
      </c>
      <c r="G272" s="8" t="s">
        <v>31</v>
      </c>
      <c r="H272" s="8" t="s">
        <v>31</v>
      </c>
      <c r="I272" s="8" t="n">
        <f aca="false">IF(EXACT(G272,H272),1,0)</f>
        <v>1</v>
      </c>
      <c r="J272" s="8" t="n">
        <v>0</v>
      </c>
      <c r="K272" s="8" t="s">
        <v>140</v>
      </c>
      <c r="L272" s="8" t="n">
        <v>3</v>
      </c>
      <c r="M272" s="8" t="n">
        <v>4</v>
      </c>
      <c r="N272" s="8" t="s">
        <v>3480</v>
      </c>
      <c r="O272" s="8" t="n">
        <v>2</v>
      </c>
      <c r="P272" s="10" t="n">
        <v>31.63</v>
      </c>
      <c r="Q272" s="8" t="n">
        <v>9527</v>
      </c>
      <c r="R272" s="8" t="n">
        <v>1236</v>
      </c>
      <c r="S272" s="8" t="s">
        <v>117</v>
      </c>
      <c r="T272" s="8" t="s">
        <v>431</v>
      </c>
      <c r="U272" s="8" t="s">
        <v>432</v>
      </c>
      <c r="V272" s="8"/>
      <c r="W272" s="8" t="s">
        <v>433</v>
      </c>
      <c r="X272" s="8" t="s">
        <v>434</v>
      </c>
      <c r="Y272" s="8" t="s">
        <v>3481</v>
      </c>
      <c r="Z272" s="8" t="s">
        <v>3482</v>
      </c>
    </row>
    <row r="273" customFormat="false" ht="15" hidden="false" customHeight="false" outlineLevel="0" collapsed="false">
      <c r="A273" s="8" t="s">
        <v>430</v>
      </c>
      <c r="B273" s="8" t="s">
        <v>21</v>
      </c>
      <c r="C273" s="8" t="s">
        <v>22</v>
      </c>
      <c r="D273" s="8" t="s">
        <v>615</v>
      </c>
      <c r="E273" s="8" t="s">
        <v>38</v>
      </c>
      <c r="F273" s="8" t="s">
        <v>44</v>
      </c>
      <c r="G273" s="8" t="s">
        <v>31</v>
      </c>
      <c r="H273" s="8" t="s">
        <v>31</v>
      </c>
      <c r="I273" s="8" t="n">
        <f aca="false">IF(EXACT(G273,H273),1,0)</f>
        <v>1</v>
      </c>
      <c r="J273" s="8" t="n">
        <v>1</v>
      </c>
      <c r="K273" s="8" t="s">
        <v>140</v>
      </c>
      <c r="L273" s="8" t="n">
        <v>3</v>
      </c>
      <c r="M273" s="8" t="n">
        <v>4</v>
      </c>
      <c r="N273" s="8" t="s">
        <v>3483</v>
      </c>
      <c r="O273" s="8" t="n">
        <v>2</v>
      </c>
      <c r="P273" s="10" t="n">
        <v>31.68</v>
      </c>
      <c r="Q273" s="8" t="n">
        <v>9179</v>
      </c>
      <c r="R273" s="8" t="n">
        <v>1312</v>
      </c>
      <c r="S273" s="8" t="s">
        <v>117</v>
      </c>
      <c r="T273" s="8" t="s">
        <v>431</v>
      </c>
      <c r="U273" s="8" t="s">
        <v>432</v>
      </c>
      <c r="V273" s="8"/>
      <c r="W273" s="8" t="s">
        <v>433</v>
      </c>
      <c r="X273" s="8" t="s">
        <v>434</v>
      </c>
      <c r="Y273" s="8" t="s">
        <v>3484</v>
      </c>
      <c r="Z273" s="8" t="s">
        <v>3485</v>
      </c>
    </row>
    <row r="274" customFormat="false" ht="15" hidden="false" customHeight="false" outlineLevel="0" collapsed="false">
      <c r="A274" s="8" t="s">
        <v>430</v>
      </c>
      <c r="B274" s="8" t="s">
        <v>21</v>
      </c>
      <c r="C274" s="8" t="s">
        <v>22</v>
      </c>
      <c r="D274" s="8" t="s">
        <v>615</v>
      </c>
      <c r="E274" s="8" t="s">
        <v>38</v>
      </c>
      <c r="F274" s="8" t="s">
        <v>44</v>
      </c>
      <c r="G274" s="8" t="s">
        <v>31</v>
      </c>
      <c r="H274" s="8" t="s">
        <v>31</v>
      </c>
      <c r="I274" s="8" t="n">
        <f aca="false">IF(EXACT(G274,H274),1,0)</f>
        <v>1</v>
      </c>
      <c r="J274" s="8" t="n">
        <v>2</v>
      </c>
      <c r="K274" s="8" t="s">
        <v>140</v>
      </c>
      <c r="L274" s="8" t="n">
        <v>3</v>
      </c>
      <c r="M274" s="8" t="n">
        <v>4</v>
      </c>
      <c r="N274" s="8" t="s">
        <v>3483</v>
      </c>
      <c r="O274" s="8" t="n">
        <v>2</v>
      </c>
      <c r="P274" s="10" t="n">
        <v>31.15</v>
      </c>
      <c r="Q274" s="8" t="n">
        <v>9182</v>
      </c>
      <c r="R274" s="8" t="n">
        <v>1285</v>
      </c>
      <c r="S274" s="8" t="s">
        <v>117</v>
      </c>
      <c r="T274" s="8" t="s">
        <v>431</v>
      </c>
      <c r="U274" s="8" t="s">
        <v>432</v>
      </c>
      <c r="V274" s="8"/>
      <c r="W274" s="8" t="s">
        <v>433</v>
      </c>
      <c r="X274" s="8" t="s">
        <v>434</v>
      </c>
      <c r="Y274" s="8" t="s">
        <v>3486</v>
      </c>
      <c r="Z274" s="8" t="s">
        <v>3487</v>
      </c>
    </row>
    <row r="275" customFormat="false" ht="15" hidden="false" customHeight="false" outlineLevel="0" collapsed="false">
      <c r="A275" s="8" t="s">
        <v>436</v>
      </c>
      <c r="B275" s="8" t="s">
        <v>21</v>
      </c>
      <c r="C275" s="8" t="s">
        <v>22</v>
      </c>
      <c r="D275" s="8" t="s">
        <v>615</v>
      </c>
      <c r="E275" s="8" t="s">
        <v>38</v>
      </c>
      <c r="F275" s="8" t="s">
        <v>44</v>
      </c>
      <c r="G275" s="8" t="s">
        <v>32</v>
      </c>
      <c r="H275" s="8" t="s">
        <v>30</v>
      </c>
      <c r="I275" s="8" t="n">
        <f aca="false">IF(EXACT(G275,H275),1,0)</f>
        <v>0</v>
      </c>
      <c r="J275" s="8" t="n">
        <v>0</v>
      </c>
      <c r="K275" s="8" t="s">
        <v>92</v>
      </c>
      <c r="L275" s="8" t="n">
        <v>0</v>
      </c>
      <c r="M275" s="8" t="n">
        <v>3</v>
      </c>
      <c r="N275" s="8" t="s">
        <v>3488</v>
      </c>
      <c r="O275" s="8" t="n">
        <v>2</v>
      </c>
      <c r="P275" s="10" t="n">
        <v>56.69</v>
      </c>
      <c r="Q275" s="8" t="n">
        <v>8884</v>
      </c>
      <c r="R275" s="8" t="n">
        <v>961</v>
      </c>
      <c r="S275" s="8" t="s">
        <v>132</v>
      </c>
      <c r="T275" s="8" t="s">
        <v>437</v>
      </c>
      <c r="U275" s="8" t="s">
        <v>438</v>
      </c>
      <c r="V275" s="8"/>
      <c r="W275" s="8" t="s">
        <v>439</v>
      </c>
      <c r="X275" s="8" t="s">
        <v>440</v>
      </c>
      <c r="Y275" s="8" t="s">
        <v>3489</v>
      </c>
      <c r="Z275" s="8"/>
    </row>
    <row r="276" customFormat="false" ht="15" hidden="false" customHeight="false" outlineLevel="0" collapsed="false">
      <c r="A276" s="8" t="s">
        <v>436</v>
      </c>
      <c r="B276" s="8" t="s">
        <v>21</v>
      </c>
      <c r="C276" s="8" t="s">
        <v>22</v>
      </c>
      <c r="D276" s="8" t="s">
        <v>615</v>
      </c>
      <c r="E276" s="8" t="s">
        <v>38</v>
      </c>
      <c r="F276" s="8" t="s">
        <v>44</v>
      </c>
      <c r="G276" s="8" t="s">
        <v>32</v>
      </c>
      <c r="H276" s="8" t="s">
        <v>30</v>
      </c>
      <c r="I276" s="8" t="n">
        <f aca="false">IF(EXACT(G276,H276),1,0)</f>
        <v>0</v>
      </c>
      <c r="J276" s="8" t="n">
        <v>1</v>
      </c>
      <c r="K276" s="8" t="s">
        <v>92</v>
      </c>
      <c r="L276" s="8" t="n">
        <v>0</v>
      </c>
      <c r="M276" s="8" t="n">
        <v>4</v>
      </c>
      <c r="N276" s="8" t="s">
        <v>3490</v>
      </c>
      <c r="O276" s="8" t="n">
        <v>2</v>
      </c>
      <c r="P276" s="10" t="n">
        <v>55.34</v>
      </c>
      <c r="Q276" s="8" t="n">
        <v>9101</v>
      </c>
      <c r="R276" s="8" t="n">
        <v>994</v>
      </c>
      <c r="S276" s="8" t="s">
        <v>132</v>
      </c>
      <c r="T276" s="8" t="s">
        <v>437</v>
      </c>
      <c r="U276" s="8" t="s">
        <v>438</v>
      </c>
      <c r="V276" s="8"/>
      <c r="W276" s="8" t="s">
        <v>439</v>
      </c>
      <c r="X276" s="8" t="s">
        <v>440</v>
      </c>
      <c r="Y276" s="8" t="s">
        <v>3491</v>
      </c>
      <c r="Z276" s="8"/>
    </row>
    <row r="277" customFormat="false" ht="15" hidden="false" customHeight="false" outlineLevel="0" collapsed="false">
      <c r="A277" s="8" t="s">
        <v>436</v>
      </c>
      <c r="B277" s="8" t="s">
        <v>21</v>
      </c>
      <c r="C277" s="8" t="s">
        <v>22</v>
      </c>
      <c r="D277" s="8" t="s">
        <v>615</v>
      </c>
      <c r="E277" s="8" t="s">
        <v>38</v>
      </c>
      <c r="F277" s="8" t="s">
        <v>44</v>
      </c>
      <c r="G277" s="8" t="s">
        <v>32</v>
      </c>
      <c r="H277" s="8" t="s">
        <v>30</v>
      </c>
      <c r="I277" s="8" t="n">
        <f aca="false">IF(EXACT(G277,H277),1,0)</f>
        <v>0</v>
      </c>
      <c r="J277" s="8" t="n">
        <v>2</v>
      </c>
      <c r="K277" s="8" t="s">
        <v>92</v>
      </c>
      <c r="L277" s="8" t="n">
        <v>0</v>
      </c>
      <c r="M277" s="8" t="n">
        <v>3</v>
      </c>
      <c r="N277" s="8" t="s">
        <v>3492</v>
      </c>
      <c r="O277" s="8" t="n">
        <v>2</v>
      </c>
      <c r="P277" s="10" t="n">
        <v>50.69</v>
      </c>
      <c r="Q277" s="8" t="n">
        <v>8885</v>
      </c>
      <c r="R277" s="8" t="n">
        <v>698</v>
      </c>
      <c r="S277" s="8" t="s">
        <v>132</v>
      </c>
      <c r="T277" s="8" t="s">
        <v>437</v>
      </c>
      <c r="U277" s="8" t="s">
        <v>438</v>
      </c>
      <c r="V277" s="8"/>
      <c r="W277" s="8" t="s">
        <v>439</v>
      </c>
      <c r="X277" s="8" t="s">
        <v>440</v>
      </c>
      <c r="Y277" s="8" t="s">
        <v>3493</v>
      </c>
      <c r="Z277" s="8"/>
    </row>
    <row r="278" customFormat="false" ht="15" hidden="false" customHeight="false" outlineLevel="0" collapsed="false">
      <c r="A278" s="8" t="s">
        <v>441</v>
      </c>
      <c r="B278" s="8" t="s">
        <v>21</v>
      </c>
      <c r="C278" s="8" t="s">
        <v>22</v>
      </c>
      <c r="D278" s="8" t="s">
        <v>615</v>
      </c>
      <c r="E278" s="8" t="s">
        <v>38</v>
      </c>
      <c r="F278" s="8" t="s">
        <v>44</v>
      </c>
      <c r="G278" s="8" t="s">
        <v>31</v>
      </c>
      <c r="H278" s="8" t="s">
        <v>31</v>
      </c>
      <c r="I278" s="8" t="n">
        <f aca="false">IF(EXACT(G278,H278),1,0)</f>
        <v>1</v>
      </c>
      <c r="J278" s="8" t="n">
        <v>0</v>
      </c>
      <c r="K278" s="8" t="s">
        <v>140</v>
      </c>
      <c r="L278" s="8" t="n">
        <v>3</v>
      </c>
      <c r="M278" s="8" t="n">
        <v>4</v>
      </c>
      <c r="N278" s="8" t="s">
        <v>3494</v>
      </c>
      <c r="O278" s="8" t="n">
        <v>2</v>
      </c>
      <c r="P278" s="10" t="n">
        <v>34.51</v>
      </c>
      <c r="Q278" s="8" t="n">
        <v>9621</v>
      </c>
      <c r="R278" s="8" t="n">
        <v>1399</v>
      </c>
      <c r="S278" s="8" t="s">
        <v>347</v>
      </c>
      <c r="T278" s="8" t="s">
        <v>431</v>
      </c>
      <c r="U278" s="8" t="s">
        <v>432</v>
      </c>
      <c r="V278" s="8"/>
      <c r="W278" s="8" t="s">
        <v>442</v>
      </c>
      <c r="X278" s="8" t="s">
        <v>443</v>
      </c>
      <c r="Y278" s="8" t="s">
        <v>3495</v>
      </c>
      <c r="Z278" s="8" t="s">
        <v>3496</v>
      </c>
    </row>
    <row r="279" customFormat="false" ht="15" hidden="false" customHeight="false" outlineLevel="0" collapsed="false">
      <c r="A279" s="8" t="s">
        <v>441</v>
      </c>
      <c r="B279" s="8" t="s">
        <v>21</v>
      </c>
      <c r="C279" s="8" t="s">
        <v>22</v>
      </c>
      <c r="D279" s="8" t="s">
        <v>615</v>
      </c>
      <c r="E279" s="8" t="s">
        <v>38</v>
      </c>
      <c r="F279" s="8" t="s">
        <v>44</v>
      </c>
      <c r="G279" s="8" t="s">
        <v>31</v>
      </c>
      <c r="H279" s="8" t="s">
        <v>31</v>
      </c>
      <c r="I279" s="8" t="n">
        <f aca="false">IF(EXACT(G279,H279),1,0)</f>
        <v>1</v>
      </c>
      <c r="J279" s="8" t="n">
        <v>1</v>
      </c>
      <c r="K279" s="8" t="s">
        <v>140</v>
      </c>
      <c r="L279" s="8" t="n">
        <v>3</v>
      </c>
      <c r="M279" s="8" t="n">
        <v>4</v>
      </c>
      <c r="N279" s="8" t="s">
        <v>3494</v>
      </c>
      <c r="O279" s="8" t="n">
        <v>2</v>
      </c>
      <c r="P279" s="10" t="n">
        <v>33.73</v>
      </c>
      <c r="Q279" s="8" t="n">
        <v>9621</v>
      </c>
      <c r="R279" s="8" t="n">
        <v>1375</v>
      </c>
      <c r="S279" s="8" t="s">
        <v>347</v>
      </c>
      <c r="T279" s="8" t="s">
        <v>431</v>
      </c>
      <c r="U279" s="8" t="s">
        <v>432</v>
      </c>
      <c r="V279" s="8"/>
      <c r="W279" s="8" t="s">
        <v>442</v>
      </c>
      <c r="X279" s="8" t="s">
        <v>443</v>
      </c>
      <c r="Y279" s="8" t="s">
        <v>3497</v>
      </c>
      <c r="Z279" s="8" t="s">
        <v>3498</v>
      </c>
    </row>
    <row r="280" customFormat="false" ht="15" hidden="false" customHeight="false" outlineLevel="0" collapsed="false">
      <c r="A280" s="8" t="s">
        <v>441</v>
      </c>
      <c r="B280" s="8" t="s">
        <v>21</v>
      </c>
      <c r="C280" s="8" t="s">
        <v>22</v>
      </c>
      <c r="D280" s="8" t="s">
        <v>615</v>
      </c>
      <c r="E280" s="8" t="s">
        <v>38</v>
      </c>
      <c r="F280" s="8" t="s">
        <v>44</v>
      </c>
      <c r="G280" s="8" t="s">
        <v>31</v>
      </c>
      <c r="H280" s="8" t="s">
        <v>31</v>
      </c>
      <c r="I280" s="8" t="n">
        <f aca="false">IF(EXACT(G280,H280),1,0)</f>
        <v>1</v>
      </c>
      <c r="J280" s="8" t="n">
        <v>2</v>
      </c>
      <c r="K280" s="8" t="s">
        <v>140</v>
      </c>
      <c r="L280" s="8" t="n">
        <v>2</v>
      </c>
      <c r="M280" s="8" t="n">
        <v>3</v>
      </c>
      <c r="N280" s="8" t="s">
        <v>3488</v>
      </c>
      <c r="O280" s="8" t="n">
        <v>2</v>
      </c>
      <c r="P280" s="10" t="n">
        <v>29.11</v>
      </c>
      <c r="Q280" s="8" t="n">
        <v>9072</v>
      </c>
      <c r="R280" s="8" t="n">
        <v>1182</v>
      </c>
      <c r="S280" s="8" t="s">
        <v>347</v>
      </c>
      <c r="T280" s="8" t="s">
        <v>431</v>
      </c>
      <c r="U280" s="8" t="s">
        <v>432</v>
      </c>
      <c r="V280" s="8"/>
      <c r="W280" s="8" t="s">
        <v>442</v>
      </c>
      <c r="X280" s="8" t="s">
        <v>443</v>
      </c>
      <c r="Y280" s="8" t="s">
        <v>3499</v>
      </c>
      <c r="Z280" s="8" t="s">
        <v>3500</v>
      </c>
    </row>
    <row r="281" customFormat="false" ht="15" hidden="false" customHeight="false" outlineLevel="0" collapsed="false">
      <c r="A281" s="8" t="s">
        <v>444</v>
      </c>
      <c r="B281" s="8" t="s">
        <v>21</v>
      </c>
      <c r="C281" s="8" t="s">
        <v>22</v>
      </c>
      <c r="D281" s="8" t="s">
        <v>615</v>
      </c>
      <c r="E281" s="8" t="s">
        <v>38</v>
      </c>
      <c r="F281" s="8" t="s">
        <v>44</v>
      </c>
      <c r="G281" s="8" t="s">
        <v>30</v>
      </c>
      <c r="H281" s="8" t="s">
        <v>30</v>
      </c>
      <c r="I281" s="8" t="n">
        <f aca="false">IF(EXACT(G281,H281),1,0)</f>
        <v>1</v>
      </c>
      <c r="J281" s="8" t="n">
        <v>0</v>
      </c>
      <c r="K281" s="8" t="s">
        <v>92</v>
      </c>
      <c r="L281" s="8" t="n">
        <v>0</v>
      </c>
      <c r="M281" s="8" t="n">
        <v>4</v>
      </c>
      <c r="N281" s="8" t="s">
        <v>3480</v>
      </c>
      <c r="O281" s="8" t="n">
        <v>2</v>
      </c>
      <c r="P281" s="10" t="n">
        <v>31.59</v>
      </c>
      <c r="Q281" s="8" t="n">
        <v>8918</v>
      </c>
      <c r="R281" s="8" t="n">
        <v>1034</v>
      </c>
      <c r="S281" s="8" t="s">
        <v>366</v>
      </c>
      <c r="T281" s="8" t="s">
        <v>445</v>
      </c>
      <c r="U281" s="8" t="s">
        <v>446</v>
      </c>
      <c r="V281" s="8"/>
      <c r="W281" s="8" t="s">
        <v>447</v>
      </c>
      <c r="X281" s="8" t="s">
        <v>448</v>
      </c>
      <c r="Y281" s="8" t="s">
        <v>3501</v>
      </c>
      <c r="Z281" s="8"/>
    </row>
    <row r="282" customFormat="false" ht="15" hidden="false" customHeight="false" outlineLevel="0" collapsed="false">
      <c r="A282" s="8" t="s">
        <v>444</v>
      </c>
      <c r="B282" s="8" t="s">
        <v>21</v>
      </c>
      <c r="C282" s="8" t="s">
        <v>22</v>
      </c>
      <c r="D282" s="8" t="s">
        <v>615</v>
      </c>
      <c r="E282" s="8" t="s">
        <v>38</v>
      </c>
      <c r="F282" s="8" t="s">
        <v>44</v>
      </c>
      <c r="G282" s="8" t="s">
        <v>30</v>
      </c>
      <c r="H282" s="8" t="s">
        <v>30</v>
      </c>
      <c r="I282" s="8" t="n">
        <f aca="false">IF(EXACT(G282,H282),1,0)</f>
        <v>1</v>
      </c>
      <c r="J282" s="8" t="n">
        <v>1</v>
      </c>
      <c r="K282" s="8" t="s">
        <v>92</v>
      </c>
      <c r="L282" s="8" t="n">
        <v>0</v>
      </c>
      <c r="M282" s="8" t="n">
        <v>4</v>
      </c>
      <c r="N282" s="8" t="s">
        <v>3480</v>
      </c>
      <c r="O282" s="8" t="n">
        <v>2</v>
      </c>
      <c r="P282" s="10" t="n">
        <v>28.33</v>
      </c>
      <c r="Q282" s="8" t="n">
        <v>8916</v>
      </c>
      <c r="R282" s="8" t="n">
        <v>1027</v>
      </c>
      <c r="S282" s="8" t="s">
        <v>366</v>
      </c>
      <c r="T282" s="8" t="s">
        <v>445</v>
      </c>
      <c r="U282" s="8" t="s">
        <v>446</v>
      </c>
      <c r="V282" s="8"/>
      <c r="W282" s="8" t="s">
        <v>447</v>
      </c>
      <c r="X282" s="8" t="s">
        <v>448</v>
      </c>
      <c r="Y282" s="8" t="s">
        <v>3502</v>
      </c>
      <c r="Z282" s="8"/>
    </row>
    <row r="283" customFormat="false" ht="15" hidden="false" customHeight="false" outlineLevel="0" collapsed="false">
      <c r="A283" s="8" t="s">
        <v>444</v>
      </c>
      <c r="B283" s="8" t="s">
        <v>21</v>
      </c>
      <c r="C283" s="8" t="s">
        <v>22</v>
      </c>
      <c r="D283" s="8" t="s">
        <v>615</v>
      </c>
      <c r="E283" s="8" t="s">
        <v>38</v>
      </c>
      <c r="F283" s="8" t="s">
        <v>44</v>
      </c>
      <c r="G283" s="8" t="s">
        <v>30</v>
      </c>
      <c r="H283" s="8" t="s">
        <v>30</v>
      </c>
      <c r="I283" s="8" t="n">
        <f aca="false">IF(EXACT(G283,H283),1,0)</f>
        <v>1</v>
      </c>
      <c r="J283" s="8" t="n">
        <v>2</v>
      </c>
      <c r="K283" s="8" t="s">
        <v>92</v>
      </c>
      <c r="L283" s="8" t="n">
        <v>0</v>
      </c>
      <c r="M283" s="8" t="n">
        <v>3</v>
      </c>
      <c r="N283" s="8" t="s">
        <v>3488</v>
      </c>
      <c r="O283" s="8" t="n">
        <v>2</v>
      </c>
      <c r="P283" s="10" t="n">
        <v>25.88</v>
      </c>
      <c r="Q283" s="8" t="n">
        <v>8704</v>
      </c>
      <c r="R283" s="8" t="n">
        <v>885</v>
      </c>
      <c r="S283" s="8" t="s">
        <v>366</v>
      </c>
      <c r="T283" s="8" t="s">
        <v>445</v>
      </c>
      <c r="U283" s="8" t="s">
        <v>446</v>
      </c>
      <c r="V283" s="8"/>
      <c r="W283" s="8" t="s">
        <v>447</v>
      </c>
      <c r="X283" s="8" t="s">
        <v>448</v>
      </c>
      <c r="Y283" s="8" t="s">
        <v>3503</v>
      </c>
      <c r="Z283" s="8"/>
    </row>
    <row r="284" customFormat="false" ht="15" hidden="false" customHeight="false" outlineLevel="0" collapsed="false">
      <c r="A284" s="8" t="s">
        <v>449</v>
      </c>
      <c r="B284" s="8" t="s">
        <v>21</v>
      </c>
      <c r="C284" s="8" t="s">
        <v>22</v>
      </c>
      <c r="D284" s="8" t="s">
        <v>615</v>
      </c>
      <c r="E284" s="8" t="s">
        <v>38</v>
      </c>
      <c r="F284" s="8" t="s">
        <v>44</v>
      </c>
      <c r="G284" s="8" t="s">
        <v>30</v>
      </c>
      <c r="H284" s="8" t="s">
        <v>30</v>
      </c>
      <c r="I284" s="8" t="n">
        <f aca="false">IF(EXACT(G284,H284),1,0)</f>
        <v>1</v>
      </c>
      <c r="J284" s="8" t="n">
        <v>0</v>
      </c>
      <c r="K284" s="8" t="s">
        <v>92</v>
      </c>
      <c r="L284" s="8" t="n">
        <v>0</v>
      </c>
      <c r="M284" s="8" t="n">
        <v>4</v>
      </c>
      <c r="N284" s="8" t="s">
        <v>3480</v>
      </c>
      <c r="O284" s="8" t="n">
        <v>2</v>
      </c>
      <c r="P284" s="10" t="n">
        <v>30.69</v>
      </c>
      <c r="Q284" s="8" t="n">
        <v>8890</v>
      </c>
      <c r="R284" s="8" t="n">
        <v>1224</v>
      </c>
      <c r="S284" s="8" t="s">
        <v>150</v>
      </c>
      <c r="T284" s="8" t="s">
        <v>450</v>
      </c>
      <c r="U284" s="8" t="s">
        <v>451</v>
      </c>
      <c r="V284" s="8"/>
      <c r="W284" s="8" t="s">
        <v>452</v>
      </c>
      <c r="X284" s="8" t="s">
        <v>453</v>
      </c>
      <c r="Y284" s="8" t="s">
        <v>3504</v>
      </c>
      <c r="Z284" s="8"/>
    </row>
    <row r="285" customFormat="false" ht="15" hidden="false" customHeight="false" outlineLevel="0" collapsed="false">
      <c r="A285" s="8" t="s">
        <v>449</v>
      </c>
      <c r="B285" s="8" t="s">
        <v>21</v>
      </c>
      <c r="C285" s="8" t="s">
        <v>22</v>
      </c>
      <c r="D285" s="8" t="s">
        <v>615</v>
      </c>
      <c r="E285" s="8" t="s">
        <v>38</v>
      </c>
      <c r="F285" s="8" t="s">
        <v>44</v>
      </c>
      <c r="G285" s="8" t="s">
        <v>30</v>
      </c>
      <c r="H285" s="8" t="s">
        <v>30</v>
      </c>
      <c r="I285" s="8" t="n">
        <f aca="false">IF(EXACT(G285,H285),1,0)</f>
        <v>1</v>
      </c>
      <c r="J285" s="8" t="n">
        <v>1</v>
      </c>
      <c r="K285" s="8" t="s">
        <v>92</v>
      </c>
      <c r="L285" s="8" t="n">
        <v>0</v>
      </c>
      <c r="M285" s="8" t="n">
        <v>4</v>
      </c>
      <c r="N285" s="8" t="s">
        <v>3494</v>
      </c>
      <c r="O285" s="8" t="n">
        <v>2</v>
      </c>
      <c r="P285" s="10" t="n">
        <v>28.12</v>
      </c>
      <c r="Q285" s="8" t="n">
        <v>8889</v>
      </c>
      <c r="R285" s="8" t="n">
        <v>1140</v>
      </c>
      <c r="S285" s="8" t="s">
        <v>150</v>
      </c>
      <c r="T285" s="8" t="s">
        <v>450</v>
      </c>
      <c r="U285" s="8" t="s">
        <v>451</v>
      </c>
      <c r="V285" s="8"/>
      <c r="W285" s="8" t="s">
        <v>452</v>
      </c>
      <c r="X285" s="8" t="s">
        <v>453</v>
      </c>
      <c r="Y285" s="8" t="s">
        <v>3505</v>
      </c>
      <c r="Z285" s="8"/>
    </row>
    <row r="286" customFormat="false" ht="15" hidden="false" customHeight="false" outlineLevel="0" collapsed="false">
      <c r="A286" s="8" t="s">
        <v>449</v>
      </c>
      <c r="B286" s="8" t="s">
        <v>21</v>
      </c>
      <c r="C286" s="8" t="s">
        <v>22</v>
      </c>
      <c r="D286" s="8" t="s">
        <v>615</v>
      </c>
      <c r="E286" s="8" t="s">
        <v>38</v>
      </c>
      <c r="F286" s="8" t="s">
        <v>44</v>
      </c>
      <c r="G286" s="8" t="s">
        <v>30</v>
      </c>
      <c r="H286" s="8" t="s">
        <v>31</v>
      </c>
      <c r="I286" s="8" t="n">
        <f aca="false">IF(EXACT(G286,H286),1,0)</f>
        <v>0</v>
      </c>
      <c r="J286" s="8" t="n">
        <v>2</v>
      </c>
      <c r="K286" s="8" t="s">
        <v>116</v>
      </c>
      <c r="L286" s="8" t="n">
        <v>3</v>
      </c>
      <c r="M286" s="8" t="n">
        <v>4</v>
      </c>
      <c r="N286" s="8" t="s">
        <v>3494</v>
      </c>
      <c r="O286" s="8" t="n">
        <v>2</v>
      </c>
      <c r="P286" s="10" t="n">
        <v>36.96</v>
      </c>
      <c r="Q286" s="8" t="n">
        <v>8887</v>
      </c>
      <c r="R286" s="8" t="n">
        <v>1643</v>
      </c>
      <c r="S286" s="8" t="s">
        <v>150</v>
      </c>
      <c r="T286" s="8" t="s">
        <v>450</v>
      </c>
      <c r="U286" s="8" t="s">
        <v>451</v>
      </c>
      <c r="V286" s="8"/>
      <c r="W286" s="8" t="s">
        <v>452</v>
      </c>
      <c r="X286" s="8" t="s">
        <v>453</v>
      </c>
      <c r="Y286" s="8" t="s">
        <v>3506</v>
      </c>
      <c r="Z286" s="8" t="s">
        <v>3507</v>
      </c>
    </row>
    <row r="287" customFormat="false" ht="15" hidden="false" customHeight="false" outlineLevel="0" collapsed="false">
      <c r="A287" s="8" t="s">
        <v>454</v>
      </c>
      <c r="B287" s="8" t="s">
        <v>21</v>
      </c>
      <c r="C287" s="8" t="s">
        <v>22</v>
      </c>
      <c r="D287" s="8" t="s">
        <v>615</v>
      </c>
      <c r="E287" s="8" t="s">
        <v>38</v>
      </c>
      <c r="F287" s="8" t="s">
        <v>44</v>
      </c>
      <c r="G287" s="8" t="s">
        <v>32</v>
      </c>
      <c r="H287" s="8" t="s">
        <v>32</v>
      </c>
      <c r="I287" s="8" t="n">
        <f aca="false">IF(EXACT(G287,H287),1,0)</f>
        <v>1</v>
      </c>
      <c r="J287" s="8" t="n">
        <v>0</v>
      </c>
      <c r="K287" s="8" t="s">
        <v>92</v>
      </c>
      <c r="L287" s="8" t="n">
        <v>0</v>
      </c>
      <c r="M287" s="8" t="n">
        <v>4</v>
      </c>
      <c r="N287" s="8" t="s">
        <v>3480</v>
      </c>
      <c r="O287" s="8" t="n">
        <v>2</v>
      </c>
      <c r="P287" s="10" t="n">
        <v>24.16</v>
      </c>
      <c r="Q287" s="8" t="n">
        <v>8626</v>
      </c>
      <c r="R287" s="8" t="n">
        <v>963</v>
      </c>
      <c r="S287" s="8" t="s">
        <v>132</v>
      </c>
      <c r="T287" s="8" t="s">
        <v>455</v>
      </c>
      <c r="U287" s="8" t="s">
        <v>456</v>
      </c>
      <c r="V287" s="8"/>
      <c r="W287" s="8" t="s">
        <v>457</v>
      </c>
      <c r="X287" s="8" t="s">
        <v>458</v>
      </c>
      <c r="Y287" s="8" t="s">
        <v>3508</v>
      </c>
      <c r="Z287" s="8"/>
    </row>
    <row r="288" customFormat="false" ht="15" hidden="false" customHeight="false" outlineLevel="0" collapsed="false">
      <c r="A288" s="8" t="s">
        <v>454</v>
      </c>
      <c r="B288" s="8" t="s">
        <v>21</v>
      </c>
      <c r="C288" s="8" t="s">
        <v>22</v>
      </c>
      <c r="D288" s="8" t="s">
        <v>615</v>
      </c>
      <c r="E288" s="8" t="s">
        <v>38</v>
      </c>
      <c r="F288" s="8" t="s">
        <v>44</v>
      </c>
      <c r="G288" s="8" t="s">
        <v>32</v>
      </c>
      <c r="H288" s="8" t="s">
        <v>32</v>
      </c>
      <c r="I288" s="8" t="n">
        <f aca="false">IF(EXACT(G288,H288),1,0)</f>
        <v>1</v>
      </c>
      <c r="J288" s="8" t="n">
        <v>1</v>
      </c>
      <c r="K288" s="8" t="s">
        <v>92</v>
      </c>
      <c r="L288" s="8" t="n">
        <v>0</v>
      </c>
      <c r="M288" s="8" t="n">
        <v>4</v>
      </c>
      <c r="N288" s="8" t="s">
        <v>3480</v>
      </c>
      <c r="O288" s="8" t="n">
        <v>2</v>
      </c>
      <c r="P288" s="10" t="n">
        <v>22.63</v>
      </c>
      <c r="Q288" s="8" t="n">
        <v>8624</v>
      </c>
      <c r="R288" s="8" t="n">
        <v>824</v>
      </c>
      <c r="S288" s="8" t="s">
        <v>132</v>
      </c>
      <c r="T288" s="8" t="s">
        <v>455</v>
      </c>
      <c r="U288" s="8" t="s">
        <v>456</v>
      </c>
      <c r="V288" s="8"/>
      <c r="W288" s="8" t="s">
        <v>457</v>
      </c>
      <c r="X288" s="8" t="s">
        <v>458</v>
      </c>
      <c r="Y288" s="8" t="s">
        <v>3509</v>
      </c>
      <c r="Z288" s="8"/>
    </row>
    <row r="289" customFormat="false" ht="15" hidden="false" customHeight="false" outlineLevel="0" collapsed="false">
      <c r="A289" s="8" t="s">
        <v>454</v>
      </c>
      <c r="B289" s="8" t="s">
        <v>21</v>
      </c>
      <c r="C289" s="8" t="s">
        <v>22</v>
      </c>
      <c r="D289" s="8" t="s">
        <v>615</v>
      </c>
      <c r="E289" s="8" t="s">
        <v>38</v>
      </c>
      <c r="F289" s="8" t="s">
        <v>44</v>
      </c>
      <c r="G289" s="8" t="s">
        <v>32</v>
      </c>
      <c r="H289" s="8" t="s">
        <v>31</v>
      </c>
      <c r="I289" s="8" t="n">
        <f aca="false">IF(EXACT(G289,H289),1,0)</f>
        <v>0</v>
      </c>
      <c r="J289" s="8" t="n">
        <v>2</v>
      </c>
      <c r="K289" s="8" t="s">
        <v>737</v>
      </c>
      <c r="L289" s="8" t="n">
        <v>1</v>
      </c>
      <c r="M289" s="8" t="n">
        <v>4</v>
      </c>
      <c r="N289" s="8" t="s">
        <v>3480</v>
      </c>
      <c r="O289" s="8" t="n">
        <v>2</v>
      </c>
      <c r="P289" s="10" t="n">
        <v>30.06</v>
      </c>
      <c r="Q289" s="8" t="n">
        <v>8623</v>
      </c>
      <c r="R289" s="8" t="n">
        <v>1315</v>
      </c>
      <c r="S289" s="8" t="s">
        <v>132</v>
      </c>
      <c r="T289" s="8" t="s">
        <v>455</v>
      </c>
      <c r="U289" s="8" t="s">
        <v>456</v>
      </c>
      <c r="V289" s="8"/>
      <c r="W289" s="8" t="s">
        <v>457</v>
      </c>
      <c r="X289" s="8" t="s">
        <v>458</v>
      </c>
      <c r="Y289" s="8" t="s">
        <v>3510</v>
      </c>
      <c r="Z289" s="8" t="s">
        <v>3511</v>
      </c>
    </row>
    <row r="290" customFormat="false" ht="15" hidden="false" customHeight="false" outlineLevel="0" collapsed="false">
      <c r="A290" s="8" t="s">
        <v>330</v>
      </c>
      <c r="B290" s="8" t="s">
        <v>21</v>
      </c>
      <c r="C290" s="8" t="s">
        <v>22</v>
      </c>
      <c r="D290" s="8" t="s">
        <v>615</v>
      </c>
      <c r="E290" s="8" t="s">
        <v>38</v>
      </c>
      <c r="F290" s="8" t="s">
        <v>45</v>
      </c>
      <c r="G290" s="8" t="s">
        <v>31</v>
      </c>
      <c r="H290" s="8" t="s">
        <v>31</v>
      </c>
      <c r="I290" s="8" t="n">
        <f aca="false">IF(EXACT(G290,H290),1,0)</f>
        <v>1</v>
      </c>
      <c r="J290" s="8" t="n">
        <v>0</v>
      </c>
      <c r="K290" s="8" t="s">
        <v>116</v>
      </c>
      <c r="L290" s="8" t="n">
        <v>2</v>
      </c>
      <c r="M290" s="8" t="n">
        <v>4</v>
      </c>
      <c r="N290" s="8" t="s">
        <v>3480</v>
      </c>
      <c r="O290" s="8" t="n">
        <v>2</v>
      </c>
      <c r="P290" s="10" t="n">
        <v>28.15</v>
      </c>
      <c r="Q290" s="8" t="n">
        <v>8567</v>
      </c>
      <c r="R290" s="8" t="n">
        <v>1111</v>
      </c>
      <c r="S290" s="8" t="s">
        <v>255</v>
      </c>
      <c r="T290" s="8" t="s">
        <v>331</v>
      </c>
      <c r="U290" s="8" t="s">
        <v>332</v>
      </c>
      <c r="V290" s="8"/>
      <c r="W290" s="8" t="s">
        <v>333</v>
      </c>
      <c r="X290" s="8" t="s">
        <v>459</v>
      </c>
      <c r="Y290" s="8" t="s">
        <v>3512</v>
      </c>
      <c r="Z290" s="8" t="s">
        <v>3513</v>
      </c>
    </row>
    <row r="291" customFormat="false" ht="15" hidden="false" customHeight="false" outlineLevel="0" collapsed="false">
      <c r="A291" s="8" t="s">
        <v>330</v>
      </c>
      <c r="B291" s="8" t="s">
        <v>21</v>
      </c>
      <c r="C291" s="8" t="s">
        <v>22</v>
      </c>
      <c r="D291" s="8" t="s">
        <v>615</v>
      </c>
      <c r="E291" s="8" t="s">
        <v>38</v>
      </c>
      <c r="F291" s="8" t="s">
        <v>45</v>
      </c>
      <c r="G291" s="8" t="s">
        <v>31</v>
      </c>
      <c r="H291" s="8" t="s">
        <v>31</v>
      </c>
      <c r="I291" s="8" t="n">
        <f aca="false">IF(EXACT(G291,H291),1,0)</f>
        <v>1</v>
      </c>
      <c r="J291" s="8" t="n">
        <v>1</v>
      </c>
      <c r="K291" s="8" t="s">
        <v>116</v>
      </c>
      <c r="L291" s="8" t="n">
        <v>3</v>
      </c>
      <c r="M291" s="8" t="n">
        <v>4</v>
      </c>
      <c r="N291" s="8" t="s">
        <v>3480</v>
      </c>
      <c r="O291" s="8" t="n">
        <v>2</v>
      </c>
      <c r="P291" s="10" t="n">
        <v>31.89</v>
      </c>
      <c r="Q291" s="8" t="n">
        <v>8567</v>
      </c>
      <c r="R291" s="8" t="n">
        <v>1337</v>
      </c>
      <c r="S291" s="8" t="s">
        <v>255</v>
      </c>
      <c r="T291" s="8" t="s">
        <v>331</v>
      </c>
      <c r="U291" s="8" t="s">
        <v>332</v>
      </c>
      <c r="V291" s="8"/>
      <c r="W291" s="8" t="s">
        <v>333</v>
      </c>
      <c r="X291" s="8" t="s">
        <v>459</v>
      </c>
      <c r="Y291" s="8" t="s">
        <v>3514</v>
      </c>
      <c r="Z291" s="8" t="s">
        <v>3515</v>
      </c>
    </row>
    <row r="292" customFormat="false" ht="15" hidden="false" customHeight="false" outlineLevel="0" collapsed="false">
      <c r="A292" s="8" t="s">
        <v>330</v>
      </c>
      <c r="B292" s="8" t="s">
        <v>21</v>
      </c>
      <c r="C292" s="8" t="s">
        <v>22</v>
      </c>
      <c r="D292" s="8" t="s">
        <v>615</v>
      </c>
      <c r="E292" s="8" t="s">
        <v>38</v>
      </c>
      <c r="F292" s="8" t="s">
        <v>45</v>
      </c>
      <c r="G292" s="8" t="s">
        <v>31</v>
      </c>
      <c r="H292" s="8" t="s">
        <v>31</v>
      </c>
      <c r="I292" s="8" t="n">
        <f aca="false">IF(EXACT(G292,H292),1,0)</f>
        <v>1</v>
      </c>
      <c r="J292" s="8" t="n">
        <v>2</v>
      </c>
      <c r="K292" s="8" t="s">
        <v>116</v>
      </c>
      <c r="L292" s="8" t="n">
        <v>2</v>
      </c>
      <c r="M292" s="8" t="n">
        <v>4</v>
      </c>
      <c r="N292" s="8" t="s">
        <v>3480</v>
      </c>
      <c r="O292" s="8" t="n">
        <v>2</v>
      </c>
      <c r="P292" s="10" t="n">
        <v>29.59</v>
      </c>
      <c r="Q292" s="8" t="n">
        <v>8569</v>
      </c>
      <c r="R292" s="8" t="n">
        <v>1190</v>
      </c>
      <c r="S292" s="8" t="s">
        <v>255</v>
      </c>
      <c r="T292" s="8" t="s">
        <v>331</v>
      </c>
      <c r="U292" s="8" t="s">
        <v>332</v>
      </c>
      <c r="V292" s="8"/>
      <c r="W292" s="8" t="s">
        <v>333</v>
      </c>
      <c r="X292" s="8" t="s">
        <v>459</v>
      </c>
      <c r="Y292" s="8" t="s">
        <v>3516</v>
      </c>
      <c r="Z292" s="8" t="s">
        <v>3517</v>
      </c>
    </row>
    <row r="293" customFormat="false" ht="15" hidden="false" customHeight="false" outlineLevel="0" collapsed="false">
      <c r="A293" s="8" t="s">
        <v>336</v>
      </c>
      <c r="B293" s="8" t="s">
        <v>21</v>
      </c>
      <c r="C293" s="8" t="s">
        <v>22</v>
      </c>
      <c r="D293" s="8" t="s">
        <v>615</v>
      </c>
      <c r="E293" s="8" t="s">
        <v>38</v>
      </c>
      <c r="F293" s="8" t="s">
        <v>45</v>
      </c>
      <c r="G293" s="8" t="s">
        <v>32</v>
      </c>
      <c r="H293" s="8" t="s">
        <v>32</v>
      </c>
      <c r="I293" s="8" t="n">
        <f aca="false">IF(EXACT(G293,H293),1,0)</f>
        <v>1</v>
      </c>
      <c r="J293" s="8" t="n">
        <v>0</v>
      </c>
      <c r="K293" s="8" t="s">
        <v>92</v>
      </c>
      <c r="L293" s="8" t="n">
        <v>0</v>
      </c>
      <c r="M293" s="8" t="n">
        <v>4</v>
      </c>
      <c r="N293" s="8" t="s">
        <v>3480</v>
      </c>
      <c r="O293" s="8" t="n">
        <v>2</v>
      </c>
      <c r="P293" s="10" t="n">
        <v>24.64</v>
      </c>
      <c r="Q293" s="8" t="n">
        <v>8870</v>
      </c>
      <c r="R293" s="8" t="n">
        <v>1050</v>
      </c>
      <c r="S293" s="8" t="s">
        <v>94</v>
      </c>
      <c r="T293" s="8" t="s">
        <v>337</v>
      </c>
      <c r="U293" s="8" t="s">
        <v>338</v>
      </c>
      <c r="V293" s="8"/>
      <c r="W293" s="8" t="s">
        <v>339</v>
      </c>
      <c r="X293" s="8" t="s">
        <v>460</v>
      </c>
      <c r="Y293" s="8" t="s">
        <v>3518</v>
      </c>
      <c r="Z293" s="8"/>
    </row>
    <row r="294" customFormat="false" ht="15" hidden="false" customHeight="false" outlineLevel="0" collapsed="false">
      <c r="A294" s="8" t="s">
        <v>336</v>
      </c>
      <c r="B294" s="8" t="s">
        <v>21</v>
      </c>
      <c r="C294" s="8" t="s">
        <v>22</v>
      </c>
      <c r="D294" s="8" t="s">
        <v>615</v>
      </c>
      <c r="E294" s="8" t="s">
        <v>38</v>
      </c>
      <c r="F294" s="8" t="s">
        <v>45</v>
      </c>
      <c r="G294" s="8" t="s">
        <v>32</v>
      </c>
      <c r="H294" s="8" t="s">
        <v>32</v>
      </c>
      <c r="I294" s="8" t="n">
        <f aca="false">IF(EXACT(G294,H294),1,0)</f>
        <v>1</v>
      </c>
      <c r="J294" s="8" t="n">
        <v>1</v>
      </c>
      <c r="K294" s="8" t="s">
        <v>92</v>
      </c>
      <c r="L294" s="8" t="n">
        <v>0</v>
      </c>
      <c r="M294" s="8" t="n">
        <v>4</v>
      </c>
      <c r="N294" s="8" t="s">
        <v>3494</v>
      </c>
      <c r="O294" s="8" t="n">
        <v>2</v>
      </c>
      <c r="P294" s="10" t="n">
        <v>33.97</v>
      </c>
      <c r="Q294" s="8" t="n">
        <v>8873</v>
      </c>
      <c r="R294" s="8" t="n">
        <v>1320</v>
      </c>
      <c r="S294" s="8" t="s">
        <v>94</v>
      </c>
      <c r="T294" s="8" t="s">
        <v>337</v>
      </c>
      <c r="U294" s="8" t="s">
        <v>338</v>
      </c>
      <c r="V294" s="8"/>
      <c r="W294" s="8" t="s">
        <v>339</v>
      </c>
      <c r="X294" s="8" t="s">
        <v>460</v>
      </c>
      <c r="Y294" s="8" t="s">
        <v>3519</v>
      </c>
      <c r="Z294" s="8"/>
    </row>
    <row r="295" customFormat="false" ht="15" hidden="false" customHeight="false" outlineLevel="0" collapsed="false">
      <c r="A295" s="8" t="s">
        <v>336</v>
      </c>
      <c r="B295" s="8" t="s">
        <v>21</v>
      </c>
      <c r="C295" s="8" t="s">
        <v>22</v>
      </c>
      <c r="D295" s="8" t="s">
        <v>615</v>
      </c>
      <c r="E295" s="8" t="s">
        <v>38</v>
      </c>
      <c r="F295" s="8" t="s">
        <v>45</v>
      </c>
      <c r="G295" s="8" t="s">
        <v>32</v>
      </c>
      <c r="H295" s="8" t="s">
        <v>32</v>
      </c>
      <c r="I295" s="8" t="n">
        <f aca="false">IF(EXACT(G295,H295),1,0)</f>
        <v>1</v>
      </c>
      <c r="J295" s="8" t="n">
        <v>2</v>
      </c>
      <c r="K295" s="8" t="s">
        <v>92</v>
      </c>
      <c r="L295" s="8" t="n">
        <v>0</v>
      </c>
      <c r="M295" s="8" t="n">
        <v>4</v>
      </c>
      <c r="N295" s="8" t="s">
        <v>3520</v>
      </c>
      <c r="O295" s="8" t="n">
        <v>2</v>
      </c>
      <c r="P295" s="10" t="n">
        <v>30.72</v>
      </c>
      <c r="Q295" s="8" t="n">
        <v>8876</v>
      </c>
      <c r="R295" s="8" t="n">
        <v>1053</v>
      </c>
      <c r="S295" s="8" t="s">
        <v>94</v>
      </c>
      <c r="T295" s="8" t="s">
        <v>337</v>
      </c>
      <c r="U295" s="8" t="s">
        <v>338</v>
      </c>
      <c r="V295" s="8"/>
      <c r="W295" s="8" t="s">
        <v>339</v>
      </c>
      <c r="X295" s="8" t="s">
        <v>460</v>
      </c>
      <c r="Y295" s="8" t="s">
        <v>3521</v>
      </c>
      <c r="Z295" s="8"/>
    </row>
    <row r="296" customFormat="false" ht="15" hidden="false" customHeight="false" outlineLevel="0" collapsed="false">
      <c r="A296" s="8" t="s">
        <v>341</v>
      </c>
      <c r="B296" s="8" t="s">
        <v>21</v>
      </c>
      <c r="C296" s="8" t="s">
        <v>22</v>
      </c>
      <c r="D296" s="8" t="s">
        <v>615</v>
      </c>
      <c r="E296" s="8" t="s">
        <v>38</v>
      </c>
      <c r="F296" s="8" t="s">
        <v>45</v>
      </c>
      <c r="G296" s="8" t="s">
        <v>32</v>
      </c>
      <c r="H296" s="8" t="s">
        <v>32</v>
      </c>
      <c r="I296" s="8" t="n">
        <f aca="false">IF(EXACT(G296,H296),1,0)</f>
        <v>1</v>
      </c>
      <c r="J296" s="8" t="n">
        <v>0</v>
      </c>
      <c r="K296" s="8" t="s">
        <v>92</v>
      </c>
      <c r="L296" s="8" t="n">
        <v>0</v>
      </c>
      <c r="M296" s="8" t="n">
        <v>4</v>
      </c>
      <c r="N296" s="8" t="s">
        <v>3480</v>
      </c>
      <c r="O296" s="8" t="n">
        <v>2</v>
      </c>
      <c r="P296" s="10" t="n">
        <v>23.18</v>
      </c>
      <c r="Q296" s="8" t="n">
        <v>8659</v>
      </c>
      <c r="R296" s="8" t="n">
        <v>844</v>
      </c>
      <c r="S296" s="8" t="s">
        <v>125</v>
      </c>
      <c r="T296" s="8" t="s">
        <v>342</v>
      </c>
      <c r="U296" s="8" t="s">
        <v>343</v>
      </c>
      <c r="V296" s="8"/>
      <c r="W296" s="8" t="s">
        <v>344</v>
      </c>
      <c r="X296" s="8" t="s">
        <v>461</v>
      </c>
      <c r="Y296" s="8" t="s">
        <v>3522</v>
      </c>
      <c r="Z296" s="8"/>
    </row>
    <row r="297" customFormat="false" ht="15" hidden="false" customHeight="false" outlineLevel="0" collapsed="false">
      <c r="A297" s="8" t="s">
        <v>341</v>
      </c>
      <c r="B297" s="8" t="s">
        <v>21</v>
      </c>
      <c r="C297" s="8" t="s">
        <v>22</v>
      </c>
      <c r="D297" s="8" t="s">
        <v>615</v>
      </c>
      <c r="E297" s="8" t="s">
        <v>38</v>
      </c>
      <c r="F297" s="8" t="s">
        <v>45</v>
      </c>
      <c r="G297" s="8" t="s">
        <v>32</v>
      </c>
      <c r="H297" s="8" t="s">
        <v>32</v>
      </c>
      <c r="I297" s="8" t="n">
        <f aca="false">IF(EXACT(G297,H297),1,0)</f>
        <v>1</v>
      </c>
      <c r="J297" s="8" t="n">
        <v>1</v>
      </c>
      <c r="K297" s="8" t="s">
        <v>92</v>
      </c>
      <c r="L297" s="8" t="n">
        <v>0</v>
      </c>
      <c r="M297" s="8" t="n">
        <v>3</v>
      </c>
      <c r="N297" s="8" t="s">
        <v>3492</v>
      </c>
      <c r="O297" s="8" t="n">
        <v>2</v>
      </c>
      <c r="P297" s="10" t="n">
        <v>28.15</v>
      </c>
      <c r="Q297" s="8" t="n">
        <v>8426</v>
      </c>
      <c r="R297" s="8" t="n">
        <v>755</v>
      </c>
      <c r="S297" s="8" t="s">
        <v>125</v>
      </c>
      <c r="T297" s="8" t="s">
        <v>342</v>
      </c>
      <c r="U297" s="8" t="s">
        <v>343</v>
      </c>
      <c r="V297" s="8"/>
      <c r="W297" s="8" t="s">
        <v>344</v>
      </c>
      <c r="X297" s="8" t="s">
        <v>461</v>
      </c>
      <c r="Y297" s="8" t="s">
        <v>3523</v>
      </c>
      <c r="Z297" s="8"/>
    </row>
    <row r="298" customFormat="false" ht="15" hidden="false" customHeight="false" outlineLevel="0" collapsed="false">
      <c r="A298" s="8" t="s">
        <v>341</v>
      </c>
      <c r="B298" s="8" t="s">
        <v>21</v>
      </c>
      <c r="C298" s="8" t="s">
        <v>22</v>
      </c>
      <c r="D298" s="8" t="s">
        <v>615</v>
      </c>
      <c r="E298" s="8" t="s">
        <v>38</v>
      </c>
      <c r="F298" s="8" t="s">
        <v>45</v>
      </c>
      <c r="G298" s="8" t="s">
        <v>32</v>
      </c>
      <c r="H298" s="8" t="s">
        <v>32</v>
      </c>
      <c r="I298" s="8" t="n">
        <f aca="false">IF(EXACT(G298,H298),1,0)</f>
        <v>1</v>
      </c>
      <c r="J298" s="8" t="n">
        <v>2</v>
      </c>
      <c r="K298" s="8" t="s">
        <v>92</v>
      </c>
      <c r="L298" s="8" t="n">
        <v>0</v>
      </c>
      <c r="M298" s="8" t="n">
        <v>4</v>
      </c>
      <c r="N298" s="8" t="s">
        <v>3480</v>
      </c>
      <c r="O298" s="8" t="n">
        <v>2</v>
      </c>
      <c r="P298" s="10" t="n">
        <v>29.78</v>
      </c>
      <c r="Q298" s="8" t="n">
        <v>8657</v>
      </c>
      <c r="R298" s="8" t="n">
        <v>820</v>
      </c>
      <c r="S298" s="8" t="s">
        <v>125</v>
      </c>
      <c r="T298" s="8" t="s">
        <v>342</v>
      </c>
      <c r="U298" s="8" t="s">
        <v>343</v>
      </c>
      <c r="V298" s="8"/>
      <c r="W298" s="8" t="s">
        <v>344</v>
      </c>
      <c r="X298" s="8" t="s">
        <v>461</v>
      </c>
      <c r="Y298" s="8" t="s">
        <v>3524</v>
      </c>
      <c r="Z298" s="8"/>
    </row>
    <row r="299" customFormat="false" ht="15" hidden="false" customHeight="false" outlineLevel="0" collapsed="false">
      <c r="A299" s="8" t="s">
        <v>346</v>
      </c>
      <c r="B299" s="8" t="s">
        <v>21</v>
      </c>
      <c r="C299" s="8" t="s">
        <v>22</v>
      </c>
      <c r="D299" s="8" t="s">
        <v>615</v>
      </c>
      <c r="E299" s="8" t="s">
        <v>38</v>
      </c>
      <c r="F299" s="8" t="s">
        <v>45</v>
      </c>
      <c r="G299" s="8" t="s">
        <v>31</v>
      </c>
      <c r="H299" s="8" t="s">
        <v>31</v>
      </c>
      <c r="I299" s="8" t="n">
        <f aca="false">IF(EXACT(G299,H299),1,0)</f>
        <v>1</v>
      </c>
      <c r="J299" s="8" t="n">
        <v>0</v>
      </c>
      <c r="K299" s="8" t="s">
        <v>116</v>
      </c>
      <c r="L299" s="8" t="n">
        <v>4</v>
      </c>
      <c r="M299" s="8" t="n">
        <v>4</v>
      </c>
      <c r="N299" s="8" t="s">
        <v>3480</v>
      </c>
      <c r="O299" s="8" t="n">
        <v>2</v>
      </c>
      <c r="P299" s="10" t="n">
        <v>35.32</v>
      </c>
      <c r="Q299" s="8" t="n">
        <v>8715</v>
      </c>
      <c r="R299" s="8" t="n">
        <v>1502</v>
      </c>
      <c r="S299" s="8" t="s">
        <v>347</v>
      </c>
      <c r="T299" s="8" t="s">
        <v>331</v>
      </c>
      <c r="U299" s="8" t="s">
        <v>332</v>
      </c>
      <c r="V299" s="8"/>
      <c r="W299" s="8" t="s">
        <v>348</v>
      </c>
      <c r="X299" s="8" t="s">
        <v>462</v>
      </c>
      <c r="Y299" s="8" t="s">
        <v>3525</v>
      </c>
      <c r="Z299" s="8" t="s">
        <v>3526</v>
      </c>
    </row>
    <row r="300" customFormat="false" ht="15" hidden="false" customHeight="false" outlineLevel="0" collapsed="false">
      <c r="A300" s="8" t="s">
        <v>346</v>
      </c>
      <c r="B300" s="8" t="s">
        <v>21</v>
      </c>
      <c r="C300" s="8" t="s">
        <v>22</v>
      </c>
      <c r="D300" s="8" t="s">
        <v>615</v>
      </c>
      <c r="E300" s="8" t="s">
        <v>38</v>
      </c>
      <c r="F300" s="8" t="s">
        <v>45</v>
      </c>
      <c r="G300" s="8" t="s">
        <v>31</v>
      </c>
      <c r="H300" s="8" t="s">
        <v>31</v>
      </c>
      <c r="I300" s="8" t="n">
        <f aca="false">IF(EXACT(G300,H300),1,0)</f>
        <v>1</v>
      </c>
      <c r="J300" s="8" t="n">
        <v>1</v>
      </c>
      <c r="K300" s="8" t="s">
        <v>116</v>
      </c>
      <c r="L300" s="8" t="n">
        <v>4</v>
      </c>
      <c r="M300" s="8" t="n">
        <v>4</v>
      </c>
      <c r="N300" s="8" t="s">
        <v>3480</v>
      </c>
      <c r="O300" s="8" t="n">
        <v>2</v>
      </c>
      <c r="P300" s="10" t="n">
        <v>35.34</v>
      </c>
      <c r="Q300" s="8" t="n">
        <v>8713</v>
      </c>
      <c r="R300" s="8" t="n">
        <v>1499</v>
      </c>
      <c r="S300" s="8" t="s">
        <v>347</v>
      </c>
      <c r="T300" s="8" t="s">
        <v>331</v>
      </c>
      <c r="U300" s="8" t="s">
        <v>332</v>
      </c>
      <c r="V300" s="8"/>
      <c r="W300" s="8" t="s">
        <v>348</v>
      </c>
      <c r="X300" s="8" t="s">
        <v>462</v>
      </c>
      <c r="Y300" s="8" t="s">
        <v>3527</v>
      </c>
      <c r="Z300" s="8" t="s">
        <v>3528</v>
      </c>
    </row>
    <row r="301" customFormat="false" ht="15" hidden="false" customHeight="false" outlineLevel="0" collapsed="false">
      <c r="A301" s="8" t="s">
        <v>346</v>
      </c>
      <c r="B301" s="8" t="s">
        <v>21</v>
      </c>
      <c r="C301" s="8" t="s">
        <v>22</v>
      </c>
      <c r="D301" s="8" t="s">
        <v>615</v>
      </c>
      <c r="E301" s="8" t="s">
        <v>38</v>
      </c>
      <c r="F301" s="8" t="s">
        <v>45</v>
      </c>
      <c r="G301" s="8" t="s">
        <v>31</v>
      </c>
      <c r="H301" s="8" t="s">
        <v>31</v>
      </c>
      <c r="I301" s="8" t="n">
        <f aca="false">IF(EXACT(G301,H301),1,0)</f>
        <v>1</v>
      </c>
      <c r="J301" s="8" t="n">
        <v>2</v>
      </c>
      <c r="K301" s="8" t="s">
        <v>116</v>
      </c>
      <c r="L301" s="8" t="n">
        <v>4</v>
      </c>
      <c r="M301" s="8" t="n">
        <v>4</v>
      </c>
      <c r="N301" s="8" t="s">
        <v>3480</v>
      </c>
      <c r="O301" s="8" t="n">
        <v>2</v>
      </c>
      <c r="P301" s="10" t="n">
        <v>38.83</v>
      </c>
      <c r="Q301" s="8" t="n">
        <v>8714</v>
      </c>
      <c r="R301" s="8" t="n">
        <v>1658</v>
      </c>
      <c r="S301" s="8" t="s">
        <v>347</v>
      </c>
      <c r="T301" s="8" t="s">
        <v>331</v>
      </c>
      <c r="U301" s="8" t="s">
        <v>332</v>
      </c>
      <c r="V301" s="8"/>
      <c r="W301" s="8" t="s">
        <v>348</v>
      </c>
      <c r="X301" s="8" t="s">
        <v>462</v>
      </c>
      <c r="Y301" s="8" t="s">
        <v>3529</v>
      </c>
      <c r="Z301" s="8" t="s">
        <v>3530</v>
      </c>
    </row>
    <row r="302" customFormat="false" ht="15" hidden="false" customHeight="false" outlineLevel="0" collapsed="false">
      <c r="A302" s="8" t="s">
        <v>351</v>
      </c>
      <c r="B302" s="8" t="s">
        <v>21</v>
      </c>
      <c r="C302" s="8" t="s">
        <v>22</v>
      </c>
      <c r="D302" s="8" t="s">
        <v>615</v>
      </c>
      <c r="E302" s="8" t="s">
        <v>38</v>
      </c>
      <c r="F302" s="8" t="s">
        <v>45</v>
      </c>
      <c r="G302" s="8" t="s">
        <v>30</v>
      </c>
      <c r="H302" s="8" t="s">
        <v>30</v>
      </c>
      <c r="I302" s="8" t="n">
        <f aca="false">IF(EXACT(G302,H302),1,0)</f>
        <v>1</v>
      </c>
      <c r="J302" s="8" t="n">
        <v>0</v>
      </c>
      <c r="K302" s="8" t="s">
        <v>92</v>
      </c>
      <c r="L302" s="8" t="n">
        <v>0</v>
      </c>
      <c r="M302" s="8" t="n">
        <v>3</v>
      </c>
      <c r="N302" s="8" t="s">
        <v>3492</v>
      </c>
      <c r="O302" s="8" t="n">
        <v>2</v>
      </c>
      <c r="P302" s="10" t="n">
        <v>23.29</v>
      </c>
      <c r="Q302" s="8" t="n">
        <v>8638</v>
      </c>
      <c r="R302" s="8" t="n">
        <v>922</v>
      </c>
      <c r="S302" s="8" t="s">
        <v>110</v>
      </c>
      <c r="T302" s="8" t="s">
        <v>337</v>
      </c>
      <c r="U302" s="8" t="s">
        <v>338</v>
      </c>
      <c r="V302" s="8"/>
      <c r="W302" s="8" t="s">
        <v>352</v>
      </c>
      <c r="X302" s="8" t="s">
        <v>463</v>
      </c>
      <c r="Y302" s="8" t="s">
        <v>3531</v>
      </c>
      <c r="Z302" s="8"/>
    </row>
    <row r="303" customFormat="false" ht="15" hidden="false" customHeight="false" outlineLevel="0" collapsed="false">
      <c r="A303" s="8" t="s">
        <v>351</v>
      </c>
      <c r="B303" s="8" t="s">
        <v>21</v>
      </c>
      <c r="C303" s="8" t="s">
        <v>22</v>
      </c>
      <c r="D303" s="8" t="s">
        <v>615</v>
      </c>
      <c r="E303" s="8" t="s">
        <v>38</v>
      </c>
      <c r="F303" s="8" t="s">
        <v>45</v>
      </c>
      <c r="G303" s="8" t="s">
        <v>30</v>
      </c>
      <c r="H303" s="8" t="s">
        <v>30</v>
      </c>
      <c r="I303" s="8" t="n">
        <f aca="false">IF(EXACT(G303,H303),1,0)</f>
        <v>1</v>
      </c>
      <c r="J303" s="8" t="n">
        <v>1</v>
      </c>
      <c r="K303" s="8" t="s">
        <v>92</v>
      </c>
      <c r="L303" s="8" t="n">
        <v>0</v>
      </c>
      <c r="M303" s="8" t="n">
        <v>4</v>
      </c>
      <c r="N303" s="8" t="s">
        <v>3490</v>
      </c>
      <c r="O303" s="8" t="n">
        <v>2</v>
      </c>
      <c r="P303" s="10" t="n">
        <v>27.49</v>
      </c>
      <c r="Q303" s="8" t="n">
        <v>8945</v>
      </c>
      <c r="R303" s="8" t="n">
        <v>1278</v>
      </c>
      <c r="S303" s="8" t="s">
        <v>110</v>
      </c>
      <c r="T303" s="8" t="s">
        <v>337</v>
      </c>
      <c r="U303" s="8" t="s">
        <v>338</v>
      </c>
      <c r="V303" s="8"/>
      <c r="W303" s="8" t="s">
        <v>352</v>
      </c>
      <c r="X303" s="8" t="s">
        <v>463</v>
      </c>
      <c r="Y303" s="8" t="s">
        <v>3532</v>
      </c>
      <c r="Z303" s="8"/>
    </row>
    <row r="304" customFormat="false" ht="15" hidden="false" customHeight="false" outlineLevel="0" collapsed="false">
      <c r="A304" s="8" t="s">
        <v>351</v>
      </c>
      <c r="B304" s="8" t="s">
        <v>21</v>
      </c>
      <c r="C304" s="8" t="s">
        <v>22</v>
      </c>
      <c r="D304" s="8" t="s">
        <v>615</v>
      </c>
      <c r="E304" s="8" t="s">
        <v>38</v>
      </c>
      <c r="F304" s="8" t="s">
        <v>45</v>
      </c>
      <c r="G304" s="8" t="s">
        <v>30</v>
      </c>
      <c r="H304" s="8" t="s">
        <v>30</v>
      </c>
      <c r="I304" s="8" t="n">
        <f aca="false">IF(EXACT(G304,H304),1,0)</f>
        <v>1</v>
      </c>
      <c r="J304" s="8" t="n">
        <v>2</v>
      </c>
      <c r="K304" s="8" t="s">
        <v>92</v>
      </c>
      <c r="L304" s="8" t="n">
        <v>0</v>
      </c>
      <c r="M304" s="8" t="n">
        <v>4</v>
      </c>
      <c r="N304" s="8" t="s">
        <v>3490</v>
      </c>
      <c r="O304" s="8" t="n">
        <v>2</v>
      </c>
      <c r="P304" s="10" t="n">
        <v>28.77</v>
      </c>
      <c r="Q304" s="8" t="n">
        <v>8946</v>
      </c>
      <c r="R304" s="8" t="n">
        <v>1321</v>
      </c>
      <c r="S304" s="8" t="s">
        <v>110</v>
      </c>
      <c r="T304" s="8" t="s">
        <v>337</v>
      </c>
      <c r="U304" s="8" t="s">
        <v>338</v>
      </c>
      <c r="V304" s="8"/>
      <c r="W304" s="8" t="s">
        <v>352</v>
      </c>
      <c r="X304" s="8" t="s">
        <v>463</v>
      </c>
      <c r="Y304" s="8" t="s">
        <v>3533</v>
      </c>
      <c r="Z304" s="8"/>
    </row>
    <row r="305" customFormat="false" ht="15" hidden="false" customHeight="false" outlineLevel="0" collapsed="false">
      <c r="A305" s="8" t="s">
        <v>354</v>
      </c>
      <c r="B305" s="8" t="s">
        <v>21</v>
      </c>
      <c r="C305" s="8" t="s">
        <v>22</v>
      </c>
      <c r="D305" s="8" t="s">
        <v>615</v>
      </c>
      <c r="E305" s="8" t="s">
        <v>38</v>
      </c>
      <c r="F305" s="8" t="s">
        <v>45</v>
      </c>
      <c r="G305" s="8" t="s">
        <v>30</v>
      </c>
      <c r="H305" s="8" t="s">
        <v>30</v>
      </c>
      <c r="I305" s="8" t="n">
        <f aca="false">IF(EXACT(G305,H305),1,0)</f>
        <v>1</v>
      </c>
      <c r="J305" s="8" t="n">
        <v>0</v>
      </c>
      <c r="K305" s="8" t="s">
        <v>92</v>
      </c>
      <c r="L305" s="8" t="n">
        <v>0</v>
      </c>
      <c r="M305" s="8" t="n">
        <v>4</v>
      </c>
      <c r="N305" s="8" t="s">
        <v>3480</v>
      </c>
      <c r="O305" s="8" t="n">
        <v>2</v>
      </c>
      <c r="P305" s="10" t="n">
        <v>24.13</v>
      </c>
      <c r="Q305" s="8" t="n">
        <v>8861</v>
      </c>
      <c r="R305" s="8" t="n">
        <v>1032</v>
      </c>
      <c r="S305" s="8" t="s">
        <v>216</v>
      </c>
      <c r="T305" s="8" t="s">
        <v>355</v>
      </c>
      <c r="U305" s="8" t="s">
        <v>356</v>
      </c>
      <c r="V305" s="8"/>
      <c r="W305" s="8" t="s">
        <v>357</v>
      </c>
      <c r="X305" s="8" t="s">
        <v>464</v>
      </c>
      <c r="Y305" s="8" t="s">
        <v>3534</v>
      </c>
      <c r="Z305" s="8"/>
    </row>
    <row r="306" customFormat="false" ht="15" hidden="false" customHeight="false" outlineLevel="0" collapsed="false">
      <c r="A306" s="8" t="s">
        <v>354</v>
      </c>
      <c r="B306" s="8" t="s">
        <v>21</v>
      </c>
      <c r="C306" s="8" t="s">
        <v>22</v>
      </c>
      <c r="D306" s="8" t="s">
        <v>615</v>
      </c>
      <c r="E306" s="8" t="s">
        <v>38</v>
      </c>
      <c r="F306" s="8" t="s">
        <v>45</v>
      </c>
      <c r="G306" s="8" t="s">
        <v>30</v>
      </c>
      <c r="H306" s="8" t="s">
        <v>30</v>
      </c>
      <c r="I306" s="8" t="n">
        <f aca="false">IF(EXACT(G306,H306),1,0)</f>
        <v>1</v>
      </c>
      <c r="J306" s="8" t="n">
        <v>1</v>
      </c>
      <c r="K306" s="8" t="s">
        <v>92</v>
      </c>
      <c r="L306" s="8" t="n">
        <v>0</v>
      </c>
      <c r="M306" s="8" t="n">
        <v>4</v>
      </c>
      <c r="N306" s="8" t="s">
        <v>3480</v>
      </c>
      <c r="O306" s="8" t="n">
        <v>2</v>
      </c>
      <c r="P306" s="10" t="n">
        <v>24.67</v>
      </c>
      <c r="Q306" s="8" t="n">
        <v>8862</v>
      </c>
      <c r="R306" s="8" t="n">
        <v>1042</v>
      </c>
      <c r="S306" s="8" t="s">
        <v>216</v>
      </c>
      <c r="T306" s="8" t="s">
        <v>355</v>
      </c>
      <c r="U306" s="8" t="s">
        <v>356</v>
      </c>
      <c r="V306" s="8"/>
      <c r="W306" s="8" t="s">
        <v>357</v>
      </c>
      <c r="X306" s="8" t="s">
        <v>464</v>
      </c>
      <c r="Y306" s="8" t="s">
        <v>3535</v>
      </c>
      <c r="Z306" s="8"/>
    </row>
    <row r="307" customFormat="false" ht="15" hidden="false" customHeight="false" outlineLevel="0" collapsed="false">
      <c r="A307" s="8" t="s">
        <v>354</v>
      </c>
      <c r="B307" s="8" t="s">
        <v>21</v>
      </c>
      <c r="C307" s="8" t="s">
        <v>22</v>
      </c>
      <c r="D307" s="8" t="s">
        <v>615</v>
      </c>
      <c r="E307" s="8" t="s">
        <v>38</v>
      </c>
      <c r="F307" s="8" t="s">
        <v>45</v>
      </c>
      <c r="G307" s="8" t="s">
        <v>30</v>
      </c>
      <c r="H307" s="8" t="s">
        <v>30</v>
      </c>
      <c r="I307" s="8" t="n">
        <f aca="false">IF(EXACT(G307,H307),1,0)</f>
        <v>1</v>
      </c>
      <c r="J307" s="8" t="n">
        <v>2</v>
      </c>
      <c r="K307" s="8" t="s">
        <v>92</v>
      </c>
      <c r="L307" s="8" t="n">
        <v>0</v>
      </c>
      <c r="M307" s="8" t="n">
        <v>4</v>
      </c>
      <c r="N307" s="8" t="s">
        <v>3480</v>
      </c>
      <c r="O307" s="8" t="n">
        <v>2</v>
      </c>
      <c r="P307" s="10" t="n">
        <v>25.5</v>
      </c>
      <c r="Q307" s="8" t="n">
        <v>8860</v>
      </c>
      <c r="R307" s="8" t="n">
        <v>1083</v>
      </c>
      <c r="S307" s="8" t="s">
        <v>216</v>
      </c>
      <c r="T307" s="8" t="s">
        <v>355</v>
      </c>
      <c r="U307" s="8" t="s">
        <v>356</v>
      </c>
      <c r="V307" s="8"/>
      <c r="W307" s="8" t="s">
        <v>357</v>
      </c>
      <c r="X307" s="8" t="s">
        <v>464</v>
      </c>
      <c r="Y307" s="8" t="s">
        <v>3536</v>
      </c>
      <c r="Z307" s="8"/>
    </row>
    <row r="308" customFormat="false" ht="15" hidden="false" customHeight="false" outlineLevel="0" collapsed="false">
      <c r="A308" s="8" t="s">
        <v>90</v>
      </c>
      <c r="B308" s="8" t="s">
        <v>21</v>
      </c>
      <c r="C308" s="8" t="s">
        <v>22</v>
      </c>
      <c r="D308" s="8" t="s">
        <v>615</v>
      </c>
      <c r="E308" s="8" t="s">
        <v>38</v>
      </c>
      <c r="F308" s="8" t="s">
        <v>49</v>
      </c>
      <c r="G308" s="8" t="s">
        <v>32</v>
      </c>
      <c r="H308" s="8" t="s">
        <v>32</v>
      </c>
      <c r="I308" s="8" t="n">
        <f aca="false">IF(EXACT(G308,H308),1,0)</f>
        <v>1</v>
      </c>
      <c r="J308" s="8" t="n">
        <v>0</v>
      </c>
      <c r="K308" s="8" t="s">
        <v>92</v>
      </c>
      <c r="L308" s="8" t="n">
        <v>0</v>
      </c>
      <c r="M308" s="8" t="n">
        <v>4</v>
      </c>
      <c r="N308" s="8" t="s">
        <v>3494</v>
      </c>
      <c r="O308" s="8" t="n">
        <v>2</v>
      </c>
      <c r="P308" s="10" t="n">
        <v>28.1</v>
      </c>
      <c r="Q308" s="8" t="n">
        <v>8500</v>
      </c>
      <c r="R308" s="8" t="n">
        <v>988</v>
      </c>
      <c r="S308" s="8" t="s">
        <v>94</v>
      </c>
      <c r="T308" s="8" t="s">
        <v>95</v>
      </c>
      <c r="U308" s="8" t="s">
        <v>96</v>
      </c>
      <c r="V308" s="8"/>
      <c r="W308" s="8" t="s">
        <v>97</v>
      </c>
      <c r="X308" s="8" t="s">
        <v>465</v>
      </c>
      <c r="Y308" s="8" t="s">
        <v>3537</v>
      </c>
      <c r="Z308" s="8"/>
    </row>
    <row r="309" customFormat="false" ht="15" hidden="false" customHeight="false" outlineLevel="0" collapsed="false">
      <c r="A309" s="8" t="s">
        <v>90</v>
      </c>
      <c r="B309" s="8" t="s">
        <v>21</v>
      </c>
      <c r="C309" s="8" t="s">
        <v>22</v>
      </c>
      <c r="D309" s="8" t="s">
        <v>615</v>
      </c>
      <c r="E309" s="8" t="s">
        <v>38</v>
      </c>
      <c r="F309" s="8" t="s">
        <v>49</v>
      </c>
      <c r="G309" s="8" t="s">
        <v>32</v>
      </c>
      <c r="H309" s="8" t="s">
        <v>32</v>
      </c>
      <c r="I309" s="8" t="n">
        <f aca="false">IF(EXACT(G309,H309),1,0)</f>
        <v>1</v>
      </c>
      <c r="J309" s="8" t="n">
        <v>1</v>
      </c>
      <c r="K309" s="8" t="s">
        <v>92</v>
      </c>
      <c r="L309" s="8" t="n">
        <v>0</v>
      </c>
      <c r="M309" s="8" t="n">
        <v>4</v>
      </c>
      <c r="N309" s="8" t="s">
        <v>3494</v>
      </c>
      <c r="O309" s="8" t="n">
        <v>2</v>
      </c>
      <c r="P309" s="10" t="n">
        <v>28.83</v>
      </c>
      <c r="Q309" s="8" t="n">
        <v>8498</v>
      </c>
      <c r="R309" s="8" t="n">
        <v>1027</v>
      </c>
      <c r="S309" s="8" t="s">
        <v>94</v>
      </c>
      <c r="T309" s="8" t="s">
        <v>95</v>
      </c>
      <c r="U309" s="8" t="s">
        <v>96</v>
      </c>
      <c r="V309" s="8"/>
      <c r="W309" s="8" t="s">
        <v>97</v>
      </c>
      <c r="X309" s="8" t="s">
        <v>465</v>
      </c>
      <c r="Y309" s="8" t="s">
        <v>3538</v>
      </c>
      <c r="Z309" s="8"/>
    </row>
    <row r="310" customFormat="false" ht="15" hidden="false" customHeight="false" outlineLevel="0" collapsed="false">
      <c r="A310" s="8" t="s">
        <v>90</v>
      </c>
      <c r="B310" s="8" t="s">
        <v>21</v>
      </c>
      <c r="C310" s="8" t="s">
        <v>22</v>
      </c>
      <c r="D310" s="8" t="s">
        <v>615</v>
      </c>
      <c r="E310" s="8" t="s">
        <v>38</v>
      </c>
      <c r="F310" s="8" t="s">
        <v>49</v>
      </c>
      <c r="G310" s="8" t="s">
        <v>32</v>
      </c>
      <c r="H310" s="8" t="s">
        <v>32</v>
      </c>
      <c r="I310" s="8" t="n">
        <f aca="false">IF(EXACT(G310,H310),1,0)</f>
        <v>1</v>
      </c>
      <c r="J310" s="8" t="n">
        <v>2</v>
      </c>
      <c r="K310" s="8" t="s">
        <v>92</v>
      </c>
      <c r="L310" s="8" t="n">
        <v>0</v>
      </c>
      <c r="M310" s="8" t="n">
        <v>4</v>
      </c>
      <c r="N310" s="8" t="s">
        <v>3494</v>
      </c>
      <c r="O310" s="8" t="n">
        <v>2</v>
      </c>
      <c r="P310" s="10" t="n">
        <v>29.24</v>
      </c>
      <c r="Q310" s="8" t="n">
        <v>8500</v>
      </c>
      <c r="R310" s="8" t="n">
        <v>1052</v>
      </c>
      <c r="S310" s="8" t="s">
        <v>94</v>
      </c>
      <c r="T310" s="8" t="s">
        <v>95</v>
      </c>
      <c r="U310" s="8" t="s">
        <v>96</v>
      </c>
      <c r="V310" s="8"/>
      <c r="W310" s="8" t="s">
        <v>97</v>
      </c>
      <c r="X310" s="8" t="s">
        <v>465</v>
      </c>
      <c r="Y310" s="8" t="s">
        <v>3539</v>
      </c>
      <c r="Z310" s="8"/>
    </row>
    <row r="311" customFormat="false" ht="15" hidden="false" customHeight="false" outlineLevel="0" collapsed="false">
      <c r="A311" s="8" t="s">
        <v>100</v>
      </c>
      <c r="B311" s="8" t="s">
        <v>21</v>
      </c>
      <c r="C311" s="8" t="s">
        <v>22</v>
      </c>
      <c r="D311" s="8" t="s">
        <v>615</v>
      </c>
      <c r="E311" s="8" t="s">
        <v>38</v>
      </c>
      <c r="F311" s="8" t="s">
        <v>49</v>
      </c>
      <c r="G311" s="8" t="s">
        <v>32</v>
      </c>
      <c r="H311" s="8" t="s">
        <v>32</v>
      </c>
      <c r="I311" s="8" t="n">
        <f aca="false">IF(EXACT(G311,H311),1,0)</f>
        <v>1</v>
      </c>
      <c r="J311" s="8" t="n">
        <v>0</v>
      </c>
      <c r="K311" s="8" t="s">
        <v>92</v>
      </c>
      <c r="L311" s="8" t="n">
        <v>0</v>
      </c>
      <c r="M311" s="8" t="n">
        <v>4</v>
      </c>
      <c r="N311" s="8" t="s">
        <v>3540</v>
      </c>
      <c r="O311" s="8" t="n">
        <v>2</v>
      </c>
      <c r="P311" s="10" t="n">
        <v>29.49</v>
      </c>
      <c r="Q311" s="8" t="n">
        <v>8504</v>
      </c>
      <c r="R311" s="8" t="n">
        <v>973</v>
      </c>
      <c r="S311" s="8" t="s">
        <v>101</v>
      </c>
      <c r="T311" s="8" t="s">
        <v>95</v>
      </c>
      <c r="U311" s="8" t="s">
        <v>96</v>
      </c>
      <c r="V311" s="8"/>
      <c r="W311" s="8" t="s">
        <v>102</v>
      </c>
      <c r="X311" s="8" t="s">
        <v>466</v>
      </c>
      <c r="Y311" s="8" t="s">
        <v>3541</v>
      </c>
      <c r="Z311" s="8"/>
    </row>
    <row r="312" customFormat="false" ht="15" hidden="false" customHeight="false" outlineLevel="0" collapsed="false">
      <c r="A312" s="8" t="s">
        <v>100</v>
      </c>
      <c r="B312" s="8" t="s">
        <v>21</v>
      </c>
      <c r="C312" s="8" t="s">
        <v>22</v>
      </c>
      <c r="D312" s="8" t="s">
        <v>615</v>
      </c>
      <c r="E312" s="8" t="s">
        <v>38</v>
      </c>
      <c r="F312" s="8" t="s">
        <v>49</v>
      </c>
      <c r="G312" s="8" t="s">
        <v>32</v>
      </c>
      <c r="H312" s="8" t="s">
        <v>32</v>
      </c>
      <c r="I312" s="8" t="n">
        <f aca="false">IF(EXACT(G312,H312),1,0)</f>
        <v>1</v>
      </c>
      <c r="J312" s="8" t="n">
        <v>1</v>
      </c>
      <c r="K312" s="8" t="s">
        <v>92</v>
      </c>
      <c r="L312" s="8" t="n">
        <v>0</v>
      </c>
      <c r="M312" s="8" t="n">
        <v>4</v>
      </c>
      <c r="N312" s="8" t="s">
        <v>3542</v>
      </c>
      <c r="O312" s="8" t="n">
        <v>2</v>
      </c>
      <c r="P312" s="10" t="n">
        <v>30.73</v>
      </c>
      <c r="Q312" s="8" t="n">
        <v>8505</v>
      </c>
      <c r="R312" s="8" t="n">
        <v>1104</v>
      </c>
      <c r="S312" s="8" t="s">
        <v>101</v>
      </c>
      <c r="T312" s="8" t="s">
        <v>95</v>
      </c>
      <c r="U312" s="8" t="s">
        <v>96</v>
      </c>
      <c r="V312" s="8"/>
      <c r="W312" s="8" t="s">
        <v>102</v>
      </c>
      <c r="X312" s="8" t="s">
        <v>466</v>
      </c>
      <c r="Y312" s="8" t="s">
        <v>3543</v>
      </c>
      <c r="Z312" s="8"/>
    </row>
    <row r="313" customFormat="false" ht="15" hidden="false" customHeight="false" outlineLevel="0" collapsed="false">
      <c r="A313" s="8" t="s">
        <v>100</v>
      </c>
      <c r="B313" s="8" t="s">
        <v>21</v>
      </c>
      <c r="C313" s="8" t="s">
        <v>22</v>
      </c>
      <c r="D313" s="8" t="s">
        <v>615</v>
      </c>
      <c r="E313" s="8" t="s">
        <v>38</v>
      </c>
      <c r="F313" s="8" t="s">
        <v>49</v>
      </c>
      <c r="G313" s="8" t="s">
        <v>32</v>
      </c>
      <c r="H313" s="8" t="s">
        <v>32</v>
      </c>
      <c r="I313" s="8" t="n">
        <f aca="false">IF(EXACT(G313,H313),1,0)</f>
        <v>1</v>
      </c>
      <c r="J313" s="8" t="n">
        <v>2</v>
      </c>
      <c r="K313" s="8" t="s">
        <v>92</v>
      </c>
      <c r="L313" s="8" t="n">
        <v>0</v>
      </c>
      <c r="M313" s="8" t="n">
        <v>4</v>
      </c>
      <c r="N313" s="8" t="s">
        <v>3542</v>
      </c>
      <c r="O313" s="8" t="n">
        <v>2</v>
      </c>
      <c r="P313" s="10" t="n">
        <v>29.68</v>
      </c>
      <c r="Q313" s="8" t="n">
        <v>8503</v>
      </c>
      <c r="R313" s="8" t="n">
        <v>1085</v>
      </c>
      <c r="S313" s="8" t="s">
        <v>101</v>
      </c>
      <c r="T313" s="8" t="s">
        <v>95</v>
      </c>
      <c r="U313" s="8" t="s">
        <v>96</v>
      </c>
      <c r="V313" s="8"/>
      <c r="W313" s="8" t="s">
        <v>102</v>
      </c>
      <c r="X313" s="8" t="s">
        <v>466</v>
      </c>
      <c r="Y313" s="8" t="s">
        <v>3544</v>
      </c>
      <c r="Z313" s="8"/>
    </row>
    <row r="314" customFormat="false" ht="15" hidden="false" customHeight="false" outlineLevel="0" collapsed="false">
      <c r="A314" s="8" t="s">
        <v>104</v>
      </c>
      <c r="B314" s="8" t="s">
        <v>21</v>
      </c>
      <c r="C314" s="8" t="s">
        <v>22</v>
      </c>
      <c r="D314" s="8" t="s">
        <v>615</v>
      </c>
      <c r="E314" s="8" t="s">
        <v>38</v>
      </c>
      <c r="F314" s="8" t="s">
        <v>49</v>
      </c>
      <c r="G314" s="8" t="s">
        <v>30</v>
      </c>
      <c r="H314" s="8" t="s">
        <v>31</v>
      </c>
      <c r="I314" s="8" t="n">
        <f aca="false">IF(EXACT(G314,H314),1,0)</f>
        <v>0</v>
      </c>
      <c r="J314" s="8" t="n">
        <v>0</v>
      </c>
      <c r="K314" s="8" t="s">
        <v>116</v>
      </c>
      <c r="L314" s="8" t="n">
        <v>1</v>
      </c>
      <c r="M314" s="8" t="n">
        <v>4</v>
      </c>
      <c r="N314" s="8" t="s">
        <v>3480</v>
      </c>
      <c r="O314" s="8" t="n">
        <v>2</v>
      </c>
      <c r="P314" s="10" t="n">
        <v>35.9</v>
      </c>
      <c r="Q314" s="8" t="n">
        <v>8503</v>
      </c>
      <c r="R314" s="8" t="n">
        <v>1164</v>
      </c>
      <c r="S314" s="8" t="s">
        <v>105</v>
      </c>
      <c r="T314" s="8" t="s">
        <v>95</v>
      </c>
      <c r="U314" s="8" t="s">
        <v>96</v>
      </c>
      <c r="V314" s="8"/>
      <c r="W314" s="8" t="s">
        <v>106</v>
      </c>
      <c r="X314" s="8" t="s">
        <v>467</v>
      </c>
      <c r="Y314" s="8" t="s">
        <v>3545</v>
      </c>
      <c r="Z314" s="8" t="s">
        <v>3546</v>
      </c>
    </row>
    <row r="315" customFormat="false" ht="15" hidden="false" customHeight="false" outlineLevel="0" collapsed="false">
      <c r="A315" s="8" t="s">
        <v>104</v>
      </c>
      <c r="B315" s="8" t="s">
        <v>21</v>
      </c>
      <c r="C315" s="8" t="s">
        <v>22</v>
      </c>
      <c r="D315" s="8" t="s">
        <v>615</v>
      </c>
      <c r="E315" s="8" t="s">
        <v>38</v>
      </c>
      <c r="F315" s="8" t="s">
        <v>49</v>
      </c>
      <c r="G315" s="8" t="s">
        <v>30</v>
      </c>
      <c r="H315" s="8" t="s">
        <v>31</v>
      </c>
      <c r="I315" s="8" t="n">
        <f aca="false">IF(EXACT(G315,H315),1,0)</f>
        <v>0</v>
      </c>
      <c r="J315" s="8" t="n">
        <v>1</v>
      </c>
      <c r="K315" s="8" t="s">
        <v>116</v>
      </c>
      <c r="L315" s="8" t="n">
        <v>1</v>
      </c>
      <c r="M315" s="8" t="n">
        <v>4</v>
      </c>
      <c r="N315" s="8" t="s">
        <v>3480</v>
      </c>
      <c r="O315" s="8" t="n">
        <v>2</v>
      </c>
      <c r="P315" s="10" t="n">
        <v>35.47</v>
      </c>
      <c r="Q315" s="8" t="n">
        <v>8504</v>
      </c>
      <c r="R315" s="8" t="n">
        <v>1130</v>
      </c>
      <c r="S315" s="8" t="s">
        <v>105</v>
      </c>
      <c r="T315" s="8" t="s">
        <v>95</v>
      </c>
      <c r="U315" s="8" t="s">
        <v>96</v>
      </c>
      <c r="V315" s="8"/>
      <c r="W315" s="8" t="s">
        <v>106</v>
      </c>
      <c r="X315" s="8" t="s">
        <v>467</v>
      </c>
      <c r="Y315" s="8" t="s">
        <v>3547</v>
      </c>
      <c r="Z315" s="8" t="s">
        <v>3548</v>
      </c>
    </row>
    <row r="316" customFormat="false" ht="15" hidden="false" customHeight="false" outlineLevel="0" collapsed="false">
      <c r="A316" s="8" t="s">
        <v>104</v>
      </c>
      <c r="B316" s="8" t="s">
        <v>21</v>
      </c>
      <c r="C316" s="8" t="s">
        <v>22</v>
      </c>
      <c r="D316" s="8" t="s">
        <v>615</v>
      </c>
      <c r="E316" s="8" t="s">
        <v>38</v>
      </c>
      <c r="F316" s="8" t="s">
        <v>49</v>
      </c>
      <c r="G316" s="8" t="s">
        <v>30</v>
      </c>
      <c r="H316" s="8" t="s">
        <v>31</v>
      </c>
      <c r="I316" s="8" t="n">
        <f aca="false">IF(EXACT(G316,H316),1,0)</f>
        <v>0</v>
      </c>
      <c r="J316" s="8" t="n">
        <v>2</v>
      </c>
      <c r="K316" s="8" t="s">
        <v>737</v>
      </c>
      <c r="L316" s="8" t="n">
        <v>2</v>
      </c>
      <c r="M316" s="8" t="n">
        <v>4</v>
      </c>
      <c r="N316" s="8" t="s">
        <v>3480</v>
      </c>
      <c r="O316" s="8" t="n">
        <v>2</v>
      </c>
      <c r="P316" s="10" t="n">
        <v>40.14</v>
      </c>
      <c r="Q316" s="8" t="n">
        <v>8509</v>
      </c>
      <c r="R316" s="8" t="n">
        <v>1352</v>
      </c>
      <c r="S316" s="8" t="s">
        <v>105</v>
      </c>
      <c r="T316" s="8" t="s">
        <v>95</v>
      </c>
      <c r="U316" s="8" t="s">
        <v>96</v>
      </c>
      <c r="V316" s="8"/>
      <c r="W316" s="8" t="s">
        <v>106</v>
      </c>
      <c r="X316" s="8" t="s">
        <v>467</v>
      </c>
      <c r="Y316" s="8" t="s">
        <v>3549</v>
      </c>
      <c r="Z316" s="8" t="s">
        <v>3550</v>
      </c>
    </row>
    <row r="317" customFormat="false" ht="15" hidden="false" customHeight="false" outlineLevel="0" collapsed="false">
      <c r="A317" s="8" t="s">
        <v>109</v>
      </c>
      <c r="B317" s="8" t="s">
        <v>21</v>
      </c>
      <c r="C317" s="8" t="s">
        <v>22</v>
      </c>
      <c r="D317" s="8" t="s">
        <v>615</v>
      </c>
      <c r="E317" s="8" t="s">
        <v>38</v>
      </c>
      <c r="F317" s="8" t="s">
        <v>49</v>
      </c>
      <c r="G317" s="8" t="s">
        <v>30</v>
      </c>
      <c r="H317" s="8" t="s">
        <v>30</v>
      </c>
      <c r="I317" s="8" t="n">
        <f aca="false">IF(EXACT(G317,H317),1,0)</f>
        <v>1</v>
      </c>
      <c r="J317" s="8" t="n">
        <v>0</v>
      </c>
      <c r="K317" s="8" t="s">
        <v>92</v>
      </c>
      <c r="L317" s="8" t="n">
        <v>0</v>
      </c>
      <c r="M317" s="8" t="n">
        <v>4</v>
      </c>
      <c r="N317" s="8" t="s">
        <v>3480</v>
      </c>
      <c r="O317" s="8" t="n">
        <v>2</v>
      </c>
      <c r="P317" s="10" t="n">
        <v>39.22</v>
      </c>
      <c r="Q317" s="8" t="n">
        <v>10538</v>
      </c>
      <c r="R317" s="8" t="n">
        <v>1869</v>
      </c>
      <c r="S317" s="8" t="s">
        <v>110</v>
      </c>
      <c r="T317" s="8" t="s">
        <v>111</v>
      </c>
      <c r="U317" s="8" t="s">
        <v>112</v>
      </c>
      <c r="V317" s="8"/>
      <c r="W317" s="8" t="s">
        <v>113</v>
      </c>
      <c r="X317" s="8" t="s">
        <v>469</v>
      </c>
      <c r="Y317" s="8" t="s">
        <v>3551</v>
      </c>
      <c r="Z317" s="8"/>
    </row>
    <row r="318" customFormat="false" ht="15" hidden="false" customHeight="false" outlineLevel="0" collapsed="false">
      <c r="A318" s="8" t="s">
        <v>109</v>
      </c>
      <c r="B318" s="8" t="s">
        <v>21</v>
      </c>
      <c r="C318" s="8" t="s">
        <v>22</v>
      </c>
      <c r="D318" s="8" t="s">
        <v>615</v>
      </c>
      <c r="E318" s="8" t="s">
        <v>38</v>
      </c>
      <c r="F318" s="8" t="s">
        <v>49</v>
      </c>
      <c r="G318" s="8" t="s">
        <v>30</v>
      </c>
      <c r="H318" s="8" t="s">
        <v>30</v>
      </c>
      <c r="I318" s="8" t="n">
        <f aca="false">IF(EXACT(G318,H318),1,0)</f>
        <v>1</v>
      </c>
      <c r="J318" s="8" t="n">
        <v>1</v>
      </c>
      <c r="K318" s="8" t="s">
        <v>92</v>
      </c>
      <c r="L318" s="8" t="n">
        <v>0</v>
      </c>
      <c r="M318" s="8" t="n">
        <v>4</v>
      </c>
      <c r="N318" s="8" t="s">
        <v>3480</v>
      </c>
      <c r="O318" s="8" t="n">
        <v>2</v>
      </c>
      <c r="P318" s="10" t="n">
        <v>40.86</v>
      </c>
      <c r="Q318" s="8" t="n">
        <v>10537</v>
      </c>
      <c r="R318" s="8" t="n">
        <v>2017</v>
      </c>
      <c r="S318" s="8" t="s">
        <v>110</v>
      </c>
      <c r="T318" s="8" t="s">
        <v>111</v>
      </c>
      <c r="U318" s="8" t="s">
        <v>112</v>
      </c>
      <c r="V318" s="8"/>
      <c r="W318" s="8" t="s">
        <v>113</v>
      </c>
      <c r="X318" s="8" t="s">
        <v>469</v>
      </c>
      <c r="Y318" s="8" t="s">
        <v>3552</v>
      </c>
      <c r="Z318" s="8"/>
    </row>
    <row r="319" customFormat="false" ht="15" hidden="false" customHeight="false" outlineLevel="0" collapsed="false">
      <c r="A319" s="8" t="s">
        <v>109</v>
      </c>
      <c r="B319" s="8" t="s">
        <v>21</v>
      </c>
      <c r="C319" s="8" t="s">
        <v>22</v>
      </c>
      <c r="D319" s="8" t="s">
        <v>615</v>
      </c>
      <c r="E319" s="8" t="s">
        <v>38</v>
      </c>
      <c r="F319" s="8" t="s">
        <v>49</v>
      </c>
      <c r="G319" s="8" t="s">
        <v>30</v>
      </c>
      <c r="H319" s="8" t="s">
        <v>30</v>
      </c>
      <c r="I319" s="8" t="n">
        <f aca="false">IF(EXACT(G319,H319),1,0)</f>
        <v>1</v>
      </c>
      <c r="J319" s="8" t="n">
        <v>2</v>
      </c>
      <c r="K319" s="8" t="s">
        <v>92</v>
      </c>
      <c r="L319" s="8" t="n">
        <v>0</v>
      </c>
      <c r="M319" s="8" t="n">
        <v>4</v>
      </c>
      <c r="N319" s="8" t="s">
        <v>3480</v>
      </c>
      <c r="O319" s="8" t="n">
        <v>2</v>
      </c>
      <c r="P319" s="10" t="n">
        <v>36.35</v>
      </c>
      <c r="Q319" s="8" t="n">
        <v>10544</v>
      </c>
      <c r="R319" s="8" t="n">
        <v>1722</v>
      </c>
      <c r="S319" s="8" t="s">
        <v>110</v>
      </c>
      <c r="T319" s="8" t="s">
        <v>111</v>
      </c>
      <c r="U319" s="8" t="s">
        <v>112</v>
      </c>
      <c r="V319" s="8"/>
      <c r="W319" s="8" t="s">
        <v>113</v>
      </c>
      <c r="X319" s="8" t="s">
        <v>469</v>
      </c>
      <c r="Y319" s="8" t="s">
        <v>3553</v>
      </c>
      <c r="Z319" s="8"/>
    </row>
    <row r="320" customFormat="false" ht="15" hidden="false" customHeight="false" outlineLevel="0" collapsed="false">
      <c r="A320" s="8" t="s">
        <v>115</v>
      </c>
      <c r="B320" s="8" t="s">
        <v>21</v>
      </c>
      <c r="C320" s="8" t="s">
        <v>22</v>
      </c>
      <c r="D320" s="8" t="s">
        <v>615</v>
      </c>
      <c r="E320" s="8" t="s">
        <v>38</v>
      </c>
      <c r="F320" s="8" t="s">
        <v>49</v>
      </c>
      <c r="G320" s="8" t="s">
        <v>31</v>
      </c>
      <c r="H320" s="8" t="s">
        <v>31</v>
      </c>
      <c r="I320" s="8" t="n">
        <f aca="false">IF(EXACT(G320,H320),1,0)</f>
        <v>1</v>
      </c>
      <c r="J320" s="8" t="n">
        <v>0</v>
      </c>
      <c r="K320" s="8" t="s">
        <v>116</v>
      </c>
      <c r="L320" s="8" t="n">
        <v>1</v>
      </c>
      <c r="M320" s="8" t="n">
        <v>4</v>
      </c>
      <c r="N320" s="8" t="s">
        <v>3494</v>
      </c>
      <c r="O320" s="8" t="n">
        <v>2</v>
      </c>
      <c r="P320" s="10" t="n">
        <v>35.84</v>
      </c>
      <c r="Q320" s="8" t="n">
        <v>9749</v>
      </c>
      <c r="R320" s="8" t="n">
        <v>1737</v>
      </c>
      <c r="S320" s="8" t="s">
        <v>117</v>
      </c>
      <c r="T320" s="8" t="s">
        <v>111</v>
      </c>
      <c r="U320" s="8" t="s">
        <v>112</v>
      </c>
      <c r="V320" s="8"/>
      <c r="W320" s="8" t="s">
        <v>118</v>
      </c>
      <c r="X320" s="8" t="s">
        <v>470</v>
      </c>
      <c r="Y320" s="8" t="s">
        <v>3554</v>
      </c>
      <c r="Z320" s="8" t="s">
        <v>3555</v>
      </c>
    </row>
    <row r="321" customFormat="false" ht="15" hidden="false" customHeight="false" outlineLevel="0" collapsed="false">
      <c r="A321" s="8" t="s">
        <v>115</v>
      </c>
      <c r="B321" s="8" t="s">
        <v>21</v>
      </c>
      <c r="C321" s="8" t="s">
        <v>22</v>
      </c>
      <c r="D321" s="8" t="s">
        <v>615</v>
      </c>
      <c r="E321" s="8" t="s">
        <v>38</v>
      </c>
      <c r="F321" s="8" t="s">
        <v>49</v>
      </c>
      <c r="G321" s="8" t="s">
        <v>31</v>
      </c>
      <c r="H321" s="8" t="s">
        <v>31</v>
      </c>
      <c r="I321" s="8" t="n">
        <f aca="false">IF(EXACT(G321,H321),1,0)</f>
        <v>1</v>
      </c>
      <c r="J321" s="8" t="n">
        <v>1</v>
      </c>
      <c r="K321" s="8" t="s">
        <v>116</v>
      </c>
      <c r="L321" s="8" t="n">
        <v>1</v>
      </c>
      <c r="M321" s="8" t="n">
        <v>4</v>
      </c>
      <c r="N321" s="8" t="s">
        <v>3494</v>
      </c>
      <c r="O321" s="8" t="n">
        <v>2</v>
      </c>
      <c r="P321" s="10" t="n">
        <v>35.64</v>
      </c>
      <c r="Q321" s="8" t="n">
        <v>9748</v>
      </c>
      <c r="R321" s="8" t="n">
        <v>1751</v>
      </c>
      <c r="S321" s="8" t="s">
        <v>117</v>
      </c>
      <c r="T321" s="8" t="s">
        <v>111</v>
      </c>
      <c r="U321" s="8" t="s">
        <v>112</v>
      </c>
      <c r="V321" s="8"/>
      <c r="W321" s="8" t="s">
        <v>118</v>
      </c>
      <c r="X321" s="8" t="s">
        <v>470</v>
      </c>
      <c r="Y321" s="8" t="s">
        <v>3556</v>
      </c>
      <c r="Z321" s="8" t="s">
        <v>3557</v>
      </c>
    </row>
    <row r="322" customFormat="false" ht="15" hidden="false" customHeight="false" outlineLevel="0" collapsed="false">
      <c r="A322" s="8" t="s">
        <v>115</v>
      </c>
      <c r="B322" s="8" t="s">
        <v>21</v>
      </c>
      <c r="C322" s="8" t="s">
        <v>22</v>
      </c>
      <c r="D322" s="8" t="s">
        <v>615</v>
      </c>
      <c r="E322" s="8" t="s">
        <v>38</v>
      </c>
      <c r="F322" s="8" t="s">
        <v>49</v>
      </c>
      <c r="G322" s="8" t="s">
        <v>31</v>
      </c>
      <c r="H322" s="8" t="s">
        <v>31</v>
      </c>
      <c r="I322" s="8" t="n">
        <f aca="false">IF(EXACT(G322,H322),1,0)</f>
        <v>1</v>
      </c>
      <c r="J322" s="8" t="n">
        <v>2</v>
      </c>
      <c r="K322" s="8" t="s">
        <v>116</v>
      </c>
      <c r="L322" s="8" t="n">
        <v>1</v>
      </c>
      <c r="M322" s="8" t="n">
        <v>4</v>
      </c>
      <c r="N322" s="8" t="s">
        <v>3494</v>
      </c>
      <c r="O322" s="8" t="n">
        <v>2</v>
      </c>
      <c r="P322" s="10" t="n">
        <v>37.28</v>
      </c>
      <c r="Q322" s="8" t="n">
        <v>9747</v>
      </c>
      <c r="R322" s="8" t="n">
        <v>1828</v>
      </c>
      <c r="S322" s="8" t="s">
        <v>117</v>
      </c>
      <c r="T322" s="8" t="s">
        <v>111</v>
      </c>
      <c r="U322" s="8" t="s">
        <v>112</v>
      </c>
      <c r="V322" s="8"/>
      <c r="W322" s="8" t="s">
        <v>118</v>
      </c>
      <c r="X322" s="8" t="s">
        <v>470</v>
      </c>
      <c r="Y322" s="8" t="s">
        <v>3558</v>
      </c>
      <c r="Z322" s="8" t="s">
        <v>3559</v>
      </c>
    </row>
    <row r="323" customFormat="false" ht="15" hidden="false" customHeight="false" outlineLevel="0" collapsed="false">
      <c r="A323" s="8" t="s">
        <v>121</v>
      </c>
      <c r="B323" s="8" t="s">
        <v>21</v>
      </c>
      <c r="C323" s="8" t="s">
        <v>22</v>
      </c>
      <c r="D323" s="8" t="s">
        <v>615</v>
      </c>
      <c r="E323" s="8" t="s">
        <v>38</v>
      </c>
      <c r="F323" s="8" t="s">
        <v>49</v>
      </c>
      <c r="G323" s="8" t="s">
        <v>31</v>
      </c>
      <c r="H323" s="8" t="s">
        <v>31</v>
      </c>
      <c r="I323" s="8" t="n">
        <f aca="false">IF(EXACT(G323,H323),1,0)</f>
        <v>1</v>
      </c>
      <c r="J323" s="8" t="n">
        <v>0</v>
      </c>
      <c r="K323" s="8" t="s">
        <v>140</v>
      </c>
      <c r="L323" s="8" t="n">
        <v>4</v>
      </c>
      <c r="M323" s="8" t="n">
        <v>6</v>
      </c>
      <c r="N323" s="8" t="s">
        <v>3560</v>
      </c>
      <c r="O323" s="8" t="n">
        <v>3</v>
      </c>
      <c r="P323" s="10" t="n">
        <v>45.88</v>
      </c>
      <c r="Q323" s="8" t="n">
        <v>14112</v>
      </c>
      <c r="R323" s="8" t="n">
        <v>1630</v>
      </c>
      <c r="S323" s="8" t="s">
        <v>117</v>
      </c>
      <c r="T323" s="8" t="s">
        <v>95</v>
      </c>
      <c r="U323" s="8" t="s">
        <v>96</v>
      </c>
      <c r="V323" s="8"/>
      <c r="W323" s="8" t="s">
        <v>122</v>
      </c>
      <c r="X323" s="8" t="s">
        <v>471</v>
      </c>
      <c r="Y323" s="8" t="s">
        <v>3561</v>
      </c>
      <c r="Z323" s="8" t="s">
        <v>3562</v>
      </c>
    </row>
    <row r="324" customFormat="false" ht="15" hidden="false" customHeight="false" outlineLevel="0" collapsed="false">
      <c r="A324" s="8" t="s">
        <v>121</v>
      </c>
      <c r="B324" s="8" t="s">
        <v>21</v>
      </c>
      <c r="C324" s="8" t="s">
        <v>22</v>
      </c>
      <c r="D324" s="8" t="s">
        <v>615</v>
      </c>
      <c r="E324" s="8" t="s">
        <v>38</v>
      </c>
      <c r="F324" s="8" t="s">
        <v>49</v>
      </c>
      <c r="G324" s="8" t="s">
        <v>31</v>
      </c>
      <c r="H324" s="8" t="s">
        <v>31</v>
      </c>
      <c r="I324" s="8" t="n">
        <f aca="false">IF(EXACT(G324,H324),1,0)</f>
        <v>1</v>
      </c>
      <c r="J324" s="8" t="n">
        <v>1</v>
      </c>
      <c r="K324" s="8" t="s">
        <v>140</v>
      </c>
      <c r="L324" s="8" t="n">
        <v>3</v>
      </c>
      <c r="M324" s="8" t="n">
        <v>5</v>
      </c>
      <c r="N324" s="8" t="s">
        <v>3563</v>
      </c>
      <c r="O324" s="8" t="n">
        <v>2</v>
      </c>
      <c r="P324" s="10" t="n">
        <v>34.31</v>
      </c>
      <c r="Q324" s="8" t="n">
        <v>8677</v>
      </c>
      <c r="R324" s="8" t="n">
        <v>1306</v>
      </c>
      <c r="S324" s="8" t="s">
        <v>117</v>
      </c>
      <c r="T324" s="8" t="s">
        <v>95</v>
      </c>
      <c r="U324" s="8" t="s">
        <v>96</v>
      </c>
      <c r="V324" s="8"/>
      <c r="W324" s="8" t="s">
        <v>122</v>
      </c>
      <c r="X324" s="8" t="s">
        <v>471</v>
      </c>
      <c r="Y324" s="8" t="s">
        <v>3564</v>
      </c>
      <c r="Z324" s="8" t="s">
        <v>3565</v>
      </c>
    </row>
    <row r="325" customFormat="false" ht="15" hidden="false" customHeight="false" outlineLevel="0" collapsed="false">
      <c r="A325" s="8" t="s">
        <v>121</v>
      </c>
      <c r="B325" s="8" t="s">
        <v>21</v>
      </c>
      <c r="C325" s="8" t="s">
        <v>22</v>
      </c>
      <c r="D325" s="8" t="s">
        <v>615</v>
      </c>
      <c r="E325" s="8" t="s">
        <v>38</v>
      </c>
      <c r="F325" s="8" t="s">
        <v>49</v>
      </c>
      <c r="G325" s="8" t="s">
        <v>31</v>
      </c>
      <c r="H325" s="8" t="s">
        <v>31</v>
      </c>
      <c r="I325" s="8" t="n">
        <f aca="false">IF(EXACT(G325,H325),1,0)</f>
        <v>1</v>
      </c>
      <c r="J325" s="8" t="n">
        <v>2</v>
      </c>
      <c r="K325" s="8" t="s">
        <v>140</v>
      </c>
      <c r="L325" s="8" t="n">
        <v>4</v>
      </c>
      <c r="M325" s="8" t="n">
        <v>6</v>
      </c>
      <c r="N325" s="8" t="s">
        <v>3566</v>
      </c>
      <c r="O325" s="8" t="n">
        <v>3</v>
      </c>
      <c r="P325" s="10" t="n">
        <v>44.31</v>
      </c>
      <c r="Q325" s="8" t="n">
        <v>13955</v>
      </c>
      <c r="R325" s="8" t="n">
        <v>1711</v>
      </c>
      <c r="S325" s="8" t="s">
        <v>117</v>
      </c>
      <c r="T325" s="8" t="s">
        <v>95</v>
      </c>
      <c r="U325" s="8" t="s">
        <v>96</v>
      </c>
      <c r="V325" s="8"/>
      <c r="W325" s="8" t="s">
        <v>122</v>
      </c>
      <c r="X325" s="8" t="s">
        <v>471</v>
      </c>
      <c r="Y325" s="8" t="s">
        <v>3567</v>
      </c>
      <c r="Z325" s="8" t="s">
        <v>3568</v>
      </c>
    </row>
    <row r="326" customFormat="false" ht="15" hidden="false" customHeight="false" outlineLevel="0" collapsed="false">
      <c r="A326" s="8" t="s">
        <v>472</v>
      </c>
      <c r="B326" s="8" t="s">
        <v>21</v>
      </c>
      <c r="C326" s="8" t="s">
        <v>22</v>
      </c>
      <c r="D326" s="8" t="s">
        <v>615</v>
      </c>
      <c r="E326" s="8" t="s">
        <v>38</v>
      </c>
      <c r="F326" s="8" t="s">
        <v>52</v>
      </c>
      <c r="G326" s="8" t="s">
        <v>30</v>
      </c>
      <c r="H326" s="8" t="s">
        <v>31</v>
      </c>
      <c r="I326" s="8" t="n">
        <f aca="false">IF(EXACT(G326,H326),1,0)</f>
        <v>0</v>
      </c>
      <c r="J326" s="8" t="n">
        <v>0</v>
      </c>
      <c r="K326" s="8" t="s">
        <v>116</v>
      </c>
      <c r="L326" s="8" t="n">
        <v>2</v>
      </c>
      <c r="M326" s="8" t="n">
        <v>4</v>
      </c>
      <c r="N326" s="8" t="s">
        <v>3569</v>
      </c>
      <c r="O326" s="8" t="n">
        <v>2</v>
      </c>
      <c r="P326" s="10" t="n">
        <v>58.54</v>
      </c>
      <c r="Q326" s="8" t="n">
        <v>14141</v>
      </c>
      <c r="R326" s="8" t="n">
        <v>2923</v>
      </c>
      <c r="S326" s="8" t="s">
        <v>473</v>
      </c>
      <c r="T326" s="8" t="s">
        <v>474</v>
      </c>
      <c r="U326" s="8" t="s">
        <v>475</v>
      </c>
      <c r="V326" s="8"/>
      <c r="W326" s="8" t="s">
        <v>476</v>
      </c>
      <c r="X326" s="8" t="s">
        <v>477</v>
      </c>
      <c r="Y326" s="8" t="s">
        <v>3570</v>
      </c>
      <c r="Z326" s="8" t="s">
        <v>3571</v>
      </c>
    </row>
    <row r="327" customFormat="false" ht="15" hidden="false" customHeight="false" outlineLevel="0" collapsed="false">
      <c r="A327" s="8" t="s">
        <v>472</v>
      </c>
      <c r="B327" s="8" t="s">
        <v>21</v>
      </c>
      <c r="C327" s="8" t="s">
        <v>22</v>
      </c>
      <c r="D327" s="8" t="s">
        <v>615</v>
      </c>
      <c r="E327" s="8" t="s">
        <v>38</v>
      </c>
      <c r="F327" s="8" t="s">
        <v>52</v>
      </c>
      <c r="G327" s="8" t="s">
        <v>30</v>
      </c>
      <c r="H327" s="8" t="s">
        <v>31</v>
      </c>
      <c r="I327" s="8" t="n">
        <f aca="false">IF(EXACT(G327,H327),1,0)</f>
        <v>0</v>
      </c>
      <c r="J327" s="8" t="n">
        <v>1</v>
      </c>
      <c r="K327" s="8" t="s">
        <v>116</v>
      </c>
      <c r="L327" s="8" t="n">
        <v>3</v>
      </c>
      <c r="M327" s="8" t="n">
        <v>4</v>
      </c>
      <c r="N327" s="8" t="s">
        <v>3569</v>
      </c>
      <c r="O327" s="8" t="n">
        <v>2</v>
      </c>
      <c r="P327" s="10" t="n">
        <v>68.55</v>
      </c>
      <c r="Q327" s="8" t="n">
        <v>14139</v>
      </c>
      <c r="R327" s="8" t="n">
        <v>3156</v>
      </c>
      <c r="S327" s="8" t="s">
        <v>473</v>
      </c>
      <c r="T327" s="8" t="s">
        <v>474</v>
      </c>
      <c r="U327" s="8" t="s">
        <v>475</v>
      </c>
      <c r="V327" s="8"/>
      <c r="W327" s="8" t="s">
        <v>476</v>
      </c>
      <c r="X327" s="8" t="s">
        <v>477</v>
      </c>
      <c r="Y327" s="8" t="s">
        <v>3572</v>
      </c>
      <c r="Z327" s="8" t="s">
        <v>3573</v>
      </c>
    </row>
    <row r="328" customFormat="false" ht="15" hidden="false" customHeight="false" outlineLevel="0" collapsed="false">
      <c r="A328" s="8" t="s">
        <v>472</v>
      </c>
      <c r="B328" s="8" t="s">
        <v>21</v>
      </c>
      <c r="C328" s="8" t="s">
        <v>22</v>
      </c>
      <c r="D328" s="8" t="s">
        <v>615</v>
      </c>
      <c r="E328" s="8" t="s">
        <v>38</v>
      </c>
      <c r="F328" s="8" t="s">
        <v>52</v>
      </c>
      <c r="G328" s="8" t="s">
        <v>30</v>
      </c>
      <c r="H328" s="8" t="s">
        <v>31</v>
      </c>
      <c r="I328" s="8" t="n">
        <f aca="false">IF(EXACT(G328,H328),1,0)</f>
        <v>0</v>
      </c>
      <c r="J328" s="8" t="n">
        <v>2</v>
      </c>
      <c r="K328" s="8" t="s">
        <v>116</v>
      </c>
      <c r="L328" s="8" t="n">
        <v>3</v>
      </c>
      <c r="M328" s="8" t="n">
        <v>4</v>
      </c>
      <c r="N328" s="8" t="s">
        <v>3574</v>
      </c>
      <c r="O328" s="8" t="n">
        <v>2</v>
      </c>
      <c r="P328" s="10" t="n">
        <v>67.55</v>
      </c>
      <c r="Q328" s="8" t="n">
        <v>14140</v>
      </c>
      <c r="R328" s="8" t="n">
        <v>3065</v>
      </c>
      <c r="S328" s="8" t="s">
        <v>473</v>
      </c>
      <c r="T328" s="8" t="s">
        <v>474</v>
      </c>
      <c r="U328" s="8" t="s">
        <v>475</v>
      </c>
      <c r="V328" s="8"/>
      <c r="W328" s="8" t="s">
        <v>476</v>
      </c>
      <c r="X328" s="8" t="s">
        <v>477</v>
      </c>
      <c r="Y328" s="8" t="s">
        <v>3575</v>
      </c>
      <c r="Z328" s="8" t="s">
        <v>3576</v>
      </c>
    </row>
    <row r="329" customFormat="false" ht="15" hidden="false" customHeight="false" outlineLevel="0" collapsed="false">
      <c r="A329" s="8" t="s">
        <v>478</v>
      </c>
      <c r="B329" s="8" t="s">
        <v>21</v>
      </c>
      <c r="C329" s="8" t="s">
        <v>22</v>
      </c>
      <c r="D329" s="8" t="s">
        <v>615</v>
      </c>
      <c r="E329" s="8" t="s">
        <v>38</v>
      </c>
      <c r="F329" s="8" t="s">
        <v>52</v>
      </c>
      <c r="G329" s="8" t="s">
        <v>30</v>
      </c>
      <c r="H329" s="8" t="s">
        <v>31</v>
      </c>
      <c r="I329" s="8" t="n">
        <f aca="false">IF(EXACT(G329,H329),1,0)</f>
        <v>0</v>
      </c>
      <c r="J329" s="8" t="n">
        <v>0</v>
      </c>
      <c r="K329" s="8" t="s">
        <v>116</v>
      </c>
      <c r="L329" s="8" t="n">
        <v>5</v>
      </c>
      <c r="M329" s="8" t="n">
        <v>5</v>
      </c>
      <c r="N329" s="8" t="s">
        <v>3577</v>
      </c>
      <c r="O329" s="8" t="n">
        <v>3</v>
      </c>
      <c r="P329" s="10" t="n">
        <v>65.54</v>
      </c>
      <c r="Q329" s="8" t="n">
        <v>18212</v>
      </c>
      <c r="R329" s="8" t="n">
        <v>2486</v>
      </c>
      <c r="S329" s="8" t="s">
        <v>232</v>
      </c>
      <c r="T329" s="8" t="s">
        <v>474</v>
      </c>
      <c r="U329" s="8" t="s">
        <v>475</v>
      </c>
      <c r="V329" s="8"/>
      <c r="W329" s="8" t="s">
        <v>479</v>
      </c>
      <c r="X329" s="8" t="s">
        <v>480</v>
      </c>
      <c r="Y329" s="8" t="s">
        <v>3578</v>
      </c>
      <c r="Z329" s="8" t="s">
        <v>3579</v>
      </c>
    </row>
    <row r="330" customFormat="false" ht="15" hidden="false" customHeight="false" outlineLevel="0" collapsed="false">
      <c r="A330" s="8" t="s">
        <v>478</v>
      </c>
      <c r="B330" s="8" t="s">
        <v>21</v>
      </c>
      <c r="C330" s="8" t="s">
        <v>22</v>
      </c>
      <c r="D330" s="8" t="s">
        <v>615</v>
      </c>
      <c r="E330" s="8" t="s">
        <v>38</v>
      </c>
      <c r="F330" s="8" t="s">
        <v>52</v>
      </c>
      <c r="G330" s="8" t="s">
        <v>30</v>
      </c>
      <c r="H330" s="8" t="s">
        <v>31</v>
      </c>
      <c r="I330" s="8" t="n">
        <f aca="false">IF(EXACT(G330,H330),1,0)</f>
        <v>0</v>
      </c>
      <c r="J330" s="8" t="n">
        <v>1</v>
      </c>
      <c r="K330" s="8" t="s">
        <v>116</v>
      </c>
      <c r="L330" s="8" t="n">
        <v>5</v>
      </c>
      <c r="M330" s="8" t="n">
        <v>5</v>
      </c>
      <c r="N330" s="8" t="s">
        <v>3577</v>
      </c>
      <c r="O330" s="8" t="n">
        <v>3</v>
      </c>
      <c r="P330" s="10" t="n">
        <v>65.74</v>
      </c>
      <c r="Q330" s="8" t="n">
        <v>18222</v>
      </c>
      <c r="R330" s="8" t="n">
        <v>2524</v>
      </c>
      <c r="S330" s="8" t="s">
        <v>232</v>
      </c>
      <c r="T330" s="8" t="s">
        <v>474</v>
      </c>
      <c r="U330" s="8" t="s">
        <v>475</v>
      </c>
      <c r="V330" s="8"/>
      <c r="W330" s="8" t="s">
        <v>479</v>
      </c>
      <c r="X330" s="8" t="s">
        <v>480</v>
      </c>
      <c r="Y330" s="8" t="s">
        <v>3580</v>
      </c>
      <c r="Z330" s="8" t="s">
        <v>3581</v>
      </c>
    </row>
    <row r="331" customFormat="false" ht="15" hidden="false" customHeight="false" outlineLevel="0" collapsed="false">
      <c r="A331" s="8" t="s">
        <v>478</v>
      </c>
      <c r="B331" s="8" t="s">
        <v>21</v>
      </c>
      <c r="C331" s="8" t="s">
        <v>22</v>
      </c>
      <c r="D331" s="8" t="s">
        <v>615</v>
      </c>
      <c r="E331" s="8" t="s">
        <v>38</v>
      </c>
      <c r="F331" s="8" t="s">
        <v>52</v>
      </c>
      <c r="G331" s="8" t="s">
        <v>30</v>
      </c>
      <c r="H331" s="8" t="s">
        <v>31</v>
      </c>
      <c r="I331" s="8" t="n">
        <f aca="false">IF(EXACT(G331,H331),1,0)</f>
        <v>0</v>
      </c>
      <c r="J331" s="8" t="n">
        <v>2</v>
      </c>
      <c r="K331" s="8" t="s">
        <v>116</v>
      </c>
      <c r="L331" s="8" t="n">
        <v>5</v>
      </c>
      <c r="M331" s="8" t="n">
        <v>5</v>
      </c>
      <c r="N331" s="8" t="s">
        <v>3582</v>
      </c>
      <c r="O331" s="8" t="n">
        <v>3</v>
      </c>
      <c r="P331" s="10" t="n">
        <v>66.62</v>
      </c>
      <c r="Q331" s="8" t="n">
        <v>18484</v>
      </c>
      <c r="R331" s="8" t="n">
        <v>2498</v>
      </c>
      <c r="S331" s="8" t="s">
        <v>232</v>
      </c>
      <c r="T331" s="8" t="s">
        <v>474</v>
      </c>
      <c r="U331" s="8" t="s">
        <v>475</v>
      </c>
      <c r="V331" s="8"/>
      <c r="W331" s="8" t="s">
        <v>479</v>
      </c>
      <c r="X331" s="8" t="s">
        <v>480</v>
      </c>
      <c r="Y331" s="8" t="s">
        <v>3583</v>
      </c>
      <c r="Z331" s="8" t="s">
        <v>3584</v>
      </c>
    </row>
    <row r="332" customFormat="false" ht="15" hidden="false" customHeight="false" outlineLevel="0" collapsed="false">
      <c r="A332" s="8" t="s">
        <v>481</v>
      </c>
      <c r="B332" s="8" t="s">
        <v>21</v>
      </c>
      <c r="C332" s="8" t="s">
        <v>22</v>
      </c>
      <c r="D332" s="8" t="s">
        <v>615</v>
      </c>
      <c r="E332" s="8" t="s">
        <v>38</v>
      </c>
      <c r="F332" s="8" t="s">
        <v>52</v>
      </c>
      <c r="G332" s="8" t="s">
        <v>31</v>
      </c>
      <c r="H332" s="8" t="s">
        <v>31</v>
      </c>
      <c r="I332" s="8" t="n">
        <f aca="false">IF(EXACT(G332,H332),1,0)</f>
        <v>1</v>
      </c>
      <c r="J332" s="8" t="n">
        <v>0</v>
      </c>
      <c r="K332" s="8" t="s">
        <v>116</v>
      </c>
      <c r="L332" s="8" t="n">
        <v>5</v>
      </c>
      <c r="M332" s="8" t="n">
        <v>4</v>
      </c>
      <c r="N332" s="8" t="s">
        <v>3569</v>
      </c>
      <c r="O332" s="8" t="n">
        <v>2</v>
      </c>
      <c r="P332" s="10" t="n">
        <v>58.06</v>
      </c>
      <c r="Q332" s="8" t="n">
        <v>10125</v>
      </c>
      <c r="R332" s="8" t="n">
        <v>2181</v>
      </c>
      <c r="S332" s="8" t="s">
        <v>117</v>
      </c>
      <c r="T332" s="8" t="s">
        <v>474</v>
      </c>
      <c r="U332" s="8" t="s">
        <v>475</v>
      </c>
      <c r="V332" s="8"/>
      <c r="W332" s="8" t="s">
        <v>482</v>
      </c>
      <c r="X332" s="8" t="s">
        <v>483</v>
      </c>
      <c r="Y332" s="8" t="s">
        <v>3585</v>
      </c>
      <c r="Z332" s="8" t="s">
        <v>3586</v>
      </c>
    </row>
    <row r="333" customFormat="false" ht="15" hidden="false" customHeight="false" outlineLevel="0" collapsed="false">
      <c r="A333" s="8" t="s">
        <v>481</v>
      </c>
      <c r="B333" s="8" t="s">
        <v>21</v>
      </c>
      <c r="C333" s="8" t="s">
        <v>22</v>
      </c>
      <c r="D333" s="8" t="s">
        <v>615</v>
      </c>
      <c r="E333" s="8" t="s">
        <v>38</v>
      </c>
      <c r="F333" s="8" t="s">
        <v>52</v>
      </c>
      <c r="G333" s="8" t="s">
        <v>31</v>
      </c>
      <c r="H333" s="8" t="s">
        <v>31</v>
      </c>
      <c r="I333" s="8" t="n">
        <f aca="false">IF(EXACT(G333,H333),1,0)</f>
        <v>1</v>
      </c>
      <c r="J333" s="8" t="n">
        <v>1</v>
      </c>
      <c r="K333" s="8" t="s">
        <v>116</v>
      </c>
      <c r="L333" s="8" t="n">
        <v>5</v>
      </c>
      <c r="M333" s="8" t="n">
        <v>4</v>
      </c>
      <c r="N333" s="8" t="s">
        <v>3569</v>
      </c>
      <c r="O333" s="8" t="n">
        <v>2</v>
      </c>
      <c r="P333" s="10" t="n">
        <v>55.4</v>
      </c>
      <c r="Q333" s="8" t="n">
        <v>10125</v>
      </c>
      <c r="R333" s="8" t="n">
        <v>2153</v>
      </c>
      <c r="S333" s="8" t="s">
        <v>117</v>
      </c>
      <c r="T333" s="8" t="s">
        <v>474</v>
      </c>
      <c r="U333" s="8" t="s">
        <v>475</v>
      </c>
      <c r="V333" s="8"/>
      <c r="W333" s="8" t="s">
        <v>482</v>
      </c>
      <c r="X333" s="8" t="s">
        <v>483</v>
      </c>
      <c r="Y333" s="8" t="s">
        <v>3587</v>
      </c>
      <c r="Z333" s="8" t="s">
        <v>3588</v>
      </c>
    </row>
    <row r="334" customFormat="false" ht="15" hidden="false" customHeight="false" outlineLevel="0" collapsed="false">
      <c r="A334" s="8" t="s">
        <v>481</v>
      </c>
      <c r="B334" s="8" t="s">
        <v>21</v>
      </c>
      <c r="C334" s="8" t="s">
        <v>22</v>
      </c>
      <c r="D334" s="8" t="s">
        <v>615</v>
      </c>
      <c r="E334" s="8" t="s">
        <v>38</v>
      </c>
      <c r="F334" s="8" t="s">
        <v>52</v>
      </c>
      <c r="G334" s="8" t="s">
        <v>31</v>
      </c>
      <c r="H334" s="8" t="s">
        <v>31</v>
      </c>
      <c r="I334" s="8" t="n">
        <f aca="false">IF(EXACT(G334,H334),1,0)</f>
        <v>1</v>
      </c>
      <c r="J334" s="8" t="n">
        <v>2</v>
      </c>
      <c r="K334" s="8" t="s">
        <v>116</v>
      </c>
      <c r="L334" s="8" t="n">
        <v>5</v>
      </c>
      <c r="M334" s="8" t="n">
        <v>5</v>
      </c>
      <c r="N334" s="8" t="s">
        <v>3589</v>
      </c>
      <c r="O334" s="8" t="n">
        <v>3</v>
      </c>
      <c r="P334" s="10" t="n">
        <v>64.82</v>
      </c>
      <c r="Q334" s="8" t="n">
        <v>17331</v>
      </c>
      <c r="R334" s="8" t="n">
        <v>2439</v>
      </c>
      <c r="S334" s="8" t="s">
        <v>117</v>
      </c>
      <c r="T334" s="8" t="s">
        <v>474</v>
      </c>
      <c r="U334" s="8" t="s">
        <v>475</v>
      </c>
      <c r="V334" s="8"/>
      <c r="W334" s="8" t="s">
        <v>482</v>
      </c>
      <c r="X334" s="8" t="s">
        <v>483</v>
      </c>
      <c r="Y334" s="8" t="s">
        <v>3590</v>
      </c>
      <c r="Z334" s="8" t="s">
        <v>3591</v>
      </c>
    </row>
    <row r="335" customFormat="false" ht="15" hidden="false" customHeight="false" outlineLevel="0" collapsed="false">
      <c r="A335" s="8" t="s">
        <v>484</v>
      </c>
      <c r="B335" s="8" t="s">
        <v>21</v>
      </c>
      <c r="C335" s="8" t="s">
        <v>22</v>
      </c>
      <c r="D335" s="8" t="s">
        <v>615</v>
      </c>
      <c r="E335" s="8" t="s">
        <v>38</v>
      </c>
      <c r="F335" s="8" t="s">
        <v>52</v>
      </c>
      <c r="G335" s="8" t="s">
        <v>32</v>
      </c>
      <c r="H335" s="8" t="s">
        <v>30</v>
      </c>
      <c r="I335" s="8" t="n">
        <f aca="false">IF(EXACT(G335,H335),1,0)</f>
        <v>0</v>
      </c>
      <c r="J335" s="8" t="n">
        <v>0</v>
      </c>
      <c r="K335" s="8" t="s">
        <v>92</v>
      </c>
      <c r="L335" s="8" t="n">
        <v>0</v>
      </c>
      <c r="M335" s="8" t="n">
        <v>4</v>
      </c>
      <c r="N335" s="8" t="s">
        <v>3494</v>
      </c>
      <c r="O335" s="8" t="n">
        <v>2</v>
      </c>
      <c r="P335" s="10" t="n">
        <v>33.81</v>
      </c>
      <c r="Q335" s="8" t="n">
        <v>8262</v>
      </c>
      <c r="R335" s="8" t="n">
        <v>631</v>
      </c>
      <c r="S335" s="8" t="s">
        <v>132</v>
      </c>
      <c r="T335" s="8" t="s">
        <v>474</v>
      </c>
      <c r="U335" s="8" t="s">
        <v>475</v>
      </c>
      <c r="V335" s="8"/>
      <c r="W335" s="8" t="s">
        <v>485</v>
      </c>
      <c r="X335" s="8" t="s">
        <v>486</v>
      </c>
      <c r="Y335" s="8" t="s">
        <v>3592</v>
      </c>
      <c r="Z335" s="8"/>
    </row>
    <row r="336" customFormat="false" ht="15" hidden="false" customHeight="false" outlineLevel="0" collapsed="false">
      <c r="A336" s="8" t="s">
        <v>484</v>
      </c>
      <c r="B336" s="8" t="s">
        <v>21</v>
      </c>
      <c r="C336" s="8" t="s">
        <v>22</v>
      </c>
      <c r="D336" s="8" t="s">
        <v>615</v>
      </c>
      <c r="E336" s="8" t="s">
        <v>38</v>
      </c>
      <c r="F336" s="8" t="s">
        <v>52</v>
      </c>
      <c r="G336" s="8" t="s">
        <v>32</v>
      </c>
      <c r="H336" s="8" t="s">
        <v>31</v>
      </c>
      <c r="I336" s="8" t="n">
        <f aca="false">IF(EXACT(G336,H336),1,0)</f>
        <v>0</v>
      </c>
      <c r="J336" s="8" t="n">
        <v>1</v>
      </c>
      <c r="K336" s="8" t="s">
        <v>116</v>
      </c>
      <c r="L336" s="8" t="n">
        <v>3</v>
      </c>
      <c r="M336" s="8" t="n">
        <v>4</v>
      </c>
      <c r="N336" s="8" t="s">
        <v>3494</v>
      </c>
      <c r="O336" s="8" t="n">
        <v>2</v>
      </c>
      <c r="P336" s="10" t="n">
        <v>43.9</v>
      </c>
      <c r="Q336" s="8" t="n">
        <v>8262</v>
      </c>
      <c r="R336" s="8" t="n">
        <v>1261</v>
      </c>
      <c r="S336" s="8" t="s">
        <v>132</v>
      </c>
      <c r="T336" s="8" t="s">
        <v>474</v>
      </c>
      <c r="U336" s="8" t="s">
        <v>475</v>
      </c>
      <c r="V336" s="8"/>
      <c r="W336" s="8" t="s">
        <v>485</v>
      </c>
      <c r="X336" s="8" t="s">
        <v>486</v>
      </c>
      <c r="Y336" s="8" t="s">
        <v>3593</v>
      </c>
      <c r="Z336" s="8" t="s">
        <v>3594</v>
      </c>
    </row>
    <row r="337" customFormat="false" ht="15" hidden="false" customHeight="false" outlineLevel="0" collapsed="false">
      <c r="A337" s="8" t="s">
        <v>484</v>
      </c>
      <c r="B337" s="8" t="s">
        <v>21</v>
      </c>
      <c r="C337" s="8" t="s">
        <v>22</v>
      </c>
      <c r="D337" s="8" t="s">
        <v>615</v>
      </c>
      <c r="E337" s="8" t="s">
        <v>38</v>
      </c>
      <c r="F337" s="8" t="s">
        <v>52</v>
      </c>
      <c r="G337" s="8" t="s">
        <v>32</v>
      </c>
      <c r="H337" s="8" t="s">
        <v>30</v>
      </c>
      <c r="I337" s="8" t="n">
        <f aca="false">IF(EXACT(G337,H337),1,0)</f>
        <v>0</v>
      </c>
      <c r="J337" s="8" t="n">
        <v>2</v>
      </c>
      <c r="K337" s="8" t="s">
        <v>92</v>
      </c>
      <c r="L337" s="8" t="n">
        <v>0</v>
      </c>
      <c r="M337" s="8" t="n">
        <v>4</v>
      </c>
      <c r="N337" s="8" t="s">
        <v>3494</v>
      </c>
      <c r="O337" s="8" t="n">
        <v>2</v>
      </c>
      <c r="P337" s="10" t="n">
        <v>33.56</v>
      </c>
      <c r="Q337" s="8" t="n">
        <v>8262</v>
      </c>
      <c r="R337" s="8" t="n">
        <v>630</v>
      </c>
      <c r="S337" s="8" t="s">
        <v>132</v>
      </c>
      <c r="T337" s="8" t="s">
        <v>474</v>
      </c>
      <c r="U337" s="8" t="s">
        <v>475</v>
      </c>
      <c r="V337" s="8"/>
      <c r="W337" s="8" t="s">
        <v>485</v>
      </c>
      <c r="X337" s="8" t="s">
        <v>486</v>
      </c>
      <c r="Y337" s="8" t="s">
        <v>3595</v>
      </c>
      <c r="Z337" s="8"/>
    </row>
    <row r="338" customFormat="false" ht="15" hidden="false" customHeight="false" outlineLevel="0" collapsed="false">
      <c r="A338" s="8" t="s">
        <v>487</v>
      </c>
      <c r="B338" s="8" t="s">
        <v>21</v>
      </c>
      <c r="C338" s="8" t="s">
        <v>22</v>
      </c>
      <c r="D338" s="8" t="s">
        <v>615</v>
      </c>
      <c r="E338" s="8" t="s">
        <v>38</v>
      </c>
      <c r="F338" s="8" t="s">
        <v>52</v>
      </c>
      <c r="G338" s="8" t="s">
        <v>31</v>
      </c>
      <c r="H338" s="8" t="s">
        <v>31</v>
      </c>
      <c r="I338" s="8" t="n">
        <f aca="false">IF(EXACT(G338,H338),1,0)</f>
        <v>1</v>
      </c>
      <c r="J338" s="8" t="n">
        <v>0</v>
      </c>
      <c r="K338" s="8" t="s">
        <v>116</v>
      </c>
      <c r="L338" s="8" t="n">
        <v>2</v>
      </c>
      <c r="M338" s="8" t="n">
        <v>4</v>
      </c>
      <c r="N338" s="8" t="s">
        <v>3569</v>
      </c>
      <c r="O338" s="8" t="n">
        <v>2</v>
      </c>
      <c r="P338" s="10" t="n">
        <v>56.11</v>
      </c>
      <c r="Q338" s="8" t="n">
        <v>12559</v>
      </c>
      <c r="R338" s="8" t="n">
        <v>1971</v>
      </c>
      <c r="S338" s="8" t="s">
        <v>488</v>
      </c>
      <c r="T338" s="8"/>
      <c r="U338" s="8"/>
      <c r="V338" s="8" t="s">
        <v>155</v>
      </c>
      <c r="W338" s="8"/>
      <c r="X338" s="8" t="s">
        <v>489</v>
      </c>
      <c r="Y338" s="8" t="s">
        <v>3596</v>
      </c>
      <c r="Z338" s="8" t="s">
        <v>3597</v>
      </c>
    </row>
    <row r="339" customFormat="false" ht="15" hidden="false" customHeight="false" outlineLevel="0" collapsed="false">
      <c r="A339" s="8" t="s">
        <v>487</v>
      </c>
      <c r="B339" s="8" t="s">
        <v>21</v>
      </c>
      <c r="C339" s="8" t="s">
        <v>22</v>
      </c>
      <c r="D339" s="8" t="s">
        <v>615</v>
      </c>
      <c r="E339" s="8" t="s">
        <v>38</v>
      </c>
      <c r="F339" s="8" t="s">
        <v>52</v>
      </c>
      <c r="G339" s="8" t="s">
        <v>31</v>
      </c>
      <c r="H339" s="8" t="s">
        <v>31</v>
      </c>
      <c r="I339" s="8" t="n">
        <f aca="false">IF(EXACT(G339,H339),1,0)</f>
        <v>1</v>
      </c>
      <c r="J339" s="8" t="n">
        <v>1</v>
      </c>
      <c r="K339" s="8" t="s">
        <v>116</v>
      </c>
      <c r="L339" s="8" t="n">
        <v>2</v>
      </c>
      <c r="M339" s="8" t="n">
        <v>4</v>
      </c>
      <c r="N339" s="8" t="s">
        <v>3480</v>
      </c>
      <c r="O339" s="8" t="n">
        <v>2</v>
      </c>
      <c r="P339" s="10" t="n">
        <v>57.86</v>
      </c>
      <c r="Q339" s="8" t="n">
        <v>12448</v>
      </c>
      <c r="R339" s="8" t="n">
        <v>1923</v>
      </c>
      <c r="S339" s="8" t="s">
        <v>488</v>
      </c>
      <c r="T339" s="8"/>
      <c r="U339" s="8"/>
      <c r="V339" s="8" t="s">
        <v>155</v>
      </c>
      <c r="W339" s="8"/>
      <c r="X339" s="8" t="s">
        <v>489</v>
      </c>
      <c r="Y339" s="8" t="s">
        <v>3598</v>
      </c>
      <c r="Z339" s="8" t="s">
        <v>3599</v>
      </c>
    </row>
    <row r="340" customFormat="false" ht="15" hidden="false" customHeight="false" outlineLevel="0" collapsed="false">
      <c r="A340" s="8" t="s">
        <v>487</v>
      </c>
      <c r="B340" s="8" t="s">
        <v>21</v>
      </c>
      <c r="C340" s="8" t="s">
        <v>22</v>
      </c>
      <c r="D340" s="8" t="s">
        <v>615</v>
      </c>
      <c r="E340" s="8" t="s">
        <v>38</v>
      </c>
      <c r="F340" s="8" t="s">
        <v>52</v>
      </c>
      <c r="G340" s="8" t="s">
        <v>31</v>
      </c>
      <c r="H340" s="8" t="s">
        <v>31</v>
      </c>
      <c r="I340" s="8" t="n">
        <f aca="false">IF(EXACT(G340,H340),1,0)</f>
        <v>1</v>
      </c>
      <c r="J340" s="8" t="n">
        <v>2</v>
      </c>
      <c r="K340" s="8" t="s">
        <v>116</v>
      </c>
      <c r="L340" s="8" t="n">
        <v>2</v>
      </c>
      <c r="M340" s="8" t="n">
        <v>3</v>
      </c>
      <c r="N340" s="8" t="s">
        <v>3488</v>
      </c>
      <c r="O340" s="8" t="n">
        <v>2</v>
      </c>
      <c r="P340" s="10" t="n">
        <v>55.6</v>
      </c>
      <c r="Q340" s="8" t="n">
        <v>11957</v>
      </c>
      <c r="R340" s="8" t="n">
        <v>1775</v>
      </c>
      <c r="S340" s="8" t="s">
        <v>488</v>
      </c>
      <c r="T340" s="8"/>
      <c r="U340" s="8"/>
      <c r="V340" s="8" t="s">
        <v>155</v>
      </c>
      <c r="W340" s="8"/>
      <c r="X340" s="8" t="s">
        <v>489</v>
      </c>
      <c r="Y340" s="8" t="s">
        <v>3600</v>
      </c>
      <c r="Z340" s="8" t="s">
        <v>3601</v>
      </c>
    </row>
    <row r="341" customFormat="false" ht="15" hidden="false" customHeight="false" outlineLevel="0" collapsed="false">
      <c r="A341" s="8" t="s">
        <v>490</v>
      </c>
      <c r="B341" s="8" t="s">
        <v>21</v>
      </c>
      <c r="C341" s="8" t="s">
        <v>22</v>
      </c>
      <c r="D341" s="8" t="s">
        <v>615</v>
      </c>
      <c r="E341" s="8" t="s">
        <v>38</v>
      </c>
      <c r="F341" s="8" t="s">
        <v>52</v>
      </c>
      <c r="G341" s="8" t="s">
        <v>32</v>
      </c>
      <c r="H341" s="8" t="s">
        <v>30</v>
      </c>
      <c r="I341" s="8" t="n">
        <f aca="false">IF(EXACT(G341,H341),1,0)</f>
        <v>0</v>
      </c>
      <c r="J341" s="8" t="n">
        <v>0</v>
      </c>
      <c r="K341" s="8" t="s">
        <v>92</v>
      </c>
      <c r="L341" s="8" t="n">
        <v>0</v>
      </c>
      <c r="M341" s="8" t="n">
        <v>3</v>
      </c>
      <c r="N341" s="8" t="s">
        <v>3492</v>
      </c>
      <c r="O341" s="8" t="n">
        <v>2</v>
      </c>
      <c r="P341" s="10" t="n">
        <v>34</v>
      </c>
      <c r="Q341" s="8" t="n">
        <v>8492</v>
      </c>
      <c r="R341" s="8" t="n">
        <v>810</v>
      </c>
      <c r="S341" s="8" t="s">
        <v>491</v>
      </c>
      <c r="T341" s="8"/>
      <c r="U341" s="8"/>
      <c r="V341" s="8" t="s">
        <v>155</v>
      </c>
      <c r="W341" s="8"/>
      <c r="X341" s="8" t="s">
        <v>492</v>
      </c>
      <c r="Y341" s="8" t="s">
        <v>3602</v>
      </c>
      <c r="Z341" s="8"/>
    </row>
    <row r="342" customFormat="false" ht="15" hidden="false" customHeight="false" outlineLevel="0" collapsed="false">
      <c r="A342" s="8" t="s">
        <v>490</v>
      </c>
      <c r="B342" s="8" t="s">
        <v>21</v>
      </c>
      <c r="C342" s="8" t="s">
        <v>22</v>
      </c>
      <c r="D342" s="8" t="s">
        <v>615</v>
      </c>
      <c r="E342" s="8" t="s">
        <v>38</v>
      </c>
      <c r="F342" s="8" t="s">
        <v>52</v>
      </c>
      <c r="G342" s="8" t="s">
        <v>32</v>
      </c>
      <c r="H342" s="8" t="s">
        <v>30</v>
      </c>
      <c r="I342" s="8" t="n">
        <f aca="false">IF(EXACT(G342,H342),1,0)</f>
        <v>0</v>
      </c>
      <c r="J342" s="8" t="n">
        <v>1</v>
      </c>
      <c r="K342" s="8" t="s">
        <v>92</v>
      </c>
      <c r="L342" s="8" t="n">
        <v>0</v>
      </c>
      <c r="M342" s="8" t="n">
        <v>4</v>
      </c>
      <c r="N342" s="8" t="s">
        <v>3569</v>
      </c>
      <c r="O342" s="8" t="n">
        <v>2</v>
      </c>
      <c r="P342" s="10" t="n">
        <v>35.47</v>
      </c>
      <c r="Q342" s="8" t="n">
        <v>8949</v>
      </c>
      <c r="R342" s="8" t="n">
        <v>937</v>
      </c>
      <c r="S342" s="8" t="s">
        <v>491</v>
      </c>
      <c r="T342" s="8"/>
      <c r="U342" s="8"/>
      <c r="V342" s="8" t="s">
        <v>155</v>
      </c>
      <c r="W342" s="8"/>
      <c r="X342" s="8" t="s">
        <v>492</v>
      </c>
      <c r="Y342" s="8" t="s">
        <v>3603</v>
      </c>
      <c r="Z342" s="8"/>
    </row>
    <row r="343" customFormat="false" ht="15" hidden="false" customHeight="false" outlineLevel="0" collapsed="false">
      <c r="A343" s="8" t="s">
        <v>490</v>
      </c>
      <c r="B343" s="8" t="s">
        <v>21</v>
      </c>
      <c r="C343" s="8" t="s">
        <v>22</v>
      </c>
      <c r="D343" s="8" t="s">
        <v>615</v>
      </c>
      <c r="E343" s="8" t="s">
        <v>38</v>
      </c>
      <c r="F343" s="8" t="s">
        <v>52</v>
      </c>
      <c r="G343" s="8" t="s">
        <v>32</v>
      </c>
      <c r="H343" s="8" t="s">
        <v>30</v>
      </c>
      <c r="I343" s="8" t="n">
        <f aca="false">IF(EXACT(G343,H343),1,0)</f>
        <v>0</v>
      </c>
      <c r="J343" s="8" t="n">
        <v>2</v>
      </c>
      <c r="K343" s="8" t="s">
        <v>92</v>
      </c>
      <c r="L343" s="8" t="n">
        <v>0</v>
      </c>
      <c r="M343" s="8" t="n">
        <v>3</v>
      </c>
      <c r="N343" s="8" t="s">
        <v>3492</v>
      </c>
      <c r="O343" s="8" t="n">
        <v>2</v>
      </c>
      <c r="P343" s="10" t="n">
        <v>34.48</v>
      </c>
      <c r="Q343" s="8" t="n">
        <v>8501</v>
      </c>
      <c r="R343" s="8" t="n">
        <v>843</v>
      </c>
      <c r="S343" s="8" t="s">
        <v>491</v>
      </c>
      <c r="T343" s="8"/>
      <c r="U343" s="8"/>
      <c r="V343" s="8" t="s">
        <v>155</v>
      </c>
      <c r="W343" s="8"/>
      <c r="X343" s="8" t="s">
        <v>492</v>
      </c>
      <c r="Y343" s="8" t="s">
        <v>3604</v>
      </c>
      <c r="Z343" s="8"/>
    </row>
    <row r="344" customFormat="false" ht="15" hidden="false" customHeight="false" outlineLevel="0" collapsed="false">
      <c r="A344" s="8" t="s">
        <v>493</v>
      </c>
      <c r="B344" s="8" t="s">
        <v>21</v>
      </c>
      <c r="C344" s="8" t="s">
        <v>22</v>
      </c>
      <c r="D344" s="8" t="s">
        <v>615</v>
      </c>
      <c r="E344" s="8" t="s">
        <v>38</v>
      </c>
      <c r="F344" s="8" t="s">
        <v>63</v>
      </c>
      <c r="G344" s="8" t="s">
        <v>31</v>
      </c>
      <c r="H344" s="8" t="s">
        <v>31</v>
      </c>
      <c r="I344" s="8" t="n">
        <f aca="false">IF(EXACT(G344,H344),1,0)</f>
        <v>1</v>
      </c>
      <c r="J344" s="8" t="n">
        <v>0</v>
      </c>
      <c r="K344" s="8" t="s">
        <v>116</v>
      </c>
      <c r="L344" s="8" t="n">
        <v>2</v>
      </c>
      <c r="M344" s="8" t="n">
        <v>5</v>
      </c>
      <c r="N344" s="8" t="s">
        <v>3605</v>
      </c>
      <c r="O344" s="8" t="n">
        <v>2</v>
      </c>
      <c r="P344" s="10" t="n">
        <v>32.38</v>
      </c>
      <c r="Q344" s="8" t="n">
        <v>8972</v>
      </c>
      <c r="R344" s="8" t="n">
        <v>1122</v>
      </c>
      <c r="S344" s="8" t="s">
        <v>117</v>
      </c>
      <c r="T344" s="8" t="s">
        <v>494</v>
      </c>
      <c r="U344" s="8" t="s">
        <v>495</v>
      </c>
      <c r="V344" s="8"/>
      <c r="W344" s="8" t="s">
        <v>496</v>
      </c>
      <c r="X344" s="8" t="s">
        <v>497</v>
      </c>
      <c r="Y344" s="8" t="s">
        <v>3606</v>
      </c>
      <c r="Z344" s="8" t="s">
        <v>3607</v>
      </c>
    </row>
    <row r="345" customFormat="false" ht="15" hidden="false" customHeight="false" outlineLevel="0" collapsed="false">
      <c r="A345" s="8" t="s">
        <v>493</v>
      </c>
      <c r="B345" s="8" t="s">
        <v>21</v>
      </c>
      <c r="C345" s="8" t="s">
        <v>22</v>
      </c>
      <c r="D345" s="8" t="s">
        <v>615</v>
      </c>
      <c r="E345" s="8" t="s">
        <v>38</v>
      </c>
      <c r="F345" s="8" t="s">
        <v>63</v>
      </c>
      <c r="G345" s="8" t="s">
        <v>31</v>
      </c>
      <c r="H345" s="8" t="s">
        <v>31</v>
      </c>
      <c r="I345" s="8" t="n">
        <f aca="false">IF(EXACT(G345,H345),1,0)</f>
        <v>1</v>
      </c>
      <c r="J345" s="8" t="n">
        <v>1</v>
      </c>
      <c r="K345" s="8" t="s">
        <v>116</v>
      </c>
      <c r="L345" s="8" t="n">
        <v>5</v>
      </c>
      <c r="M345" s="8" t="n">
        <v>5</v>
      </c>
      <c r="N345" s="8" t="s">
        <v>3608</v>
      </c>
      <c r="O345" s="8" t="n">
        <v>2</v>
      </c>
      <c r="P345" s="10" t="n">
        <v>47.72</v>
      </c>
      <c r="Q345" s="8" t="n">
        <v>9326</v>
      </c>
      <c r="R345" s="8" t="n">
        <v>1353</v>
      </c>
      <c r="S345" s="8" t="s">
        <v>117</v>
      </c>
      <c r="T345" s="8" t="s">
        <v>494</v>
      </c>
      <c r="U345" s="8" t="s">
        <v>495</v>
      </c>
      <c r="V345" s="8"/>
      <c r="W345" s="8" t="s">
        <v>496</v>
      </c>
      <c r="X345" s="8" t="s">
        <v>497</v>
      </c>
      <c r="Y345" s="8" t="s">
        <v>3609</v>
      </c>
      <c r="Z345" s="8" t="s">
        <v>3610</v>
      </c>
    </row>
    <row r="346" customFormat="false" ht="15" hidden="false" customHeight="false" outlineLevel="0" collapsed="false">
      <c r="A346" s="8" t="s">
        <v>493</v>
      </c>
      <c r="B346" s="8" t="s">
        <v>21</v>
      </c>
      <c r="C346" s="8" t="s">
        <v>22</v>
      </c>
      <c r="D346" s="8" t="s">
        <v>615</v>
      </c>
      <c r="E346" s="8" t="s">
        <v>38</v>
      </c>
      <c r="F346" s="8" t="s">
        <v>63</v>
      </c>
      <c r="G346" s="8" t="s">
        <v>31</v>
      </c>
      <c r="H346" s="8" t="s">
        <v>31</v>
      </c>
      <c r="I346" s="8" t="n">
        <f aca="false">IF(EXACT(G346,H346),1,0)</f>
        <v>1</v>
      </c>
      <c r="J346" s="8" t="n">
        <v>2</v>
      </c>
      <c r="K346" s="8" t="s">
        <v>140</v>
      </c>
      <c r="L346" s="8" t="n">
        <v>2</v>
      </c>
      <c r="M346" s="8" t="n">
        <v>5</v>
      </c>
      <c r="N346" s="8" t="s">
        <v>3611</v>
      </c>
      <c r="O346" s="8" t="n">
        <v>2</v>
      </c>
      <c r="P346" s="10" t="n">
        <v>33.37</v>
      </c>
      <c r="Q346" s="8" t="n">
        <v>9330</v>
      </c>
      <c r="R346" s="8" t="n">
        <v>1096</v>
      </c>
      <c r="S346" s="8" t="s">
        <v>117</v>
      </c>
      <c r="T346" s="8" t="s">
        <v>494</v>
      </c>
      <c r="U346" s="8" t="s">
        <v>495</v>
      </c>
      <c r="V346" s="8"/>
      <c r="W346" s="8" t="s">
        <v>496</v>
      </c>
      <c r="X346" s="8" t="s">
        <v>497</v>
      </c>
      <c r="Y346" s="8" t="s">
        <v>3612</v>
      </c>
      <c r="Z346" s="8" t="s">
        <v>3613</v>
      </c>
    </row>
    <row r="347" customFormat="false" ht="15" hidden="false" customHeight="false" outlineLevel="0" collapsed="false">
      <c r="A347" s="8" t="s">
        <v>499</v>
      </c>
      <c r="B347" s="8" t="s">
        <v>21</v>
      </c>
      <c r="C347" s="8" t="s">
        <v>22</v>
      </c>
      <c r="D347" s="8" t="s">
        <v>615</v>
      </c>
      <c r="E347" s="8" t="s">
        <v>38</v>
      </c>
      <c r="F347" s="8" t="s">
        <v>63</v>
      </c>
      <c r="G347" s="8" t="s">
        <v>30</v>
      </c>
      <c r="H347" s="8" t="s">
        <v>31</v>
      </c>
      <c r="I347" s="8" t="n">
        <f aca="false">IF(EXACT(G347,H347),1,0)</f>
        <v>0</v>
      </c>
      <c r="J347" s="8" t="n">
        <v>0</v>
      </c>
      <c r="K347" s="8" t="s">
        <v>116</v>
      </c>
      <c r="L347" s="8" t="n">
        <v>4</v>
      </c>
      <c r="M347" s="8" t="n">
        <v>4</v>
      </c>
      <c r="N347" s="8" t="s">
        <v>3494</v>
      </c>
      <c r="O347" s="8" t="n">
        <v>2</v>
      </c>
      <c r="P347" s="10" t="n">
        <v>41.98</v>
      </c>
      <c r="Q347" s="8" t="n">
        <v>9288</v>
      </c>
      <c r="R347" s="8" t="n">
        <v>1618</v>
      </c>
      <c r="S347" s="8" t="s">
        <v>216</v>
      </c>
      <c r="T347" s="8" t="s">
        <v>500</v>
      </c>
      <c r="U347" s="8" t="s">
        <v>501</v>
      </c>
      <c r="V347" s="8"/>
      <c r="W347" s="8" t="s">
        <v>502</v>
      </c>
      <c r="X347" s="8" t="s">
        <v>503</v>
      </c>
      <c r="Y347" s="8" t="s">
        <v>3614</v>
      </c>
      <c r="Z347" s="8" t="s">
        <v>3615</v>
      </c>
    </row>
    <row r="348" customFormat="false" ht="15" hidden="false" customHeight="false" outlineLevel="0" collapsed="false">
      <c r="A348" s="8" t="s">
        <v>499</v>
      </c>
      <c r="B348" s="8" t="s">
        <v>21</v>
      </c>
      <c r="C348" s="8" t="s">
        <v>22</v>
      </c>
      <c r="D348" s="8" t="s">
        <v>615</v>
      </c>
      <c r="E348" s="8" t="s">
        <v>38</v>
      </c>
      <c r="F348" s="8" t="s">
        <v>63</v>
      </c>
      <c r="G348" s="8" t="s">
        <v>30</v>
      </c>
      <c r="H348" s="8" t="s">
        <v>31</v>
      </c>
      <c r="I348" s="8" t="n">
        <f aca="false">IF(EXACT(G348,H348),1,0)</f>
        <v>0</v>
      </c>
      <c r="J348" s="8" t="n">
        <v>1</v>
      </c>
      <c r="K348" s="8" t="s">
        <v>116</v>
      </c>
      <c r="L348" s="8" t="n">
        <v>4</v>
      </c>
      <c r="M348" s="8" t="n">
        <v>4</v>
      </c>
      <c r="N348" s="8" t="s">
        <v>3494</v>
      </c>
      <c r="O348" s="8" t="n">
        <v>2</v>
      </c>
      <c r="P348" s="10" t="n">
        <v>39.57</v>
      </c>
      <c r="Q348" s="8" t="n">
        <v>9285</v>
      </c>
      <c r="R348" s="8" t="n">
        <v>1569</v>
      </c>
      <c r="S348" s="8" t="s">
        <v>216</v>
      </c>
      <c r="T348" s="8" t="s">
        <v>500</v>
      </c>
      <c r="U348" s="8" t="s">
        <v>501</v>
      </c>
      <c r="V348" s="8"/>
      <c r="W348" s="8" t="s">
        <v>502</v>
      </c>
      <c r="X348" s="8" t="s">
        <v>503</v>
      </c>
      <c r="Y348" s="8" t="s">
        <v>3616</v>
      </c>
      <c r="Z348" s="8" t="s">
        <v>3617</v>
      </c>
    </row>
    <row r="349" customFormat="false" ht="15" hidden="false" customHeight="false" outlineLevel="0" collapsed="false">
      <c r="A349" s="8" t="s">
        <v>499</v>
      </c>
      <c r="B349" s="8" t="s">
        <v>21</v>
      </c>
      <c r="C349" s="8" t="s">
        <v>22</v>
      </c>
      <c r="D349" s="8" t="s">
        <v>615</v>
      </c>
      <c r="E349" s="8" t="s">
        <v>38</v>
      </c>
      <c r="F349" s="8" t="s">
        <v>63</v>
      </c>
      <c r="G349" s="8" t="s">
        <v>30</v>
      </c>
      <c r="H349" s="8" t="s">
        <v>31</v>
      </c>
      <c r="I349" s="8" t="n">
        <f aca="false">IF(EXACT(G349,H349),1,0)</f>
        <v>0</v>
      </c>
      <c r="J349" s="8" t="n">
        <v>2</v>
      </c>
      <c r="K349" s="8" t="s">
        <v>116</v>
      </c>
      <c r="L349" s="8" t="n">
        <v>4</v>
      </c>
      <c r="M349" s="8" t="n">
        <v>4</v>
      </c>
      <c r="N349" s="8" t="s">
        <v>3494</v>
      </c>
      <c r="O349" s="8" t="n">
        <v>2</v>
      </c>
      <c r="P349" s="10" t="n">
        <v>38.96</v>
      </c>
      <c r="Q349" s="8" t="n">
        <v>9283</v>
      </c>
      <c r="R349" s="8" t="n">
        <v>1513</v>
      </c>
      <c r="S349" s="8" t="s">
        <v>216</v>
      </c>
      <c r="T349" s="8" t="s">
        <v>500</v>
      </c>
      <c r="U349" s="8" t="s">
        <v>501</v>
      </c>
      <c r="V349" s="8"/>
      <c r="W349" s="8" t="s">
        <v>502</v>
      </c>
      <c r="X349" s="8" t="s">
        <v>503</v>
      </c>
      <c r="Y349" s="8" t="s">
        <v>3618</v>
      </c>
      <c r="Z349" s="8" t="s">
        <v>3619</v>
      </c>
    </row>
    <row r="350" customFormat="false" ht="15" hidden="false" customHeight="false" outlineLevel="0" collapsed="false">
      <c r="A350" s="8" t="s">
        <v>504</v>
      </c>
      <c r="B350" s="8" t="s">
        <v>21</v>
      </c>
      <c r="C350" s="8" t="s">
        <v>22</v>
      </c>
      <c r="D350" s="8" t="s">
        <v>615</v>
      </c>
      <c r="E350" s="8" t="s">
        <v>38</v>
      </c>
      <c r="F350" s="8" t="s">
        <v>63</v>
      </c>
      <c r="G350" s="8" t="s">
        <v>32</v>
      </c>
      <c r="H350" s="8" t="s">
        <v>32</v>
      </c>
      <c r="I350" s="8" t="n">
        <f aca="false">IF(EXACT(G350,H350),1,0)</f>
        <v>1</v>
      </c>
      <c r="J350" s="8" t="n">
        <v>0</v>
      </c>
      <c r="K350" s="8" t="s">
        <v>92</v>
      </c>
      <c r="L350" s="8" t="n">
        <v>0</v>
      </c>
      <c r="M350" s="8" t="n">
        <v>4</v>
      </c>
      <c r="N350" s="8" t="s">
        <v>3494</v>
      </c>
      <c r="O350" s="8" t="n">
        <v>2</v>
      </c>
      <c r="P350" s="10" t="n">
        <v>23.14</v>
      </c>
      <c r="Q350" s="8" t="n">
        <v>8681</v>
      </c>
      <c r="R350" s="8" t="n">
        <v>878</v>
      </c>
      <c r="S350" s="8" t="s">
        <v>384</v>
      </c>
      <c r="T350" s="8" t="s">
        <v>505</v>
      </c>
      <c r="U350" s="8" t="s">
        <v>506</v>
      </c>
      <c r="V350" s="8"/>
      <c r="W350" s="8" t="s">
        <v>507</v>
      </c>
      <c r="X350" s="8" t="s">
        <v>508</v>
      </c>
      <c r="Y350" s="8" t="s">
        <v>3620</v>
      </c>
      <c r="Z350" s="8"/>
    </row>
    <row r="351" customFormat="false" ht="15" hidden="false" customHeight="false" outlineLevel="0" collapsed="false">
      <c r="A351" s="8" t="s">
        <v>504</v>
      </c>
      <c r="B351" s="8" t="s">
        <v>21</v>
      </c>
      <c r="C351" s="8" t="s">
        <v>22</v>
      </c>
      <c r="D351" s="8" t="s">
        <v>615</v>
      </c>
      <c r="E351" s="8" t="s">
        <v>38</v>
      </c>
      <c r="F351" s="8" t="s">
        <v>63</v>
      </c>
      <c r="G351" s="8" t="s">
        <v>32</v>
      </c>
      <c r="H351" s="8" t="s">
        <v>32</v>
      </c>
      <c r="I351" s="8" t="n">
        <f aca="false">IF(EXACT(G351,H351),1,0)</f>
        <v>1</v>
      </c>
      <c r="J351" s="8" t="n">
        <v>1</v>
      </c>
      <c r="K351" s="8" t="s">
        <v>92</v>
      </c>
      <c r="L351" s="8" t="n">
        <v>0</v>
      </c>
      <c r="M351" s="8" t="n">
        <v>4</v>
      </c>
      <c r="N351" s="8" t="s">
        <v>3494</v>
      </c>
      <c r="O351" s="8" t="n">
        <v>2</v>
      </c>
      <c r="P351" s="10" t="n">
        <v>22</v>
      </c>
      <c r="Q351" s="8" t="n">
        <v>8680</v>
      </c>
      <c r="R351" s="8" t="n">
        <v>859</v>
      </c>
      <c r="S351" s="8" t="s">
        <v>384</v>
      </c>
      <c r="T351" s="8" t="s">
        <v>505</v>
      </c>
      <c r="U351" s="8" t="s">
        <v>506</v>
      </c>
      <c r="V351" s="8"/>
      <c r="W351" s="8" t="s">
        <v>507</v>
      </c>
      <c r="X351" s="8" t="s">
        <v>508</v>
      </c>
      <c r="Y351" s="8" t="s">
        <v>3621</v>
      </c>
      <c r="Z351" s="8"/>
    </row>
    <row r="352" customFormat="false" ht="15" hidden="false" customHeight="false" outlineLevel="0" collapsed="false">
      <c r="A352" s="8" t="s">
        <v>504</v>
      </c>
      <c r="B352" s="8" t="s">
        <v>21</v>
      </c>
      <c r="C352" s="8" t="s">
        <v>22</v>
      </c>
      <c r="D352" s="8" t="s">
        <v>615</v>
      </c>
      <c r="E352" s="8" t="s">
        <v>38</v>
      </c>
      <c r="F352" s="8" t="s">
        <v>63</v>
      </c>
      <c r="G352" s="8" t="s">
        <v>32</v>
      </c>
      <c r="H352" s="8" t="s">
        <v>32</v>
      </c>
      <c r="I352" s="8" t="n">
        <f aca="false">IF(EXACT(G352,H352),1,0)</f>
        <v>1</v>
      </c>
      <c r="J352" s="8" t="n">
        <v>2</v>
      </c>
      <c r="K352" s="8" t="s">
        <v>92</v>
      </c>
      <c r="L352" s="8" t="n">
        <v>0</v>
      </c>
      <c r="M352" s="8" t="n">
        <v>4</v>
      </c>
      <c r="N352" s="8" t="s">
        <v>3494</v>
      </c>
      <c r="O352" s="8" t="n">
        <v>2</v>
      </c>
      <c r="P352" s="10" t="n">
        <v>22.09</v>
      </c>
      <c r="Q352" s="8" t="n">
        <v>8680</v>
      </c>
      <c r="R352" s="8" t="n">
        <v>785</v>
      </c>
      <c r="S352" s="8" t="s">
        <v>384</v>
      </c>
      <c r="T352" s="8" t="s">
        <v>505</v>
      </c>
      <c r="U352" s="8" t="s">
        <v>506</v>
      </c>
      <c r="V352" s="8"/>
      <c r="W352" s="8" t="s">
        <v>507</v>
      </c>
      <c r="X352" s="8" t="s">
        <v>508</v>
      </c>
      <c r="Y352" s="8" t="s">
        <v>3622</v>
      </c>
      <c r="Z352" s="8"/>
    </row>
    <row r="353" customFormat="false" ht="15" hidden="false" customHeight="false" outlineLevel="0" collapsed="false">
      <c r="A353" s="8" t="s">
        <v>509</v>
      </c>
      <c r="B353" s="8" t="s">
        <v>21</v>
      </c>
      <c r="C353" s="8" t="s">
        <v>22</v>
      </c>
      <c r="D353" s="8" t="s">
        <v>615</v>
      </c>
      <c r="E353" s="8" t="s">
        <v>38</v>
      </c>
      <c r="F353" s="8" t="s">
        <v>63</v>
      </c>
      <c r="G353" s="8" t="s">
        <v>32</v>
      </c>
      <c r="H353" s="8" t="s">
        <v>30</v>
      </c>
      <c r="I353" s="8" t="n">
        <f aca="false">IF(EXACT(G353,H353),1,0)</f>
        <v>0</v>
      </c>
      <c r="J353" s="8" t="n">
        <v>0</v>
      </c>
      <c r="K353" s="8" t="s">
        <v>92</v>
      </c>
      <c r="L353" s="8" t="n">
        <v>0</v>
      </c>
      <c r="M353" s="8" t="n">
        <v>5</v>
      </c>
      <c r="N353" s="8" t="s">
        <v>3623</v>
      </c>
      <c r="O353" s="8" t="n">
        <v>2</v>
      </c>
      <c r="P353" s="10" t="n">
        <v>34.85</v>
      </c>
      <c r="Q353" s="8" t="n">
        <v>9399</v>
      </c>
      <c r="R353" s="8" t="n">
        <v>1159</v>
      </c>
      <c r="S353" s="8" t="s">
        <v>132</v>
      </c>
      <c r="T353" s="8" t="s">
        <v>500</v>
      </c>
      <c r="U353" s="8" t="s">
        <v>501</v>
      </c>
      <c r="V353" s="8"/>
      <c r="W353" s="8" t="s">
        <v>510</v>
      </c>
      <c r="X353" s="8" t="s">
        <v>511</v>
      </c>
      <c r="Y353" s="8" t="s">
        <v>3624</v>
      </c>
      <c r="Z353" s="8"/>
    </row>
    <row r="354" customFormat="false" ht="15" hidden="false" customHeight="false" outlineLevel="0" collapsed="false">
      <c r="A354" s="8" t="s">
        <v>509</v>
      </c>
      <c r="B354" s="8" t="s">
        <v>21</v>
      </c>
      <c r="C354" s="8" t="s">
        <v>22</v>
      </c>
      <c r="D354" s="8" t="s">
        <v>615</v>
      </c>
      <c r="E354" s="8" t="s">
        <v>38</v>
      </c>
      <c r="F354" s="8" t="s">
        <v>63</v>
      </c>
      <c r="G354" s="8" t="s">
        <v>32</v>
      </c>
      <c r="H354" s="8" t="s">
        <v>30</v>
      </c>
      <c r="I354" s="8" t="n">
        <f aca="false">IF(EXACT(G354,H354),1,0)</f>
        <v>0</v>
      </c>
      <c r="J354" s="8" t="n">
        <v>1</v>
      </c>
      <c r="K354" s="8" t="s">
        <v>92</v>
      </c>
      <c r="L354" s="8" t="n">
        <v>0</v>
      </c>
      <c r="M354" s="8" t="n">
        <v>4</v>
      </c>
      <c r="N354" s="8" t="s">
        <v>3490</v>
      </c>
      <c r="O354" s="8" t="n">
        <v>2</v>
      </c>
      <c r="P354" s="10" t="n">
        <v>27.28</v>
      </c>
      <c r="Q354" s="8" t="n">
        <v>9195</v>
      </c>
      <c r="R354" s="8" t="n">
        <v>1021</v>
      </c>
      <c r="S354" s="8" t="s">
        <v>132</v>
      </c>
      <c r="T354" s="8" t="s">
        <v>500</v>
      </c>
      <c r="U354" s="8" t="s">
        <v>501</v>
      </c>
      <c r="V354" s="8"/>
      <c r="W354" s="8" t="s">
        <v>510</v>
      </c>
      <c r="X354" s="8" t="s">
        <v>511</v>
      </c>
      <c r="Y354" s="8" t="s">
        <v>3625</v>
      </c>
      <c r="Z354" s="8"/>
    </row>
    <row r="355" customFormat="false" ht="15" hidden="false" customHeight="false" outlineLevel="0" collapsed="false">
      <c r="A355" s="8" t="s">
        <v>509</v>
      </c>
      <c r="B355" s="8" t="s">
        <v>21</v>
      </c>
      <c r="C355" s="8" t="s">
        <v>22</v>
      </c>
      <c r="D355" s="8" t="s">
        <v>615</v>
      </c>
      <c r="E355" s="8" t="s">
        <v>38</v>
      </c>
      <c r="F355" s="8" t="s">
        <v>63</v>
      </c>
      <c r="G355" s="8" t="s">
        <v>32</v>
      </c>
      <c r="H355" s="8" t="s">
        <v>30</v>
      </c>
      <c r="I355" s="8" t="n">
        <f aca="false">IF(EXACT(G355,H355),1,0)</f>
        <v>0</v>
      </c>
      <c r="J355" s="8" t="n">
        <v>2</v>
      </c>
      <c r="K355" s="8" t="s">
        <v>92</v>
      </c>
      <c r="L355" s="8" t="n">
        <v>0</v>
      </c>
      <c r="M355" s="8" t="n">
        <v>4</v>
      </c>
      <c r="N355" s="8" t="s">
        <v>3480</v>
      </c>
      <c r="O355" s="8" t="n">
        <v>2</v>
      </c>
      <c r="P355" s="10" t="n">
        <v>31.05</v>
      </c>
      <c r="Q355" s="8" t="n">
        <v>9212</v>
      </c>
      <c r="R355" s="8" t="n">
        <v>944</v>
      </c>
      <c r="S355" s="8" t="s">
        <v>132</v>
      </c>
      <c r="T355" s="8" t="s">
        <v>500</v>
      </c>
      <c r="U355" s="8" t="s">
        <v>501</v>
      </c>
      <c r="V355" s="8"/>
      <c r="W355" s="8" t="s">
        <v>510</v>
      </c>
      <c r="X355" s="8" t="s">
        <v>511</v>
      </c>
      <c r="Y355" s="8" t="s">
        <v>3626</v>
      </c>
      <c r="Z355" s="8"/>
    </row>
    <row r="356" customFormat="false" ht="15" hidden="false" customHeight="false" outlineLevel="0" collapsed="false">
      <c r="A356" s="8" t="s">
        <v>512</v>
      </c>
      <c r="B356" s="8" t="s">
        <v>21</v>
      </c>
      <c r="C356" s="8" t="s">
        <v>22</v>
      </c>
      <c r="D356" s="8" t="s">
        <v>615</v>
      </c>
      <c r="E356" s="8" t="s">
        <v>38</v>
      </c>
      <c r="F356" s="8" t="s">
        <v>63</v>
      </c>
      <c r="G356" s="8" t="s">
        <v>30</v>
      </c>
      <c r="H356" s="8" t="s">
        <v>31</v>
      </c>
      <c r="I356" s="8" t="n">
        <f aca="false">IF(EXACT(G356,H356),1,0)</f>
        <v>0</v>
      </c>
      <c r="J356" s="8" t="n">
        <v>0</v>
      </c>
      <c r="K356" s="8" t="s">
        <v>116</v>
      </c>
      <c r="L356" s="8" t="n">
        <v>1</v>
      </c>
      <c r="M356" s="8" t="n">
        <v>3</v>
      </c>
      <c r="N356" s="8" t="s">
        <v>3488</v>
      </c>
      <c r="O356" s="8" t="n">
        <v>2</v>
      </c>
      <c r="P356" s="10" t="n">
        <v>29.68</v>
      </c>
      <c r="Q356" s="8" t="n">
        <v>8604</v>
      </c>
      <c r="R356" s="8" t="n">
        <v>1224</v>
      </c>
      <c r="S356" s="8" t="s">
        <v>105</v>
      </c>
      <c r="T356" s="8" t="s">
        <v>513</v>
      </c>
      <c r="U356" s="8" t="s">
        <v>514</v>
      </c>
      <c r="V356" s="8"/>
      <c r="W356" s="8" t="s">
        <v>515</v>
      </c>
      <c r="X356" s="8" t="s">
        <v>516</v>
      </c>
      <c r="Y356" s="8" t="s">
        <v>3627</v>
      </c>
      <c r="Z356" s="8" t="s">
        <v>3628</v>
      </c>
    </row>
    <row r="357" customFormat="false" ht="15" hidden="false" customHeight="false" outlineLevel="0" collapsed="false">
      <c r="A357" s="8" t="s">
        <v>512</v>
      </c>
      <c r="B357" s="8" t="s">
        <v>21</v>
      </c>
      <c r="C357" s="8" t="s">
        <v>22</v>
      </c>
      <c r="D357" s="8" t="s">
        <v>615</v>
      </c>
      <c r="E357" s="8" t="s">
        <v>38</v>
      </c>
      <c r="F357" s="8" t="s">
        <v>63</v>
      </c>
      <c r="G357" s="8" t="s">
        <v>30</v>
      </c>
      <c r="H357" s="8" t="s">
        <v>31</v>
      </c>
      <c r="I357" s="8" t="n">
        <f aca="false">IF(EXACT(G357,H357),1,0)</f>
        <v>0</v>
      </c>
      <c r="J357" s="8" t="n">
        <v>1</v>
      </c>
      <c r="K357" s="8" t="s">
        <v>116</v>
      </c>
      <c r="L357" s="8" t="n">
        <v>3</v>
      </c>
      <c r="M357" s="8" t="n">
        <v>5</v>
      </c>
      <c r="N357" s="8" t="s">
        <v>3629</v>
      </c>
      <c r="O357" s="8" t="n">
        <v>3</v>
      </c>
      <c r="P357" s="10" t="n">
        <v>43.29</v>
      </c>
      <c r="Q357" s="8" t="n">
        <v>14244</v>
      </c>
      <c r="R357" s="8" t="n">
        <v>1836</v>
      </c>
      <c r="S357" s="8" t="s">
        <v>105</v>
      </c>
      <c r="T357" s="8" t="s">
        <v>513</v>
      </c>
      <c r="U357" s="8" t="s">
        <v>514</v>
      </c>
      <c r="V357" s="8"/>
      <c r="W357" s="8" t="s">
        <v>515</v>
      </c>
      <c r="X357" s="8" t="s">
        <v>516</v>
      </c>
      <c r="Y357" s="8" t="s">
        <v>3630</v>
      </c>
      <c r="Z357" s="8" t="s">
        <v>3631</v>
      </c>
    </row>
    <row r="358" customFormat="false" ht="15" hidden="false" customHeight="false" outlineLevel="0" collapsed="false">
      <c r="A358" s="8" t="s">
        <v>512</v>
      </c>
      <c r="B358" s="8" t="s">
        <v>21</v>
      </c>
      <c r="C358" s="8" t="s">
        <v>22</v>
      </c>
      <c r="D358" s="8" t="s">
        <v>615</v>
      </c>
      <c r="E358" s="8" t="s">
        <v>38</v>
      </c>
      <c r="F358" s="8" t="s">
        <v>63</v>
      </c>
      <c r="G358" s="8" t="s">
        <v>30</v>
      </c>
      <c r="H358" s="8" t="s">
        <v>31</v>
      </c>
      <c r="I358" s="8" t="n">
        <f aca="false">IF(EXACT(G358,H358),1,0)</f>
        <v>0</v>
      </c>
      <c r="J358" s="8" t="n">
        <v>2</v>
      </c>
      <c r="K358" s="8" t="s">
        <v>116</v>
      </c>
      <c r="L358" s="8" t="n">
        <v>3</v>
      </c>
      <c r="M358" s="8" t="n">
        <v>4</v>
      </c>
      <c r="N358" s="8" t="s">
        <v>3494</v>
      </c>
      <c r="O358" s="8" t="n">
        <v>2</v>
      </c>
      <c r="P358" s="10" t="n">
        <v>35.53</v>
      </c>
      <c r="Q358" s="8" t="n">
        <v>8859</v>
      </c>
      <c r="R358" s="8" t="n">
        <v>1539</v>
      </c>
      <c r="S358" s="8" t="s">
        <v>105</v>
      </c>
      <c r="T358" s="8" t="s">
        <v>513</v>
      </c>
      <c r="U358" s="8" t="s">
        <v>514</v>
      </c>
      <c r="V358" s="8"/>
      <c r="W358" s="8" t="s">
        <v>515</v>
      </c>
      <c r="X358" s="8" t="s">
        <v>516</v>
      </c>
      <c r="Y358" s="8" t="s">
        <v>3632</v>
      </c>
      <c r="Z358" s="8" t="s">
        <v>3633</v>
      </c>
    </row>
    <row r="359" customFormat="false" ht="15" hidden="false" customHeight="false" outlineLevel="0" collapsed="false">
      <c r="A359" s="8" t="s">
        <v>124</v>
      </c>
      <c r="B359" s="8" t="s">
        <v>21</v>
      </c>
      <c r="C359" s="8" t="s">
        <v>22</v>
      </c>
      <c r="D359" s="8" t="s">
        <v>615</v>
      </c>
      <c r="E359" s="8" t="s">
        <v>39</v>
      </c>
      <c r="F359" s="8" t="s">
        <v>50</v>
      </c>
      <c r="G359" s="8" t="s">
        <v>32</v>
      </c>
      <c r="H359" s="8" t="s">
        <v>31</v>
      </c>
      <c r="I359" s="8" t="n">
        <f aca="false">IF(EXACT(G359,H359),1,0)</f>
        <v>0</v>
      </c>
      <c r="J359" s="8" t="n">
        <v>0</v>
      </c>
      <c r="K359" s="8" t="s">
        <v>140</v>
      </c>
      <c r="L359" s="8" t="n">
        <v>2</v>
      </c>
      <c r="M359" s="8" t="n">
        <v>4</v>
      </c>
      <c r="N359" s="8" t="s">
        <v>1926</v>
      </c>
      <c r="O359" s="8" t="n">
        <v>2</v>
      </c>
      <c r="P359" s="10" t="n">
        <v>24.81</v>
      </c>
      <c r="Q359" s="8" t="n">
        <v>8161</v>
      </c>
      <c r="R359" s="8" t="n">
        <v>1044</v>
      </c>
      <c r="S359" s="8" t="s">
        <v>125</v>
      </c>
      <c r="T359" s="8" t="s">
        <v>126</v>
      </c>
      <c r="U359" s="8" t="s">
        <v>127</v>
      </c>
      <c r="V359" s="8"/>
      <c r="W359" s="8" t="s">
        <v>128</v>
      </c>
      <c r="X359" s="8" t="s">
        <v>517</v>
      </c>
      <c r="Y359" s="8" t="s">
        <v>3634</v>
      </c>
      <c r="Z359" s="8" t="s">
        <v>3635</v>
      </c>
    </row>
    <row r="360" customFormat="false" ht="15" hidden="false" customHeight="false" outlineLevel="0" collapsed="false">
      <c r="A360" s="8" t="s">
        <v>124</v>
      </c>
      <c r="B360" s="8" t="s">
        <v>21</v>
      </c>
      <c r="C360" s="8" t="s">
        <v>22</v>
      </c>
      <c r="D360" s="8" t="s">
        <v>615</v>
      </c>
      <c r="E360" s="8" t="s">
        <v>39</v>
      </c>
      <c r="F360" s="8" t="s">
        <v>50</v>
      </c>
      <c r="G360" s="8" t="s">
        <v>32</v>
      </c>
      <c r="H360" s="8" t="s">
        <v>31</v>
      </c>
      <c r="I360" s="8" t="n">
        <f aca="false">IF(EXACT(G360,H360),1,0)</f>
        <v>0</v>
      </c>
      <c r="J360" s="8" t="n">
        <v>1</v>
      </c>
      <c r="K360" s="8" t="s">
        <v>140</v>
      </c>
      <c r="L360" s="8" t="n">
        <v>5</v>
      </c>
      <c r="M360" s="8" t="n">
        <v>4</v>
      </c>
      <c r="N360" s="8" t="s">
        <v>3636</v>
      </c>
      <c r="O360" s="8" t="n">
        <v>2</v>
      </c>
      <c r="P360" s="10" t="n">
        <v>26.85</v>
      </c>
      <c r="Q360" s="8" t="n">
        <v>8171</v>
      </c>
      <c r="R360" s="8" t="n">
        <v>1278</v>
      </c>
      <c r="S360" s="8" t="s">
        <v>125</v>
      </c>
      <c r="T360" s="8" t="s">
        <v>126</v>
      </c>
      <c r="U360" s="8" t="s">
        <v>127</v>
      </c>
      <c r="V360" s="8"/>
      <c r="W360" s="8" t="s">
        <v>128</v>
      </c>
      <c r="X360" s="8" t="s">
        <v>517</v>
      </c>
      <c r="Y360" s="8" t="s">
        <v>3637</v>
      </c>
      <c r="Z360" s="8" t="s">
        <v>3638</v>
      </c>
    </row>
    <row r="361" customFormat="false" ht="15" hidden="false" customHeight="false" outlineLevel="0" collapsed="false">
      <c r="A361" s="8" t="s">
        <v>124</v>
      </c>
      <c r="B361" s="8" t="s">
        <v>21</v>
      </c>
      <c r="C361" s="8" t="s">
        <v>22</v>
      </c>
      <c r="D361" s="8" t="s">
        <v>615</v>
      </c>
      <c r="E361" s="8" t="s">
        <v>39</v>
      </c>
      <c r="F361" s="8" t="s">
        <v>50</v>
      </c>
      <c r="G361" s="8" t="s">
        <v>32</v>
      </c>
      <c r="H361" s="8" t="s">
        <v>31</v>
      </c>
      <c r="I361" s="8" t="n">
        <f aca="false">IF(EXACT(G361,H361),1,0)</f>
        <v>0</v>
      </c>
      <c r="J361" s="8" t="n">
        <v>2</v>
      </c>
      <c r="K361" s="8" t="s">
        <v>140</v>
      </c>
      <c r="L361" s="8" t="n">
        <v>2</v>
      </c>
      <c r="M361" s="8" t="n">
        <v>4</v>
      </c>
      <c r="N361" s="8" t="s">
        <v>1926</v>
      </c>
      <c r="O361" s="8" t="n">
        <v>2</v>
      </c>
      <c r="P361" s="10" t="n">
        <v>39.27</v>
      </c>
      <c r="Q361" s="8" t="n">
        <v>8183</v>
      </c>
      <c r="R361" s="8" t="n">
        <v>1122</v>
      </c>
      <c r="S361" s="8" t="s">
        <v>125</v>
      </c>
      <c r="T361" s="8" t="s">
        <v>126</v>
      </c>
      <c r="U361" s="8" t="s">
        <v>127</v>
      </c>
      <c r="V361" s="8"/>
      <c r="W361" s="8" t="s">
        <v>128</v>
      </c>
      <c r="X361" s="8" t="s">
        <v>517</v>
      </c>
      <c r="Y361" s="8" t="s">
        <v>3639</v>
      </c>
      <c r="Z361" s="8" t="s">
        <v>3640</v>
      </c>
    </row>
    <row r="362" customFormat="false" ht="15" hidden="false" customHeight="false" outlineLevel="0" collapsed="false">
      <c r="A362" s="8" t="s">
        <v>131</v>
      </c>
      <c r="B362" s="8" t="s">
        <v>21</v>
      </c>
      <c r="C362" s="8" t="s">
        <v>22</v>
      </c>
      <c r="D362" s="8" t="s">
        <v>615</v>
      </c>
      <c r="E362" s="8" t="s">
        <v>39</v>
      </c>
      <c r="F362" s="8" t="s">
        <v>50</v>
      </c>
      <c r="G362" s="8" t="s">
        <v>32</v>
      </c>
      <c r="H362" s="8" t="s">
        <v>31</v>
      </c>
      <c r="I362" s="8" t="n">
        <f aca="false">IF(EXACT(G362,H362),1,0)</f>
        <v>0</v>
      </c>
      <c r="J362" s="8" t="n">
        <v>0</v>
      </c>
      <c r="K362" s="8" t="s">
        <v>2333</v>
      </c>
      <c r="L362" s="8" t="n">
        <v>1</v>
      </c>
      <c r="M362" s="8" t="n">
        <v>4</v>
      </c>
      <c r="N362" s="8" t="s">
        <v>1926</v>
      </c>
      <c r="O362" s="8" t="n">
        <v>2</v>
      </c>
      <c r="P362" s="10" t="n">
        <v>22.59</v>
      </c>
      <c r="Q362" s="8" t="n">
        <v>8053</v>
      </c>
      <c r="R362" s="8" t="n">
        <v>862</v>
      </c>
      <c r="S362" s="8" t="s">
        <v>132</v>
      </c>
      <c r="T362" s="8" t="s">
        <v>126</v>
      </c>
      <c r="U362" s="8" t="s">
        <v>127</v>
      </c>
      <c r="V362" s="8"/>
      <c r="W362" s="8" t="s">
        <v>133</v>
      </c>
      <c r="X362" s="8" t="s">
        <v>518</v>
      </c>
      <c r="Y362" s="8" t="s">
        <v>3641</v>
      </c>
      <c r="Z362" s="8" t="s">
        <v>3642</v>
      </c>
    </row>
    <row r="363" customFormat="false" ht="15" hidden="false" customHeight="false" outlineLevel="0" collapsed="false">
      <c r="A363" s="8" t="s">
        <v>131</v>
      </c>
      <c r="B363" s="8" t="s">
        <v>21</v>
      </c>
      <c r="C363" s="8" t="s">
        <v>22</v>
      </c>
      <c r="D363" s="8" t="s">
        <v>615</v>
      </c>
      <c r="E363" s="8" t="s">
        <v>39</v>
      </c>
      <c r="F363" s="8" t="s">
        <v>50</v>
      </c>
      <c r="G363" s="8" t="s">
        <v>32</v>
      </c>
      <c r="H363" s="8" t="s">
        <v>31</v>
      </c>
      <c r="I363" s="8" t="n">
        <f aca="false">IF(EXACT(G363,H363),1,0)</f>
        <v>0</v>
      </c>
      <c r="J363" s="8" t="n">
        <v>1</v>
      </c>
      <c r="K363" s="8" t="s">
        <v>2333</v>
      </c>
      <c r="L363" s="8" t="n">
        <v>1</v>
      </c>
      <c r="M363" s="8" t="n">
        <v>4</v>
      </c>
      <c r="N363" s="8" t="s">
        <v>1926</v>
      </c>
      <c r="O363" s="8" t="n">
        <v>2</v>
      </c>
      <c r="P363" s="10" t="n">
        <v>21.43</v>
      </c>
      <c r="Q363" s="8" t="n">
        <v>8053</v>
      </c>
      <c r="R363" s="8" t="n">
        <v>832</v>
      </c>
      <c r="S363" s="8" t="s">
        <v>132</v>
      </c>
      <c r="T363" s="8" t="s">
        <v>126</v>
      </c>
      <c r="U363" s="8" t="s">
        <v>127</v>
      </c>
      <c r="V363" s="8"/>
      <c r="W363" s="8" t="s">
        <v>133</v>
      </c>
      <c r="X363" s="8" t="s">
        <v>518</v>
      </c>
      <c r="Y363" s="8" t="s">
        <v>3643</v>
      </c>
      <c r="Z363" s="8" t="s">
        <v>3642</v>
      </c>
    </row>
    <row r="364" customFormat="false" ht="15" hidden="false" customHeight="false" outlineLevel="0" collapsed="false">
      <c r="A364" s="8" t="s">
        <v>131</v>
      </c>
      <c r="B364" s="8" t="s">
        <v>21</v>
      </c>
      <c r="C364" s="8" t="s">
        <v>22</v>
      </c>
      <c r="D364" s="8" t="s">
        <v>615</v>
      </c>
      <c r="E364" s="8" t="s">
        <v>39</v>
      </c>
      <c r="F364" s="8" t="s">
        <v>50</v>
      </c>
      <c r="G364" s="8" t="s">
        <v>32</v>
      </c>
      <c r="H364" s="8" t="s">
        <v>31</v>
      </c>
      <c r="I364" s="8" t="n">
        <f aca="false">IF(EXACT(G364,H364),1,0)</f>
        <v>0</v>
      </c>
      <c r="J364" s="8" t="n">
        <v>2</v>
      </c>
      <c r="K364" s="8" t="s">
        <v>2333</v>
      </c>
      <c r="L364" s="8" t="n">
        <v>1</v>
      </c>
      <c r="M364" s="8" t="n">
        <v>4</v>
      </c>
      <c r="N364" s="8" t="s">
        <v>1926</v>
      </c>
      <c r="O364" s="8" t="n">
        <v>2</v>
      </c>
      <c r="P364" s="10" t="n">
        <v>22.03</v>
      </c>
      <c r="Q364" s="8" t="n">
        <v>8053</v>
      </c>
      <c r="R364" s="8" t="n">
        <v>834</v>
      </c>
      <c r="S364" s="8" t="s">
        <v>132</v>
      </c>
      <c r="T364" s="8" t="s">
        <v>126</v>
      </c>
      <c r="U364" s="8" t="s">
        <v>127</v>
      </c>
      <c r="V364" s="8"/>
      <c r="W364" s="8" t="s">
        <v>133</v>
      </c>
      <c r="X364" s="8" t="s">
        <v>518</v>
      </c>
      <c r="Y364" s="8" t="s">
        <v>3644</v>
      </c>
      <c r="Z364" s="8" t="s">
        <v>3645</v>
      </c>
    </row>
    <row r="365" customFormat="false" ht="15" hidden="false" customHeight="false" outlineLevel="0" collapsed="false">
      <c r="A365" s="8" t="s">
        <v>135</v>
      </c>
      <c r="B365" s="8" t="s">
        <v>21</v>
      </c>
      <c r="C365" s="8" t="s">
        <v>22</v>
      </c>
      <c r="D365" s="8" t="s">
        <v>615</v>
      </c>
      <c r="E365" s="8" t="s">
        <v>39</v>
      </c>
      <c r="F365" s="8" t="s">
        <v>50</v>
      </c>
      <c r="G365" s="8" t="s">
        <v>30</v>
      </c>
      <c r="H365" s="8" t="s">
        <v>31</v>
      </c>
      <c r="I365" s="8" t="n">
        <f aca="false">IF(EXACT(G365,H365),1,0)</f>
        <v>0</v>
      </c>
      <c r="J365" s="8" t="n">
        <v>0</v>
      </c>
      <c r="K365" s="8" t="s">
        <v>140</v>
      </c>
      <c r="L365" s="8" t="n">
        <v>2</v>
      </c>
      <c r="M365" s="8" t="n">
        <v>4</v>
      </c>
      <c r="N365" s="8" t="s">
        <v>1926</v>
      </c>
      <c r="O365" s="8" t="n">
        <v>2</v>
      </c>
      <c r="P365" s="10" t="n">
        <v>39.3</v>
      </c>
      <c r="Q365" s="8" t="n">
        <v>8622</v>
      </c>
      <c r="R365" s="8" t="n">
        <v>1298</v>
      </c>
      <c r="S365" s="8" t="s">
        <v>105</v>
      </c>
      <c r="T365" s="8" t="s">
        <v>126</v>
      </c>
      <c r="U365" s="8" t="s">
        <v>127</v>
      </c>
      <c r="V365" s="8"/>
      <c r="W365" s="8" t="s">
        <v>136</v>
      </c>
      <c r="X365" s="8" t="s">
        <v>519</v>
      </c>
      <c r="Y365" s="8" t="s">
        <v>3646</v>
      </c>
      <c r="Z365" s="8" t="s">
        <v>3647</v>
      </c>
    </row>
    <row r="366" customFormat="false" ht="15" hidden="false" customHeight="false" outlineLevel="0" collapsed="false">
      <c r="A366" s="8" t="s">
        <v>135</v>
      </c>
      <c r="B366" s="8" t="s">
        <v>21</v>
      </c>
      <c r="C366" s="8" t="s">
        <v>22</v>
      </c>
      <c r="D366" s="8" t="s">
        <v>615</v>
      </c>
      <c r="E366" s="8" t="s">
        <v>39</v>
      </c>
      <c r="F366" s="8" t="s">
        <v>50</v>
      </c>
      <c r="G366" s="8" t="s">
        <v>30</v>
      </c>
      <c r="H366" s="8" t="s">
        <v>31</v>
      </c>
      <c r="I366" s="8" t="n">
        <f aca="false">IF(EXACT(G366,H366),1,0)</f>
        <v>0</v>
      </c>
      <c r="J366" s="8" t="n">
        <v>1</v>
      </c>
      <c r="K366" s="8" t="s">
        <v>140</v>
      </c>
      <c r="L366" s="8" t="n">
        <v>5</v>
      </c>
      <c r="M366" s="8" t="n">
        <v>4</v>
      </c>
      <c r="N366" s="8" t="s">
        <v>1926</v>
      </c>
      <c r="O366" s="8" t="n">
        <v>2</v>
      </c>
      <c r="P366" s="10" t="n">
        <v>33.8</v>
      </c>
      <c r="Q366" s="8" t="n">
        <v>8623</v>
      </c>
      <c r="R366" s="8" t="n">
        <v>1334</v>
      </c>
      <c r="S366" s="8" t="s">
        <v>105</v>
      </c>
      <c r="T366" s="8" t="s">
        <v>126</v>
      </c>
      <c r="U366" s="8" t="s">
        <v>127</v>
      </c>
      <c r="V366" s="8"/>
      <c r="W366" s="8" t="s">
        <v>136</v>
      </c>
      <c r="X366" s="8" t="s">
        <v>519</v>
      </c>
      <c r="Y366" s="8" t="s">
        <v>3648</v>
      </c>
      <c r="Z366" s="8" t="s">
        <v>3649</v>
      </c>
    </row>
    <row r="367" customFormat="false" ht="15" hidden="false" customHeight="false" outlineLevel="0" collapsed="false">
      <c r="A367" s="8" t="s">
        <v>135</v>
      </c>
      <c r="B367" s="8" t="s">
        <v>21</v>
      </c>
      <c r="C367" s="8" t="s">
        <v>22</v>
      </c>
      <c r="D367" s="8" t="s">
        <v>615</v>
      </c>
      <c r="E367" s="8" t="s">
        <v>39</v>
      </c>
      <c r="F367" s="8" t="s">
        <v>50</v>
      </c>
      <c r="G367" s="8" t="s">
        <v>30</v>
      </c>
      <c r="H367" s="8" t="s">
        <v>31</v>
      </c>
      <c r="I367" s="8" t="n">
        <f aca="false">IF(EXACT(G367,H367),1,0)</f>
        <v>0</v>
      </c>
      <c r="J367" s="8" t="n">
        <v>2</v>
      </c>
      <c r="K367" s="8" t="s">
        <v>140</v>
      </c>
      <c r="L367" s="8" t="n">
        <v>2</v>
      </c>
      <c r="M367" s="8" t="n">
        <v>4</v>
      </c>
      <c r="N367" s="8" t="s">
        <v>1926</v>
      </c>
      <c r="O367" s="8" t="n">
        <v>2</v>
      </c>
      <c r="P367" s="10" t="n">
        <v>33.07</v>
      </c>
      <c r="Q367" s="8" t="n">
        <v>8622</v>
      </c>
      <c r="R367" s="8" t="n">
        <v>1273</v>
      </c>
      <c r="S367" s="8" t="s">
        <v>105</v>
      </c>
      <c r="T367" s="8" t="s">
        <v>126</v>
      </c>
      <c r="U367" s="8" t="s">
        <v>127</v>
      </c>
      <c r="V367" s="8"/>
      <c r="W367" s="8" t="s">
        <v>136</v>
      </c>
      <c r="X367" s="8" t="s">
        <v>519</v>
      </c>
      <c r="Y367" s="8" t="s">
        <v>3650</v>
      </c>
      <c r="Z367" s="8" t="s">
        <v>3651</v>
      </c>
    </row>
    <row r="368" customFormat="false" ht="15" hidden="false" customHeight="false" outlineLevel="0" collapsed="false">
      <c r="A368" s="8" t="s">
        <v>139</v>
      </c>
      <c r="B368" s="8" t="s">
        <v>21</v>
      </c>
      <c r="C368" s="8" t="s">
        <v>22</v>
      </c>
      <c r="D368" s="8" t="s">
        <v>615</v>
      </c>
      <c r="E368" s="8" t="s">
        <v>39</v>
      </c>
      <c r="F368" s="8" t="s">
        <v>50</v>
      </c>
      <c r="G368" s="8" t="s">
        <v>31</v>
      </c>
      <c r="H368" s="8" t="s">
        <v>31</v>
      </c>
      <c r="I368" s="8" t="n">
        <f aca="false">IF(EXACT(G368,H368),1,0)</f>
        <v>1</v>
      </c>
      <c r="J368" s="8" t="n">
        <v>0</v>
      </c>
      <c r="K368" s="8" t="s">
        <v>140</v>
      </c>
      <c r="L368" s="8" t="n">
        <v>2</v>
      </c>
      <c r="M368" s="8" t="n">
        <v>4</v>
      </c>
      <c r="N368" s="8" t="s">
        <v>1926</v>
      </c>
      <c r="O368" s="8" t="n">
        <v>2</v>
      </c>
      <c r="P368" s="10" t="n">
        <v>24.75</v>
      </c>
      <c r="Q368" s="8" t="n">
        <v>8127</v>
      </c>
      <c r="R368" s="8" t="n">
        <v>992</v>
      </c>
      <c r="S368" s="8" t="s">
        <v>117</v>
      </c>
      <c r="T368" s="8" t="s">
        <v>126</v>
      </c>
      <c r="U368" s="8" t="s">
        <v>127</v>
      </c>
      <c r="V368" s="8"/>
      <c r="W368" s="8" t="s">
        <v>141</v>
      </c>
      <c r="X368" s="8" t="s">
        <v>520</v>
      </c>
      <c r="Y368" s="8" t="s">
        <v>3652</v>
      </c>
      <c r="Z368" s="8" t="s">
        <v>3653</v>
      </c>
    </row>
    <row r="369" customFormat="false" ht="15" hidden="false" customHeight="false" outlineLevel="0" collapsed="false">
      <c r="A369" s="8" t="s">
        <v>139</v>
      </c>
      <c r="B369" s="8" t="s">
        <v>21</v>
      </c>
      <c r="C369" s="8" t="s">
        <v>22</v>
      </c>
      <c r="D369" s="8" t="s">
        <v>615</v>
      </c>
      <c r="E369" s="8" t="s">
        <v>39</v>
      </c>
      <c r="F369" s="8" t="s">
        <v>50</v>
      </c>
      <c r="G369" s="8" t="s">
        <v>31</v>
      </c>
      <c r="H369" s="8" t="s">
        <v>31</v>
      </c>
      <c r="I369" s="8" t="n">
        <f aca="false">IF(EXACT(G369,H369),1,0)</f>
        <v>1</v>
      </c>
      <c r="J369" s="8" t="n">
        <v>1</v>
      </c>
      <c r="K369" s="8" t="s">
        <v>140</v>
      </c>
      <c r="L369" s="8" t="n">
        <v>2</v>
      </c>
      <c r="M369" s="8" t="n">
        <v>4</v>
      </c>
      <c r="N369" s="8" t="s">
        <v>1926</v>
      </c>
      <c r="O369" s="8" t="n">
        <v>2</v>
      </c>
      <c r="P369" s="10" t="n">
        <v>24.04</v>
      </c>
      <c r="Q369" s="8" t="n">
        <v>8126</v>
      </c>
      <c r="R369" s="8" t="n">
        <v>1015</v>
      </c>
      <c r="S369" s="8" t="s">
        <v>117</v>
      </c>
      <c r="T369" s="8" t="s">
        <v>126</v>
      </c>
      <c r="U369" s="8" t="s">
        <v>127</v>
      </c>
      <c r="V369" s="8"/>
      <c r="W369" s="8" t="s">
        <v>141</v>
      </c>
      <c r="X369" s="8" t="s">
        <v>520</v>
      </c>
      <c r="Y369" s="8" t="s">
        <v>3654</v>
      </c>
      <c r="Z369" s="8" t="s">
        <v>3655</v>
      </c>
    </row>
    <row r="370" customFormat="false" ht="15" hidden="false" customHeight="false" outlineLevel="0" collapsed="false">
      <c r="A370" s="8" t="s">
        <v>139</v>
      </c>
      <c r="B370" s="8" t="s">
        <v>21</v>
      </c>
      <c r="C370" s="8" t="s">
        <v>22</v>
      </c>
      <c r="D370" s="8" t="s">
        <v>615</v>
      </c>
      <c r="E370" s="8" t="s">
        <v>39</v>
      </c>
      <c r="F370" s="8" t="s">
        <v>50</v>
      </c>
      <c r="G370" s="8" t="s">
        <v>31</v>
      </c>
      <c r="H370" s="8" t="s">
        <v>31</v>
      </c>
      <c r="I370" s="8" t="n">
        <f aca="false">IF(EXACT(G370,H370),1,0)</f>
        <v>1</v>
      </c>
      <c r="J370" s="8" t="n">
        <v>2</v>
      </c>
      <c r="K370" s="8" t="s">
        <v>140</v>
      </c>
      <c r="L370" s="8" t="n">
        <v>2</v>
      </c>
      <c r="M370" s="8" t="n">
        <v>4</v>
      </c>
      <c r="N370" s="8" t="s">
        <v>1926</v>
      </c>
      <c r="O370" s="8" t="n">
        <v>2</v>
      </c>
      <c r="P370" s="10" t="n">
        <v>23.97</v>
      </c>
      <c r="Q370" s="8" t="n">
        <v>8126</v>
      </c>
      <c r="R370" s="8" t="n">
        <v>1014</v>
      </c>
      <c r="S370" s="8" t="s">
        <v>117</v>
      </c>
      <c r="T370" s="8" t="s">
        <v>126</v>
      </c>
      <c r="U370" s="8" t="s">
        <v>127</v>
      </c>
      <c r="V370" s="8"/>
      <c r="W370" s="8" t="s">
        <v>141</v>
      </c>
      <c r="X370" s="8" t="s">
        <v>520</v>
      </c>
      <c r="Y370" s="8" t="s">
        <v>3656</v>
      </c>
      <c r="Z370" s="8" t="s">
        <v>3657</v>
      </c>
    </row>
    <row r="371" customFormat="false" ht="15" hidden="false" customHeight="false" outlineLevel="0" collapsed="false">
      <c r="A371" s="8" t="s">
        <v>145</v>
      </c>
      <c r="B371" s="8" t="s">
        <v>21</v>
      </c>
      <c r="C371" s="8" t="s">
        <v>22</v>
      </c>
      <c r="D371" s="8" t="s">
        <v>615</v>
      </c>
      <c r="E371" s="8" t="s">
        <v>39</v>
      </c>
      <c r="F371" s="8" t="s">
        <v>50</v>
      </c>
      <c r="G371" s="8" t="s">
        <v>31</v>
      </c>
      <c r="H371" s="8" t="s">
        <v>31</v>
      </c>
      <c r="I371" s="8" t="n">
        <f aca="false">IF(EXACT(G371,H371),1,0)</f>
        <v>1</v>
      </c>
      <c r="J371" s="8" t="n">
        <v>0</v>
      </c>
      <c r="K371" s="8" t="s">
        <v>116</v>
      </c>
      <c r="L371" s="8" t="n">
        <v>2</v>
      </c>
      <c r="M371" s="8" t="n">
        <v>4</v>
      </c>
      <c r="N371" s="8" t="s">
        <v>1926</v>
      </c>
      <c r="O371" s="8" t="n">
        <v>2</v>
      </c>
      <c r="P371" s="10" t="n">
        <v>29.36</v>
      </c>
      <c r="Q371" s="8" t="n">
        <v>8210</v>
      </c>
      <c r="R371" s="8" t="n">
        <v>1349</v>
      </c>
      <c r="S371" s="8" t="s">
        <v>146</v>
      </c>
      <c r="T371" s="8" t="s">
        <v>126</v>
      </c>
      <c r="U371" s="8" t="s">
        <v>127</v>
      </c>
      <c r="V371" s="8"/>
      <c r="W371" s="8" t="s">
        <v>147</v>
      </c>
      <c r="X371" s="8" t="s">
        <v>521</v>
      </c>
      <c r="Y371" s="8" t="s">
        <v>3658</v>
      </c>
      <c r="Z371" s="8" t="s">
        <v>3659</v>
      </c>
    </row>
    <row r="372" customFormat="false" ht="15" hidden="false" customHeight="false" outlineLevel="0" collapsed="false">
      <c r="A372" s="8" t="s">
        <v>145</v>
      </c>
      <c r="B372" s="8" t="s">
        <v>21</v>
      </c>
      <c r="C372" s="8" t="s">
        <v>22</v>
      </c>
      <c r="D372" s="8" t="s">
        <v>615</v>
      </c>
      <c r="E372" s="8" t="s">
        <v>39</v>
      </c>
      <c r="F372" s="8" t="s">
        <v>50</v>
      </c>
      <c r="G372" s="8" t="s">
        <v>31</v>
      </c>
      <c r="H372" s="8" t="s">
        <v>31</v>
      </c>
      <c r="I372" s="8" t="n">
        <f aca="false">IF(EXACT(G372,H372),1,0)</f>
        <v>1</v>
      </c>
      <c r="J372" s="8" t="n">
        <v>1</v>
      </c>
      <c r="K372" s="8" t="s">
        <v>116</v>
      </c>
      <c r="L372" s="8" t="n">
        <v>2</v>
      </c>
      <c r="M372" s="8" t="n">
        <v>4</v>
      </c>
      <c r="N372" s="8" t="s">
        <v>1926</v>
      </c>
      <c r="O372" s="8" t="n">
        <v>2</v>
      </c>
      <c r="P372" s="10" t="n">
        <v>29.17</v>
      </c>
      <c r="Q372" s="8" t="n">
        <v>8214</v>
      </c>
      <c r="R372" s="8" t="n">
        <v>1365</v>
      </c>
      <c r="S372" s="8" t="s">
        <v>146</v>
      </c>
      <c r="T372" s="8" t="s">
        <v>126</v>
      </c>
      <c r="U372" s="8" t="s">
        <v>127</v>
      </c>
      <c r="V372" s="8"/>
      <c r="W372" s="8" t="s">
        <v>147</v>
      </c>
      <c r="X372" s="8" t="s">
        <v>521</v>
      </c>
      <c r="Y372" s="8" t="s">
        <v>3660</v>
      </c>
      <c r="Z372" s="8" t="s">
        <v>3661</v>
      </c>
    </row>
    <row r="373" customFormat="false" ht="15" hidden="false" customHeight="false" outlineLevel="0" collapsed="false">
      <c r="A373" s="8" t="s">
        <v>145</v>
      </c>
      <c r="B373" s="8" t="s">
        <v>21</v>
      </c>
      <c r="C373" s="8" t="s">
        <v>22</v>
      </c>
      <c r="D373" s="8" t="s">
        <v>615</v>
      </c>
      <c r="E373" s="8" t="s">
        <v>39</v>
      </c>
      <c r="F373" s="8" t="s">
        <v>50</v>
      </c>
      <c r="G373" s="8" t="s">
        <v>31</v>
      </c>
      <c r="H373" s="8" t="s">
        <v>31</v>
      </c>
      <c r="I373" s="8" t="n">
        <f aca="false">IF(EXACT(G373,H373),1,0)</f>
        <v>1</v>
      </c>
      <c r="J373" s="8" t="n">
        <v>2</v>
      </c>
      <c r="K373" s="8" t="s">
        <v>116</v>
      </c>
      <c r="L373" s="8" t="n">
        <v>2</v>
      </c>
      <c r="M373" s="8" t="n">
        <v>4</v>
      </c>
      <c r="N373" s="8" t="s">
        <v>1926</v>
      </c>
      <c r="O373" s="8" t="n">
        <v>2</v>
      </c>
      <c r="P373" s="10" t="n">
        <v>23.56</v>
      </c>
      <c r="Q373" s="8" t="n">
        <v>8192</v>
      </c>
      <c r="R373" s="8" t="n">
        <v>1066</v>
      </c>
      <c r="S373" s="8" t="s">
        <v>146</v>
      </c>
      <c r="T373" s="8" t="s">
        <v>126</v>
      </c>
      <c r="U373" s="8" t="s">
        <v>127</v>
      </c>
      <c r="V373" s="8"/>
      <c r="W373" s="8" t="s">
        <v>147</v>
      </c>
      <c r="X373" s="8" t="s">
        <v>521</v>
      </c>
      <c r="Y373" s="8" t="s">
        <v>3662</v>
      </c>
      <c r="Z373" s="8" t="s">
        <v>3663</v>
      </c>
    </row>
    <row r="374" customFormat="false" ht="15" hidden="false" customHeight="false" outlineLevel="0" collapsed="false">
      <c r="A374" s="8" t="s">
        <v>149</v>
      </c>
      <c r="B374" s="8" t="s">
        <v>21</v>
      </c>
      <c r="C374" s="8" t="s">
        <v>22</v>
      </c>
      <c r="D374" s="8" t="s">
        <v>615</v>
      </c>
      <c r="E374" s="8" t="s">
        <v>39</v>
      </c>
      <c r="F374" s="8" t="s">
        <v>50</v>
      </c>
      <c r="G374" s="8" t="s">
        <v>30</v>
      </c>
      <c r="H374" s="8" t="s">
        <v>31</v>
      </c>
      <c r="I374" s="8" t="n">
        <f aca="false">IF(EXACT(G374,H374),1,0)</f>
        <v>0</v>
      </c>
      <c r="J374" s="8" t="n">
        <v>0</v>
      </c>
      <c r="K374" s="8" t="s">
        <v>737</v>
      </c>
      <c r="L374" s="8" t="n">
        <v>2</v>
      </c>
      <c r="M374" s="8" t="n">
        <v>4</v>
      </c>
      <c r="N374" s="8" t="s">
        <v>3636</v>
      </c>
      <c r="O374" s="8" t="n">
        <v>2</v>
      </c>
      <c r="P374" s="10" t="n">
        <v>26.39</v>
      </c>
      <c r="Q374" s="8" t="n">
        <v>8045</v>
      </c>
      <c r="R374" s="8" t="n">
        <v>992</v>
      </c>
      <c r="S374" s="8" t="s">
        <v>150</v>
      </c>
      <c r="T374" s="8" t="s">
        <v>126</v>
      </c>
      <c r="U374" s="8" t="s">
        <v>127</v>
      </c>
      <c r="V374" s="8"/>
      <c r="W374" s="8" t="s">
        <v>151</v>
      </c>
      <c r="X374" s="8" t="s">
        <v>522</v>
      </c>
      <c r="Y374" s="8" t="s">
        <v>3664</v>
      </c>
      <c r="Z374" s="8" t="s">
        <v>3665</v>
      </c>
    </row>
    <row r="375" customFormat="false" ht="15" hidden="false" customHeight="false" outlineLevel="0" collapsed="false">
      <c r="A375" s="8" t="s">
        <v>149</v>
      </c>
      <c r="B375" s="8" t="s">
        <v>21</v>
      </c>
      <c r="C375" s="8" t="s">
        <v>22</v>
      </c>
      <c r="D375" s="8" t="s">
        <v>615</v>
      </c>
      <c r="E375" s="8" t="s">
        <v>39</v>
      </c>
      <c r="F375" s="8" t="s">
        <v>50</v>
      </c>
      <c r="G375" s="8" t="s">
        <v>30</v>
      </c>
      <c r="H375" s="8" t="s">
        <v>31</v>
      </c>
      <c r="I375" s="8" t="n">
        <f aca="false">IF(EXACT(G375,H375),1,0)</f>
        <v>0</v>
      </c>
      <c r="J375" s="8" t="n">
        <v>1</v>
      </c>
      <c r="K375" s="8" t="s">
        <v>737</v>
      </c>
      <c r="L375" s="8" t="n">
        <v>2</v>
      </c>
      <c r="M375" s="8" t="n">
        <v>4</v>
      </c>
      <c r="N375" s="8" t="s">
        <v>3636</v>
      </c>
      <c r="O375" s="8" t="n">
        <v>2</v>
      </c>
      <c r="P375" s="10" t="n">
        <v>27.65</v>
      </c>
      <c r="Q375" s="8" t="n">
        <v>8045</v>
      </c>
      <c r="R375" s="8" t="n">
        <v>1060</v>
      </c>
      <c r="S375" s="8" t="s">
        <v>150</v>
      </c>
      <c r="T375" s="8" t="s">
        <v>126</v>
      </c>
      <c r="U375" s="8" t="s">
        <v>127</v>
      </c>
      <c r="V375" s="8"/>
      <c r="W375" s="8" t="s">
        <v>151</v>
      </c>
      <c r="X375" s="8" t="s">
        <v>522</v>
      </c>
      <c r="Y375" s="8" t="s">
        <v>3666</v>
      </c>
      <c r="Z375" s="8" t="s">
        <v>3667</v>
      </c>
    </row>
    <row r="376" customFormat="false" ht="15" hidden="false" customHeight="false" outlineLevel="0" collapsed="false">
      <c r="A376" s="8" t="s">
        <v>149</v>
      </c>
      <c r="B376" s="8" t="s">
        <v>21</v>
      </c>
      <c r="C376" s="8" t="s">
        <v>22</v>
      </c>
      <c r="D376" s="8" t="s">
        <v>615</v>
      </c>
      <c r="E376" s="8" t="s">
        <v>39</v>
      </c>
      <c r="F376" s="8" t="s">
        <v>50</v>
      </c>
      <c r="G376" s="8" t="s">
        <v>30</v>
      </c>
      <c r="H376" s="8" t="s">
        <v>31</v>
      </c>
      <c r="I376" s="8" t="n">
        <f aca="false">IF(EXACT(G376,H376),1,0)</f>
        <v>0</v>
      </c>
      <c r="J376" s="8" t="n">
        <v>2</v>
      </c>
      <c r="K376" s="8" t="s">
        <v>737</v>
      </c>
      <c r="L376" s="8" t="n">
        <v>2</v>
      </c>
      <c r="M376" s="8" t="n">
        <v>4</v>
      </c>
      <c r="N376" s="8" t="s">
        <v>1926</v>
      </c>
      <c r="O376" s="8" t="n">
        <v>2</v>
      </c>
      <c r="P376" s="10" t="n">
        <v>26.71</v>
      </c>
      <c r="Q376" s="8" t="n">
        <v>8053</v>
      </c>
      <c r="R376" s="8" t="n">
        <v>1040</v>
      </c>
      <c r="S376" s="8" t="s">
        <v>150</v>
      </c>
      <c r="T376" s="8" t="s">
        <v>126</v>
      </c>
      <c r="U376" s="8" t="s">
        <v>127</v>
      </c>
      <c r="V376" s="8"/>
      <c r="W376" s="8" t="s">
        <v>151</v>
      </c>
      <c r="X376" s="8" t="s">
        <v>522</v>
      </c>
      <c r="Y376" s="8" t="s">
        <v>3668</v>
      </c>
      <c r="Z376" s="8" t="s">
        <v>3669</v>
      </c>
    </row>
    <row r="377" customFormat="false" ht="15" hidden="false" customHeight="false" outlineLevel="0" collapsed="false">
      <c r="A377" s="8" t="s">
        <v>312</v>
      </c>
      <c r="B377" s="8" t="s">
        <v>21</v>
      </c>
      <c r="C377" s="8" t="s">
        <v>22</v>
      </c>
      <c r="D377" s="8" t="s">
        <v>615</v>
      </c>
      <c r="E377" s="8" t="s">
        <v>39</v>
      </c>
      <c r="F377" s="8" t="s">
        <v>57</v>
      </c>
      <c r="G377" s="8" t="s">
        <v>31</v>
      </c>
      <c r="H377" s="8" t="s">
        <v>30</v>
      </c>
      <c r="I377" s="8" t="n">
        <f aca="false">IF(EXACT(G377,H377),1,0)</f>
        <v>0</v>
      </c>
      <c r="J377" s="8" t="n">
        <v>0</v>
      </c>
      <c r="K377" s="8" t="s">
        <v>92</v>
      </c>
      <c r="L377" s="8" t="n">
        <v>0</v>
      </c>
      <c r="M377" s="8" t="n">
        <v>4</v>
      </c>
      <c r="N377" s="8" t="s">
        <v>1926</v>
      </c>
      <c r="O377" s="8" t="n">
        <v>2</v>
      </c>
      <c r="P377" s="10" t="n">
        <v>22.58</v>
      </c>
      <c r="Q377" s="8" t="n">
        <v>8722</v>
      </c>
      <c r="R377" s="8" t="n">
        <v>1131</v>
      </c>
      <c r="S377" s="8" t="s">
        <v>313</v>
      </c>
      <c r="T377" s="8"/>
      <c r="U377" s="8"/>
      <c r="V377" s="8" t="s">
        <v>155</v>
      </c>
      <c r="W377" s="8"/>
      <c r="X377" s="8" t="s">
        <v>523</v>
      </c>
      <c r="Y377" s="8" t="s">
        <v>3670</v>
      </c>
      <c r="Z377" s="8"/>
    </row>
    <row r="378" customFormat="false" ht="15" hidden="false" customHeight="false" outlineLevel="0" collapsed="false">
      <c r="A378" s="8" t="s">
        <v>312</v>
      </c>
      <c r="B378" s="8" t="s">
        <v>21</v>
      </c>
      <c r="C378" s="8" t="s">
        <v>22</v>
      </c>
      <c r="D378" s="8" t="s">
        <v>615</v>
      </c>
      <c r="E378" s="8" t="s">
        <v>39</v>
      </c>
      <c r="F378" s="8" t="s">
        <v>57</v>
      </c>
      <c r="G378" s="8" t="s">
        <v>31</v>
      </c>
      <c r="H378" s="8" t="s">
        <v>30</v>
      </c>
      <c r="I378" s="8" t="n">
        <f aca="false">IF(EXACT(G378,H378),1,0)</f>
        <v>0</v>
      </c>
      <c r="J378" s="8" t="n">
        <v>1</v>
      </c>
      <c r="K378" s="8" t="s">
        <v>92</v>
      </c>
      <c r="L378" s="8" t="n">
        <v>0</v>
      </c>
      <c r="M378" s="8" t="n">
        <v>4</v>
      </c>
      <c r="N378" s="8" t="s">
        <v>1926</v>
      </c>
      <c r="O378" s="8" t="n">
        <v>2</v>
      </c>
      <c r="P378" s="10" t="n">
        <v>21.74</v>
      </c>
      <c r="Q378" s="8" t="n">
        <v>8722</v>
      </c>
      <c r="R378" s="8" t="n">
        <v>1112</v>
      </c>
      <c r="S378" s="8" t="s">
        <v>313</v>
      </c>
      <c r="T378" s="8"/>
      <c r="U378" s="8"/>
      <c r="V378" s="8" t="s">
        <v>155</v>
      </c>
      <c r="W378" s="8"/>
      <c r="X378" s="8" t="s">
        <v>523</v>
      </c>
      <c r="Y378" s="8" t="s">
        <v>3671</v>
      </c>
      <c r="Z378" s="8"/>
    </row>
    <row r="379" customFormat="false" ht="15" hidden="false" customHeight="false" outlineLevel="0" collapsed="false">
      <c r="A379" s="8" t="s">
        <v>312</v>
      </c>
      <c r="B379" s="8" t="s">
        <v>21</v>
      </c>
      <c r="C379" s="8" t="s">
        <v>22</v>
      </c>
      <c r="D379" s="8" t="s">
        <v>615</v>
      </c>
      <c r="E379" s="8" t="s">
        <v>39</v>
      </c>
      <c r="F379" s="8" t="s">
        <v>57</v>
      </c>
      <c r="G379" s="8" t="s">
        <v>31</v>
      </c>
      <c r="H379" s="8" t="s">
        <v>30</v>
      </c>
      <c r="I379" s="8" t="n">
        <f aca="false">IF(EXACT(G379,H379),1,0)</f>
        <v>0</v>
      </c>
      <c r="J379" s="8" t="n">
        <v>2</v>
      </c>
      <c r="K379" s="8" t="s">
        <v>92</v>
      </c>
      <c r="L379" s="8" t="n">
        <v>0</v>
      </c>
      <c r="M379" s="8" t="n">
        <v>4</v>
      </c>
      <c r="N379" s="8" t="s">
        <v>1926</v>
      </c>
      <c r="O379" s="8" t="n">
        <v>2</v>
      </c>
      <c r="P379" s="10" t="n">
        <v>22.33</v>
      </c>
      <c r="Q379" s="8" t="n">
        <v>8722</v>
      </c>
      <c r="R379" s="8" t="n">
        <v>1112</v>
      </c>
      <c r="S379" s="8" t="s">
        <v>313</v>
      </c>
      <c r="T379" s="8"/>
      <c r="U379" s="8"/>
      <c r="V379" s="8" t="s">
        <v>155</v>
      </c>
      <c r="W379" s="8"/>
      <c r="X379" s="8" t="s">
        <v>523</v>
      </c>
      <c r="Y379" s="8" t="s">
        <v>3671</v>
      </c>
      <c r="Z379" s="8"/>
    </row>
    <row r="380" customFormat="false" ht="15" hidden="false" customHeight="false" outlineLevel="0" collapsed="false">
      <c r="A380" s="8" t="s">
        <v>315</v>
      </c>
      <c r="B380" s="8" t="s">
        <v>21</v>
      </c>
      <c r="C380" s="8" t="s">
        <v>22</v>
      </c>
      <c r="D380" s="8" t="s">
        <v>615</v>
      </c>
      <c r="E380" s="8" t="s">
        <v>39</v>
      </c>
      <c r="F380" s="8" t="s">
        <v>57</v>
      </c>
      <c r="G380" s="8" t="s">
        <v>31</v>
      </c>
      <c r="H380" s="8" t="s">
        <v>30</v>
      </c>
      <c r="I380" s="8" t="n">
        <f aca="false">IF(EXACT(G380,H380),1,0)</f>
        <v>0</v>
      </c>
      <c r="J380" s="8" t="n">
        <v>0</v>
      </c>
      <c r="K380" s="8" t="s">
        <v>92</v>
      </c>
      <c r="L380" s="8" t="n">
        <v>0</v>
      </c>
      <c r="M380" s="8" t="n">
        <v>4</v>
      </c>
      <c r="N380" s="8" t="s">
        <v>1926</v>
      </c>
      <c r="O380" s="8" t="n">
        <v>2</v>
      </c>
      <c r="P380" s="10" t="n">
        <v>23.71</v>
      </c>
      <c r="Q380" s="8" t="n">
        <v>8717</v>
      </c>
      <c r="R380" s="8" t="n">
        <v>1278</v>
      </c>
      <c r="S380" s="8" t="s">
        <v>316</v>
      </c>
      <c r="T380" s="8"/>
      <c r="U380" s="8"/>
      <c r="V380" s="8" t="s">
        <v>155</v>
      </c>
      <c r="W380" s="8"/>
      <c r="X380" s="8" t="s">
        <v>524</v>
      </c>
      <c r="Y380" s="8" t="s">
        <v>3672</v>
      </c>
      <c r="Z380" s="8"/>
    </row>
    <row r="381" customFormat="false" ht="15" hidden="false" customHeight="false" outlineLevel="0" collapsed="false">
      <c r="A381" s="8" t="s">
        <v>315</v>
      </c>
      <c r="B381" s="8" t="s">
        <v>21</v>
      </c>
      <c r="C381" s="8" t="s">
        <v>22</v>
      </c>
      <c r="D381" s="8" t="s">
        <v>615</v>
      </c>
      <c r="E381" s="8" t="s">
        <v>39</v>
      </c>
      <c r="F381" s="8" t="s">
        <v>57</v>
      </c>
      <c r="G381" s="8" t="s">
        <v>31</v>
      </c>
      <c r="H381" s="8" t="s">
        <v>30</v>
      </c>
      <c r="I381" s="8" t="n">
        <f aca="false">IF(EXACT(G381,H381),1,0)</f>
        <v>0</v>
      </c>
      <c r="J381" s="8" t="n">
        <v>1</v>
      </c>
      <c r="K381" s="8" t="s">
        <v>92</v>
      </c>
      <c r="L381" s="8" t="n">
        <v>0</v>
      </c>
      <c r="M381" s="8" t="n">
        <v>4</v>
      </c>
      <c r="N381" s="8" t="s">
        <v>1926</v>
      </c>
      <c r="O381" s="8" t="n">
        <v>2</v>
      </c>
      <c r="P381" s="10" t="n">
        <v>23.2</v>
      </c>
      <c r="Q381" s="8" t="n">
        <v>8716</v>
      </c>
      <c r="R381" s="8" t="n">
        <v>1116</v>
      </c>
      <c r="S381" s="8" t="s">
        <v>316</v>
      </c>
      <c r="T381" s="8"/>
      <c r="U381" s="8"/>
      <c r="V381" s="8" t="s">
        <v>155</v>
      </c>
      <c r="W381" s="8"/>
      <c r="X381" s="8" t="s">
        <v>524</v>
      </c>
      <c r="Y381" s="8" t="s">
        <v>3673</v>
      </c>
      <c r="Z381" s="8"/>
    </row>
    <row r="382" customFormat="false" ht="15" hidden="false" customHeight="false" outlineLevel="0" collapsed="false">
      <c r="A382" s="8" t="s">
        <v>315</v>
      </c>
      <c r="B382" s="8" t="s">
        <v>21</v>
      </c>
      <c r="C382" s="8" t="s">
        <v>22</v>
      </c>
      <c r="D382" s="8" t="s">
        <v>615</v>
      </c>
      <c r="E382" s="8" t="s">
        <v>39</v>
      </c>
      <c r="F382" s="8" t="s">
        <v>57</v>
      </c>
      <c r="G382" s="8" t="s">
        <v>31</v>
      </c>
      <c r="H382" s="8" t="s">
        <v>30</v>
      </c>
      <c r="I382" s="8" t="n">
        <f aca="false">IF(EXACT(G382,H382),1,0)</f>
        <v>0</v>
      </c>
      <c r="J382" s="8" t="n">
        <v>2</v>
      </c>
      <c r="K382" s="8" t="s">
        <v>92</v>
      </c>
      <c r="L382" s="8" t="n">
        <v>0</v>
      </c>
      <c r="M382" s="8" t="n">
        <v>4</v>
      </c>
      <c r="N382" s="8" t="s">
        <v>1926</v>
      </c>
      <c r="O382" s="8" t="n">
        <v>2</v>
      </c>
      <c r="P382" s="10" t="n">
        <v>21.42</v>
      </c>
      <c r="Q382" s="8" t="n">
        <v>8716</v>
      </c>
      <c r="R382" s="8" t="n">
        <v>1092</v>
      </c>
      <c r="S382" s="8" t="s">
        <v>316</v>
      </c>
      <c r="T382" s="8"/>
      <c r="U382" s="8"/>
      <c r="V382" s="8" t="s">
        <v>155</v>
      </c>
      <c r="W382" s="8"/>
      <c r="X382" s="8" t="s">
        <v>524</v>
      </c>
      <c r="Y382" s="8" t="s">
        <v>3674</v>
      </c>
      <c r="Z382" s="8"/>
    </row>
    <row r="383" customFormat="false" ht="15" hidden="false" customHeight="false" outlineLevel="0" collapsed="false">
      <c r="A383" s="8" t="s">
        <v>318</v>
      </c>
      <c r="B383" s="8" t="s">
        <v>21</v>
      </c>
      <c r="C383" s="8" t="s">
        <v>22</v>
      </c>
      <c r="D383" s="8" t="s">
        <v>615</v>
      </c>
      <c r="E383" s="8" t="s">
        <v>39</v>
      </c>
      <c r="F383" s="8" t="s">
        <v>57</v>
      </c>
      <c r="G383" s="8" t="s">
        <v>32</v>
      </c>
      <c r="H383" s="8" t="s">
        <v>32</v>
      </c>
      <c r="I383" s="8" t="n">
        <f aca="false">IF(EXACT(G383,H383),1,0)</f>
        <v>1</v>
      </c>
      <c r="J383" s="8" t="n">
        <v>0</v>
      </c>
      <c r="K383" s="8" t="s">
        <v>92</v>
      </c>
      <c r="L383" s="8" t="n">
        <v>0</v>
      </c>
      <c r="M383" s="8" t="n">
        <v>4</v>
      </c>
      <c r="N383" s="8" t="s">
        <v>1926</v>
      </c>
      <c r="O383" s="8" t="n">
        <v>2</v>
      </c>
      <c r="P383" s="10" t="n">
        <v>19.64</v>
      </c>
      <c r="Q383" s="8" t="n">
        <v>8334</v>
      </c>
      <c r="R383" s="8" t="n">
        <v>873</v>
      </c>
      <c r="S383" s="8" t="s">
        <v>319</v>
      </c>
      <c r="T383" s="8"/>
      <c r="U383" s="8"/>
      <c r="V383" s="8" t="s">
        <v>155</v>
      </c>
      <c r="W383" s="8"/>
      <c r="X383" s="8" t="s">
        <v>525</v>
      </c>
      <c r="Y383" s="8" t="s">
        <v>3675</v>
      </c>
      <c r="Z383" s="8"/>
    </row>
    <row r="384" customFormat="false" ht="15" hidden="false" customHeight="false" outlineLevel="0" collapsed="false">
      <c r="A384" s="8" t="s">
        <v>318</v>
      </c>
      <c r="B384" s="8" t="s">
        <v>21</v>
      </c>
      <c r="C384" s="8" t="s">
        <v>22</v>
      </c>
      <c r="D384" s="8" t="s">
        <v>615</v>
      </c>
      <c r="E384" s="8" t="s">
        <v>39</v>
      </c>
      <c r="F384" s="8" t="s">
        <v>57</v>
      </c>
      <c r="G384" s="8" t="s">
        <v>32</v>
      </c>
      <c r="H384" s="8" t="s">
        <v>30</v>
      </c>
      <c r="I384" s="8" t="n">
        <f aca="false">IF(EXACT(G384,H384),1,0)</f>
        <v>0</v>
      </c>
      <c r="J384" s="8" t="n">
        <v>1</v>
      </c>
      <c r="K384" s="8" t="s">
        <v>92</v>
      </c>
      <c r="L384" s="8" t="n">
        <v>0</v>
      </c>
      <c r="M384" s="8" t="n">
        <v>4</v>
      </c>
      <c r="N384" s="8" t="s">
        <v>1926</v>
      </c>
      <c r="O384" s="8" t="n">
        <v>2</v>
      </c>
      <c r="P384" s="10" t="n">
        <v>21.66</v>
      </c>
      <c r="Q384" s="8" t="n">
        <v>8334</v>
      </c>
      <c r="R384" s="8" t="n">
        <v>1043</v>
      </c>
      <c r="S384" s="8" t="s">
        <v>319</v>
      </c>
      <c r="T384" s="8"/>
      <c r="U384" s="8"/>
      <c r="V384" s="8" t="s">
        <v>155</v>
      </c>
      <c r="W384" s="8"/>
      <c r="X384" s="8" t="s">
        <v>525</v>
      </c>
      <c r="Y384" s="8" t="s">
        <v>3676</v>
      </c>
      <c r="Z384" s="8"/>
    </row>
    <row r="385" customFormat="false" ht="15" hidden="false" customHeight="false" outlineLevel="0" collapsed="false">
      <c r="A385" s="8" t="s">
        <v>318</v>
      </c>
      <c r="B385" s="8" t="s">
        <v>21</v>
      </c>
      <c r="C385" s="8" t="s">
        <v>22</v>
      </c>
      <c r="D385" s="8" t="s">
        <v>615</v>
      </c>
      <c r="E385" s="8" t="s">
        <v>39</v>
      </c>
      <c r="F385" s="8" t="s">
        <v>57</v>
      </c>
      <c r="G385" s="8" t="s">
        <v>32</v>
      </c>
      <c r="H385" s="8" t="s">
        <v>32</v>
      </c>
      <c r="I385" s="8" t="n">
        <f aca="false">IF(EXACT(G385,H385),1,0)</f>
        <v>1</v>
      </c>
      <c r="J385" s="8" t="n">
        <v>2</v>
      </c>
      <c r="K385" s="8" t="s">
        <v>92</v>
      </c>
      <c r="L385" s="8" t="n">
        <v>0</v>
      </c>
      <c r="M385" s="8" t="n">
        <v>4</v>
      </c>
      <c r="N385" s="8" t="s">
        <v>1926</v>
      </c>
      <c r="O385" s="8" t="n">
        <v>2</v>
      </c>
      <c r="P385" s="10" t="n">
        <v>19.94</v>
      </c>
      <c r="Q385" s="8" t="n">
        <v>8334</v>
      </c>
      <c r="R385" s="8" t="n">
        <v>887</v>
      </c>
      <c r="S385" s="8" t="s">
        <v>319</v>
      </c>
      <c r="T385" s="8"/>
      <c r="U385" s="8"/>
      <c r="V385" s="8" t="s">
        <v>155</v>
      </c>
      <c r="W385" s="8"/>
      <c r="X385" s="8" t="s">
        <v>525</v>
      </c>
      <c r="Y385" s="8" t="s">
        <v>3677</v>
      </c>
      <c r="Z385" s="8"/>
    </row>
    <row r="386" customFormat="false" ht="15" hidden="false" customHeight="false" outlineLevel="0" collapsed="false">
      <c r="A386" s="8" t="s">
        <v>321</v>
      </c>
      <c r="B386" s="8" t="s">
        <v>21</v>
      </c>
      <c r="C386" s="8" t="s">
        <v>22</v>
      </c>
      <c r="D386" s="8" t="s">
        <v>615</v>
      </c>
      <c r="E386" s="8" t="s">
        <v>39</v>
      </c>
      <c r="F386" s="8" t="s">
        <v>57</v>
      </c>
      <c r="G386" s="8" t="s">
        <v>32</v>
      </c>
      <c r="H386" s="8" t="s">
        <v>30</v>
      </c>
      <c r="I386" s="8" t="n">
        <f aca="false">IF(EXACT(G386,H386),1,0)</f>
        <v>0</v>
      </c>
      <c r="J386" s="8" t="n">
        <v>0</v>
      </c>
      <c r="K386" s="8" t="s">
        <v>92</v>
      </c>
      <c r="L386" s="8" t="n">
        <v>0</v>
      </c>
      <c r="M386" s="8" t="n">
        <v>4</v>
      </c>
      <c r="N386" s="8" t="s">
        <v>1926</v>
      </c>
      <c r="O386" s="8" t="n">
        <v>2</v>
      </c>
      <c r="P386" s="10" t="n">
        <v>23.36</v>
      </c>
      <c r="Q386" s="8" t="n">
        <v>8600</v>
      </c>
      <c r="R386" s="8" t="n">
        <v>1092</v>
      </c>
      <c r="S386" s="8" t="s">
        <v>322</v>
      </c>
      <c r="T386" s="8"/>
      <c r="U386" s="8"/>
      <c r="V386" s="8" t="s">
        <v>155</v>
      </c>
      <c r="W386" s="8"/>
      <c r="X386" s="8" t="s">
        <v>526</v>
      </c>
      <c r="Y386" s="8" t="s">
        <v>3678</v>
      </c>
      <c r="Z386" s="8"/>
    </row>
    <row r="387" customFormat="false" ht="15" hidden="false" customHeight="false" outlineLevel="0" collapsed="false">
      <c r="A387" s="8" t="s">
        <v>321</v>
      </c>
      <c r="B387" s="8" t="s">
        <v>21</v>
      </c>
      <c r="C387" s="8" t="s">
        <v>22</v>
      </c>
      <c r="D387" s="8" t="s">
        <v>615</v>
      </c>
      <c r="E387" s="8" t="s">
        <v>39</v>
      </c>
      <c r="F387" s="8" t="s">
        <v>57</v>
      </c>
      <c r="G387" s="8" t="s">
        <v>32</v>
      </c>
      <c r="H387" s="8" t="s">
        <v>30</v>
      </c>
      <c r="I387" s="8" t="n">
        <f aca="false">IF(EXACT(G387,H387),1,0)</f>
        <v>0</v>
      </c>
      <c r="J387" s="8" t="n">
        <v>1</v>
      </c>
      <c r="K387" s="8" t="s">
        <v>92</v>
      </c>
      <c r="L387" s="8" t="n">
        <v>0</v>
      </c>
      <c r="M387" s="8" t="n">
        <v>4</v>
      </c>
      <c r="N387" s="8" t="s">
        <v>1926</v>
      </c>
      <c r="O387" s="8" t="n">
        <v>2</v>
      </c>
      <c r="P387" s="10" t="n">
        <v>27.84</v>
      </c>
      <c r="Q387" s="8" t="n">
        <v>8600</v>
      </c>
      <c r="R387" s="8" t="n">
        <v>1433</v>
      </c>
      <c r="S387" s="8" t="s">
        <v>322</v>
      </c>
      <c r="T387" s="8"/>
      <c r="U387" s="8"/>
      <c r="V387" s="8" t="s">
        <v>155</v>
      </c>
      <c r="W387" s="8"/>
      <c r="X387" s="8" t="s">
        <v>526</v>
      </c>
      <c r="Y387" s="8" t="s">
        <v>3679</v>
      </c>
      <c r="Z387" s="8"/>
    </row>
    <row r="388" customFormat="false" ht="15" hidden="false" customHeight="false" outlineLevel="0" collapsed="false">
      <c r="A388" s="8" t="s">
        <v>321</v>
      </c>
      <c r="B388" s="8" t="s">
        <v>21</v>
      </c>
      <c r="C388" s="8" t="s">
        <v>22</v>
      </c>
      <c r="D388" s="8" t="s">
        <v>615</v>
      </c>
      <c r="E388" s="8" t="s">
        <v>39</v>
      </c>
      <c r="F388" s="8" t="s">
        <v>57</v>
      </c>
      <c r="G388" s="8" t="s">
        <v>32</v>
      </c>
      <c r="H388" s="8" t="s">
        <v>30</v>
      </c>
      <c r="I388" s="8" t="n">
        <f aca="false">IF(EXACT(G388,H388),1,0)</f>
        <v>0</v>
      </c>
      <c r="J388" s="8" t="n">
        <v>2</v>
      </c>
      <c r="K388" s="8" t="s">
        <v>92</v>
      </c>
      <c r="L388" s="8" t="n">
        <v>0</v>
      </c>
      <c r="M388" s="8" t="n">
        <v>4</v>
      </c>
      <c r="N388" s="8" t="s">
        <v>1926</v>
      </c>
      <c r="O388" s="8" t="n">
        <v>2</v>
      </c>
      <c r="P388" s="10" t="n">
        <v>22.65</v>
      </c>
      <c r="Q388" s="8" t="n">
        <v>8600</v>
      </c>
      <c r="R388" s="8" t="n">
        <v>1089</v>
      </c>
      <c r="S388" s="8" t="s">
        <v>322</v>
      </c>
      <c r="T388" s="8"/>
      <c r="U388" s="8"/>
      <c r="V388" s="8" t="s">
        <v>155</v>
      </c>
      <c r="W388" s="8"/>
      <c r="X388" s="8" t="s">
        <v>526</v>
      </c>
      <c r="Y388" s="8" t="s">
        <v>3680</v>
      </c>
      <c r="Z388" s="8"/>
    </row>
    <row r="389" customFormat="false" ht="15" hidden="false" customHeight="false" outlineLevel="0" collapsed="false">
      <c r="A389" s="8" t="s">
        <v>324</v>
      </c>
      <c r="B389" s="8" t="s">
        <v>21</v>
      </c>
      <c r="C389" s="8" t="s">
        <v>22</v>
      </c>
      <c r="D389" s="8" t="s">
        <v>615</v>
      </c>
      <c r="E389" s="8" t="s">
        <v>39</v>
      </c>
      <c r="F389" s="8" t="s">
        <v>57</v>
      </c>
      <c r="G389" s="8" t="s">
        <v>30</v>
      </c>
      <c r="H389" s="8" t="s">
        <v>30</v>
      </c>
      <c r="I389" s="8" t="n">
        <f aca="false">IF(EXACT(G389,H389),1,0)</f>
        <v>1</v>
      </c>
      <c r="J389" s="8" t="n">
        <v>0</v>
      </c>
      <c r="K389" s="8" t="s">
        <v>2333</v>
      </c>
      <c r="L389" s="8" t="n">
        <v>1</v>
      </c>
      <c r="M389" s="8" t="n">
        <v>4</v>
      </c>
      <c r="N389" s="8" t="s">
        <v>1926</v>
      </c>
      <c r="O389" s="8" t="n">
        <v>2</v>
      </c>
      <c r="P389" s="10" t="n">
        <v>30.73</v>
      </c>
      <c r="Q389" s="8" t="n">
        <v>8934</v>
      </c>
      <c r="R389" s="8" t="n">
        <v>1699</v>
      </c>
      <c r="S389" s="8" t="s">
        <v>325</v>
      </c>
      <c r="T389" s="8"/>
      <c r="U389" s="8"/>
      <c r="V389" s="8" t="s">
        <v>155</v>
      </c>
      <c r="W389" s="8"/>
      <c r="X389" s="8" t="s">
        <v>527</v>
      </c>
      <c r="Y389" s="8" t="s">
        <v>3681</v>
      </c>
      <c r="Z389" s="8" t="s">
        <v>3682</v>
      </c>
    </row>
    <row r="390" customFormat="false" ht="15" hidden="false" customHeight="false" outlineLevel="0" collapsed="false">
      <c r="A390" s="8" t="s">
        <v>324</v>
      </c>
      <c r="B390" s="8" t="s">
        <v>21</v>
      </c>
      <c r="C390" s="8" t="s">
        <v>22</v>
      </c>
      <c r="D390" s="8" t="s">
        <v>615</v>
      </c>
      <c r="E390" s="8" t="s">
        <v>39</v>
      </c>
      <c r="F390" s="8" t="s">
        <v>57</v>
      </c>
      <c r="G390" s="8" t="s">
        <v>30</v>
      </c>
      <c r="H390" s="8" t="s">
        <v>30</v>
      </c>
      <c r="I390" s="8" t="n">
        <f aca="false">IF(EXACT(G390,H390),1,0)</f>
        <v>1</v>
      </c>
      <c r="J390" s="8" t="n">
        <v>1</v>
      </c>
      <c r="K390" s="8" t="s">
        <v>92</v>
      </c>
      <c r="L390" s="8" t="n">
        <v>0</v>
      </c>
      <c r="M390" s="8" t="n">
        <v>4</v>
      </c>
      <c r="N390" s="8" t="s">
        <v>3636</v>
      </c>
      <c r="O390" s="8" t="n">
        <v>2</v>
      </c>
      <c r="P390" s="10" t="n">
        <v>29.54</v>
      </c>
      <c r="Q390" s="8" t="n">
        <v>8924</v>
      </c>
      <c r="R390" s="8" t="n">
        <v>1535</v>
      </c>
      <c r="S390" s="8" t="s">
        <v>325</v>
      </c>
      <c r="T390" s="8"/>
      <c r="U390" s="8"/>
      <c r="V390" s="8" t="s">
        <v>155</v>
      </c>
      <c r="W390" s="8"/>
      <c r="X390" s="8" t="s">
        <v>527</v>
      </c>
      <c r="Y390" s="8" t="s">
        <v>3683</v>
      </c>
      <c r="Z390" s="8"/>
    </row>
    <row r="391" customFormat="false" ht="15" hidden="false" customHeight="false" outlineLevel="0" collapsed="false">
      <c r="A391" s="8" t="s">
        <v>324</v>
      </c>
      <c r="B391" s="8" t="s">
        <v>21</v>
      </c>
      <c r="C391" s="8" t="s">
        <v>22</v>
      </c>
      <c r="D391" s="8" t="s">
        <v>615</v>
      </c>
      <c r="E391" s="8" t="s">
        <v>39</v>
      </c>
      <c r="F391" s="8" t="s">
        <v>57</v>
      </c>
      <c r="G391" s="8" t="s">
        <v>30</v>
      </c>
      <c r="H391" s="8" t="s">
        <v>30</v>
      </c>
      <c r="I391" s="8" t="n">
        <f aca="false">IF(EXACT(G391,H391),1,0)</f>
        <v>1</v>
      </c>
      <c r="J391" s="8" t="n">
        <v>2</v>
      </c>
      <c r="K391" s="8" t="s">
        <v>92</v>
      </c>
      <c r="L391" s="8" t="n">
        <v>1</v>
      </c>
      <c r="M391" s="8" t="n">
        <v>4</v>
      </c>
      <c r="N391" s="8" t="s">
        <v>1926</v>
      </c>
      <c r="O391" s="8" t="n">
        <v>2</v>
      </c>
      <c r="P391" s="10" t="n">
        <v>31.02</v>
      </c>
      <c r="Q391" s="8" t="n">
        <v>8934</v>
      </c>
      <c r="R391" s="8" t="n">
        <v>1720</v>
      </c>
      <c r="S391" s="8" t="s">
        <v>325</v>
      </c>
      <c r="T391" s="8"/>
      <c r="U391" s="8"/>
      <c r="V391" s="8" t="s">
        <v>155</v>
      </c>
      <c r="W391" s="8"/>
      <c r="X391" s="8" t="s">
        <v>527</v>
      </c>
      <c r="Y391" s="8" t="s">
        <v>3684</v>
      </c>
      <c r="Z391" s="8" t="s">
        <v>3685</v>
      </c>
    </row>
    <row r="392" customFormat="false" ht="15" hidden="false" customHeight="false" outlineLevel="0" collapsed="false">
      <c r="A392" s="8" t="s">
        <v>327</v>
      </c>
      <c r="B392" s="8" t="s">
        <v>21</v>
      </c>
      <c r="C392" s="8" t="s">
        <v>22</v>
      </c>
      <c r="D392" s="8" t="s">
        <v>615</v>
      </c>
      <c r="E392" s="8" t="s">
        <v>39</v>
      </c>
      <c r="F392" s="8" t="s">
        <v>57</v>
      </c>
      <c r="G392" s="8" t="s">
        <v>30</v>
      </c>
      <c r="H392" s="8" t="s">
        <v>30</v>
      </c>
      <c r="I392" s="8" t="n">
        <f aca="false">IF(EXACT(G392,H392),1,0)</f>
        <v>1</v>
      </c>
      <c r="J392" s="8" t="n">
        <v>0</v>
      </c>
      <c r="K392" s="8" t="s">
        <v>92</v>
      </c>
      <c r="L392" s="8" t="n">
        <v>0</v>
      </c>
      <c r="M392" s="8" t="n">
        <v>4</v>
      </c>
      <c r="N392" s="8" t="s">
        <v>1926</v>
      </c>
      <c r="O392" s="8" t="n">
        <v>2</v>
      </c>
      <c r="P392" s="10" t="n">
        <v>23.54</v>
      </c>
      <c r="Q392" s="8" t="n">
        <v>8913</v>
      </c>
      <c r="R392" s="8" t="n">
        <v>1232</v>
      </c>
      <c r="S392" s="8" t="s">
        <v>328</v>
      </c>
      <c r="T392" s="8"/>
      <c r="U392" s="8"/>
      <c r="V392" s="8" t="s">
        <v>155</v>
      </c>
      <c r="W392" s="8"/>
      <c r="X392" s="8" t="s">
        <v>528</v>
      </c>
      <c r="Y392" s="8" t="s">
        <v>3686</v>
      </c>
      <c r="Z392" s="8"/>
    </row>
    <row r="393" customFormat="false" ht="15" hidden="false" customHeight="false" outlineLevel="0" collapsed="false">
      <c r="A393" s="8" t="s">
        <v>327</v>
      </c>
      <c r="B393" s="8" t="s">
        <v>21</v>
      </c>
      <c r="C393" s="8" t="s">
        <v>22</v>
      </c>
      <c r="D393" s="8" t="s">
        <v>615</v>
      </c>
      <c r="E393" s="8" t="s">
        <v>39</v>
      </c>
      <c r="F393" s="8" t="s">
        <v>57</v>
      </c>
      <c r="G393" s="8" t="s">
        <v>30</v>
      </c>
      <c r="H393" s="8" t="s">
        <v>30</v>
      </c>
      <c r="I393" s="8" t="n">
        <f aca="false">IF(EXACT(G393,H393),1,0)</f>
        <v>1</v>
      </c>
      <c r="J393" s="8" t="n">
        <v>1</v>
      </c>
      <c r="K393" s="8" t="s">
        <v>92</v>
      </c>
      <c r="L393" s="8" t="n">
        <v>0</v>
      </c>
      <c r="M393" s="8" t="n">
        <v>4</v>
      </c>
      <c r="N393" s="8" t="s">
        <v>1926</v>
      </c>
      <c r="O393" s="8" t="n">
        <v>2</v>
      </c>
      <c r="P393" s="10" t="n">
        <v>23.49</v>
      </c>
      <c r="Q393" s="8" t="n">
        <v>8913</v>
      </c>
      <c r="R393" s="8" t="n">
        <v>1254</v>
      </c>
      <c r="S393" s="8" t="s">
        <v>328</v>
      </c>
      <c r="T393" s="8"/>
      <c r="U393" s="8"/>
      <c r="V393" s="8" t="s">
        <v>155</v>
      </c>
      <c r="W393" s="8"/>
      <c r="X393" s="8" t="s">
        <v>528</v>
      </c>
      <c r="Y393" s="8" t="s">
        <v>3687</v>
      </c>
      <c r="Z393" s="8"/>
    </row>
    <row r="394" customFormat="false" ht="15" hidden="false" customHeight="false" outlineLevel="0" collapsed="false">
      <c r="A394" s="8" t="s">
        <v>327</v>
      </c>
      <c r="B394" s="8" t="s">
        <v>21</v>
      </c>
      <c r="C394" s="8" t="s">
        <v>22</v>
      </c>
      <c r="D394" s="8" t="s">
        <v>615</v>
      </c>
      <c r="E394" s="8" t="s">
        <v>39</v>
      </c>
      <c r="F394" s="8" t="s">
        <v>57</v>
      </c>
      <c r="G394" s="8" t="s">
        <v>30</v>
      </c>
      <c r="H394" s="8" t="s">
        <v>30</v>
      </c>
      <c r="I394" s="8" t="n">
        <f aca="false">IF(EXACT(G394,H394),1,0)</f>
        <v>1</v>
      </c>
      <c r="J394" s="8" t="n">
        <v>2</v>
      </c>
      <c r="K394" s="8" t="s">
        <v>92</v>
      </c>
      <c r="L394" s="8" t="n">
        <v>0</v>
      </c>
      <c r="M394" s="8" t="n">
        <v>4</v>
      </c>
      <c r="N394" s="8" t="s">
        <v>1926</v>
      </c>
      <c r="O394" s="8" t="n">
        <v>2</v>
      </c>
      <c r="P394" s="10" t="n">
        <v>22.99</v>
      </c>
      <c r="Q394" s="8" t="n">
        <v>8913</v>
      </c>
      <c r="R394" s="8" t="n">
        <v>1226</v>
      </c>
      <c r="S394" s="8" t="s">
        <v>328</v>
      </c>
      <c r="T394" s="8"/>
      <c r="U394" s="8"/>
      <c r="V394" s="8" t="s">
        <v>155</v>
      </c>
      <c r="W394" s="8"/>
      <c r="X394" s="8" t="s">
        <v>528</v>
      </c>
      <c r="Y394" s="8" t="s">
        <v>3688</v>
      </c>
      <c r="Z394" s="8"/>
    </row>
    <row r="395" customFormat="false" ht="15" hidden="false" customHeight="false" outlineLevel="0" collapsed="false">
      <c r="A395" s="8" t="s">
        <v>391</v>
      </c>
      <c r="B395" s="8" t="s">
        <v>21</v>
      </c>
      <c r="C395" s="8" t="s">
        <v>22</v>
      </c>
      <c r="D395" s="8" t="s">
        <v>615</v>
      </c>
      <c r="E395" s="8" t="s">
        <v>39</v>
      </c>
      <c r="F395" s="8" t="s">
        <v>59</v>
      </c>
      <c r="G395" s="8" t="s">
        <v>31</v>
      </c>
      <c r="H395" s="8" t="s">
        <v>31</v>
      </c>
      <c r="I395" s="8" t="n">
        <f aca="false">IF(EXACT(G395,H395),1,0)</f>
        <v>1</v>
      </c>
      <c r="J395" s="8" t="n">
        <v>0</v>
      </c>
      <c r="K395" s="8" t="s">
        <v>2333</v>
      </c>
      <c r="L395" s="8" t="n">
        <v>1</v>
      </c>
      <c r="M395" s="8" t="n">
        <v>4</v>
      </c>
      <c r="N395" s="8" t="s">
        <v>3636</v>
      </c>
      <c r="O395" s="8" t="n">
        <v>2</v>
      </c>
      <c r="P395" s="10" t="n">
        <v>25.02</v>
      </c>
      <c r="Q395" s="8" t="n">
        <v>9268</v>
      </c>
      <c r="R395" s="8" t="n">
        <v>1289</v>
      </c>
      <c r="S395" s="8" t="s">
        <v>392</v>
      </c>
      <c r="T395" s="8"/>
      <c r="U395" s="8"/>
      <c r="V395" s="8" t="s">
        <v>155</v>
      </c>
      <c r="W395" s="8"/>
      <c r="X395" s="8" t="s">
        <v>529</v>
      </c>
      <c r="Y395" s="8" t="s">
        <v>3689</v>
      </c>
      <c r="Z395" s="8" t="s">
        <v>3690</v>
      </c>
    </row>
    <row r="396" customFormat="false" ht="15" hidden="false" customHeight="false" outlineLevel="0" collapsed="false">
      <c r="A396" s="8" t="s">
        <v>391</v>
      </c>
      <c r="B396" s="8" t="s">
        <v>21</v>
      </c>
      <c r="C396" s="8" t="s">
        <v>22</v>
      </c>
      <c r="D396" s="8" t="s">
        <v>615</v>
      </c>
      <c r="E396" s="8" t="s">
        <v>39</v>
      </c>
      <c r="F396" s="8" t="s">
        <v>59</v>
      </c>
      <c r="G396" s="8" t="s">
        <v>31</v>
      </c>
      <c r="H396" s="8" t="s">
        <v>31</v>
      </c>
      <c r="I396" s="8" t="n">
        <f aca="false">IF(EXACT(G396,H396),1,0)</f>
        <v>1</v>
      </c>
      <c r="J396" s="8" t="n">
        <v>1</v>
      </c>
      <c r="K396" s="8" t="s">
        <v>2333</v>
      </c>
      <c r="L396" s="8" t="n">
        <v>1</v>
      </c>
      <c r="M396" s="8" t="n">
        <v>4</v>
      </c>
      <c r="N396" s="8" t="s">
        <v>3636</v>
      </c>
      <c r="O396" s="8" t="n">
        <v>2</v>
      </c>
      <c r="P396" s="10" t="n">
        <v>25.04</v>
      </c>
      <c r="Q396" s="8" t="n">
        <v>9268</v>
      </c>
      <c r="R396" s="8" t="n">
        <v>1299</v>
      </c>
      <c r="S396" s="8" t="s">
        <v>392</v>
      </c>
      <c r="T396" s="8"/>
      <c r="U396" s="8"/>
      <c r="V396" s="8" t="s">
        <v>155</v>
      </c>
      <c r="W396" s="8"/>
      <c r="X396" s="8" t="s">
        <v>529</v>
      </c>
      <c r="Y396" s="8" t="s">
        <v>3691</v>
      </c>
      <c r="Z396" s="8" t="s">
        <v>3692</v>
      </c>
    </row>
    <row r="397" customFormat="false" ht="15" hidden="false" customHeight="false" outlineLevel="0" collapsed="false">
      <c r="A397" s="8" t="s">
        <v>391</v>
      </c>
      <c r="B397" s="8" t="s">
        <v>21</v>
      </c>
      <c r="C397" s="8" t="s">
        <v>22</v>
      </c>
      <c r="D397" s="8" t="s">
        <v>615</v>
      </c>
      <c r="E397" s="8" t="s">
        <v>39</v>
      </c>
      <c r="F397" s="8" t="s">
        <v>59</v>
      </c>
      <c r="G397" s="8" t="s">
        <v>31</v>
      </c>
      <c r="H397" s="8" t="s">
        <v>31</v>
      </c>
      <c r="I397" s="8" t="n">
        <f aca="false">IF(EXACT(G397,H397),1,0)</f>
        <v>1</v>
      </c>
      <c r="J397" s="8" t="n">
        <v>2</v>
      </c>
      <c r="K397" s="8" t="s">
        <v>2333</v>
      </c>
      <c r="L397" s="8" t="n">
        <v>1</v>
      </c>
      <c r="M397" s="8" t="n">
        <v>4</v>
      </c>
      <c r="N397" s="8" t="s">
        <v>1926</v>
      </c>
      <c r="O397" s="8" t="n">
        <v>2</v>
      </c>
      <c r="P397" s="10" t="n">
        <v>26.35</v>
      </c>
      <c r="Q397" s="8" t="n">
        <v>9278</v>
      </c>
      <c r="R397" s="8" t="n">
        <v>1342</v>
      </c>
      <c r="S397" s="8" t="s">
        <v>392</v>
      </c>
      <c r="T397" s="8"/>
      <c r="U397" s="8"/>
      <c r="V397" s="8" t="s">
        <v>155</v>
      </c>
      <c r="W397" s="8"/>
      <c r="X397" s="8" t="s">
        <v>529</v>
      </c>
      <c r="Y397" s="8" t="s">
        <v>3693</v>
      </c>
      <c r="Z397" s="8" t="s">
        <v>3694</v>
      </c>
    </row>
    <row r="398" customFormat="false" ht="15" hidden="false" customHeight="false" outlineLevel="0" collapsed="false">
      <c r="A398" s="8" t="s">
        <v>395</v>
      </c>
      <c r="B398" s="8" t="s">
        <v>21</v>
      </c>
      <c r="C398" s="8" t="s">
        <v>22</v>
      </c>
      <c r="D398" s="8" t="s">
        <v>615</v>
      </c>
      <c r="E398" s="8" t="s">
        <v>39</v>
      </c>
      <c r="F398" s="8" t="s">
        <v>59</v>
      </c>
      <c r="G398" s="8" t="s">
        <v>31</v>
      </c>
      <c r="H398" s="8" t="s">
        <v>31</v>
      </c>
      <c r="I398" s="8" t="n">
        <f aca="false">IF(EXACT(G398,H398),1,0)</f>
        <v>1</v>
      </c>
      <c r="J398" s="8" t="n">
        <v>0</v>
      </c>
      <c r="K398" s="8" t="s">
        <v>737</v>
      </c>
      <c r="L398" s="8" t="n">
        <v>3</v>
      </c>
      <c r="M398" s="8" t="n">
        <v>4</v>
      </c>
      <c r="N398" s="8" t="s">
        <v>1926</v>
      </c>
      <c r="O398" s="8" t="n">
        <v>2</v>
      </c>
      <c r="P398" s="10" t="n">
        <v>28.69</v>
      </c>
      <c r="Q398" s="8" t="n">
        <v>8560</v>
      </c>
      <c r="R398" s="8" t="n">
        <v>1514</v>
      </c>
      <c r="S398" s="8" t="s">
        <v>396</v>
      </c>
      <c r="T398" s="8"/>
      <c r="U398" s="8"/>
      <c r="V398" s="8" t="s">
        <v>155</v>
      </c>
      <c r="W398" s="8"/>
      <c r="X398" s="8" t="s">
        <v>530</v>
      </c>
      <c r="Y398" s="8" t="s">
        <v>3695</v>
      </c>
      <c r="Z398" s="8" t="s">
        <v>3696</v>
      </c>
    </row>
    <row r="399" customFormat="false" ht="15" hidden="false" customHeight="false" outlineLevel="0" collapsed="false">
      <c r="A399" s="8" t="s">
        <v>395</v>
      </c>
      <c r="B399" s="8" t="s">
        <v>21</v>
      </c>
      <c r="C399" s="8" t="s">
        <v>22</v>
      </c>
      <c r="D399" s="8" t="s">
        <v>615</v>
      </c>
      <c r="E399" s="8" t="s">
        <v>39</v>
      </c>
      <c r="F399" s="8" t="s">
        <v>59</v>
      </c>
      <c r="G399" s="8" t="s">
        <v>31</v>
      </c>
      <c r="H399" s="8" t="s">
        <v>31</v>
      </c>
      <c r="I399" s="8" t="n">
        <f aca="false">IF(EXACT(G399,H399),1,0)</f>
        <v>1</v>
      </c>
      <c r="J399" s="8" t="n">
        <v>1</v>
      </c>
      <c r="K399" s="8" t="s">
        <v>737</v>
      </c>
      <c r="L399" s="8" t="n">
        <v>3</v>
      </c>
      <c r="M399" s="8" t="n">
        <v>4</v>
      </c>
      <c r="N399" s="8" t="s">
        <v>1926</v>
      </c>
      <c r="O399" s="8" t="n">
        <v>2</v>
      </c>
      <c r="P399" s="10" t="n">
        <v>27.86</v>
      </c>
      <c r="Q399" s="8" t="n">
        <v>8560</v>
      </c>
      <c r="R399" s="8" t="n">
        <v>1518</v>
      </c>
      <c r="S399" s="8" t="s">
        <v>396</v>
      </c>
      <c r="T399" s="8"/>
      <c r="U399" s="8"/>
      <c r="V399" s="8" t="s">
        <v>155</v>
      </c>
      <c r="W399" s="8"/>
      <c r="X399" s="8" t="s">
        <v>530</v>
      </c>
      <c r="Y399" s="8" t="s">
        <v>3697</v>
      </c>
      <c r="Z399" s="8" t="s">
        <v>3698</v>
      </c>
    </row>
    <row r="400" customFormat="false" ht="15" hidden="false" customHeight="false" outlineLevel="0" collapsed="false">
      <c r="A400" s="8" t="s">
        <v>395</v>
      </c>
      <c r="B400" s="8" t="s">
        <v>21</v>
      </c>
      <c r="C400" s="8" t="s">
        <v>22</v>
      </c>
      <c r="D400" s="8" t="s">
        <v>615</v>
      </c>
      <c r="E400" s="8" t="s">
        <v>39</v>
      </c>
      <c r="F400" s="8" t="s">
        <v>59</v>
      </c>
      <c r="G400" s="8" t="s">
        <v>31</v>
      </c>
      <c r="H400" s="8" t="s">
        <v>31</v>
      </c>
      <c r="I400" s="8" t="n">
        <f aca="false">IF(EXACT(G400,H400),1,0)</f>
        <v>1</v>
      </c>
      <c r="J400" s="8" t="n">
        <v>2</v>
      </c>
      <c r="K400" s="8" t="s">
        <v>737</v>
      </c>
      <c r="L400" s="8" t="n">
        <v>3</v>
      </c>
      <c r="M400" s="8" t="n">
        <v>4</v>
      </c>
      <c r="N400" s="8" t="s">
        <v>1926</v>
      </c>
      <c r="O400" s="8" t="n">
        <v>2</v>
      </c>
      <c r="P400" s="10" t="n">
        <v>27.85</v>
      </c>
      <c r="Q400" s="8" t="n">
        <v>8559</v>
      </c>
      <c r="R400" s="8" t="n">
        <v>1499</v>
      </c>
      <c r="S400" s="8" t="s">
        <v>396</v>
      </c>
      <c r="T400" s="8"/>
      <c r="U400" s="8"/>
      <c r="V400" s="8" t="s">
        <v>155</v>
      </c>
      <c r="W400" s="8"/>
      <c r="X400" s="8" t="s">
        <v>530</v>
      </c>
      <c r="Y400" s="8" t="s">
        <v>3699</v>
      </c>
      <c r="Z400" s="8" t="s">
        <v>3700</v>
      </c>
    </row>
    <row r="401" customFormat="false" ht="15" hidden="false" customHeight="false" outlineLevel="0" collapsed="false">
      <c r="A401" s="8" t="s">
        <v>399</v>
      </c>
      <c r="B401" s="8" t="s">
        <v>21</v>
      </c>
      <c r="C401" s="8" t="s">
        <v>22</v>
      </c>
      <c r="D401" s="8" t="s">
        <v>615</v>
      </c>
      <c r="E401" s="8" t="s">
        <v>39</v>
      </c>
      <c r="F401" s="8" t="s">
        <v>59</v>
      </c>
      <c r="G401" s="8" t="s">
        <v>32</v>
      </c>
      <c r="H401" s="8" t="s">
        <v>30</v>
      </c>
      <c r="I401" s="8" t="n">
        <f aca="false">IF(EXACT(G401,H401),1,0)</f>
        <v>0</v>
      </c>
      <c r="J401" s="8" t="n">
        <v>0</v>
      </c>
      <c r="K401" s="8" t="s">
        <v>92</v>
      </c>
      <c r="L401" s="8" t="n">
        <v>0</v>
      </c>
      <c r="M401" s="8" t="n">
        <v>4</v>
      </c>
      <c r="N401" s="8" t="s">
        <v>1926</v>
      </c>
      <c r="O401" s="8" t="n">
        <v>2</v>
      </c>
      <c r="P401" s="10" t="n">
        <v>21.11</v>
      </c>
      <c r="Q401" s="8" t="n">
        <v>8884</v>
      </c>
      <c r="R401" s="8" t="n">
        <v>1019</v>
      </c>
      <c r="S401" s="8" t="s">
        <v>400</v>
      </c>
      <c r="T401" s="8"/>
      <c r="U401" s="8"/>
      <c r="V401" s="8" t="s">
        <v>155</v>
      </c>
      <c r="W401" s="8"/>
      <c r="X401" s="8" t="s">
        <v>531</v>
      </c>
      <c r="Y401" s="8" t="s">
        <v>3701</v>
      </c>
      <c r="Z401" s="8"/>
    </row>
    <row r="402" customFormat="false" ht="15" hidden="false" customHeight="false" outlineLevel="0" collapsed="false">
      <c r="A402" s="8" t="s">
        <v>399</v>
      </c>
      <c r="B402" s="8" t="s">
        <v>21</v>
      </c>
      <c r="C402" s="8" t="s">
        <v>22</v>
      </c>
      <c r="D402" s="8" t="s">
        <v>615</v>
      </c>
      <c r="E402" s="8" t="s">
        <v>39</v>
      </c>
      <c r="F402" s="8" t="s">
        <v>59</v>
      </c>
      <c r="G402" s="8" t="s">
        <v>32</v>
      </c>
      <c r="H402" s="8" t="s">
        <v>30</v>
      </c>
      <c r="I402" s="8" t="n">
        <f aca="false">IF(EXACT(G402,H402),1,0)</f>
        <v>0</v>
      </c>
      <c r="J402" s="8" t="n">
        <v>1</v>
      </c>
      <c r="K402" s="8" t="s">
        <v>92</v>
      </c>
      <c r="L402" s="8" t="n">
        <v>0</v>
      </c>
      <c r="M402" s="8" t="n">
        <v>4</v>
      </c>
      <c r="N402" s="8" t="s">
        <v>1926</v>
      </c>
      <c r="O402" s="8" t="n">
        <v>2</v>
      </c>
      <c r="P402" s="10" t="n">
        <v>20.96</v>
      </c>
      <c r="Q402" s="8" t="n">
        <v>8885</v>
      </c>
      <c r="R402" s="8" t="n">
        <v>1039</v>
      </c>
      <c r="S402" s="8" t="s">
        <v>400</v>
      </c>
      <c r="T402" s="8"/>
      <c r="U402" s="8"/>
      <c r="V402" s="8" t="s">
        <v>155</v>
      </c>
      <c r="W402" s="8"/>
      <c r="X402" s="8" t="s">
        <v>531</v>
      </c>
      <c r="Y402" s="8" t="s">
        <v>3702</v>
      </c>
      <c r="Z402" s="8"/>
    </row>
    <row r="403" customFormat="false" ht="15" hidden="false" customHeight="false" outlineLevel="0" collapsed="false">
      <c r="A403" s="8" t="s">
        <v>399</v>
      </c>
      <c r="B403" s="8" t="s">
        <v>21</v>
      </c>
      <c r="C403" s="8" t="s">
        <v>22</v>
      </c>
      <c r="D403" s="8" t="s">
        <v>615</v>
      </c>
      <c r="E403" s="8" t="s">
        <v>39</v>
      </c>
      <c r="F403" s="8" t="s">
        <v>59</v>
      </c>
      <c r="G403" s="8" t="s">
        <v>32</v>
      </c>
      <c r="H403" s="8" t="s">
        <v>30</v>
      </c>
      <c r="I403" s="8" t="n">
        <f aca="false">IF(EXACT(G403,H403),1,0)</f>
        <v>0</v>
      </c>
      <c r="J403" s="8" t="n">
        <v>2</v>
      </c>
      <c r="K403" s="8" t="s">
        <v>92</v>
      </c>
      <c r="L403" s="8" t="n">
        <v>0</v>
      </c>
      <c r="M403" s="8" t="n">
        <v>4</v>
      </c>
      <c r="N403" s="8" t="s">
        <v>1926</v>
      </c>
      <c r="O403" s="8" t="n">
        <v>2</v>
      </c>
      <c r="P403" s="10" t="n">
        <v>21.67</v>
      </c>
      <c r="Q403" s="8" t="n">
        <v>8885</v>
      </c>
      <c r="R403" s="8" t="n">
        <v>1070</v>
      </c>
      <c r="S403" s="8" t="s">
        <v>400</v>
      </c>
      <c r="T403" s="8"/>
      <c r="U403" s="8"/>
      <c r="V403" s="8" t="s">
        <v>155</v>
      </c>
      <c r="W403" s="8"/>
      <c r="X403" s="8" t="s">
        <v>531</v>
      </c>
      <c r="Y403" s="8" t="s">
        <v>3703</v>
      </c>
      <c r="Z403" s="8"/>
    </row>
    <row r="404" customFormat="false" ht="15" hidden="false" customHeight="false" outlineLevel="0" collapsed="false">
      <c r="A404" s="8" t="s">
        <v>402</v>
      </c>
      <c r="B404" s="8" t="s">
        <v>21</v>
      </c>
      <c r="C404" s="8" t="s">
        <v>22</v>
      </c>
      <c r="D404" s="8" t="s">
        <v>615</v>
      </c>
      <c r="E404" s="8" t="s">
        <v>39</v>
      </c>
      <c r="F404" s="8" t="s">
        <v>59</v>
      </c>
      <c r="G404" s="8" t="s">
        <v>32</v>
      </c>
      <c r="H404" s="8" t="s">
        <v>32</v>
      </c>
      <c r="I404" s="8" t="n">
        <f aca="false">IF(EXACT(G404,H404),1,0)</f>
        <v>1</v>
      </c>
      <c r="J404" s="8" t="n">
        <v>0</v>
      </c>
      <c r="K404" s="8" t="s">
        <v>92</v>
      </c>
      <c r="L404" s="8" t="n">
        <v>0</v>
      </c>
      <c r="M404" s="8" t="n">
        <v>4</v>
      </c>
      <c r="N404" s="8" t="s">
        <v>1926</v>
      </c>
      <c r="O404" s="8" t="n">
        <v>2</v>
      </c>
      <c r="P404" s="10" t="n">
        <v>21.41</v>
      </c>
      <c r="Q404" s="8" t="n">
        <v>8403</v>
      </c>
      <c r="R404" s="8" t="n">
        <v>941</v>
      </c>
      <c r="S404" s="8" t="s">
        <v>403</v>
      </c>
      <c r="T404" s="8"/>
      <c r="U404" s="8"/>
      <c r="V404" s="8" t="s">
        <v>155</v>
      </c>
      <c r="W404" s="8"/>
      <c r="X404" s="8" t="s">
        <v>532</v>
      </c>
      <c r="Y404" s="8" t="s">
        <v>3704</v>
      </c>
      <c r="Z404" s="8"/>
    </row>
    <row r="405" customFormat="false" ht="15" hidden="false" customHeight="false" outlineLevel="0" collapsed="false">
      <c r="A405" s="8" t="s">
        <v>402</v>
      </c>
      <c r="B405" s="8" t="s">
        <v>21</v>
      </c>
      <c r="C405" s="8" t="s">
        <v>22</v>
      </c>
      <c r="D405" s="8" t="s">
        <v>615</v>
      </c>
      <c r="E405" s="8" t="s">
        <v>39</v>
      </c>
      <c r="F405" s="8" t="s">
        <v>59</v>
      </c>
      <c r="G405" s="8" t="s">
        <v>32</v>
      </c>
      <c r="H405" s="8" t="s">
        <v>32</v>
      </c>
      <c r="I405" s="8" t="n">
        <f aca="false">IF(EXACT(G405,H405),1,0)</f>
        <v>1</v>
      </c>
      <c r="J405" s="8" t="n">
        <v>1</v>
      </c>
      <c r="K405" s="8" t="s">
        <v>92</v>
      </c>
      <c r="L405" s="8" t="n">
        <v>0</v>
      </c>
      <c r="M405" s="8" t="n">
        <v>4</v>
      </c>
      <c r="N405" s="8" t="s">
        <v>1926</v>
      </c>
      <c r="O405" s="8" t="n">
        <v>2</v>
      </c>
      <c r="P405" s="10" t="n">
        <v>20.54</v>
      </c>
      <c r="Q405" s="8" t="n">
        <v>8405</v>
      </c>
      <c r="R405" s="8" t="n">
        <v>935</v>
      </c>
      <c r="S405" s="8" t="s">
        <v>403</v>
      </c>
      <c r="T405" s="8"/>
      <c r="U405" s="8"/>
      <c r="V405" s="8" t="s">
        <v>155</v>
      </c>
      <c r="W405" s="8"/>
      <c r="X405" s="8" t="s">
        <v>532</v>
      </c>
      <c r="Y405" s="8" t="s">
        <v>3705</v>
      </c>
      <c r="Z405" s="8"/>
    </row>
    <row r="406" customFormat="false" ht="15" hidden="false" customHeight="false" outlineLevel="0" collapsed="false">
      <c r="A406" s="8" t="s">
        <v>402</v>
      </c>
      <c r="B406" s="8" t="s">
        <v>21</v>
      </c>
      <c r="C406" s="8" t="s">
        <v>22</v>
      </c>
      <c r="D406" s="8" t="s">
        <v>615</v>
      </c>
      <c r="E406" s="8" t="s">
        <v>39</v>
      </c>
      <c r="F406" s="8" t="s">
        <v>59</v>
      </c>
      <c r="G406" s="8" t="s">
        <v>32</v>
      </c>
      <c r="H406" s="8" t="s">
        <v>32</v>
      </c>
      <c r="I406" s="8" t="n">
        <f aca="false">IF(EXACT(G406,H406),1,0)</f>
        <v>1</v>
      </c>
      <c r="J406" s="8" t="n">
        <v>2</v>
      </c>
      <c r="K406" s="8" t="s">
        <v>92</v>
      </c>
      <c r="L406" s="8" t="n">
        <v>0</v>
      </c>
      <c r="M406" s="8" t="n">
        <v>4</v>
      </c>
      <c r="N406" s="8" t="s">
        <v>1926</v>
      </c>
      <c r="O406" s="8" t="n">
        <v>2</v>
      </c>
      <c r="P406" s="10" t="n">
        <v>21.91</v>
      </c>
      <c r="Q406" s="8" t="n">
        <v>8405</v>
      </c>
      <c r="R406" s="8" t="n">
        <v>944</v>
      </c>
      <c r="S406" s="8" t="s">
        <v>403</v>
      </c>
      <c r="T406" s="8"/>
      <c r="U406" s="8"/>
      <c r="V406" s="8" t="s">
        <v>155</v>
      </c>
      <c r="W406" s="8"/>
      <c r="X406" s="8" t="s">
        <v>532</v>
      </c>
      <c r="Y406" s="8" t="s">
        <v>3706</v>
      </c>
      <c r="Z406" s="8"/>
    </row>
    <row r="407" customFormat="false" ht="15" hidden="false" customHeight="false" outlineLevel="0" collapsed="false">
      <c r="A407" s="8" t="s">
        <v>405</v>
      </c>
      <c r="B407" s="8" t="s">
        <v>21</v>
      </c>
      <c r="C407" s="8" t="s">
        <v>22</v>
      </c>
      <c r="D407" s="8" t="s">
        <v>615</v>
      </c>
      <c r="E407" s="8" t="s">
        <v>39</v>
      </c>
      <c r="F407" s="8" t="s">
        <v>59</v>
      </c>
      <c r="G407" s="8" t="s">
        <v>30</v>
      </c>
      <c r="H407" s="8" t="s">
        <v>30</v>
      </c>
      <c r="I407" s="8" t="n">
        <f aca="false">IF(EXACT(G407,H407),1,0)</f>
        <v>1</v>
      </c>
      <c r="J407" s="8" t="n">
        <v>0</v>
      </c>
      <c r="K407" s="8" t="s">
        <v>92</v>
      </c>
      <c r="L407" s="8" t="n">
        <v>0</v>
      </c>
      <c r="M407" s="8" t="n">
        <v>4</v>
      </c>
      <c r="N407" s="8" t="s">
        <v>1926</v>
      </c>
      <c r="O407" s="8" t="n">
        <v>2</v>
      </c>
      <c r="P407" s="10" t="n">
        <v>27.1</v>
      </c>
      <c r="Q407" s="8" t="n">
        <v>8766</v>
      </c>
      <c r="R407" s="8" t="n">
        <v>1439</v>
      </c>
      <c r="S407" s="8" t="s">
        <v>406</v>
      </c>
      <c r="T407" s="8"/>
      <c r="U407" s="8"/>
      <c r="V407" s="8" t="s">
        <v>155</v>
      </c>
      <c r="W407" s="8"/>
      <c r="X407" s="8" t="s">
        <v>533</v>
      </c>
      <c r="Y407" s="8" t="s">
        <v>3707</v>
      </c>
      <c r="Z407" s="8"/>
    </row>
    <row r="408" customFormat="false" ht="15" hidden="false" customHeight="false" outlineLevel="0" collapsed="false">
      <c r="A408" s="8" t="s">
        <v>405</v>
      </c>
      <c r="B408" s="8" t="s">
        <v>21</v>
      </c>
      <c r="C408" s="8" t="s">
        <v>22</v>
      </c>
      <c r="D408" s="8" t="s">
        <v>615</v>
      </c>
      <c r="E408" s="8" t="s">
        <v>39</v>
      </c>
      <c r="F408" s="8" t="s">
        <v>59</v>
      </c>
      <c r="G408" s="8" t="s">
        <v>30</v>
      </c>
      <c r="H408" s="8" t="s">
        <v>30</v>
      </c>
      <c r="I408" s="8" t="n">
        <f aca="false">IF(EXACT(G408,H408),1,0)</f>
        <v>1</v>
      </c>
      <c r="J408" s="8" t="n">
        <v>1</v>
      </c>
      <c r="K408" s="8" t="s">
        <v>92</v>
      </c>
      <c r="L408" s="8" t="n">
        <v>0</v>
      </c>
      <c r="M408" s="8" t="n">
        <v>4</v>
      </c>
      <c r="N408" s="8" t="s">
        <v>1926</v>
      </c>
      <c r="O408" s="8" t="n">
        <v>2</v>
      </c>
      <c r="P408" s="10" t="n">
        <v>26.01</v>
      </c>
      <c r="Q408" s="8" t="n">
        <v>8767</v>
      </c>
      <c r="R408" s="8" t="n">
        <v>1414</v>
      </c>
      <c r="S408" s="8" t="s">
        <v>406</v>
      </c>
      <c r="T408" s="8"/>
      <c r="U408" s="8"/>
      <c r="V408" s="8" t="s">
        <v>155</v>
      </c>
      <c r="W408" s="8"/>
      <c r="X408" s="8" t="s">
        <v>533</v>
      </c>
      <c r="Y408" s="8" t="s">
        <v>3708</v>
      </c>
      <c r="Z408" s="8"/>
    </row>
    <row r="409" customFormat="false" ht="15" hidden="false" customHeight="false" outlineLevel="0" collapsed="false">
      <c r="A409" s="8" t="s">
        <v>405</v>
      </c>
      <c r="B409" s="8" t="s">
        <v>21</v>
      </c>
      <c r="C409" s="8" t="s">
        <v>22</v>
      </c>
      <c r="D409" s="8" t="s">
        <v>615</v>
      </c>
      <c r="E409" s="8" t="s">
        <v>39</v>
      </c>
      <c r="F409" s="8" t="s">
        <v>59</v>
      </c>
      <c r="G409" s="8" t="s">
        <v>30</v>
      </c>
      <c r="H409" s="8" t="s">
        <v>30</v>
      </c>
      <c r="I409" s="8" t="n">
        <f aca="false">IF(EXACT(G409,H409),1,0)</f>
        <v>1</v>
      </c>
      <c r="J409" s="8" t="n">
        <v>2</v>
      </c>
      <c r="K409" s="8" t="s">
        <v>92</v>
      </c>
      <c r="L409" s="8" t="n">
        <v>0</v>
      </c>
      <c r="M409" s="8" t="n">
        <v>4</v>
      </c>
      <c r="N409" s="8" t="s">
        <v>1926</v>
      </c>
      <c r="O409" s="8" t="n">
        <v>2</v>
      </c>
      <c r="P409" s="10" t="n">
        <v>25.62</v>
      </c>
      <c r="Q409" s="8" t="n">
        <v>8769</v>
      </c>
      <c r="R409" s="8" t="n">
        <v>1387</v>
      </c>
      <c r="S409" s="8" t="s">
        <v>406</v>
      </c>
      <c r="T409" s="8"/>
      <c r="U409" s="8"/>
      <c r="V409" s="8" t="s">
        <v>155</v>
      </c>
      <c r="W409" s="8"/>
      <c r="X409" s="8" t="s">
        <v>533</v>
      </c>
      <c r="Y409" s="8" t="s">
        <v>3709</v>
      </c>
      <c r="Z409" s="8"/>
    </row>
    <row r="410" customFormat="false" ht="15" hidden="false" customHeight="false" outlineLevel="0" collapsed="false">
      <c r="A410" s="8" t="s">
        <v>408</v>
      </c>
      <c r="B410" s="8" t="s">
        <v>21</v>
      </c>
      <c r="C410" s="8" t="s">
        <v>22</v>
      </c>
      <c r="D410" s="8" t="s">
        <v>615</v>
      </c>
      <c r="E410" s="8" t="s">
        <v>39</v>
      </c>
      <c r="F410" s="8" t="s">
        <v>59</v>
      </c>
      <c r="G410" s="8" t="s">
        <v>30</v>
      </c>
      <c r="H410" s="8" t="s">
        <v>31</v>
      </c>
      <c r="I410" s="8" t="n">
        <f aca="false">IF(EXACT(G410,H410),1,0)</f>
        <v>0</v>
      </c>
      <c r="J410" s="8" t="n">
        <v>0</v>
      </c>
      <c r="K410" s="8" t="s">
        <v>2333</v>
      </c>
      <c r="L410" s="8" t="n">
        <v>1</v>
      </c>
      <c r="M410" s="8" t="n">
        <v>4</v>
      </c>
      <c r="N410" s="8" t="s">
        <v>1926</v>
      </c>
      <c r="O410" s="8" t="n">
        <v>2</v>
      </c>
      <c r="P410" s="10" t="n">
        <v>30.45</v>
      </c>
      <c r="Q410" s="8" t="n">
        <v>9057</v>
      </c>
      <c r="R410" s="8" t="n">
        <v>1522</v>
      </c>
      <c r="S410" s="8" t="s">
        <v>409</v>
      </c>
      <c r="T410" s="8"/>
      <c r="U410" s="8"/>
      <c r="V410" s="8" t="s">
        <v>155</v>
      </c>
      <c r="W410" s="8"/>
      <c r="X410" s="8" t="s">
        <v>534</v>
      </c>
      <c r="Y410" s="8" t="s">
        <v>3710</v>
      </c>
      <c r="Z410" s="8" t="s">
        <v>3711</v>
      </c>
    </row>
    <row r="411" customFormat="false" ht="15" hidden="false" customHeight="false" outlineLevel="0" collapsed="false">
      <c r="A411" s="8" t="s">
        <v>408</v>
      </c>
      <c r="B411" s="8" t="s">
        <v>21</v>
      </c>
      <c r="C411" s="8" t="s">
        <v>22</v>
      </c>
      <c r="D411" s="8" t="s">
        <v>615</v>
      </c>
      <c r="E411" s="8" t="s">
        <v>39</v>
      </c>
      <c r="F411" s="8" t="s">
        <v>59</v>
      </c>
      <c r="G411" s="8" t="s">
        <v>30</v>
      </c>
      <c r="H411" s="8" t="s">
        <v>31</v>
      </c>
      <c r="I411" s="8" t="n">
        <f aca="false">IF(EXACT(G411,H411),1,0)</f>
        <v>0</v>
      </c>
      <c r="J411" s="8" t="n">
        <v>1</v>
      </c>
      <c r="K411" s="8" t="s">
        <v>2333</v>
      </c>
      <c r="L411" s="8" t="n">
        <v>1</v>
      </c>
      <c r="M411" s="8" t="n">
        <v>4</v>
      </c>
      <c r="N411" s="8" t="s">
        <v>1926</v>
      </c>
      <c r="O411" s="8" t="n">
        <v>2</v>
      </c>
      <c r="P411" s="10" t="n">
        <v>30.99</v>
      </c>
      <c r="Q411" s="8" t="n">
        <v>9057</v>
      </c>
      <c r="R411" s="8" t="n">
        <v>1608</v>
      </c>
      <c r="S411" s="8" t="s">
        <v>409</v>
      </c>
      <c r="T411" s="8"/>
      <c r="U411" s="8"/>
      <c r="V411" s="8" t="s">
        <v>155</v>
      </c>
      <c r="W411" s="8"/>
      <c r="X411" s="8" t="s">
        <v>534</v>
      </c>
      <c r="Y411" s="8" t="s">
        <v>3712</v>
      </c>
      <c r="Z411" s="8" t="s">
        <v>3713</v>
      </c>
    </row>
    <row r="412" customFormat="false" ht="15" hidden="false" customHeight="false" outlineLevel="0" collapsed="false">
      <c r="A412" s="8" t="s">
        <v>408</v>
      </c>
      <c r="B412" s="8" t="s">
        <v>21</v>
      </c>
      <c r="C412" s="8" t="s">
        <v>22</v>
      </c>
      <c r="D412" s="8" t="s">
        <v>615</v>
      </c>
      <c r="E412" s="8" t="s">
        <v>39</v>
      </c>
      <c r="F412" s="8" t="s">
        <v>59</v>
      </c>
      <c r="G412" s="8" t="s">
        <v>30</v>
      </c>
      <c r="H412" s="8" t="s">
        <v>30</v>
      </c>
      <c r="I412" s="8" t="n">
        <f aca="false">IF(EXACT(G412,H412),1,0)</f>
        <v>1</v>
      </c>
      <c r="J412" s="8" t="n">
        <v>2</v>
      </c>
      <c r="K412" s="8" t="s">
        <v>92</v>
      </c>
      <c r="L412" s="8" t="n">
        <v>0</v>
      </c>
      <c r="M412" s="8" t="n">
        <v>4</v>
      </c>
      <c r="N412" s="8" t="s">
        <v>1926</v>
      </c>
      <c r="O412" s="8" t="n">
        <v>2</v>
      </c>
      <c r="P412" s="10" t="n">
        <v>27.73</v>
      </c>
      <c r="Q412" s="8" t="n">
        <v>9057</v>
      </c>
      <c r="R412" s="8" t="n">
        <v>1337</v>
      </c>
      <c r="S412" s="8" t="s">
        <v>409</v>
      </c>
      <c r="T412" s="8"/>
      <c r="U412" s="8"/>
      <c r="V412" s="8" t="s">
        <v>155</v>
      </c>
      <c r="W412" s="8"/>
      <c r="X412" s="8" t="s">
        <v>534</v>
      </c>
      <c r="Y412" s="8" t="s">
        <v>3714</v>
      </c>
      <c r="Z412" s="8"/>
    </row>
    <row r="413" customFormat="false" ht="15" hidden="false" customHeight="false" outlineLevel="0" collapsed="false">
      <c r="A413" s="8" t="s">
        <v>535</v>
      </c>
      <c r="B413" s="8" t="s">
        <v>21</v>
      </c>
      <c r="C413" s="8" t="s">
        <v>22</v>
      </c>
      <c r="D413" s="8" t="s">
        <v>615</v>
      </c>
      <c r="E413" s="8" t="s">
        <v>39</v>
      </c>
      <c r="F413" s="8" t="s">
        <v>61</v>
      </c>
      <c r="G413" s="8" t="s">
        <v>30</v>
      </c>
      <c r="H413" s="8" t="s">
        <v>31</v>
      </c>
      <c r="I413" s="8" t="n">
        <f aca="false">IF(EXACT(G413,H413),1,0)</f>
        <v>0</v>
      </c>
      <c r="J413" s="8" t="n">
        <v>0</v>
      </c>
      <c r="K413" s="8" t="s">
        <v>737</v>
      </c>
      <c r="L413" s="8" t="n">
        <v>2</v>
      </c>
      <c r="M413" s="8" t="n">
        <v>4</v>
      </c>
      <c r="N413" s="8" t="s">
        <v>1926</v>
      </c>
      <c r="O413" s="8" t="n">
        <v>2</v>
      </c>
      <c r="P413" s="10" t="n">
        <v>35.87</v>
      </c>
      <c r="Q413" s="8" t="n">
        <v>9470</v>
      </c>
      <c r="R413" s="8" t="n">
        <v>2017</v>
      </c>
      <c r="S413" s="8" t="s">
        <v>110</v>
      </c>
      <c r="T413" s="8" t="s">
        <v>536</v>
      </c>
      <c r="U413" s="8" t="s">
        <v>537</v>
      </c>
      <c r="V413" s="8"/>
      <c r="W413" s="8" t="s">
        <v>538</v>
      </c>
      <c r="X413" s="8" t="s">
        <v>539</v>
      </c>
      <c r="Y413" s="8" t="s">
        <v>3715</v>
      </c>
      <c r="Z413" s="8" t="s">
        <v>3716</v>
      </c>
    </row>
    <row r="414" customFormat="false" ht="15" hidden="false" customHeight="false" outlineLevel="0" collapsed="false">
      <c r="A414" s="8" t="s">
        <v>535</v>
      </c>
      <c r="B414" s="8" t="s">
        <v>21</v>
      </c>
      <c r="C414" s="8" t="s">
        <v>22</v>
      </c>
      <c r="D414" s="8" t="s">
        <v>615</v>
      </c>
      <c r="E414" s="8" t="s">
        <v>39</v>
      </c>
      <c r="F414" s="8" t="s">
        <v>61</v>
      </c>
      <c r="G414" s="8" t="s">
        <v>30</v>
      </c>
      <c r="H414" s="8" t="s">
        <v>31</v>
      </c>
      <c r="I414" s="8" t="n">
        <f aca="false">IF(EXACT(G414,H414),1,0)</f>
        <v>0</v>
      </c>
      <c r="J414" s="8" t="n">
        <v>1</v>
      </c>
      <c r="K414" s="8" t="s">
        <v>737</v>
      </c>
      <c r="L414" s="8" t="n">
        <v>2</v>
      </c>
      <c r="M414" s="8" t="n">
        <v>4</v>
      </c>
      <c r="N414" s="8" t="s">
        <v>1926</v>
      </c>
      <c r="O414" s="8" t="n">
        <v>2</v>
      </c>
      <c r="P414" s="10" t="n">
        <v>35.74</v>
      </c>
      <c r="Q414" s="8" t="n">
        <v>9470</v>
      </c>
      <c r="R414" s="8" t="n">
        <v>1976</v>
      </c>
      <c r="S414" s="8" t="s">
        <v>110</v>
      </c>
      <c r="T414" s="8" t="s">
        <v>536</v>
      </c>
      <c r="U414" s="8" t="s">
        <v>537</v>
      </c>
      <c r="V414" s="8"/>
      <c r="W414" s="8" t="s">
        <v>538</v>
      </c>
      <c r="X414" s="8" t="s">
        <v>539</v>
      </c>
      <c r="Y414" s="8" t="s">
        <v>3717</v>
      </c>
      <c r="Z414" s="8" t="s">
        <v>3718</v>
      </c>
    </row>
    <row r="415" customFormat="false" ht="15" hidden="false" customHeight="false" outlineLevel="0" collapsed="false">
      <c r="A415" s="8" t="s">
        <v>535</v>
      </c>
      <c r="B415" s="8" t="s">
        <v>21</v>
      </c>
      <c r="C415" s="8" t="s">
        <v>22</v>
      </c>
      <c r="D415" s="8" t="s">
        <v>615</v>
      </c>
      <c r="E415" s="8" t="s">
        <v>39</v>
      </c>
      <c r="F415" s="8" t="s">
        <v>61</v>
      </c>
      <c r="G415" s="8" t="s">
        <v>30</v>
      </c>
      <c r="H415" s="8" t="s">
        <v>31</v>
      </c>
      <c r="I415" s="8" t="n">
        <f aca="false">IF(EXACT(G415,H415),1,0)</f>
        <v>0</v>
      </c>
      <c r="J415" s="8" t="n">
        <v>2</v>
      </c>
      <c r="K415" s="8" t="s">
        <v>737</v>
      </c>
      <c r="L415" s="8" t="n">
        <v>2</v>
      </c>
      <c r="M415" s="8" t="n">
        <v>4</v>
      </c>
      <c r="N415" s="8" t="s">
        <v>1926</v>
      </c>
      <c r="O415" s="8" t="n">
        <v>2</v>
      </c>
      <c r="P415" s="10" t="n">
        <v>33.71</v>
      </c>
      <c r="Q415" s="8" t="n">
        <v>9470</v>
      </c>
      <c r="R415" s="8" t="n">
        <v>1931</v>
      </c>
      <c r="S415" s="8" t="s">
        <v>110</v>
      </c>
      <c r="T415" s="8" t="s">
        <v>536</v>
      </c>
      <c r="U415" s="8" t="s">
        <v>537</v>
      </c>
      <c r="V415" s="8"/>
      <c r="W415" s="8" t="s">
        <v>538</v>
      </c>
      <c r="X415" s="8" t="s">
        <v>539</v>
      </c>
      <c r="Y415" s="8" t="s">
        <v>3719</v>
      </c>
      <c r="Z415" s="8" t="s">
        <v>3720</v>
      </c>
    </row>
    <row r="416" customFormat="false" ht="15" hidden="false" customHeight="false" outlineLevel="0" collapsed="false">
      <c r="A416" s="8" t="s">
        <v>540</v>
      </c>
      <c r="B416" s="8" t="s">
        <v>21</v>
      </c>
      <c r="C416" s="8" t="s">
        <v>22</v>
      </c>
      <c r="D416" s="8" t="s">
        <v>615</v>
      </c>
      <c r="E416" s="8" t="s">
        <v>39</v>
      </c>
      <c r="F416" s="8" t="s">
        <v>61</v>
      </c>
      <c r="G416" s="8" t="s">
        <v>31</v>
      </c>
      <c r="H416" s="8" t="s">
        <v>31</v>
      </c>
      <c r="I416" s="8" t="n">
        <f aca="false">IF(EXACT(G416,H416),1,0)</f>
        <v>1</v>
      </c>
      <c r="J416" s="8" t="n">
        <v>0</v>
      </c>
      <c r="K416" s="8" t="s">
        <v>116</v>
      </c>
      <c r="L416" s="8" t="n">
        <v>2</v>
      </c>
      <c r="M416" s="8" t="n">
        <v>4</v>
      </c>
      <c r="N416" s="8" t="s">
        <v>1926</v>
      </c>
      <c r="O416" s="8" t="n">
        <v>2</v>
      </c>
      <c r="P416" s="10" t="n">
        <v>32.57</v>
      </c>
      <c r="Q416" s="8" t="n">
        <v>8671</v>
      </c>
      <c r="R416" s="8" t="n">
        <v>1615</v>
      </c>
      <c r="S416" s="8" t="s">
        <v>117</v>
      </c>
      <c r="T416" s="8" t="s">
        <v>536</v>
      </c>
      <c r="U416" s="8" t="s">
        <v>537</v>
      </c>
      <c r="V416" s="8"/>
      <c r="W416" s="8" t="s">
        <v>541</v>
      </c>
      <c r="X416" s="8" t="s">
        <v>542</v>
      </c>
      <c r="Y416" s="8" t="s">
        <v>3721</v>
      </c>
      <c r="Z416" s="8" t="s">
        <v>3722</v>
      </c>
    </row>
    <row r="417" customFormat="false" ht="15" hidden="false" customHeight="false" outlineLevel="0" collapsed="false">
      <c r="A417" s="8" t="s">
        <v>540</v>
      </c>
      <c r="B417" s="8" t="s">
        <v>21</v>
      </c>
      <c r="C417" s="8" t="s">
        <v>22</v>
      </c>
      <c r="D417" s="8" t="s">
        <v>615</v>
      </c>
      <c r="E417" s="8" t="s">
        <v>39</v>
      </c>
      <c r="F417" s="8" t="s">
        <v>61</v>
      </c>
      <c r="G417" s="8" t="s">
        <v>31</v>
      </c>
      <c r="H417" s="8" t="s">
        <v>31</v>
      </c>
      <c r="I417" s="8" t="n">
        <f aca="false">IF(EXACT(G417,H417),1,0)</f>
        <v>1</v>
      </c>
      <c r="J417" s="8" t="n">
        <v>1</v>
      </c>
      <c r="K417" s="8" t="s">
        <v>116</v>
      </c>
      <c r="L417" s="8" t="n">
        <v>2</v>
      </c>
      <c r="M417" s="8" t="n">
        <v>4</v>
      </c>
      <c r="N417" s="8" t="s">
        <v>1926</v>
      </c>
      <c r="O417" s="8" t="n">
        <v>2</v>
      </c>
      <c r="P417" s="10" t="n">
        <v>32.8</v>
      </c>
      <c r="Q417" s="8" t="n">
        <v>8671</v>
      </c>
      <c r="R417" s="8" t="n">
        <v>1621</v>
      </c>
      <c r="S417" s="8" t="s">
        <v>117</v>
      </c>
      <c r="T417" s="8" t="s">
        <v>536</v>
      </c>
      <c r="U417" s="8" t="s">
        <v>537</v>
      </c>
      <c r="V417" s="8"/>
      <c r="W417" s="8" t="s">
        <v>541</v>
      </c>
      <c r="X417" s="8" t="s">
        <v>542</v>
      </c>
      <c r="Y417" s="8" t="s">
        <v>3723</v>
      </c>
      <c r="Z417" s="8" t="s">
        <v>3724</v>
      </c>
    </row>
    <row r="418" customFormat="false" ht="15" hidden="false" customHeight="false" outlineLevel="0" collapsed="false">
      <c r="A418" s="8" t="s">
        <v>540</v>
      </c>
      <c r="B418" s="8" t="s">
        <v>21</v>
      </c>
      <c r="C418" s="8" t="s">
        <v>22</v>
      </c>
      <c r="D418" s="8" t="s">
        <v>615</v>
      </c>
      <c r="E418" s="8" t="s">
        <v>39</v>
      </c>
      <c r="F418" s="8" t="s">
        <v>61</v>
      </c>
      <c r="G418" s="8" t="s">
        <v>31</v>
      </c>
      <c r="H418" s="8" t="s">
        <v>31</v>
      </c>
      <c r="I418" s="8" t="n">
        <f aca="false">IF(EXACT(G418,H418),1,0)</f>
        <v>1</v>
      </c>
      <c r="J418" s="8" t="n">
        <v>2</v>
      </c>
      <c r="K418" s="8" t="s">
        <v>116</v>
      </c>
      <c r="L418" s="8" t="n">
        <v>2</v>
      </c>
      <c r="M418" s="8" t="n">
        <v>4</v>
      </c>
      <c r="N418" s="8" t="s">
        <v>1926</v>
      </c>
      <c r="O418" s="8" t="n">
        <v>2</v>
      </c>
      <c r="P418" s="10" t="n">
        <v>31.41</v>
      </c>
      <c r="Q418" s="8" t="n">
        <v>8671</v>
      </c>
      <c r="R418" s="8" t="n">
        <v>1588</v>
      </c>
      <c r="S418" s="8" t="s">
        <v>117</v>
      </c>
      <c r="T418" s="8" t="s">
        <v>536</v>
      </c>
      <c r="U418" s="8" t="s">
        <v>537</v>
      </c>
      <c r="V418" s="8"/>
      <c r="W418" s="8" t="s">
        <v>541</v>
      </c>
      <c r="X418" s="8" t="s">
        <v>542</v>
      </c>
      <c r="Y418" s="8" t="s">
        <v>3725</v>
      </c>
      <c r="Z418" s="8" t="s">
        <v>3726</v>
      </c>
    </row>
    <row r="419" customFormat="false" ht="15" hidden="false" customHeight="false" outlineLevel="0" collapsed="false">
      <c r="A419" s="8" t="s">
        <v>544</v>
      </c>
      <c r="B419" s="8" t="s">
        <v>21</v>
      </c>
      <c r="C419" s="8" t="s">
        <v>22</v>
      </c>
      <c r="D419" s="8" t="s">
        <v>615</v>
      </c>
      <c r="E419" s="8" t="s">
        <v>39</v>
      </c>
      <c r="F419" s="8" t="s">
        <v>61</v>
      </c>
      <c r="G419" s="8" t="s">
        <v>31</v>
      </c>
      <c r="H419" s="8" t="s">
        <v>31</v>
      </c>
      <c r="I419" s="8" t="n">
        <f aca="false">IF(EXACT(G419,H419),1,0)</f>
        <v>1</v>
      </c>
      <c r="J419" s="8" t="n">
        <v>0</v>
      </c>
      <c r="K419" s="8" t="s">
        <v>116</v>
      </c>
      <c r="L419" s="8" t="n">
        <v>2</v>
      </c>
      <c r="M419" s="8" t="n">
        <v>4</v>
      </c>
      <c r="N419" s="8" t="s">
        <v>1926</v>
      </c>
      <c r="O419" s="8" t="n">
        <v>2</v>
      </c>
      <c r="P419" s="10" t="n">
        <v>36.91</v>
      </c>
      <c r="Q419" s="8" t="n">
        <v>8530</v>
      </c>
      <c r="R419" s="8" t="n">
        <v>1654</v>
      </c>
      <c r="S419" s="8" t="s">
        <v>255</v>
      </c>
      <c r="T419" s="8" t="s">
        <v>536</v>
      </c>
      <c r="U419" s="8" t="s">
        <v>537</v>
      </c>
      <c r="V419" s="8"/>
      <c r="W419" s="8" t="s">
        <v>545</v>
      </c>
      <c r="X419" s="8" t="s">
        <v>546</v>
      </c>
      <c r="Y419" s="8" t="s">
        <v>3727</v>
      </c>
      <c r="Z419" s="8" t="s">
        <v>3728</v>
      </c>
    </row>
    <row r="420" customFormat="false" ht="15" hidden="false" customHeight="false" outlineLevel="0" collapsed="false">
      <c r="A420" s="8" t="s">
        <v>544</v>
      </c>
      <c r="B420" s="8" t="s">
        <v>21</v>
      </c>
      <c r="C420" s="8" t="s">
        <v>22</v>
      </c>
      <c r="D420" s="8" t="s">
        <v>615</v>
      </c>
      <c r="E420" s="8" t="s">
        <v>39</v>
      </c>
      <c r="F420" s="8" t="s">
        <v>61</v>
      </c>
      <c r="G420" s="8" t="s">
        <v>31</v>
      </c>
      <c r="H420" s="8" t="s">
        <v>31</v>
      </c>
      <c r="I420" s="8" t="n">
        <f aca="false">IF(EXACT(G420,H420),1,0)</f>
        <v>1</v>
      </c>
      <c r="J420" s="8" t="n">
        <v>1</v>
      </c>
      <c r="K420" s="8" t="s">
        <v>116</v>
      </c>
      <c r="L420" s="8" t="n">
        <v>2</v>
      </c>
      <c r="M420" s="8" t="n">
        <v>4</v>
      </c>
      <c r="N420" s="8" t="s">
        <v>1926</v>
      </c>
      <c r="O420" s="8" t="n">
        <v>2</v>
      </c>
      <c r="P420" s="10" t="n">
        <v>32.56</v>
      </c>
      <c r="Q420" s="8" t="n">
        <v>8530</v>
      </c>
      <c r="R420" s="8" t="n">
        <v>1565</v>
      </c>
      <c r="S420" s="8" t="s">
        <v>255</v>
      </c>
      <c r="T420" s="8" t="s">
        <v>536</v>
      </c>
      <c r="U420" s="8" t="s">
        <v>537</v>
      </c>
      <c r="V420" s="8"/>
      <c r="W420" s="8" t="s">
        <v>545</v>
      </c>
      <c r="X420" s="8" t="s">
        <v>546</v>
      </c>
      <c r="Y420" s="8" t="s">
        <v>3729</v>
      </c>
      <c r="Z420" s="8" t="s">
        <v>3730</v>
      </c>
    </row>
    <row r="421" customFormat="false" ht="15" hidden="false" customHeight="false" outlineLevel="0" collapsed="false">
      <c r="A421" s="8" t="s">
        <v>544</v>
      </c>
      <c r="B421" s="8" t="s">
        <v>21</v>
      </c>
      <c r="C421" s="8" t="s">
        <v>22</v>
      </c>
      <c r="D421" s="8" t="s">
        <v>615</v>
      </c>
      <c r="E421" s="8" t="s">
        <v>39</v>
      </c>
      <c r="F421" s="8" t="s">
        <v>61</v>
      </c>
      <c r="G421" s="8" t="s">
        <v>31</v>
      </c>
      <c r="H421" s="8" t="s">
        <v>31</v>
      </c>
      <c r="I421" s="8" t="n">
        <f aca="false">IF(EXACT(G421,H421),1,0)</f>
        <v>1</v>
      </c>
      <c r="J421" s="8" t="n">
        <v>2</v>
      </c>
      <c r="K421" s="8" t="s">
        <v>116</v>
      </c>
      <c r="L421" s="8" t="n">
        <v>2</v>
      </c>
      <c r="M421" s="8" t="n">
        <v>4</v>
      </c>
      <c r="N421" s="8" t="s">
        <v>1926</v>
      </c>
      <c r="O421" s="8" t="n">
        <v>2</v>
      </c>
      <c r="P421" s="10" t="n">
        <v>33.21</v>
      </c>
      <c r="Q421" s="8" t="n">
        <v>8531</v>
      </c>
      <c r="R421" s="8" t="n">
        <v>1617</v>
      </c>
      <c r="S421" s="8" t="s">
        <v>255</v>
      </c>
      <c r="T421" s="8" t="s">
        <v>536</v>
      </c>
      <c r="U421" s="8" t="s">
        <v>537</v>
      </c>
      <c r="V421" s="8"/>
      <c r="W421" s="8" t="s">
        <v>545</v>
      </c>
      <c r="X421" s="8" t="s">
        <v>546</v>
      </c>
      <c r="Y421" s="8" t="s">
        <v>3731</v>
      </c>
      <c r="Z421" s="8" t="s">
        <v>3732</v>
      </c>
    </row>
    <row r="422" customFormat="false" ht="15" hidden="false" customHeight="false" outlineLevel="0" collapsed="false">
      <c r="A422" s="8" t="s">
        <v>547</v>
      </c>
      <c r="B422" s="8" t="s">
        <v>21</v>
      </c>
      <c r="C422" s="8" t="s">
        <v>22</v>
      </c>
      <c r="D422" s="8" t="s">
        <v>615</v>
      </c>
      <c r="E422" s="8" t="s">
        <v>39</v>
      </c>
      <c r="F422" s="8" t="s">
        <v>61</v>
      </c>
      <c r="G422" s="8" t="s">
        <v>32</v>
      </c>
      <c r="H422" s="8" t="s">
        <v>31</v>
      </c>
      <c r="I422" s="8" t="n">
        <f aca="false">IF(EXACT(G422,H422),1,0)</f>
        <v>0</v>
      </c>
      <c r="J422" s="8" t="n">
        <v>0</v>
      </c>
      <c r="K422" s="8" t="s">
        <v>2333</v>
      </c>
      <c r="L422" s="8" t="n">
        <v>1</v>
      </c>
      <c r="M422" s="8" t="n">
        <v>4</v>
      </c>
      <c r="N422" s="8" t="s">
        <v>1926</v>
      </c>
      <c r="O422" s="8" t="n">
        <v>2</v>
      </c>
      <c r="P422" s="10" t="n">
        <v>21.71</v>
      </c>
      <c r="Q422" s="8" t="n">
        <v>8092</v>
      </c>
      <c r="R422" s="8" t="n">
        <v>873</v>
      </c>
      <c r="S422" s="8" t="s">
        <v>132</v>
      </c>
      <c r="T422" s="8" t="s">
        <v>536</v>
      </c>
      <c r="U422" s="8" t="s">
        <v>537</v>
      </c>
      <c r="V422" s="8"/>
      <c r="W422" s="8" t="s">
        <v>548</v>
      </c>
      <c r="X422" s="8" t="s">
        <v>549</v>
      </c>
      <c r="Y422" s="8" t="s">
        <v>3733</v>
      </c>
      <c r="Z422" s="8" t="s">
        <v>3734</v>
      </c>
    </row>
    <row r="423" customFormat="false" ht="15" hidden="false" customHeight="false" outlineLevel="0" collapsed="false">
      <c r="A423" s="8" t="s">
        <v>547</v>
      </c>
      <c r="B423" s="8" t="s">
        <v>21</v>
      </c>
      <c r="C423" s="8" t="s">
        <v>22</v>
      </c>
      <c r="D423" s="8" t="s">
        <v>615</v>
      </c>
      <c r="E423" s="8" t="s">
        <v>39</v>
      </c>
      <c r="F423" s="8" t="s">
        <v>61</v>
      </c>
      <c r="G423" s="8" t="s">
        <v>32</v>
      </c>
      <c r="H423" s="8" t="s">
        <v>31</v>
      </c>
      <c r="I423" s="8" t="n">
        <f aca="false">IF(EXACT(G423,H423),1,0)</f>
        <v>0</v>
      </c>
      <c r="J423" s="8" t="n">
        <v>1</v>
      </c>
      <c r="K423" s="8" t="s">
        <v>2333</v>
      </c>
      <c r="L423" s="8" t="n">
        <v>1</v>
      </c>
      <c r="M423" s="8" t="n">
        <v>4</v>
      </c>
      <c r="N423" s="8" t="s">
        <v>1926</v>
      </c>
      <c r="O423" s="8" t="n">
        <v>2</v>
      </c>
      <c r="P423" s="10" t="n">
        <v>21.47</v>
      </c>
      <c r="Q423" s="8" t="n">
        <v>8092</v>
      </c>
      <c r="R423" s="8" t="n">
        <v>815</v>
      </c>
      <c r="S423" s="8" t="s">
        <v>132</v>
      </c>
      <c r="T423" s="8" t="s">
        <v>536</v>
      </c>
      <c r="U423" s="8" t="s">
        <v>537</v>
      </c>
      <c r="V423" s="8"/>
      <c r="W423" s="8" t="s">
        <v>548</v>
      </c>
      <c r="X423" s="8" t="s">
        <v>549</v>
      </c>
      <c r="Y423" s="8" t="s">
        <v>3735</v>
      </c>
      <c r="Z423" s="8" t="s">
        <v>3736</v>
      </c>
    </row>
    <row r="424" customFormat="false" ht="15" hidden="false" customHeight="false" outlineLevel="0" collapsed="false">
      <c r="A424" s="8" t="s">
        <v>547</v>
      </c>
      <c r="B424" s="8" t="s">
        <v>21</v>
      </c>
      <c r="C424" s="8" t="s">
        <v>22</v>
      </c>
      <c r="D424" s="8" t="s">
        <v>615</v>
      </c>
      <c r="E424" s="8" t="s">
        <v>39</v>
      </c>
      <c r="F424" s="8" t="s">
        <v>61</v>
      </c>
      <c r="G424" s="8" t="s">
        <v>32</v>
      </c>
      <c r="H424" s="8" t="s">
        <v>31</v>
      </c>
      <c r="I424" s="8" t="n">
        <f aca="false">IF(EXACT(G424,H424),1,0)</f>
        <v>0</v>
      </c>
      <c r="J424" s="8" t="n">
        <v>2</v>
      </c>
      <c r="K424" s="8" t="s">
        <v>2333</v>
      </c>
      <c r="L424" s="8" t="n">
        <v>1</v>
      </c>
      <c r="M424" s="8" t="n">
        <v>4</v>
      </c>
      <c r="N424" s="8" t="s">
        <v>1926</v>
      </c>
      <c r="O424" s="8" t="n">
        <v>2</v>
      </c>
      <c r="P424" s="10" t="n">
        <v>20.51</v>
      </c>
      <c r="Q424" s="8" t="n">
        <v>8092</v>
      </c>
      <c r="R424" s="8" t="n">
        <v>809</v>
      </c>
      <c r="S424" s="8" t="s">
        <v>132</v>
      </c>
      <c r="T424" s="8" t="s">
        <v>536</v>
      </c>
      <c r="U424" s="8" t="s">
        <v>537</v>
      </c>
      <c r="V424" s="8"/>
      <c r="W424" s="8" t="s">
        <v>548</v>
      </c>
      <c r="X424" s="8" t="s">
        <v>549</v>
      </c>
      <c r="Y424" s="8" t="s">
        <v>3737</v>
      </c>
      <c r="Z424" s="8" t="s">
        <v>3738</v>
      </c>
    </row>
    <row r="425" customFormat="false" ht="15" hidden="false" customHeight="false" outlineLevel="0" collapsed="false">
      <c r="A425" s="8" t="s">
        <v>550</v>
      </c>
      <c r="B425" s="8" t="s">
        <v>21</v>
      </c>
      <c r="C425" s="8" t="s">
        <v>22</v>
      </c>
      <c r="D425" s="8" t="s">
        <v>615</v>
      </c>
      <c r="E425" s="8" t="s">
        <v>39</v>
      </c>
      <c r="F425" s="8" t="s">
        <v>61</v>
      </c>
      <c r="G425" s="8" t="s">
        <v>30</v>
      </c>
      <c r="H425" s="8" t="s">
        <v>31</v>
      </c>
      <c r="I425" s="8" t="n">
        <f aca="false">IF(EXACT(G425,H425),1,0)</f>
        <v>0</v>
      </c>
      <c r="J425" s="8" t="n">
        <v>0</v>
      </c>
      <c r="K425" s="8" t="s">
        <v>2333</v>
      </c>
      <c r="L425" s="8" t="n">
        <v>1</v>
      </c>
      <c r="M425" s="8" t="n">
        <v>4</v>
      </c>
      <c r="N425" s="8" t="s">
        <v>1926</v>
      </c>
      <c r="O425" s="8" t="n">
        <v>2</v>
      </c>
      <c r="P425" s="10" t="n">
        <v>23.98</v>
      </c>
      <c r="Q425" s="8" t="n">
        <v>8538</v>
      </c>
      <c r="R425" s="8" t="n">
        <v>1123</v>
      </c>
      <c r="S425" s="8" t="s">
        <v>150</v>
      </c>
      <c r="T425" s="8" t="s">
        <v>536</v>
      </c>
      <c r="U425" s="8" t="s">
        <v>537</v>
      </c>
      <c r="V425" s="8"/>
      <c r="W425" s="8" t="s">
        <v>551</v>
      </c>
      <c r="X425" s="8" t="s">
        <v>552</v>
      </c>
      <c r="Y425" s="8" t="s">
        <v>3739</v>
      </c>
      <c r="Z425" s="8" t="s">
        <v>3740</v>
      </c>
    </row>
    <row r="426" customFormat="false" ht="15" hidden="false" customHeight="false" outlineLevel="0" collapsed="false">
      <c r="A426" s="8" t="s">
        <v>550</v>
      </c>
      <c r="B426" s="8" t="s">
        <v>21</v>
      </c>
      <c r="C426" s="8" t="s">
        <v>22</v>
      </c>
      <c r="D426" s="8" t="s">
        <v>615</v>
      </c>
      <c r="E426" s="8" t="s">
        <v>39</v>
      </c>
      <c r="F426" s="8" t="s">
        <v>61</v>
      </c>
      <c r="G426" s="8" t="s">
        <v>30</v>
      </c>
      <c r="H426" s="8" t="s">
        <v>31</v>
      </c>
      <c r="I426" s="8" t="n">
        <f aca="false">IF(EXACT(G426,H426),1,0)</f>
        <v>0</v>
      </c>
      <c r="J426" s="8" t="n">
        <v>1</v>
      </c>
      <c r="K426" s="8" t="s">
        <v>2333</v>
      </c>
      <c r="L426" s="8" t="n">
        <v>1</v>
      </c>
      <c r="M426" s="8" t="n">
        <v>4</v>
      </c>
      <c r="N426" s="8" t="s">
        <v>1926</v>
      </c>
      <c r="O426" s="8" t="n">
        <v>2</v>
      </c>
      <c r="P426" s="10" t="n">
        <v>23.87</v>
      </c>
      <c r="Q426" s="8" t="n">
        <v>8528</v>
      </c>
      <c r="R426" s="8" t="n">
        <v>1132</v>
      </c>
      <c r="S426" s="8" t="s">
        <v>150</v>
      </c>
      <c r="T426" s="8" t="s">
        <v>536</v>
      </c>
      <c r="U426" s="8" t="s">
        <v>537</v>
      </c>
      <c r="V426" s="8"/>
      <c r="W426" s="8" t="s">
        <v>551</v>
      </c>
      <c r="X426" s="8" t="s">
        <v>552</v>
      </c>
      <c r="Y426" s="8" t="s">
        <v>3741</v>
      </c>
      <c r="Z426" s="8" t="s">
        <v>3742</v>
      </c>
    </row>
    <row r="427" customFormat="false" ht="15" hidden="false" customHeight="false" outlineLevel="0" collapsed="false">
      <c r="A427" s="8" t="s">
        <v>550</v>
      </c>
      <c r="B427" s="8" t="s">
        <v>21</v>
      </c>
      <c r="C427" s="8" t="s">
        <v>22</v>
      </c>
      <c r="D427" s="8" t="s">
        <v>615</v>
      </c>
      <c r="E427" s="8" t="s">
        <v>39</v>
      </c>
      <c r="F427" s="8" t="s">
        <v>61</v>
      </c>
      <c r="G427" s="8" t="s">
        <v>30</v>
      </c>
      <c r="H427" s="8" t="s">
        <v>30</v>
      </c>
      <c r="I427" s="8" t="n">
        <f aca="false">IF(EXACT(G427,H427),1,0)</f>
        <v>1</v>
      </c>
      <c r="J427" s="8" t="n">
        <v>2</v>
      </c>
      <c r="K427" s="8" t="s">
        <v>92</v>
      </c>
      <c r="L427" s="8" t="n">
        <v>0</v>
      </c>
      <c r="M427" s="8" t="n">
        <v>4</v>
      </c>
      <c r="N427" s="8" t="s">
        <v>1926</v>
      </c>
      <c r="O427" s="8" t="n">
        <v>2</v>
      </c>
      <c r="P427" s="10" t="n">
        <v>21.37</v>
      </c>
      <c r="Q427" s="8" t="n">
        <v>8538</v>
      </c>
      <c r="R427" s="8" t="n">
        <v>968</v>
      </c>
      <c r="S427" s="8" t="s">
        <v>150</v>
      </c>
      <c r="T427" s="8" t="s">
        <v>536</v>
      </c>
      <c r="U427" s="8" t="s">
        <v>537</v>
      </c>
      <c r="V427" s="8"/>
      <c r="W427" s="8" t="s">
        <v>551</v>
      </c>
      <c r="X427" s="8" t="s">
        <v>552</v>
      </c>
      <c r="Y427" s="8" t="s">
        <v>3743</v>
      </c>
      <c r="Z427" s="8"/>
    </row>
    <row r="428" customFormat="false" ht="15" hidden="false" customHeight="false" outlineLevel="0" collapsed="false">
      <c r="A428" s="8" t="s">
        <v>553</v>
      </c>
      <c r="B428" s="8" t="s">
        <v>21</v>
      </c>
      <c r="C428" s="8" t="s">
        <v>22</v>
      </c>
      <c r="D428" s="8" t="s">
        <v>615</v>
      </c>
      <c r="E428" s="8" t="s">
        <v>39</v>
      </c>
      <c r="F428" s="8" t="s">
        <v>61</v>
      </c>
      <c r="G428" s="8" t="s">
        <v>32</v>
      </c>
      <c r="H428" s="8" t="s">
        <v>32</v>
      </c>
      <c r="I428" s="8" t="n">
        <f aca="false">IF(EXACT(G428,H428),1,0)</f>
        <v>1</v>
      </c>
      <c r="J428" s="8" t="n">
        <v>0</v>
      </c>
      <c r="K428" s="8" t="s">
        <v>92</v>
      </c>
      <c r="L428" s="8" t="n">
        <v>0</v>
      </c>
      <c r="M428" s="8" t="n">
        <v>4</v>
      </c>
      <c r="N428" s="8" t="s">
        <v>1926</v>
      </c>
      <c r="O428" s="8" t="n">
        <v>2</v>
      </c>
      <c r="P428" s="10" t="n">
        <v>20.43</v>
      </c>
      <c r="Q428" s="8" t="n">
        <v>8447</v>
      </c>
      <c r="R428" s="8" t="n">
        <v>945</v>
      </c>
      <c r="S428" s="8" t="s">
        <v>554</v>
      </c>
      <c r="T428" s="8"/>
      <c r="U428" s="8"/>
      <c r="V428" s="8" t="s">
        <v>155</v>
      </c>
      <c r="W428" s="8"/>
      <c r="X428" s="8" t="s">
        <v>555</v>
      </c>
      <c r="Y428" s="8" t="s">
        <v>3744</v>
      </c>
      <c r="Z428" s="8"/>
    </row>
    <row r="429" customFormat="false" ht="15" hidden="false" customHeight="false" outlineLevel="0" collapsed="false">
      <c r="A429" s="8" t="s">
        <v>553</v>
      </c>
      <c r="B429" s="8" t="s">
        <v>21</v>
      </c>
      <c r="C429" s="8" t="s">
        <v>22</v>
      </c>
      <c r="D429" s="8" t="s">
        <v>615</v>
      </c>
      <c r="E429" s="8" t="s">
        <v>39</v>
      </c>
      <c r="F429" s="8" t="s">
        <v>61</v>
      </c>
      <c r="G429" s="8" t="s">
        <v>32</v>
      </c>
      <c r="H429" s="8" t="s">
        <v>32</v>
      </c>
      <c r="I429" s="8" t="n">
        <f aca="false">IF(EXACT(G429,H429),1,0)</f>
        <v>1</v>
      </c>
      <c r="J429" s="8" t="n">
        <v>1</v>
      </c>
      <c r="K429" s="8" t="s">
        <v>92</v>
      </c>
      <c r="L429" s="8" t="n">
        <v>0</v>
      </c>
      <c r="M429" s="8" t="n">
        <v>4</v>
      </c>
      <c r="N429" s="8" t="s">
        <v>1926</v>
      </c>
      <c r="O429" s="8" t="n">
        <v>2</v>
      </c>
      <c r="P429" s="10" t="n">
        <v>20.75</v>
      </c>
      <c r="Q429" s="8" t="n">
        <v>8448</v>
      </c>
      <c r="R429" s="8" t="n">
        <v>978</v>
      </c>
      <c r="S429" s="8" t="s">
        <v>554</v>
      </c>
      <c r="T429" s="8"/>
      <c r="U429" s="8"/>
      <c r="V429" s="8" t="s">
        <v>155</v>
      </c>
      <c r="W429" s="8"/>
      <c r="X429" s="8" t="s">
        <v>555</v>
      </c>
      <c r="Y429" s="8" t="s">
        <v>3745</v>
      </c>
      <c r="Z429" s="8"/>
    </row>
    <row r="430" customFormat="false" ht="15" hidden="false" customHeight="false" outlineLevel="0" collapsed="false">
      <c r="A430" s="8" t="s">
        <v>553</v>
      </c>
      <c r="B430" s="8" t="s">
        <v>21</v>
      </c>
      <c r="C430" s="8" t="s">
        <v>22</v>
      </c>
      <c r="D430" s="8" t="s">
        <v>615</v>
      </c>
      <c r="E430" s="8" t="s">
        <v>39</v>
      </c>
      <c r="F430" s="8" t="s">
        <v>61</v>
      </c>
      <c r="G430" s="8" t="s">
        <v>32</v>
      </c>
      <c r="H430" s="8" t="s">
        <v>32</v>
      </c>
      <c r="I430" s="8" t="n">
        <f aca="false">IF(EXACT(G430,H430),1,0)</f>
        <v>1</v>
      </c>
      <c r="J430" s="8" t="n">
        <v>2</v>
      </c>
      <c r="K430" s="8" t="s">
        <v>92</v>
      </c>
      <c r="L430" s="8" t="n">
        <v>0</v>
      </c>
      <c r="M430" s="8" t="n">
        <v>4</v>
      </c>
      <c r="N430" s="8" t="s">
        <v>1926</v>
      </c>
      <c r="O430" s="8" t="n">
        <v>2</v>
      </c>
      <c r="P430" s="10" t="n">
        <v>21.14</v>
      </c>
      <c r="Q430" s="8" t="n">
        <v>8448</v>
      </c>
      <c r="R430" s="8" t="n">
        <v>985</v>
      </c>
      <c r="S430" s="8" t="s">
        <v>554</v>
      </c>
      <c r="T430" s="8"/>
      <c r="U430" s="8"/>
      <c r="V430" s="8" t="s">
        <v>155</v>
      </c>
      <c r="W430" s="8"/>
      <c r="X430" s="8" t="s">
        <v>555</v>
      </c>
      <c r="Y430" s="8" t="s">
        <v>3746</v>
      </c>
      <c r="Z430" s="8"/>
    </row>
    <row r="431" customFormat="false" ht="15" hidden="false" customHeight="false" outlineLevel="0" collapsed="false">
      <c r="A431" s="8" t="s">
        <v>556</v>
      </c>
      <c r="B431" s="8" t="s">
        <v>21</v>
      </c>
      <c r="C431" s="8" t="s">
        <v>22</v>
      </c>
      <c r="D431" s="8" t="s">
        <v>615</v>
      </c>
      <c r="E431" s="8" t="s">
        <v>39</v>
      </c>
      <c r="F431" s="8" t="s">
        <v>62</v>
      </c>
      <c r="G431" s="8" t="s">
        <v>30</v>
      </c>
      <c r="H431" s="8" t="s">
        <v>31</v>
      </c>
      <c r="I431" s="8" t="n">
        <f aca="false">IF(EXACT(G431,H431),1,0)</f>
        <v>0</v>
      </c>
      <c r="J431" s="8" t="n">
        <v>0</v>
      </c>
      <c r="K431" s="8" t="s">
        <v>116</v>
      </c>
      <c r="L431" s="8" t="n">
        <v>1</v>
      </c>
      <c r="M431" s="8" t="n">
        <v>4</v>
      </c>
      <c r="N431" s="8" t="s">
        <v>1926</v>
      </c>
      <c r="O431" s="8" t="n">
        <v>2</v>
      </c>
      <c r="P431" s="10" t="n">
        <v>26.03</v>
      </c>
      <c r="Q431" s="8" t="n">
        <v>8342</v>
      </c>
      <c r="R431" s="8" t="n">
        <v>1182</v>
      </c>
      <c r="S431" s="8" t="s">
        <v>557</v>
      </c>
      <c r="T431" s="8"/>
      <c r="U431" s="8"/>
      <c r="V431" s="8" t="s">
        <v>309</v>
      </c>
      <c r="W431" s="8"/>
      <c r="X431" s="8" t="s">
        <v>558</v>
      </c>
      <c r="Y431" s="8" t="s">
        <v>3747</v>
      </c>
      <c r="Z431" s="8" t="s">
        <v>3748</v>
      </c>
    </row>
    <row r="432" customFormat="false" ht="15" hidden="false" customHeight="false" outlineLevel="0" collapsed="false">
      <c r="A432" s="8" t="s">
        <v>556</v>
      </c>
      <c r="B432" s="8" t="s">
        <v>21</v>
      </c>
      <c r="C432" s="8" t="s">
        <v>22</v>
      </c>
      <c r="D432" s="8" t="s">
        <v>615</v>
      </c>
      <c r="E432" s="8" t="s">
        <v>39</v>
      </c>
      <c r="F432" s="8" t="s">
        <v>62</v>
      </c>
      <c r="G432" s="8" t="s">
        <v>30</v>
      </c>
      <c r="H432" s="8" t="s">
        <v>31</v>
      </c>
      <c r="I432" s="8" t="n">
        <f aca="false">IF(EXACT(G432,H432),1,0)</f>
        <v>0</v>
      </c>
      <c r="J432" s="8" t="n">
        <v>1</v>
      </c>
      <c r="K432" s="8" t="s">
        <v>116</v>
      </c>
      <c r="L432" s="8" t="n">
        <v>1</v>
      </c>
      <c r="M432" s="8" t="n">
        <v>4</v>
      </c>
      <c r="N432" s="8" t="s">
        <v>3636</v>
      </c>
      <c r="O432" s="8" t="n">
        <v>2</v>
      </c>
      <c r="P432" s="10" t="n">
        <v>22.13</v>
      </c>
      <c r="Q432" s="8" t="n">
        <v>8331</v>
      </c>
      <c r="R432" s="8" t="n">
        <v>1001</v>
      </c>
      <c r="S432" s="8" t="s">
        <v>557</v>
      </c>
      <c r="T432" s="8"/>
      <c r="U432" s="8"/>
      <c r="V432" s="8" t="s">
        <v>309</v>
      </c>
      <c r="W432" s="8"/>
      <c r="X432" s="8" t="s">
        <v>558</v>
      </c>
      <c r="Y432" s="8" t="s">
        <v>3749</v>
      </c>
      <c r="Z432" s="8" t="s">
        <v>3750</v>
      </c>
    </row>
    <row r="433" customFormat="false" ht="15" hidden="false" customHeight="false" outlineLevel="0" collapsed="false">
      <c r="A433" s="8" t="s">
        <v>556</v>
      </c>
      <c r="B433" s="8" t="s">
        <v>21</v>
      </c>
      <c r="C433" s="8" t="s">
        <v>22</v>
      </c>
      <c r="D433" s="8" t="s">
        <v>615</v>
      </c>
      <c r="E433" s="8" t="s">
        <v>39</v>
      </c>
      <c r="F433" s="8" t="s">
        <v>62</v>
      </c>
      <c r="G433" s="8" t="s">
        <v>30</v>
      </c>
      <c r="H433" s="8" t="s">
        <v>31</v>
      </c>
      <c r="I433" s="8" t="n">
        <f aca="false">IF(EXACT(G433,H433),1,0)</f>
        <v>0</v>
      </c>
      <c r="J433" s="8" t="n">
        <v>2</v>
      </c>
      <c r="K433" s="8" t="s">
        <v>116</v>
      </c>
      <c r="L433" s="8" t="n">
        <v>1</v>
      </c>
      <c r="M433" s="8" t="n">
        <v>5</v>
      </c>
      <c r="N433" s="8" t="s">
        <v>3751</v>
      </c>
      <c r="O433" s="8" t="n">
        <v>3</v>
      </c>
      <c r="P433" s="10" t="n">
        <v>26.93</v>
      </c>
      <c r="Q433" s="8" t="n">
        <v>13443</v>
      </c>
      <c r="R433" s="8" t="n">
        <v>1233</v>
      </c>
      <c r="S433" s="8" t="s">
        <v>557</v>
      </c>
      <c r="T433" s="8"/>
      <c r="U433" s="8"/>
      <c r="V433" s="8" t="s">
        <v>309</v>
      </c>
      <c r="W433" s="8"/>
      <c r="X433" s="8" t="s">
        <v>558</v>
      </c>
      <c r="Y433" s="8" t="s">
        <v>3752</v>
      </c>
      <c r="Z433" s="8" t="s">
        <v>3753</v>
      </c>
    </row>
    <row r="434" customFormat="false" ht="15" hidden="false" customHeight="false" outlineLevel="0" collapsed="false">
      <c r="A434" s="8" t="s">
        <v>559</v>
      </c>
      <c r="B434" s="8" t="s">
        <v>21</v>
      </c>
      <c r="C434" s="8" t="s">
        <v>22</v>
      </c>
      <c r="D434" s="8" t="s">
        <v>615</v>
      </c>
      <c r="E434" s="8" t="s">
        <v>39</v>
      </c>
      <c r="F434" s="8" t="s">
        <v>62</v>
      </c>
      <c r="G434" s="8" t="s">
        <v>30</v>
      </c>
      <c r="H434" s="8" t="s">
        <v>30</v>
      </c>
      <c r="I434" s="8" t="n">
        <f aca="false">IF(EXACT(G434,H434),1,0)</f>
        <v>1</v>
      </c>
      <c r="J434" s="8" t="n">
        <v>0</v>
      </c>
      <c r="K434" s="8" t="s">
        <v>92</v>
      </c>
      <c r="L434" s="8" t="n">
        <v>0</v>
      </c>
      <c r="M434" s="8" t="n">
        <v>4</v>
      </c>
      <c r="N434" s="8" t="s">
        <v>1926</v>
      </c>
      <c r="O434" s="8" t="n">
        <v>2</v>
      </c>
      <c r="P434" s="10" t="n">
        <v>22.29</v>
      </c>
      <c r="Q434" s="8" t="n">
        <v>8349</v>
      </c>
      <c r="R434" s="8" t="n">
        <v>929</v>
      </c>
      <c r="S434" s="8" t="s">
        <v>557</v>
      </c>
      <c r="T434" s="8"/>
      <c r="U434" s="8"/>
      <c r="V434" s="8" t="s">
        <v>309</v>
      </c>
      <c r="W434" s="8"/>
      <c r="X434" s="8" t="s">
        <v>560</v>
      </c>
      <c r="Y434" s="8" t="s">
        <v>3754</v>
      </c>
      <c r="Z434" s="8"/>
    </row>
    <row r="435" customFormat="false" ht="15" hidden="false" customHeight="false" outlineLevel="0" collapsed="false">
      <c r="A435" s="8" t="s">
        <v>559</v>
      </c>
      <c r="B435" s="8" t="s">
        <v>21</v>
      </c>
      <c r="C435" s="8" t="s">
        <v>22</v>
      </c>
      <c r="D435" s="8" t="s">
        <v>615</v>
      </c>
      <c r="E435" s="8" t="s">
        <v>39</v>
      </c>
      <c r="F435" s="8" t="s">
        <v>62</v>
      </c>
      <c r="G435" s="8" t="s">
        <v>30</v>
      </c>
      <c r="H435" s="8" t="s">
        <v>30</v>
      </c>
      <c r="I435" s="8" t="n">
        <f aca="false">IF(EXACT(G435,H435),1,0)</f>
        <v>1</v>
      </c>
      <c r="J435" s="8" t="n">
        <v>1</v>
      </c>
      <c r="K435" s="8" t="s">
        <v>92</v>
      </c>
      <c r="L435" s="8" t="n">
        <v>0</v>
      </c>
      <c r="M435" s="8" t="n">
        <v>4</v>
      </c>
      <c r="N435" s="8" t="s">
        <v>3636</v>
      </c>
      <c r="O435" s="8" t="n">
        <v>2</v>
      </c>
      <c r="P435" s="10" t="n">
        <v>24.45</v>
      </c>
      <c r="Q435" s="8" t="n">
        <v>8341</v>
      </c>
      <c r="R435" s="8" t="n">
        <v>1168</v>
      </c>
      <c r="S435" s="8" t="s">
        <v>557</v>
      </c>
      <c r="T435" s="8"/>
      <c r="U435" s="8"/>
      <c r="V435" s="8" t="s">
        <v>309</v>
      </c>
      <c r="W435" s="8"/>
      <c r="X435" s="8" t="s">
        <v>560</v>
      </c>
      <c r="Y435" s="8" t="s">
        <v>3755</v>
      </c>
      <c r="Z435" s="8"/>
    </row>
    <row r="436" customFormat="false" ht="15" hidden="false" customHeight="false" outlineLevel="0" collapsed="false">
      <c r="A436" s="8" t="s">
        <v>559</v>
      </c>
      <c r="B436" s="8" t="s">
        <v>21</v>
      </c>
      <c r="C436" s="8" t="s">
        <v>22</v>
      </c>
      <c r="D436" s="8" t="s">
        <v>615</v>
      </c>
      <c r="E436" s="8" t="s">
        <v>39</v>
      </c>
      <c r="F436" s="8" t="s">
        <v>62</v>
      </c>
      <c r="G436" s="8" t="s">
        <v>30</v>
      </c>
      <c r="H436" s="8" t="s">
        <v>30</v>
      </c>
      <c r="I436" s="8" t="n">
        <f aca="false">IF(EXACT(G436,H436),1,0)</f>
        <v>1</v>
      </c>
      <c r="J436" s="8" t="n">
        <v>2</v>
      </c>
      <c r="K436" s="8" t="s">
        <v>92</v>
      </c>
      <c r="L436" s="8" t="n">
        <v>0</v>
      </c>
      <c r="M436" s="8" t="n">
        <v>4</v>
      </c>
      <c r="N436" s="8" t="s">
        <v>3636</v>
      </c>
      <c r="O436" s="8" t="n">
        <v>2</v>
      </c>
      <c r="P436" s="10" t="n">
        <v>20.6</v>
      </c>
      <c r="Q436" s="8" t="n">
        <v>8339</v>
      </c>
      <c r="R436" s="8" t="n">
        <v>904</v>
      </c>
      <c r="S436" s="8" t="s">
        <v>557</v>
      </c>
      <c r="T436" s="8"/>
      <c r="U436" s="8"/>
      <c r="V436" s="8" t="s">
        <v>309</v>
      </c>
      <c r="W436" s="8"/>
      <c r="X436" s="8" t="s">
        <v>560</v>
      </c>
      <c r="Y436" s="8" t="s">
        <v>3756</v>
      </c>
      <c r="Z436" s="8"/>
    </row>
    <row r="437" customFormat="false" ht="15" hidden="false" customHeight="false" outlineLevel="0" collapsed="false">
      <c r="A437" s="8" t="s">
        <v>561</v>
      </c>
      <c r="B437" s="8" t="s">
        <v>21</v>
      </c>
      <c r="C437" s="8" t="s">
        <v>22</v>
      </c>
      <c r="D437" s="8" t="s">
        <v>615</v>
      </c>
      <c r="E437" s="8" t="s">
        <v>39</v>
      </c>
      <c r="F437" s="8" t="s">
        <v>62</v>
      </c>
      <c r="G437" s="8" t="s">
        <v>31</v>
      </c>
      <c r="H437" s="8" t="s">
        <v>31</v>
      </c>
      <c r="I437" s="8" t="n">
        <f aca="false">IF(EXACT(G437,H437),1,0)</f>
        <v>1</v>
      </c>
      <c r="J437" s="8" t="n">
        <v>0</v>
      </c>
      <c r="K437" s="8" t="s">
        <v>116</v>
      </c>
      <c r="L437" s="8" t="n">
        <v>4</v>
      </c>
      <c r="M437" s="8" t="n">
        <v>4</v>
      </c>
      <c r="N437" s="8" t="s">
        <v>1926</v>
      </c>
      <c r="O437" s="8" t="n">
        <v>2</v>
      </c>
      <c r="P437" s="10" t="n">
        <v>36.15</v>
      </c>
      <c r="Q437" s="8" t="n">
        <v>9140</v>
      </c>
      <c r="R437" s="8" t="n">
        <v>1921</v>
      </c>
      <c r="S437" s="8" t="s">
        <v>562</v>
      </c>
      <c r="T437" s="8"/>
      <c r="U437" s="8"/>
      <c r="V437" s="8" t="s">
        <v>155</v>
      </c>
      <c r="W437" s="8"/>
      <c r="X437" s="8" t="s">
        <v>563</v>
      </c>
      <c r="Y437" s="8" t="s">
        <v>3757</v>
      </c>
      <c r="Z437" s="8" t="s">
        <v>3758</v>
      </c>
    </row>
    <row r="438" customFormat="false" ht="15" hidden="false" customHeight="false" outlineLevel="0" collapsed="false">
      <c r="A438" s="8" t="s">
        <v>561</v>
      </c>
      <c r="B438" s="8" t="s">
        <v>21</v>
      </c>
      <c r="C438" s="8" t="s">
        <v>22</v>
      </c>
      <c r="D438" s="8" t="s">
        <v>615</v>
      </c>
      <c r="E438" s="8" t="s">
        <v>39</v>
      </c>
      <c r="F438" s="8" t="s">
        <v>62</v>
      </c>
      <c r="G438" s="8" t="s">
        <v>31</v>
      </c>
      <c r="H438" s="8" t="s">
        <v>31</v>
      </c>
      <c r="I438" s="8" t="n">
        <f aca="false">IF(EXACT(G438,H438),1,0)</f>
        <v>1</v>
      </c>
      <c r="J438" s="8" t="n">
        <v>1</v>
      </c>
      <c r="K438" s="8" t="s">
        <v>116</v>
      </c>
      <c r="L438" s="8" t="n">
        <v>4</v>
      </c>
      <c r="M438" s="8" t="n">
        <v>4</v>
      </c>
      <c r="N438" s="8" t="s">
        <v>1926</v>
      </c>
      <c r="O438" s="8" t="n">
        <v>2</v>
      </c>
      <c r="P438" s="10" t="n">
        <v>37.56</v>
      </c>
      <c r="Q438" s="8" t="n">
        <v>9139</v>
      </c>
      <c r="R438" s="8" t="n">
        <v>1936</v>
      </c>
      <c r="S438" s="8" t="s">
        <v>562</v>
      </c>
      <c r="T438" s="8"/>
      <c r="U438" s="8"/>
      <c r="V438" s="8" t="s">
        <v>155</v>
      </c>
      <c r="W438" s="8"/>
      <c r="X438" s="8" t="s">
        <v>563</v>
      </c>
      <c r="Y438" s="8" t="s">
        <v>3759</v>
      </c>
      <c r="Z438" s="8" t="s">
        <v>3760</v>
      </c>
    </row>
    <row r="439" customFormat="false" ht="15" hidden="false" customHeight="false" outlineLevel="0" collapsed="false">
      <c r="A439" s="8" t="s">
        <v>561</v>
      </c>
      <c r="B439" s="8" t="s">
        <v>21</v>
      </c>
      <c r="C439" s="8" t="s">
        <v>22</v>
      </c>
      <c r="D439" s="8" t="s">
        <v>615</v>
      </c>
      <c r="E439" s="8" t="s">
        <v>39</v>
      </c>
      <c r="F439" s="8" t="s">
        <v>62</v>
      </c>
      <c r="G439" s="8" t="s">
        <v>31</v>
      </c>
      <c r="H439" s="8" t="s">
        <v>31</v>
      </c>
      <c r="I439" s="8" t="n">
        <f aca="false">IF(EXACT(G439,H439),1,0)</f>
        <v>1</v>
      </c>
      <c r="J439" s="8" t="n">
        <v>2</v>
      </c>
      <c r="K439" s="8" t="s">
        <v>116</v>
      </c>
      <c r="L439" s="8" t="n">
        <v>2</v>
      </c>
      <c r="M439" s="8" t="n">
        <v>4</v>
      </c>
      <c r="N439" s="8" t="s">
        <v>1926</v>
      </c>
      <c r="O439" s="8" t="n">
        <v>2</v>
      </c>
      <c r="P439" s="10" t="n">
        <v>33.15</v>
      </c>
      <c r="Q439" s="8" t="n">
        <v>9139</v>
      </c>
      <c r="R439" s="8" t="n">
        <v>1703</v>
      </c>
      <c r="S439" s="8" t="s">
        <v>562</v>
      </c>
      <c r="T439" s="8"/>
      <c r="U439" s="8"/>
      <c r="V439" s="8" t="s">
        <v>155</v>
      </c>
      <c r="W439" s="8"/>
      <c r="X439" s="8" t="s">
        <v>563</v>
      </c>
      <c r="Y439" s="8" t="s">
        <v>3761</v>
      </c>
      <c r="Z439" s="8" t="s">
        <v>3762</v>
      </c>
    </row>
    <row r="440" customFormat="false" ht="15" hidden="false" customHeight="false" outlineLevel="0" collapsed="false">
      <c r="A440" s="8" t="s">
        <v>564</v>
      </c>
      <c r="B440" s="8" t="s">
        <v>21</v>
      </c>
      <c r="C440" s="8" t="s">
        <v>22</v>
      </c>
      <c r="D440" s="8" t="s">
        <v>615</v>
      </c>
      <c r="E440" s="8" t="s">
        <v>39</v>
      </c>
      <c r="F440" s="8" t="s">
        <v>62</v>
      </c>
      <c r="G440" s="8" t="s">
        <v>31</v>
      </c>
      <c r="H440" s="8" t="s">
        <v>31</v>
      </c>
      <c r="I440" s="8" t="n">
        <f aca="false">IF(EXACT(G440,H440),1,0)</f>
        <v>1</v>
      </c>
      <c r="J440" s="8" t="n">
        <v>0</v>
      </c>
      <c r="K440" s="8" t="s">
        <v>737</v>
      </c>
      <c r="L440" s="8" t="n">
        <v>4</v>
      </c>
      <c r="M440" s="8" t="n">
        <v>4</v>
      </c>
      <c r="N440" s="8" t="s">
        <v>1926</v>
      </c>
      <c r="O440" s="8" t="n">
        <v>2</v>
      </c>
      <c r="P440" s="10" t="n">
        <v>41.09</v>
      </c>
      <c r="Q440" s="8" t="n">
        <v>9619</v>
      </c>
      <c r="R440" s="8" t="n">
        <v>2399</v>
      </c>
      <c r="S440" s="8" t="s">
        <v>565</v>
      </c>
      <c r="T440" s="8"/>
      <c r="U440" s="8"/>
      <c r="V440" s="8" t="s">
        <v>155</v>
      </c>
      <c r="W440" s="8"/>
      <c r="X440" s="8" t="s">
        <v>566</v>
      </c>
      <c r="Y440" s="8" t="s">
        <v>3763</v>
      </c>
      <c r="Z440" s="8" t="s">
        <v>3764</v>
      </c>
    </row>
    <row r="441" customFormat="false" ht="15" hidden="false" customHeight="false" outlineLevel="0" collapsed="false">
      <c r="A441" s="8" t="s">
        <v>564</v>
      </c>
      <c r="B441" s="8" t="s">
        <v>21</v>
      </c>
      <c r="C441" s="8" t="s">
        <v>22</v>
      </c>
      <c r="D441" s="8" t="s">
        <v>615</v>
      </c>
      <c r="E441" s="8" t="s">
        <v>39</v>
      </c>
      <c r="F441" s="8" t="s">
        <v>62</v>
      </c>
      <c r="G441" s="8" t="s">
        <v>31</v>
      </c>
      <c r="H441" s="8" t="s">
        <v>31</v>
      </c>
      <c r="I441" s="8" t="n">
        <f aca="false">IF(EXACT(G441,H441),1,0)</f>
        <v>1</v>
      </c>
      <c r="J441" s="8" t="n">
        <v>1</v>
      </c>
      <c r="K441" s="8" t="s">
        <v>737</v>
      </c>
      <c r="L441" s="8" t="n">
        <v>4</v>
      </c>
      <c r="M441" s="8" t="n">
        <v>4</v>
      </c>
      <c r="N441" s="8" t="s">
        <v>1926</v>
      </c>
      <c r="O441" s="8" t="n">
        <v>2</v>
      </c>
      <c r="P441" s="10" t="n">
        <v>39.38</v>
      </c>
      <c r="Q441" s="8" t="n">
        <v>9618</v>
      </c>
      <c r="R441" s="8" t="n">
        <v>2282</v>
      </c>
      <c r="S441" s="8" t="s">
        <v>565</v>
      </c>
      <c r="T441" s="8"/>
      <c r="U441" s="8"/>
      <c r="V441" s="8" t="s">
        <v>155</v>
      </c>
      <c r="W441" s="8"/>
      <c r="X441" s="8" t="s">
        <v>566</v>
      </c>
      <c r="Y441" s="8" t="s">
        <v>3765</v>
      </c>
      <c r="Z441" s="8" t="s">
        <v>3766</v>
      </c>
    </row>
    <row r="442" customFormat="false" ht="15" hidden="false" customHeight="false" outlineLevel="0" collapsed="false">
      <c r="A442" s="8" t="s">
        <v>564</v>
      </c>
      <c r="B442" s="8" t="s">
        <v>21</v>
      </c>
      <c r="C442" s="8" t="s">
        <v>22</v>
      </c>
      <c r="D442" s="8" t="s">
        <v>615</v>
      </c>
      <c r="E442" s="8" t="s">
        <v>39</v>
      </c>
      <c r="F442" s="8" t="s">
        <v>62</v>
      </c>
      <c r="G442" s="8" t="s">
        <v>31</v>
      </c>
      <c r="H442" s="8" t="s">
        <v>31</v>
      </c>
      <c r="I442" s="8" t="n">
        <f aca="false">IF(EXACT(G442,H442),1,0)</f>
        <v>1</v>
      </c>
      <c r="J442" s="8" t="n">
        <v>2</v>
      </c>
      <c r="K442" s="8" t="s">
        <v>737</v>
      </c>
      <c r="L442" s="8" t="n">
        <v>3</v>
      </c>
      <c r="M442" s="8" t="n">
        <v>4</v>
      </c>
      <c r="N442" s="8" t="s">
        <v>1926</v>
      </c>
      <c r="O442" s="8" t="n">
        <v>2</v>
      </c>
      <c r="P442" s="10" t="n">
        <v>38.29</v>
      </c>
      <c r="Q442" s="8" t="n">
        <v>9621</v>
      </c>
      <c r="R442" s="8" t="n">
        <v>2149</v>
      </c>
      <c r="S442" s="8" t="s">
        <v>565</v>
      </c>
      <c r="T442" s="8"/>
      <c r="U442" s="8"/>
      <c r="V442" s="8" t="s">
        <v>155</v>
      </c>
      <c r="W442" s="8"/>
      <c r="X442" s="8" t="s">
        <v>566</v>
      </c>
      <c r="Y442" s="8" t="s">
        <v>3767</v>
      </c>
      <c r="Z442" s="8" t="s">
        <v>3768</v>
      </c>
    </row>
    <row r="443" customFormat="false" ht="15" hidden="false" customHeight="false" outlineLevel="0" collapsed="false">
      <c r="A443" s="8" t="s">
        <v>567</v>
      </c>
      <c r="B443" s="8" t="s">
        <v>21</v>
      </c>
      <c r="C443" s="8" t="s">
        <v>22</v>
      </c>
      <c r="D443" s="8" t="s">
        <v>615</v>
      </c>
      <c r="E443" s="8" t="s">
        <v>39</v>
      </c>
      <c r="F443" s="8" t="s">
        <v>62</v>
      </c>
      <c r="G443" s="8" t="s">
        <v>32</v>
      </c>
      <c r="H443" s="8" t="s">
        <v>32</v>
      </c>
      <c r="I443" s="8" t="n">
        <f aca="false">IF(EXACT(G443,H443),1,0)</f>
        <v>1</v>
      </c>
      <c r="J443" s="8" t="n">
        <v>0</v>
      </c>
      <c r="K443" s="8" t="s">
        <v>92</v>
      </c>
      <c r="L443" s="8" t="n">
        <v>0</v>
      </c>
      <c r="M443" s="8" t="n">
        <v>4</v>
      </c>
      <c r="N443" s="8" t="s">
        <v>1926</v>
      </c>
      <c r="O443" s="8" t="n">
        <v>2</v>
      </c>
      <c r="P443" s="10" t="n">
        <v>21</v>
      </c>
      <c r="Q443" s="8" t="n">
        <v>8655</v>
      </c>
      <c r="R443" s="8" t="n">
        <v>1045</v>
      </c>
      <c r="S443" s="8" t="s">
        <v>568</v>
      </c>
      <c r="T443" s="8"/>
      <c r="U443" s="8"/>
      <c r="V443" s="8" t="s">
        <v>155</v>
      </c>
      <c r="W443" s="8"/>
      <c r="X443" s="8" t="s">
        <v>569</v>
      </c>
      <c r="Y443" s="8" t="s">
        <v>3769</v>
      </c>
      <c r="Z443" s="8"/>
    </row>
    <row r="444" customFormat="false" ht="15" hidden="false" customHeight="false" outlineLevel="0" collapsed="false">
      <c r="A444" s="8" t="s">
        <v>567</v>
      </c>
      <c r="B444" s="8" t="s">
        <v>21</v>
      </c>
      <c r="C444" s="8" t="s">
        <v>22</v>
      </c>
      <c r="D444" s="8" t="s">
        <v>615</v>
      </c>
      <c r="E444" s="8" t="s">
        <v>39</v>
      </c>
      <c r="F444" s="8" t="s">
        <v>62</v>
      </c>
      <c r="G444" s="8" t="s">
        <v>32</v>
      </c>
      <c r="H444" s="8" t="s">
        <v>32</v>
      </c>
      <c r="I444" s="8" t="n">
        <f aca="false">IF(EXACT(G444,H444),1,0)</f>
        <v>1</v>
      </c>
      <c r="J444" s="8" t="n">
        <v>1</v>
      </c>
      <c r="K444" s="8" t="s">
        <v>92</v>
      </c>
      <c r="L444" s="8" t="n">
        <v>0</v>
      </c>
      <c r="M444" s="8" t="n">
        <v>4</v>
      </c>
      <c r="N444" s="8" t="s">
        <v>1926</v>
      </c>
      <c r="O444" s="8" t="n">
        <v>2</v>
      </c>
      <c r="P444" s="10" t="n">
        <v>22.2</v>
      </c>
      <c r="Q444" s="8" t="n">
        <v>8655</v>
      </c>
      <c r="R444" s="8" t="n">
        <v>1045</v>
      </c>
      <c r="S444" s="8" t="s">
        <v>568</v>
      </c>
      <c r="T444" s="8"/>
      <c r="U444" s="8"/>
      <c r="V444" s="8" t="s">
        <v>155</v>
      </c>
      <c r="W444" s="8"/>
      <c r="X444" s="8" t="s">
        <v>569</v>
      </c>
      <c r="Y444" s="8" t="s">
        <v>3770</v>
      </c>
      <c r="Z444" s="8"/>
    </row>
    <row r="445" customFormat="false" ht="15" hidden="false" customHeight="false" outlineLevel="0" collapsed="false">
      <c r="A445" s="8" t="s">
        <v>567</v>
      </c>
      <c r="B445" s="8" t="s">
        <v>21</v>
      </c>
      <c r="C445" s="8" t="s">
        <v>22</v>
      </c>
      <c r="D445" s="8" t="s">
        <v>615</v>
      </c>
      <c r="E445" s="8" t="s">
        <v>39</v>
      </c>
      <c r="F445" s="8" t="s">
        <v>62</v>
      </c>
      <c r="G445" s="8" t="s">
        <v>32</v>
      </c>
      <c r="H445" s="8" t="s">
        <v>32</v>
      </c>
      <c r="I445" s="8" t="n">
        <f aca="false">IF(EXACT(G445,H445),1,0)</f>
        <v>1</v>
      </c>
      <c r="J445" s="8" t="n">
        <v>2</v>
      </c>
      <c r="K445" s="8" t="s">
        <v>92</v>
      </c>
      <c r="L445" s="8" t="n">
        <v>0</v>
      </c>
      <c r="M445" s="8" t="n">
        <v>4</v>
      </c>
      <c r="N445" s="8" t="s">
        <v>1926</v>
      </c>
      <c r="O445" s="8" t="n">
        <v>2</v>
      </c>
      <c r="P445" s="10" t="n">
        <v>28.74</v>
      </c>
      <c r="Q445" s="8" t="n">
        <v>8655</v>
      </c>
      <c r="R445" s="8" t="n">
        <v>1039</v>
      </c>
      <c r="S445" s="8" t="s">
        <v>568</v>
      </c>
      <c r="T445" s="8"/>
      <c r="U445" s="8"/>
      <c r="V445" s="8" t="s">
        <v>155</v>
      </c>
      <c r="W445" s="8"/>
      <c r="X445" s="8" t="s">
        <v>569</v>
      </c>
      <c r="Y445" s="8" t="s">
        <v>3771</v>
      </c>
      <c r="Z445" s="8"/>
    </row>
    <row r="446" customFormat="false" ht="15" hidden="false" customHeight="false" outlineLevel="0" collapsed="false">
      <c r="A446" s="8" t="s">
        <v>570</v>
      </c>
      <c r="B446" s="8" t="s">
        <v>21</v>
      </c>
      <c r="C446" s="8" t="s">
        <v>22</v>
      </c>
      <c r="D446" s="8" t="s">
        <v>615</v>
      </c>
      <c r="E446" s="8" t="s">
        <v>39</v>
      </c>
      <c r="F446" s="8" t="s">
        <v>62</v>
      </c>
      <c r="G446" s="8" t="s">
        <v>32</v>
      </c>
      <c r="H446" s="8" t="s">
        <v>31</v>
      </c>
      <c r="I446" s="8" t="n">
        <f aca="false">IF(EXACT(G446,H446),1,0)</f>
        <v>0</v>
      </c>
      <c r="J446" s="8" t="n">
        <v>0</v>
      </c>
      <c r="K446" s="8" t="s">
        <v>737</v>
      </c>
      <c r="L446" s="8" t="n">
        <v>1</v>
      </c>
      <c r="M446" s="8" t="n">
        <v>4</v>
      </c>
      <c r="N446" s="8" t="s">
        <v>1926</v>
      </c>
      <c r="O446" s="8" t="n">
        <v>2</v>
      </c>
      <c r="P446" s="10" t="n">
        <v>35.58</v>
      </c>
      <c r="Q446" s="8" t="n">
        <v>8965</v>
      </c>
      <c r="R446" s="8" t="n">
        <v>1322</v>
      </c>
      <c r="S446" s="8" t="s">
        <v>571</v>
      </c>
      <c r="T446" s="8"/>
      <c r="U446" s="8"/>
      <c r="V446" s="8" t="s">
        <v>155</v>
      </c>
      <c r="W446" s="8"/>
      <c r="X446" s="8" t="s">
        <v>572</v>
      </c>
      <c r="Y446" s="8" t="s">
        <v>3772</v>
      </c>
      <c r="Z446" s="8" t="s">
        <v>3773</v>
      </c>
    </row>
    <row r="447" customFormat="false" ht="15" hidden="false" customHeight="false" outlineLevel="0" collapsed="false">
      <c r="A447" s="8" t="s">
        <v>570</v>
      </c>
      <c r="B447" s="8" t="s">
        <v>21</v>
      </c>
      <c r="C447" s="8" t="s">
        <v>22</v>
      </c>
      <c r="D447" s="8" t="s">
        <v>615</v>
      </c>
      <c r="E447" s="8" t="s">
        <v>39</v>
      </c>
      <c r="F447" s="8" t="s">
        <v>62</v>
      </c>
      <c r="G447" s="8" t="s">
        <v>32</v>
      </c>
      <c r="H447" s="8" t="s">
        <v>31</v>
      </c>
      <c r="I447" s="8" t="n">
        <f aca="false">IF(EXACT(G447,H447),1,0)</f>
        <v>0</v>
      </c>
      <c r="J447" s="8" t="n">
        <v>1</v>
      </c>
      <c r="K447" s="8" t="s">
        <v>737</v>
      </c>
      <c r="L447" s="8" t="n">
        <v>1</v>
      </c>
      <c r="M447" s="8" t="n">
        <v>4</v>
      </c>
      <c r="N447" s="8" t="s">
        <v>1926</v>
      </c>
      <c r="O447" s="8" t="n">
        <v>2</v>
      </c>
      <c r="P447" s="10" t="n">
        <v>33.69</v>
      </c>
      <c r="Q447" s="8" t="n">
        <v>8965</v>
      </c>
      <c r="R447" s="8" t="n">
        <v>1273</v>
      </c>
      <c r="S447" s="8" t="s">
        <v>571</v>
      </c>
      <c r="T447" s="8"/>
      <c r="U447" s="8"/>
      <c r="V447" s="8" t="s">
        <v>155</v>
      </c>
      <c r="W447" s="8"/>
      <c r="X447" s="8" t="s">
        <v>572</v>
      </c>
      <c r="Y447" s="8" t="s">
        <v>3774</v>
      </c>
      <c r="Z447" s="8" t="s">
        <v>3775</v>
      </c>
    </row>
    <row r="448" customFormat="false" ht="15" hidden="false" customHeight="false" outlineLevel="0" collapsed="false">
      <c r="A448" s="8" t="s">
        <v>570</v>
      </c>
      <c r="B448" s="8" t="s">
        <v>21</v>
      </c>
      <c r="C448" s="8" t="s">
        <v>22</v>
      </c>
      <c r="D448" s="8" t="s">
        <v>615</v>
      </c>
      <c r="E448" s="8" t="s">
        <v>39</v>
      </c>
      <c r="F448" s="8" t="s">
        <v>62</v>
      </c>
      <c r="G448" s="8" t="s">
        <v>32</v>
      </c>
      <c r="H448" s="8" t="s">
        <v>31</v>
      </c>
      <c r="I448" s="8" t="n">
        <f aca="false">IF(EXACT(G448,H448),1,0)</f>
        <v>0</v>
      </c>
      <c r="J448" s="8" t="n">
        <v>2</v>
      </c>
      <c r="K448" s="8" t="s">
        <v>737</v>
      </c>
      <c r="L448" s="8" t="n">
        <v>1</v>
      </c>
      <c r="M448" s="8" t="n">
        <v>4</v>
      </c>
      <c r="N448" s="8" t="s">
        <v>1926</v>
      </c>
      <c r="O448" s="8" t="n">
        <v>2</v>
      </c>
      <c r="P448" s="10" t="n">
        <v>34.14</v>
      </c>
      <c r="Q448" s="8" t="n">
        <v>8965</v>
      </c>
      <c r="R448" s="8" t="n">
        <v>1320</v>
      </c>
      <c r="S448" s="8" t="s">
        <v>571</v>
      </c>
      <c r="T448" s="8"/>
      <c r="U448" s="8"/>
      <c r="V448" s="8" t="s">
        <v>155</v>
      </c>
      <c r="W448" s="8"/>
      <c r="X448" s="8" t="s">
        <v>572</v>
      </c>
      <c r="Y448" s="8" t="s">
        <v>3776</v>
      </c>
      <c r="Z448" s="8" t="s">
        <v>3777</v>
      </c>
    </row>
    <row r="449" customFormat="false" ht="15" hidden="false" customHeight="false" outlineLevel="0" collapsed="false">
      <c r="A449" s="8" t="s">
        <v>242</v>
      </c>
      <c r="B449" s="8" t="s">
        <v>21</v>
      </c>
      <c r="C449" s="8" t="s">
        <v>22</v>
      </c>
      <c r="D449" s="8" t="s">
        <v>615</v>
      </c>
      <c r="E449" s="8" t="s">
        <v>40</v>
      </c>
      <c r="F449" s="8" t="s">
        <v>48</v>
      </c>
      <c r="G449" s="8" t="s">
        <v>32</v>
      </c>
      <c r="H449" s="8" t="s">
        <v>32</v>
      </c>
      <c r="I449" s="8" t="n">
        <f aca="false">IF(EXACT(G449,H449),1,0)</f>
        <v>1</v>
      </c>
      <c r="J449" s="8" t="n">
        <v>0</v>
      </c>
      <c r="K449" s="8" t="s">
        <v>92</v>
      </c>
      <c r="L449" s="8" t="n">
        <v>0</v>
      </c>
      <c r="M449" s="8" t="n">
        <v>5</v>
      </c>
      <c r="N449" s="8" t="s">
        <v>2057</v>
      </c>
      <c r="O449" s="8" t="n">
        <v>2</v>
      </c>
      <c r="P449" s="10" t="n">
        <v>16.64</v>
      </c>
      <c r="Q449" s="8" t="n">
        <v>8531</v>
      </c>
      <c r="R449" s="8" t="n">
        <v>851</v>
      </c>
      <c r="S449" s="8" t="s">
        <v>94</v>
      </c>
      <c r="T449" s="8" t="s">
        <v>243</v>
      </c>
      <c r="U449" s="8" t="s">
        <v>244</v>
      </c>
      <c r="V449" s="8"/>
      <c r="W449" s="8" t="s">
        <v>245</v>
      </c>
      <c r="X449" s="8" t="s">
        <v>573</v>
      </c>
      <c r="Y449" s="8" t="s">
        <v>3778</v>
      </c>
      <c r="Z449" s="8"/>
    </row>
    <row r="450" customFormat="false" ht="15" hidden="false" customHeight="false" outlineLevel="0" collapsed="false">
      <c r="A450" s="8" t="s">
        <v>242</v>
      </c>
      <c r="B450" s="8" t="s">
        <v>21</v>
      </c>
      <c r="C450" s="8" t="s">
        <v>22</v>
      </c>
      <c r="D450" s="8" t="s">
        <v>615</v>
      </c>
      <c r="E450" s="8" t="s">
        <v>40</v>
      </c>
      <c r="F450" s="8" t="s">
        <v>48</v>
      </c>
      <c r="G450" s="8" t="s">
        <v>32</v>
      </c>
      <c r="H450" s="8" t="s">
        <v>32</v>
      </c>
      <c r="I450" s="8" t="n">
        <f aca="false">IF(EXACT(G450,H450),1,0)</f>
        <v>1</v>
      </c>
      <c r="J450" s="8" t="n">
        <v>1</v>
      </c>
      <c r="K450" s="8" t="s">
        <v>92</v>
      </c>
      <c r="L450" s="8" t="n">
        <v>0</v>
      </c>
      <c r="M450" s="8" t="n">
        <v>5</v>
      </c>
      <c r="N450" s="8" t="s">
        <v>2057</v>
      </c>
      <c r="O450" s="8" t="n">
        <v>2</v>
      </c>
      <c r="P450" s="10" t="n">
        <v>17.76</v>
      </c>
      <c r="Q450" s="8" t="n">
        <v>8528</v>
      </c>
      <c r="R450" s="8" t="n">
        <v>909</v>
      </c>
      <c r="S450" s="8" t="s">
        <v>94</v>
      </c>
      <c r="T450" s="8" t="s">
        <v>243</v>
      </c>
      <c r="U450" s="8" t="s">
        <v>244</v>
      </c>
      <c r="V450" s="8"/>
      <c r="W450" s="8" t="s">
        <v>245</v>
      </c>
      <c r="X450" s="8" t="s">
        <v>573</v>
      </c>
      <c r="Y450" s="8" t="s">
        <v>3779</v>
      </c>
      <c r="Z450" s="8"/>
    </row>
    <row r="451" customFormat="false" ht="15" hidden="false" customHeight="false" outlineLevel="0" collapsed="false">
      <c r="A451" s="8" t="s">
        <v>242</v>
      </c>
      <c r="B451" s="8" t="s">
        <v>21</v>
      </c>
      <c r="C451" s="8" t="s">
        <v>22</v>
      </c>
      <c r="D451" s="8" t="s">
        <v>615</v>
      </c>
      <c r="E451" s="8" t="s">
        <v>40</v>
      </c>
      <c r="F451" s="8" t="s">
        <v>48</v>
      </c>
      <c r="G451" s="8" t="s">
        <v>32</v>
      </c>
      <c r="H451" s="8" t="s">
        <v>32</v>
      </c>
      <c r="I451" s="8" t="n">
        <f aca="false">IF(EXACT(G451,H451),1,0)</f>
        <v>1</v>
      </c>
      <c r="J451" s="8" t="n">
        <v>2</v>
      </c>
      <c r="K451" s="8" t="s">
        <v>92</v>
      </c>
      <c r="L451" s="8" t="n">
        <v>0</v>
      </c>
      <c r="M451" s="8" t="n">
        <v>5</v>
      </c>
      <c r="N451" s="8" t="s">
        <v>2057</v>
      </c>
      <c r="O451" s="8" t="n">
        <v>2</v>
      </c>
      <c r="P451" s="10" t="n">
        <v>18.3</v>
      </c>
      <c r="Q451" s="8" t="n">
        <v>8528</v>
      </c>
      <c r="R451" s="8" t="n">
        <v>907</v>
      </c>
      <c r="S451" s="8" t="s">
        <v>94</v>
      </c>
      <c r="T451" s="8" t="s">
        <v>243</v>
      </c>
      <c r="U451" s="8" t="s">
        <v>244</v>
      </c>
      <c r="V451" s="8"/>
      <c r="W451" s="8" t="s">
        <v>245</v>
      </c>
      <c r="X451" s="8" t="s">
        <v>573</v>
      </c>
      <c r="Y451" s="8" t="s">
        <v>3780</v>
      </c>
      <c r="Z451" s="8"/>
    </row>
    <row r="452" customFormat="false" ht="15" hidden="false" customHeight="false" outlineLevel="0" collapsed="false">
      <c r="A452" s="8" t="s">
        <v>247</v>
      </c>
      <c r="B452" s="8" t="s">
        <v>21</v>
      </c>
      <c r="C452" s="8" t="s">
        <v>22</v>
      </c>
      <c r="D452" s="8" t="s">
        <v>615</v>
      </c>
      <c r="E452" s="8" t="s">
        <v>40</v>
      </c>
      <c r="F452" s="8" t="s">
        <v>48</v>
      </c>
      <c r="G452" s="8" t="s">
        <v>30</v>
      </c>
      <c r="H452" s="8" t="s">
        <v>30</v>
      </c>
      <c r="I452" s="8" t="n">
        <f aca="false">IF(EXACT(G452,H452),1,0)</f>
        <v>1</v>
      </c>
      <c r="J452" s="8" t="n">
        <v>0</v>
      </c>
      <c r="K452" s="8" t="s">
        <v>92</v>
      </c>
      <c r="L452" s="8" t="n">
        <v>0</v>
      </c>
      <c r="M452" s="8" t="n">
        <v>5</v>
      </c>
      <c r="N452" s="8" t="s">
        <v>3781</v>
      </c>
      <c r="O452" s="8" t="n">
        <v>2</v>
      </c>
      <c r="P452" s="10" t="n">
        <v>30.73</v>
      </c>
      <c r="Q452" s="8" t="n">
        <v>8711</v>
      </c>
      <c r="R452" s="8" t="n">
        <v>1039</v>
      </c>
      <c r="S452" s="8" t="s">
        <v>216</v>
      </c>
      <c r="T452" s="8" t="s">
        <v>243</v>
      </c>
      <c r="U452" s="8" t="s">
        <v>244</v>
      </c>
      <c r="V452" s="8"/>
      <c r="W452" s="8" t="s">
        <v>248</v>
      </c>
      <c r="X452" s="8" t="s">
        <v>574</v>
      </c>
      <c r="Y452" s="8" t="s">
        <v>3782</v>
      </c>
      <c r="Z452" s="8"/>
    </row>
    <row r="453" customFormat="false" ht="15" hidden="false" customHeight="false" outlineLevel="0" collapsed="false">
      <c r="A453" s="8" t="s">
        <v>247</v>
      </c>
      <c r="B453" s="8" t="s">
        <v>21</v>
      </c>
      <c r="C453" s="8" t="s">
        <v>22</v>
      </c>
      <c r="D453" s="8" t="s">
        <v>615</v>
      </c>
      <c r="E453" s="8" t="s">
        <v>40</v>
      </c>
      <c r="F453" s="8" t="s">
        <v>48</v>
      </c>
      <c r="G453" s="8" t="s">
        <v>30</v>
      </c>
      <c r="H453" s="8" t="s">
        <v>30</v>
      </c>
      <c r="I453" s="8" t="n">
        <f aca="false">IF(EXACT(G453,H453),1,0)</f>
        <v>1</v>
      </c>
      <c r="J453" s="8" t="n">
        <v>1</v>
      </c>
      <c r="K453" s="8" t="s">
        <v>92</v>
      </c>
      <c r="L453" s="8" t="n">
        <v>0</v>
      </c>
      <c r="M453" s="8" t="n">
        <v>5</v>
      </c>
      <c r="N453" s="8" t="s">
        <v>2057</v>
      </c>
      <c r="O453" s="8" t="n">
        <v>2</v>
      </c>
      <c r="P453" s="10" t="n">
        <v>30.92</v>
      </c>
      <c r="Q453" s="8" t="n">
        <v>8722</v>
      </c>
      <c r="R453" s="8" t="n">
        <v>1052</v>
      </c>
      <c r="S453" s="8" t="s">
        <v>216</v>
      </c>
      <c r="T453" s="8" t="s">
        <v>243</v>
      </c>
      <c r="U453" s="8" t="s">
        <v>244</v>
      </c>
      <c r="V453" s="8"/>
      <c r="W453" s="8" t="s">
        <v>248</v>
      </c>
      <c r="X453" s="8" t="s">
        <v>574</v>
      </c>
      <c r="Y453" s="8" t="s">
        <v>3783</v>
      </c>
      <c r="Z453" s="8"/>
    </row>
    <row r="454" customFormat="false" ht="15" hidden="false" customHeight="false" outlineLevel="0" collapsed="false">
      <c r="A454" s="8" t="s">
        <v>247</v>
      </c>
      <c r="B454" s="8" t="s">
        <v>21</v>
      </c>
      <c r="C454" s="8" t="s">
        <v>22</v>
      </c>
      <c r="D454" s="8" t="s">
        <v>615</v>
      </c>
      <c r="E454" s="8" t="s">
        <v>40</v>
      </c>
      <c r="F454" s="8" t="s">
        <v>48</v>
      </c>
      <c r="G454" s="8" t="s">
        <v>30</v>
      </c>
      <c r="H454" s="8" t="s">
        <v>30</v>
      </c>
      <c r="I454" s="8" t="n">
        <f aca="false">IF(EXACT(G454,H454),1,0)</f>
        <v>1</v>
      </c>
      <c r="J454" s="8" t="n">
        <v>2</v>
      </c>
      <c r="K454" s="8" t="s">
        <v>92</v>
      </c>
      <c r="L454" s="8" t="n">
        <v>0</v>
      </c>
      <c r="M454" s="8" t="n">
        <v>5</v>
      </c>
      <c r="N454" s="8" t="s">
        <v>2057</v>
      </c>
      <c r="O454" s="8" t="n">
        <v>2</v>
      </c>
      <c r="P454" s="10" t="n">
        <v>28.29</v>
      </c>
      <c r="Q454" s="8" t="n">
        <v>8722</v>
      </c>
      <c r="R454" s="8" t="n">
        <v>1073</v>
      </c>
      <c r="S454" s="8" t="s">
        <v>216</v>
      </c>
      <c r="T454" s="8" t="s">
        <v>243</v>
      </c>
      <c r="U454" s="8" t="s">
        <v>244</v>
      </c>
      <c r="V454" s="8"/>
      <c r="W454" s="8" t="s">
        <v>248</v>
      </c>
      <c r="X454" s="8" t="s">
        <v>574</v>
      </c>
      <c r="Y454" s="8" t="s">
        <v>3784</v>
      </c>
      <c r="Z454" s="8"/>
    </row>
    <row r="455" customFormat="false" ht="15" hidden="false" customHeight="false" outlineLevel="0" collapsed="false">
      <c r="A455" s="8" t="s">
        <v>250</v>
      </c>
      <c r="B455" s="8" t="s">
        <v>21</v>
      </c>
      <c r="C455" s="8" t="s">
        <v>22</v>
      </c>
      <c r="D455" s="8" t="s">
        <v>615</v>
      </c>
      <c r="E455" s="8" t="s">
        <v>40</v>
      </c>
      <c r="F455" s="8" t="s">
        <v>48</v>
      </c>
      <c r="G455" s="8" t="s">
        <v>32</v>
      </c>
      <c r="H455" s="8" t="s">
        <v>32</v>
      </c>
      <c r="I455" s="8" t="n">
        <f aca="false">IF(EXACT(G455,H455),1,0)</f>
        <v>1</v>
      </c>
      <c r="J455" s="8" t="n">
        <v>0</v>
      </c>
      <c r="K455" s="8" t="s">
        <v>92</v>
      </c>
      <c r="L455" s="8" t="n">
        <v>0</v>
      </c>
      <c r="M455" s="8" t="n">
        <v>5</v>
      </c>
      <c r="N455" s="8" t="s">
        <v>2057</v>
      </c>
      <c r="O455" s="8" t="n">
        <v>2</v>
      </c>
      <c r="P455" s="10" t="n">
        <v>24.97</v>
      </c>
      <c r="Q455" s="8" t="n">
        <v>8857</v>
      </c>
      <c r="R455" s="8" t="n">
        <v>1132</v>
      </c>
      <c r="S455" s="8" t="s">
        <v>251</v>
      </c>
      <c r="T455" s="8" t="s">
        <v>243</v>
      </c>
      <c r="U455" s="8" t="s">
        <v>244</v>
      </c>
      <c r="V455" s="8"/>
      <c r="W455" s="8" t="s">
        <v>252</v>
      </c>
      <c r="X455" s="8" t="s">
        <v>575</v>
      </c>
      <c r="Y455" s="8" t="s">
        <v>3785</v>
      </c>
      <c r="Z455" s="8"/>
    </row>
    <row r="456" customFormat="false" ht="15" hidden="false" customHeight="false" outlineLevel="0" collapsed="false">
      <c r="A456" s="8" t="s">
        <v>250</v>
      </c>
      <c r="B456" s="8" t="s">
        <v>21</v>
      </c>
      <c r="C456" s="8" t="s">
        <v>22</v>
      </c>
      <c r="D456" s="8" t="s">
        <v>615</v>
      </c>
      <c r="E456" s="8" t="s">
        <v>40</v>
      </c>
      <c r="F456" s="8" t="s">
        <v>48</v>
      </c>
      <c r="G456" s="8" t="s">
        <v>32</v>
      </c>
      <c r="H456" s="8" t="s">
        <v>32</v>
      </c>
      <c r="I456" s="8" t="n">
        <f aca="false">IF(EXACT(G456,H456),1,0)</f>
        <v>1</v>
      </c>
      <c r="J456" s="8" t="n">
        <v>1</v>
      </c>
      <c r="K456" s="8" t="s">
        <v>92</v>
      </c>
      <c r="L456" s="8" t="n">
        <v>0</v>
      </c>
      <c r="M456" s="8" t="n">
        <v>5</v>
      </c>
      <c r="N456" s="8" t="s">
        <v>2057</v>
      </c>
      <c r="O456" s="8" t="n">
        <v>2</v>
      </c>
      <c r="P456" s="10" t="n">
        <v>24.13</v>
      </c>
      <c r="Q456" s="8" t="n">
        <v>8857</v>
      </c>
      <c r="R456" s="8" t="n">
        <v>1156</v>
      </c>
      <c r="S456" s="8" t="s">
        <v>251</v>
      </c>
      <c r="T456" s="8" t="s">
        <v>243</v>
      </c>
      <c r="U456" s="8" t="s">
        <v>244</v>
      </c>
      <c r="V456" s="8"/>
      <c r="W456" s="8" t="s">
        <v>252</v>
      </c>
      <c r="X456" s="8" t="s">
        <v>575</v>
      </c>
      <c r="Y456" s="8" t="s">
        <v>3786</v>
      </c>
      <c r="Z456" s="8"/>
    </row>
    <row r="457" customFormat="false" ht="15" hidden="false" customHeight="false" outlineLevel="0" collapsed="false">
      <c r="A457" s="8" t="s">
        <v>250</v>
      </c>
      <c r="B457" s="8" t="s">
        <v>21</v>
      </c>
      <c r="C457" s="8" t="s">
        <v>22</v>
      </c>
      <c r="D457" s="8" t="s">
        <v>615</v>
      </c>
      <c r="E457" s="8" t="s">
        <v>40</v>
      </c>
      <c r="F457" s="8" t="s">
        <v>48</v>
      </c>
      <c r="G457" s="8" t="s">
        <v>32</v>
      </c>
      <c r="H457" s="8" t="s">
        <v>32</v>
      </c>
      <c r="I457" s="8" t="n">
        <f aca="false">IF(EXACT(G457,H457),1,0)</f>
        <v>1</v>
      </c>
      <c r="J457" s="8" t="n">
        <v>2</v>
      </c>
      <c r="K457" s="8" t="s">
        <v>92</v>
      </c>
      <c r="L457" s="8" t="n">
        <v>0</v>
      </c>
      <c r="M457" s="8" t="n">
        <v>5</v>
      </c>
      <c r="N457" s="8" t="s">
        <v>2057</v>
      </c>
      <c r="O457" s="8" t="n">
        <v>2</v>
      </c>
      <c r="P457" s="10" t="n">
        <v>24.27</v>
      </c>
      <c r="Q457" s="8" t="n">
        <v>8857</v>
      </c>
      <c r="R457" s="8" t="n">
        <v>1167</v>
      </c>
      <c r="S457" s="8" t="s">
        <v>251</v>
      </c>
      <c r="T457" s="8" t="s">
        <v>243</v>
      </c>
      <c r="U457" s="8" t="s">
        <v>244</v>
      </c>
      <c r="V457" s="8"/>
      <c r="W457" s="8" t="s">
        <v>252</v>
      </c>
      <c r="X457" s="8" t="s">
        <v>575</v>
      </c>
      <c r="Y457" s="8" t="s">
        <v>3787</v>
      </c>
      <c r="Z457" s="8"/>
    </row>
    <row r="458" customFormat="false" ht="15" hidden="false" customHeight="false" outlineLevel="0" collapsed="false">
      <c r="A458" s="8" t="s">
        <v>254</v>
      </c>
      <c r="B458" s="8" t="s">
        <v>21</v>
      </c>
      <c r="C458" s="8" t="s">
        <v>22</v>
      </c>
      <c r="D458" s="8" t="s">
        <v>615</v>
      </c>
      <c r="E458" s="8" t="s">
        <v>40</v>
      </c>
      <c r="F458" s="8" t="s">
        <v>48</v>
      </c>
      <c r="G458" s="8" t="s">
        <v>31</v>
      </c>
      <c r="H458" s="8" t="s">
        <v>31</v>
      </c>
      <c r="I458" s="8" t="n">
        <f aca="false">IF(EXACT(G458,H458),1,0)</f>
        <v>1</v>
      </c>
      <c r="J458" s="8" t="n">
        <v>0</v>
      </c>
      <c r="K458" s="8" t="s">
        <v>116</v>
      </c>
      <c r="L458" s="8" t="n">
        <v>2</v>
      </c>
      <c r="M458" s="8" t="n">
        <v>5</v>
      </c>
      <c r="N458" s="8" t="s">
        <v>2057</v>
      </c>
      <c r="O458" s="8" t="n">
        <v>2</v>
      </c>
      <c r="P458" s="10" t="n">
        <v>28.54</v>
      </c>
      <c r="Q458" s="8" t="n">
        <v>8804</v>
      </c>
      <c r="R458" s="8" t="n">
        <v>1366</v>
      </c>
      <c r="S458" s="8" t="s">
        <v>255</v>
      </c>
      <c r="T458" s="8" t="s">
        <v>256</v>
      </c>
      <c r="U458" s="8" t="s">
        <v>257</v>
      </c>
      <c r="V458" s="8"/>
      <c r="W458" s="8" t="s">
        <v>258</v>
      </c>
      <c r="X458" s="8" t="s">
        <v>576</v>
      </c>
      <c r="Y458" s="8" t="s">
        <v>3788</v>
      </c>
      <c r="Z458" s="8" t="s">
        <v>3789</v>
      </c>
    </row>
    <row r="459" customFormat="false" ht="15" hidden="false" customHeight="false" outlineLevel="0" collapsed="false">
      <c r="A459" s="8" t="s">
        <v>254</v>
      </c>
      <c r="B459" s="8" t="s">
        <v>21</v>
      </c>
      <c r="C459" s="8" t="s">
        <v>22</v>
      </c>
      <c r="D459" s="8" t="s">
        <v>615</v>
      </c>
      <c r="E459" s="8" t="s">
        <v>40</v>
      </c>
      <c r="F459" s="8" t="s">
        <v>48</v>
      </c>
      <c r="G459" s="8" t="s">
        <v>31</v>
      </c>
      <c r="H459" s="8" t="s">
        <v>31</v>
      </c>
      <c r="I459" s="8" t="n">
        <f aca="false">IF(EXACT(G459,H459),1,0)</f>
        <v>1</v>
      </c>
      <c r="J459" s="8" t="n">
        <v>1</v>
      </c>
      <c r="K459" s="8" t="s">
        <v>116</v>
      </c>
      <c r="L459" s="8" t="n">
        <v>2</v>
      </c>
      <c r="M459" s="8" t="n">
        <v>5</v>
      </c>
      <c r="N459" s="8" t="s">
        <v>2057</v>
      </c>
      <c r="O459" s="8" t="n">
        <v>2</v>
      </c>
      <c r="P459" s="10" t="n">
        <v>28.61</v>
      </c>
      <c r="Q459" s="8" t="n">
        <v>8804</v>
      </c>
      <c r="R459" s="8" t="n">
        <v>1472</v>
      </c>
      <c r="S459" s="8" t="s">
        <v>255</v>
      </c>
      <c r="T459" s="8" t="s">
        <v>256</v>
      </c>
      <c r="U459" s="8" t="s">
        <v>257</v>
      </c>
      <c r="V459" s="8"/>
      <c r="W459" s="8" t="s">
        <v>258</v>
      </c>
      <c r="X459" s="8" t="s">
        <v>576</v>
      </c>
      <c r="Y459" s="8" t="s">
        <v>3790</v>
      </c>
      <c r="Z459" s="8" t="s">
        <v>3791</v>
      </c>
    </row>
    <row r="460" customFormat="false" ht="15" hidden="false" customHeight="false" outlineLevel="0" collapsed="false">
      <c r="A460" s="8" t="s">
        <v>254</v>
      </c>
      <c r="B460" s="8" t="s">
        <v>21</v>
      </c>
      <c r="C460" s="8" t="s">
        <v>22</v>
      </c>
      <c r="D460" s="8" t="s">
        <v>615</v>
      </c>
      <c r="E460" s="8" t="s">
        <v>40</v>
      </c>
      <c r="F460" s="8" t="s">
        <v>48</v>
      </c>
      <c r="G460" s="8" t="s">
        <v>31</v>
      </c>
      <c r="H460" s="8" t="s">
        <v>31</v>
      </c>
      <c r="I460" s="8" t="n">
        <f aca="false">IF(EXACT(G460,H460),1,0)</f>
        <v>1</v>
      </c>
      <c r="J460" s="8" t="n">
        <v>2</v>
      </c>
      <c r="K460" s="8" t="s">
        <v>116</v>
      </c>
      <c r="L460" s="8" t="n">
        <v>2</v>
      </c>
      <c r="M460" s="8" t="n">
        <v>5</v>
      </c>
      <c r="N460" s="8" t="s">
        <v>2057</v>
      </c>
      <c r="O460" s="8" t="n">
        <v>2</v>
      </c>
      <c r="P460" s="10" t="n">
        <v>27.27</v>
      </c>
      <c r="Q460" s="8" t="n">
        <v>8804</v>
      </c>
      <c r="R460" s="8" t="n">
        <v>1382</v>
      </c>
      <c r="S460" s="8" t="s">
        <v>255</v>
      </c>
      <c r="T460" s="8" t="s">
        <v>256</v>
      </c>
      <c r="U460" s="8" t="s">
        <v>257</v>
      </c>
      <c r="V460" s="8"/>
      <c r="W460" s="8" t="s">
        <v>258</v>
      </c>
      <c r="X460" s="8" t="s">
        <v>576</v>
      </c>
      <c r="Y460" s="8" t="s">
        <v>3792</v>
      </c>
      <c r="Z460" s="8" t="s">
        <v>3793</v>
      </c>
    </row>
    <row r="461" customFormat="false" ht="15" hidden="false" customHeight="false" outlineLevel="0" collapsed="false">
      <c r="A461" s="8" t="s">
        <v>261</v>
      </c>
      <c r="B461" s="8" t="s">
        <v>21</v>
      </c>
      <c r="C461" s="8" t="s">
        <v>22</v>
      </c>
      <c r="D461" s="8" t="s">
        <v>615</v>
      </c>
      <c r="E461" s="8" t="s">
        <v>40</v>
      </c>
      <c r="F461" s="8" t="s">
        <v>48</v>
      </c>
      <c r="G461" s="8" t="s">
        <v>30</v>
      </c>
      <c r="H461" s="8" t="s">
        <v>30</v>
      </c>
      <c r="I461" s="8" t="n">
        <f aca="false">IF(EXACT(G461,H461),1,0)</f>
        <v>1</v>
      </c>
      <c r="J461" s="8" t="n">
        <v>0</v>
      </c>
      <c r="K461" s="8" t="s">
        <v>92</v>
      </c>
      <c r="L461" s="8" t="n">
        <v>0</v>
      </c>
      <c r="M461" s="8" t="n">
        <v>5</v>
      </c>
      <c r="N461" s="8" t="s">
        <v>2057</v>
      </c>
      <c r="O461" s="8" t="n">
        <v>2</v>
      </c>
      <c r="P461" s="10" t="n">
        <v>22.85</v>
      </c>
      <c r="Q461" s="8" t="n">
        <v>8797</v>
      </c>
      <c r="R461" s="8" t="n">
        <v>1073</v>
      </c>
      <c r="S461" s="8" t="s">
        <v>262</v>
      </c>
      <c r="T461" s="8" t="s">
        <v>256</v>
      </c>
      <c r="U461" s="8" t="s">
        <v>257</v>
      </c>
      <c r="V461" s="8"/>
      <c r="W461" s="8" t="s">
        <v>263</v>
      </c>
      <c r="X461" s="8" t="s">
        <v>577</v>
      </c>
      <c r="Y461" s="8" t="s">
        <v>3794</v>
      </c>
      <c r="Z461" s="8"/>
    </row>
    <row r="462" customFormat="false" ht="15" hidden="false" customHeight="false" outlineLevel="0" collapsed="false">
      <c r="A462" s="8" t="s">
        <v>261</v>
      </c>
      <c r="B462" s="8" t="s">
        <v>21</v>
      </c>
      <c r="C462" s="8" t="s">
        <v>22</v>
      </c>
      <c r="D462" s="8" t="s">
        <v>615</v>
      </c>
      <c r="E462" s="8" t="s">
        <v>40</v>
      </c>
      <c r="F462" s="8" t="s">
        <v>48</v>
      </c>
      <c r="G462" s="8" t="s">
        <v>30</v>
      </c>
      <c r="H462" s="8" t="s">
        <v>30</v>
      </c>
      <c r="I462" s="8" t="n">
        <f aca="false">IF(EXACT(G462,H462),1,0)</f>
        <v>1</v>
      </c>
      <c r="J462" s="8" t="n">
        <v>1</v>
      </c>
      <c r="K462" s="8" t="s">
        <v>92</v>
      </c>
      <c r="L462" s="8" t="n">
        <v>0</v>
      </c>
      <c r="M462" s="8" t="n">
        <v>5</v>
      </c>
      <c r="N462" s="8" t="s">
        <v>2057</v>
      </c>
      <c r="O462" s="8" t="n">
        <v>2</v>
      </c>
      <c r="P462" s="10" t="n">
        <v>23.52</v>
      </c>
      <c r="Q462" s="8" t="n">
        <v>8798</v>
      </c>
      <c r="R462" s="8" t="n">
        <v>1080</v>
      </c>
      <c r="S462" s="8" t="s">
        <v>262</v>
      </c>
      <c r="T462" s="8" t="s">
        <v>256</v>
      </c>
      <c r="U462" s="8" t="s">
        <v>257</v>
      </c>
      <c r="V462" s="8"/>
      <c r="W462" s="8" t="s">
        <v>263</v>
      </c>
      <c r="X462" s="8" t="s">
        <v>577</v>
      </c>
      <c r="Y462" s="8" t="s">
        <v>3795</v>
      </c>
      <c r="Z462" s="8"/>
    </row>
    <row r="463" customFormat="false" ht="15" hidden="false" customHeight="false" outlineLevel="0" collapsed="false">
      <c r="A463" s="8" t="s">
        <v>261</v>
      </c>
      <c r="B463" s="8" t="s">
        <v>21</v>
      </c>
      <c r="C463" s="8" t="s">
        <v>22</v>
      </c>
      <c r="D463" s="8" t="s">
        <v>615</v>
      </c>
      <c r="E463" s="8" t="s">
        <v>40</v>
      </c>
      <c r="F463" s="8" t="s">
        <v>48</v>
      </c>
      <c r="G463" s="8" t="s">
        <v>30</v>
      </c>
      <c r="H463" s="8" t="s">
        <v>30</v>
      </c>
      <c r="I463" s="8" t="n">
        <f aca="false">IF(EXACT(G463,H463),1,0)</f>
        <v>1</v>
      </c>
      <c r="J463" s="8" t="n">
        <v>2</v>
      </c>
      <c r="K463" s="8" t="s">
        <v>92</v>
      </c>
      <c r="L463" s="8" t="n">
        <v>0</v>
      </c>
      <c r="M463" s="8" t="n">
        <v>5</v>
      </c>
      <c r="N463" s="8" t="s">
        <v>3781</v>
      </c>
      <c r="O463" s="8" t="n">
        <v>2</v>
      </c>
      <c r="P463" s="10" t="n">
        <v>23.26</v>
      </c>
      <c r="Q463" s="8" t="n">
        <v>8788</v>
      </c>
      <c r="R463" s="8" t="n">
        <v>1099</v>
      </c>
      <c r="S463" s="8" t="s">
        <v>262</v>
      </c>
      <c r="T463" s="8" t="s">
        <v>256</v>
      </c>
      <c r="U463" s="8" t="s">
        <v>257</v>
      </c>
      <c r="V463" s="8"/>
      <c r="W463" s="8" t="s">
        <v>263</v>
      </c>
      <c r="X463" s="8" t="s">
        <v>577</v>
      </c>
      <c r="Y463" s="8" t="s">
        <v>3796</v>
      </c>
      <c r="Z463" s="8"/>
    </row>
    <row r="464" customFormat="false" ht="15" hidden="false" customHeight="false" outlineLevel="0" collapsed="false">
      <c r="A464" s="8" t="s">
        <v>265</v>
      </c>
      <c r="B464" s="8" t="s">
        <v>21</v>
      </c>
      <c r="C464" s="8" t="s">
        <v>22</v>
      </c>
      <c r="D464" s="8" t="s">
        <v>615</v>
      </c>
      <c r="E464" s="8" t="s">
        <v>40</v>
      </c>
      <c r="F464" s="8" t="s">
        <v>48</v>
      </c>
      <c r="G464" s="8" t="s">
        <v>31</v>
      </c>
      <c r="H464" s="8" t="s">
        <v>31</v>
      </c>
      <c r="I464" s="8" t="n">
        <f aca="false">IF(EXACT(G464,H464),1,0)</f>
        <v>1</v>
      </c>
      <c r="J464" s="8" t="n">
        <v>0</v>
      </c>
      <c r="K464" s="8" t="s">
        <v>116</v>
      </c>
      <c r="L464" s="8" t="n">
        <v>2</v>
      </c>
      <c r="M464" s="8" t="n">
        <v>5</v>
      </c>
      <c r="N464" s="8" t="s">
        <v>2057</v>
      </c>
      <c r="O464" s="8" t="n">
        <v>2</v>
      </c>
      <c r="P464" s="10" t="n">
        <v>26.52</v>
      </c>
      <c r="Q464" s="8" t="n">
        <v>8625</v>
      </c>
      <c r="R464" s="8" t="n">
        <v>1229</v>
      </c>
      <c r="S464" s="8" t="s">
        <v>117</v>
      </c>
      <c r="T464" s="8" t="s">
        <v>256</v>
      </c>
      <c r="U464" s="8" t="s">
        <v>257</v>
      </c>
      <c r="V464" s="8"/>
      <c r="W464" s="8" t="s">
        <v>266</v>
      </c>
      <c r="X464" s="8" t="s">
        <v>578</v>
      </c>
      <c r="Y464" s="8" t="s">
        <v>3797</v>
      </c>
      <c r="Z464" s="8" t="s">
        <v>3798</v>
      </c>
    </row>
    <row r="465" customFormat="false" ht="15" hidden="false" customHeight="false" outlineLevel="0" collapsed="false">
      <c r="A465" s="8" t="s">
        <v>265</v>
      </c>
      <c r="B465" s="8" t="s">
        <v>21</v>
      </c>
      <c r="C465" s="8" t="s">
        <v>22</v>
      </c>
      <c r="D465" s="8" t="s">
        <v>615</v>
      </c>
      <c r="E465" s="8" t="s">
        <v>40</v>
      </c>
      <c r="F465" s="8" t="s">
        <v>48</v>
      </c>
      <c r="G465" s="8" t="s">
        <v>31</v>
      </c>
      <c r="H465" s="8" t="s">
        <v>31</v>
      </c>
      <c r="I465" s="8" t="n">
        <f aca="false">IF(EXACT(G465,H465),1,0)</f>
        <v>1</v>
      </c>
      <c r="J465" s="8" t="n">
        <v>1</v>
      </c>
      <c r="K465" s="8" t="s">
        <v>116</v>
      </c>
      <c r="L465" s="8" t="n">
        <v>2</v>
      </c>
      <c r="M465" s="8" t="n">
        <v>5</v>
      </c>
      <c r="N465" s="8" t="s">
        <v>2057</v>
      </c>
      <c r="O465" s="8" t="n">
        <v>2</v>
      </c>
      <c r="P465" s="10" t="n">
        <v>27.4</v>
      </c>
      <c r="Q465" s="8" t="n">
        <v>8625</v>
      </c>
      <c r="R465" s="8" t="n">
        <v>1317</v>
      </c>
      <c r="S465" s="8" t="s">
        <v>117</v>
      </c>
      <c r="T465" s="8" t="s">
        <v>256</v>
      </c>
      <c r="U465" s="8" t="s">
        <v>257</v>
      </c>
      <c r="V465" s="8"/>
      <c r="W465" s="8" t="s">
        <v>266</v>
      </c>
      <c r="X465" s="8" t="s">
        <v>578</v>
      </c>
      <c r="Y465" s="8" t="s">
        <v>3799</v>
      </c>
      <c r="Z465" s="8" t="s">
        <v>3800</v>
      </c>
    </row>
    <row r="466" customFormat="false" ht="15" hidden="false" customHeight="false" outlineLevel="0" collapsed="false">
      <c r="A466" s="8" t="s">
        <v>265</v>
      </c>
      <c r="B466" s="8" t="s">
        <v>21</v>
      </c>
      <c r="C466" s="8" t="s">
        <v>22</v>
      </c>
      <c r="D466" s="8" t="s">
        <v>615</v>
      </c>
      <c r="E466" s="8" t="s">
        <v>40</v>
      </c>
      <c r="F466" s="8" t="s">
        <v>48</v>
      </c>
      <c r="G466" s="8" t="s">
        <v>31</v>
      </c>
      <c r="H466" s="8" t="s">
        <v>31</v>
      </c>
      <c r="I466" s="8" t="n">
        <f aca="false">IF(EXACT(G466,H466),1,0)</f>
        <v>1</v>
      </c>
      <c r="J466" s="8" t="n">
        <v>2</v>
      </c>
      <c r="K466" s="8" t="s">
        <v>116</v>
      </c>
      <c r="L466" s="8" t="n">
        <v>2</v>
      </c>
      <c r="M466" s="8" t="n">
        <v>5</v>
      </c>
      <c r="N466" s="8" t="s">
        <v>2057</v>
      </c>
      <c r="O466" s="8" t="n">
        <v>2</v>
      </c>
      <c r="P466" s="10" t="n">
        <v>25.99</v>
      </c>
      <c r="Q466" s="8" t="n">
        <v>8625</v>
      </c>
      <c r="R466" s="8" t="n">
        <v>1222</v>
      </c>
      <c r="S466" s="8" t="s">
        <v>117</v>
      </c>
      <c r="T466" s="8" t="s">
        <v>256</v>
      </c>
      <c r="U466" s="8" t="s">
        <v>257</v>
      </c>
      <c r="V466" s="8"/>
      <c r="W466" s="8" t="s">
        <v>266</v>
      </c>
      <c r="X466" s="8" t="s">
        <v>578</v>
      </c>
      <c r="Y466" s="8" t="s">
        <v>3801</v>
      </c>
      <c r="Z466" s="8" t="s">
        <v>3802</v>
      </c>
    </row>
    <row r="467" customFormat="false" ht="15" hidden="false" customHeight="false" outlineLevel="0" collapsed="false">
      <c r="A467" s="8" t="s">
        <v>290</v>
      </c>
      <c r="B467" s="8" t="s">
        <v>21</v>
      </c>
      <c r="C467" s="8" t="s">
        <v>22</v>
      </c>
      <c r="D467" s="8" t="s">
        <v>615</v>
      </c>
      <c r="E467" s="8" t="s">
        <v>40</v>
      </c>
      <c r="F467" s="8" t="s">
        <v>51</v>
      </c>
      <c r="G467" s="8" t="s">
        <v>32</v>
      </c>
      <c r="H467" s="8" t="s">
        <v>32</v>
      </c>
      <c r="I467" s="8" t="n">
        <f aca="false">IF(EXACT(G467,H467),1,0)</f>
        <v>1</v>
      </c>
      <c r="J467" s="8" t="n">
        <v>0</v>
      </c>
      <c r="K467" s="8" t="s">
        <v>92</v>
      </c>
      <c r="L467" s="8" t="n">
        <v>0</v>
      </c>
      <c r="M467" s="8" t="n">
        <v>5</v>
      </c>
      <c r="N467" s="8" t="s">
        <v>3781</v>
      </c>
      <c r="O467" s="8" t="n">
        <v>2</v>
      </c>
      <c r="P467" s="10" t="n">
        <v>20.33</v>
      </c>
      <c r="Q467" s="8" t="n">
        <v>8793</v>
      </c>
      <c r="R467" s="8" t="n">
        <v>1124</v>
      </c>
      <c r="S467" s="8" t="s">
        <v>101</v>
      </c>
      <c r="T467" s="8" t="s">
        <v>291</v>
      </c>
      <c r="U467" s="8" t="s">
        <v>292</v>
      </c>
      <c r="V467" s="8"/>
      <c r="W467" s="8" t="s">
        <v>293</v>
      </c>
      <c r="X467" s="8" t="s">
        <v>579</v>
      </c>
      <c r="Y467" s="8" t="s">
        <v>3803</v>
      </c>
      <c r="Z467" s="8"/>
    </row>
    <row r="468" customFormat="false" ht="15" hidden="false" customHeight="false" outlineLevel="0" collapsed="false">
      <c r="A468" s="8" t="s">
        <v>290</v>
      </c>
      <c r="B468" s="8" t="s">
        <v>21</v>
      </c>
      <c r="C468" s="8" t="s">
        <v>22</v>
      </c>
      <c r="D468" s="8" t="s">
        <v>615</v>
      </c>
      <c r="E468" s="8" t="s">
        <v>40</v>
      </c>
      <c r="F468" s="8" t="s">
        <v>51</v>
      </c>
      <c r="G468" s="8" t="s">
        <v>32</v>
      </c>
      <c r="H468" s="8" t="s">
        <v>32</v>
      </c>
      <c r="I468" s="8" t="n">
        <f aca="false">IF(EXACT(G468,H468),1,0)</f>
        <v>1</v>
      </c>
      <c r="J468" s="8" t="n">
        <v>1</v>
      </c>
      <c r="K468" s="8" t="s">
        <v>92</v>
      </c>
      <c r="L468" s="8" t="n">
        <v>0</v>
      </c>
      <c r="M468" s="8" t="n">
        <v>5</v>
      </c>
      <c r="N468" s="8" t="s">
        <v>3781</v>
      </c>
      <c r="O468" s="8" t="n">
        <v>2</v>
      </c>
      <c r="P468" s="10" t="n">
        <v>21.69</v>
      </c>
      <c r="Q468" s="8" t="n">
        <v>8793</v>
      </c>
      <c r="R468" s="8" t="n">
        <v>1136</v>
      </c>
      <c r="S468" s="8" t="s">
        <v>101</v>
      </c>
      <c r="T468" s="8" t="s">
        <v>291</v>
      </c>
      <c r="U468" s="8" t="s">
        <v>292</v>
      </c>
      <c r="V468" s="8"/>
      <c r="W468" s="8" t="s">
        <v>293</v>
      </c>
      <c r="X468" s="8" t="s">
        <v>579</v>
      </c>
      <c r="Y468" s="8" t="s">
        <v>3804</v>
      </c>
      <c r="Z468" s="8"/>
    </row>
    <row r="469" customFormat="false" ht="15" hidden="false" customHeight="false" outlineLevel="0" collapsed="false">
      <c r="A469" s="8" t="s">
        <v>290</v>
      </c>
      <c r="B469" s="8" t="s">
        <v>21</v>
      </c>
      <c r="C469" s="8" t="s">
        <v>22</v>
      </c>
      <c r="D469" s="8" t="s">
        <v>615</v>
      </c>
      <c r="E469" s="8" t="s">
        <v>40</v>
      </c>
      <c r="F469" s="8" t="s">
        <v>51</v>
      </c>
      <c r="G469" s="8" t="s">
        <v>32</v>
      </c>
      <c r="H469" s="8" t="s">
        <v>32</v>
      </c>
      <c r="I469" s="8" t="n">
        <f aca="false">IF(EXACT(G469,H469),1,0)</f>
        <v>1</v>
      </c>
      <c r="J469" s="8" t="n">
        <v>2</v>
      </c>
      <c r="K469" s="8" t="s">
        <v>92</v>
      </c>
      <c r="L469" s="8" t="n">
        <v>0</v>
      </c>
      <c r="M469" s="8" t="n">
        <v>5</v>
      </c>
      <c r="N469" s="8" t="s">
        <v>3781</v>
      </c>
      <c r="O469" s="8" t="n">
        <v>2</v>
      </c>
      <c r="P469" s="10" t="n">
        <v>20.14</v>
      </c>
      <c r="Q469" s="8" t="n">
        <v>8793</v>
      </c>
      <c r="R469" s="8" t="n">
        <v>1115</v>
      </c>
      <c r="S469" s="8" t="s">
        <v>101</v>
      </c>
      <c r="T469" s="8" t="s">
        <v>291</v>
      </c>
      <c r="U469" s="8" t="s">
        <v>292</v>
      </c>
      <c r="V469" s="8"/>
      <c r="W469" s="8" t="s">
        <v>293</v>
      </c>
      <c r="X469" s="8" t="s">
        <v>579</v>
      </c>
      <c r="Y469" s="8" t="s">
        <v>3805</v>
      </c>
      <c r="Z469" s="8"/>
    </row>
    <row r="470" customFormat="false" ht="15" hidden="false" customHeight="false" outlineLevel="0" collapsed="false">
      <c r="A470" s="8" t="s">
        <v>295</v>
      </c>
      <c r="B470" s="8" t="s">
        <v>21</v>
      </c>
      <c r="C470" s="8" t="s">
        <v>22</v>
      </c>
      <c r="D470" s="8" t="s">
        <v>615</v>
      </c>
      <c r="E470" s="8" t="s">
        <v>40</v>
      </c>
      <c r="F470" s="8" t="s">
        <v>51</v>
      </c>
      <c r="G470" s="8" t="s">
        <v>30</v>
      </c>
      <c r="H470" s="8" t="s">
        <v>31</v>
      </c>
      <c r="I470" s="8" t="n">
        <f aca="false">IF(EXACT(G470,H470),1,0)</f>
        <v>0</v>
      </c>
      <c r="J470" s="8" t="n">
        <v>0</v>
      </c>
      <c r="K470" s="8" t="s">
        <v>737</v>
      </c>
      <c r="L470" s="8" t="n">
        <v>4</v>
      </c>
      <c r="M470" s="8" t="n">
        <v>5</v>
      </c>
      <c r="N470" s="8" t="s">
        <v>2057</v>
      </c>
      <c r="O470" s="8" t="n">
        <v>2</v>
      </c>
      <c r="P470" s="10" t="n">
        <v>40.02</v>
      </c>
      <c r="Q470" s="8" t="n">
        <v>9279</v>
      </c>
      <c r="R470" s="8" t="n">
        <v>2189</v>
      </c>
      <c r="S470" s="8" t="s">
        <v>110</v>
      </c>
      <c r="T470" s="8" t="s">
        <v>291</v>
      </c>
      <c r="U470" s="8" t="s">
        <v>292</v>
      </c>
      <c r="V470" s="8"/>
      <c r="W470" s="8" t="s">
        <v>296</v>
      </c>
      <c r="X470" s="8" t="s">
        <v>580</v>
      </c>
      <c r="Y470" s="8" t="s">
        <v>3806</v>
      </c>
      <c r="Z470" s="8" t="s">
        <v>3807</v>
      </c>
    </row>
    <row r="471" customFormat="false" ht="15" hidden="false" customHeight="false" outlineLevel="0" collapsed="false">
      <c r="A471" s="8" t="s">
        <v>295</v>
      </c>
      <c r="B471" s="8" t="s">
        <v>21</v>
      </c>
      <c r="C471" s="8" t="s">
        <v>22</v>
      </c>
      <c r="D471" s="8" t="s">
        <v>615</v>
      </c>
      <c r="E471" s="8" t="s">
        <v>40</v>
      </c>
      <c r="F471" s="8" t="s">
        <v>51</v>
      </c>
      <c r="G471" s="8" t="s">
        <v>30</v>
      </c>
      <c r="H471" s="8" t="s">
        <v>31</v>
      </c>
      <c r="I471" s="8" t="n">
        <f aca="false">IF(EXACT(G471,H471),1,0)</f>
        <v>0</v>
      </c>
      <c r="J471" s="8" t="n">
        <v>1</v>
      </c>
      <c r="K471" s="8" t="s">
        <v>116</v>
      </c>
      <c r="L471" s="8" t="n">
        <v>5</v>
      </c>
      <c r="M471" s="8" t="n">
        <v>5</v>
      </c>
      <c r="N471" s="8" t="s">
        <v>3781</v>
      </c>
      <c r="O471" s="8" t="n">
        <v>2</v>
      </c>
      <c r="P471" s="10" t="n">
        <v>42.77</v>
      </c>
      <c r="Q471" s="8" t="n">
        <v>9269</v>
      </c>
      <c r="R471" s="8" t="n">
        <v>2315</v>
      </c>
      <c r="S471" s="8" t="s">
        <v>110</v>
      </c>
      <c r="T471" s="8" t="s">
        <v>291</v>
      </c>
      <c r="U471" s="8" t="s">
        <v>292</v>
      </c>
      <c r="V471" s="8"/>
      <c r="W471" s="8" t="s">
        <v>296</v>
      </c>
      <c r="X471" s="8" t="s">
        <v>580</v>
      </c>
      <c r="Y471" s="8" t="s">
        <v>3808</v>
      </c>
      <c r="Z471" s="8" t="s">
        <v>3809</v>
      </c>
    </row>
    <row r="472" customFormat="false" ht="15" hidden="false" customHeight="false" outlineLevel="0" collapsed="false">
      <c r="A472" s="8" t="s">
        <v>295</v>
      </c>
      <c r="B472" s="8" t="s">
        <v>21</v>
      </c>
      <c r="C472" s="8" t="s">
        <v>22</v>
      </c>
      <c r="D472" s="8" t="s">
        <v>615</v>
      </c>
      <c r="E472" s="8" t="s">
        <v>40</v>
      </c>
      <c r="F472" s="8" t="s">
        <v>51</v>
      </c>
      <c r="G472" s="8" t="s">
        <v>30</v>
      </c>
      <c r="H472" s="8" t="s">
        <v>31</v>
      </c>
      <c r="I472" s="8" t="n">
        <f aca="false">IF(EXACT(G472,H472),1,0)</f>
        <v>0</v>
      </c>
      <c r="J472" s="8" t="n">
        <v>2</v>
      </c>
      <c r="K472" s="8" t="s">
        <v>737</v>
      </c>
      <c r="L472" s="8" t="n">
        <v>4</v>
      </c>
      <c r="M472" s="8" t="n">
        <v>5</v>
      </c>
      <c r="N472" s="8" t="s">
        <v>2057</v>
      </c>
      <c r="O472" s="8" t="n">
        <v>2</v>
      </c>
      <c r="P472" s="10" t="n">
        <v>40.67</v>
      </c>
      <c r="Q472" s="8" t="n">
        <v>9279</v>
      </c>
      <c r="R472" s="8" t="n">
        <v>2236</v>
      </c>
      <c r="S472" s="8" t="s">
        <v>110</v>
      </c>
      <c r="T472" s="8" t="s">
        <v>291</v>
      </c>
      <c r="U472" s="8" t="s">
        <v>292</v>
      </c>
      <c r="V472" s="8"/>
      <c r="W472" s="8" t="s">
        <v>296</v>
      </c>
      <c r="X472" s="8" t="s">
        <v>580</v>
      </c>
      <c r="Y472" s="8" t="s">
        <v>3810</v>
      </c>
      <c r="Z472" s="8" t="s">
        <v>3811</v>
      </c>
    </row>
    <row r="473" customFormat="false" ht="15" hidden="false" customHeight="false" outlineLevel="0" collapsed="false">
      <c r="A473" s="8" t="s">
        <v>298</v>
      </c>
      <c r="B473" s="8" t="s">
        <v>21</v>
      </c>
      <c r="C473" s="8" t="s">
        <v>22</v>
      </c>
      <c r="D473" s="8" t="s">
        <v>615</v>
      </c>
      <c r="E473" s="8" t="s">
        <v>40</v>
      </c>
      <c r="F473" s="8" t="s">
        <v>51</v>
      </c>
      <c r="G473" s="8" t="s">
        <v>30</v>
      </c>
      <c r="H473" s="8" t="s">
        <v>31</v>
      </c>
      <c r="I473" s="8" t="n">
        <f aca="false">IF(EXACT(G473,H473),1,0)</f>
        <v>0</v>
      </c>
      <c r="J473" s="8" t="n">
        <v>0</v>
      </c>
      <c r="K473" s="8" t="s">
        <v>2333</v>
      </c>
      <c r="L473" s="8" t="n">
        <v>2</v>
      </c>
      <c r="M473" s="8" t="n">
        <v>5</v>
      </c>
      <c r="N473" s="8" t="s">
        <v>2057</v>
      </c>
      <c r="O473" s="8" t="n">
        <v>2</v>
      </c>
      <c r="P473" s="10" t="n">
        <v>39.68</v>
      </c>
      <c r="Q473" s="8" t="n">
        <v>9239</v>
      </c>
      <c r="R473" s="8" t="n">
        <v>2187</v>
      </c>
      <c r="S473" s="8" t="s">
        <v>150</v>
      </c>
      <c r="T473" s="8" t="s">
        <v>291</v>
      </c>
      <c r="U473" s="8" t="s">
        <v>292</v>
      </c>
      <c r="V473" s="8"/>
      <c r="W473" s="8" t="s">
        <v>299</v>
      </c>
      <c r="X473" s="8" t="s">
        <v>581</v>
      </c>
      <c r="Y473" s="8" t="s">
        <v>3812</v>
      </c>
      <c r="Z473" s="8" t="s">
        <v>3813</v>
      </c>
    </row>
    <row r="474" customFormat="false" ht="15" hidden="false" customHeight="false" outlineLevel="0" collapsed="false">
      <c r="A474" s="8" t="s">
        <v>298</v>
      </c>
      <c r="B474" s="8" t="s">
        <v>21</v>
      </c>
      <c r="C474" s="8" t="s">
        <v>22</v>
      </c>
      <c r="D474" s="8" t="s">
        <v>615</v>
      </c>
      <c r="E474" s="8" t="s">
        <v>40</v>
      </c>
      <c r="F474" s="8" t="s">
        <v>51</v>
      </c>
      <c r="G474" s="8" t="s">
        <v>30</v>
      </c>
      <c r="H474" s="8" t="s">
        <v>31</v>
      </c>
      <c r="I474" s="8" t="n">
        <f aca="false">IF(EXACT(G474,H474),1,0)</f>
        <v>0</v>
      </c>
      <c r="J474" s="8" t="n">
        <v>1</v>
      </c>
      <c r="K474" s="8" t="s">
        <v>737</v>
      </c>
      <c r="L474" s="8" t="n">
        <v>4</v>
      </c>
      <c r="M474" s="8" t="n">
        <v>5</v>
      </c>
      <c r="N474" s="8" t="s">
        <v>2057</v>
      </c>
      <c r="O474" s="8" t="n">
        <v>2</v>
      </c>
      <c r="P474" s="10" t="n">
        <v>38.75</v>
      </c>
      <c r="Q474" s="8" t="n">
        <v>9237</v>
      </c>
      <c r="R474" s="8" t="n">
        <v>2054</v>
      </c>
      <c r="S474" s="8" t="s">
        <v>150</v>
      </c>
      <c r="T474" s="8" t="s">
        <v>291</v>
      </c>
      <c r="U474" s="8" t="s">
        <v>292</v>
      </c>
      <c r="V474" s="8"/>
      <c r="W474" s="8" t="s">
        <v>299</v>
      </c>
      <c r="X474" s="8" t="s">
        <v>581</v>
      </c>
      <c r="Y474" s="8" t="s">
        <v>3814</v>
      </c>
      <c r="Z474" s="8" t="s">
        <v>3815</v>
      </c>
    </row>
    <row r="475" customFormat="false" ht="15" hidden="false" customHeight="false" outlineLevel="0" collapsed="false">
      <c r="A475" s="8" t="s">
        <v>298</v>
      </c>
      <c r="B475" s="8" t="s">
        <v>21</v>
      </c>
      <c r="C475" s="8" t="s">
        <v>22</v>
      </c>
      <c r="D475" s="8" t="s">
        <v>615</v>
      </c>
      <c r="E475" s="8" t="s">
        <v>40</v>
      </c>
      <c r="F475" s="8" t="s">
        <v>51</v>
      </c>
      <c r="G475" s="8" t="s">
        <v>30</v>
      </c>
      <c r="H475" s="8" t="s">
        <v>31</v>
      </c>
      <c r="I475" s="8" t="n">
        <f aca="false">IF(EXACT(G475,H475),1,0)</f>
        <v>0</v>
      </c>
      <c r="J475" s="8" t="n">
        <v>2</v>
      </c>
      <c r="K475" s="8" t="s">
        <v>737</v>
      </c>
      <c r="L475" s="8" t="n">
        <v>4</v>
      </c>
      <c r="M475" s="8" t="n">
        <v>5</v>
      </c>
      <c r="N475" s="8" t="s">
        <v>2057</v>
      </c>
      <c r="O475" s="8" t="n">
        <v>2</v>
      </c>
      <c r="P475" s="10" t="n">
        <v>37.58</v>
      </c>
      <c r="Q475" s="8" t="n">
        <v>9239</v>
      </c>
      <c r="R475" s="8" t="n">
        <v>2060</v>
      </c>
      <c r="S475" s="8" t="s">
        <v>150</v>
      </c>
      <c r="T475" s="8" t="s">
        <v>291</v>
      </c>
      <c r="U475" s="8" t="s">
        <v>292</v>
      </c>
      <c r="V475" s="8"/>
      <c r="W475" s="8" t="s">
        <v>299</v>
      </c>
      <c r="X475" s="8" t="s">
        <v>581</v>
      </c>
      <c r="Y475" s="8" t="s">
        <v>3816</v>
      </c>
      <c r="Z475" s="8" t="s">
        <v>3817</v>
      </c>
    </row>
    <row r="476" customFormat="false" ht="15" hidden="false" customHeight="false" outlineLevel="0" collapsed="false">
      <c r="A476" s="8" t="s">
        <v>301</v>
      </c>
      <c r="B476" s="8" t="s">
        <v>21</v>
      </c>
      <c r="C476" s="8" t="s">
        <v>22</v>
      </c>
      <c r="D476" s="8" t="s">
        <v>615</v>
      </c>
      <c r="E476" s="8" t="s">
        <v>40</v>
      </c>
      <c r="F476" s="8" t="s">
        <v>51</v>
      </c>
      <c r="G476" s="8" t="s">
        <v>32</v>
      </c>
      <c r="H476" s="8" t="s">
        <v>31</v>
      </c>
      <c r="I476" s="8" t="n">
        <f aca="false">IF(EXACT(G476,H476),1,0)</f>
        <v>0</v>
      </c>
      <c r="J476" s="8" t="n">
        <v>0</v>
      </c>
      <c r="K476" s="8" t="s">
        <v>737</v>
      </c>
      <c r="L476" s="8" t="n">
        <v>1</v>
      </c>
      <c r="M476" s="8" t="n">
        <v>5</v>
      </c>
      <c r="N476" s="8" t="s">
        <v>2057</v>
      </c>
      <c r="O476" s="8" t="n">
        <v>2</v>
      </c>
      <c r="P476" s="10" t="n">
        <v>27</v>
      </c>
      <c r="Q476" s="8" t="n">
        <v>8974</v>
      </c>
      <c r="R476" s="8" t="n">
        <v>1366</v>
      </c>
      <c r="S476" s="8" t="s">
        <v>132</v>
      </c>
      <c r="T476" s="8" t="s">
        <v>291</v>
      </c>
      <c r="U476" s="8" t="s">
        <v>292</v>
      </c>
      <c r="V476" s="8"/>
      <c r="W476" s="8" t="s">
        <v>302</v>
      </c>
      <c r="X476" s="8" t="s">
        <v>582</v>
      </c>
      <c r="Y476" s="8" t="s">
        <v>3818</v>
      </c>
      <c r="Z476" s="8" t="s">
        <v>3819</v>
      </c>
    </row>
    <row r="477" customFormat="false" ht="15" hidden="false" customHeight="false" outlineLevel="0" collapsed="false">
      <c r="A477" s="8" t="s">
        <v>301</v>
      </c>
      <c r="B477" s="8" t="s">
        <v>21</v>
      </c>
      <c r="C477" s="8" t="s">
        <v>22</v>
      </c>
      <c r="D477" s="8" t="s">
        <v>615</v>
      </c>
      <c r="E477" s="8" t="s">
        <v>40</v>
      </c>
      <c r="F477" s="8" t="s">
        <v>51</v>
      </c>
      <c r="G477" s="8" t="s">
        <v>32</v>
      </c>
      <c r="H477" s="8" t="s">
        <v>31</v>
      </c>
      <c r="I477" s="8" t="n">
        <f aca="false">IF(EXACT(G477,H477),1,0)</f>
        <v>0</v>
      </c>
      <c r="J477" s="8" t="n">
        <v>1</v>
      </c>
      <c r="K477" s="8" t="s">
        <v>116</v>
      </c>
      <c r="L477" s="8" t="n">
        <v>1</v>
      </c>
      <c r="M477" s="8" t="n">
        <v>5</v>
      </c>
      <c r="N477" s="8" t="s">
        <v>2057</v>
      </c>
      <c r="O477" s="8" t="n">
        <v>2</v>
      </c>
      <c r="P477" s="10" t="n">
        <v>24.58</v>
      </c>
      <c r="Q477" s="8" t="n">
        <v>8974</v>
      </c>
      <c r="R477" s="8" t="n">
        <v>1328</v>
      </c>
      <c r="S477" s="8" t="s">
        <v>132</v>
      </c>
      <c r="T477" s="8" t="s">
        <v>291</v>
      </c>
      <c r="U477" s="8" t="s">
        <v>292</v>
      </c>
      <c r="V477" s="8"/>
      <c r="W477" s="8" t="s">
        <v>302</v>
      </c>
      <c r="X477" s="8" t="s">
        <v>582</v>
      </c>
      <c r="Y477" s="8" t="s">
        <v>3820</v>
      </c>
      <c r="Z477" s="8" t="s">
        <v>3821</v>
      </c>
    </row>
    <row r="478" customFormat="false" ht="15" hidden="false" customHeight="false" outlineLevel="0" collapsed="false">
      <c r="A478" s="8" t="s">
        <v>301</v>
      </c>
      <c r="B478" s="8" t="s">
        <v>21</v>
      </c>
      <c r="C478" s="8" t="s">
        <v>22</v>
      </c>
      <c r="D478" s="8" t="s">
        <v>615</v>
      </c>
      <c r="E478" s="8" t="s">
        <v>40</v>
      </c>
      <c r="F478" s="8" t="s">
        <v>51</v>
      </c>
      <c r="G478" s="8" t="s">
        <v>32</v>
      </c>
      <c r="H478" s="8" t="s">
        <v>31</v>
      </c>
      <c r="I478" s="8" t="n">
        <f aca="false">IF(EXACT(G478,H478),1,0)</f>
        <v>0</v>
      </c>
      <c r="J478" s="8" t="n">
        <v>2</v>
      </c>
      <c r="K478" s="8" t="s">
        <v>737</v>
      </c>
      <c r="L478" s="8" t="n">
        <v>1</v>
      </c>
      <c r="M478" s="8" t="n">
        <v>5</v>
      </c>
      <c r="N478" s="8" t="s">
        <v>2057</v>
      </c>
      <c r="O478" s="8" t="n">
        <v>2</v>
      </c>
      <c r="P478" s="10" t="n">
        <v>25.13</v>
      </c>
      <c r="Q478" s="8" t="n">
        <v>8974</v>
      </c>
      <c r="R478" s="8" t="n">
        <v>1310</v>
      </c>
      <c r="S478" s="8" t="s">
        <v>132</v>
      </c>
      <c r="T478" s="8" t="s">
        <v>291</v>
      </c>
      <c r="U478" s="8" t="s">
        <v>292</v>
      </c>
      <c r="V478" s="8"/>
      <c r="W478" s="8" t="s">
        <v>302</v>
      </c>
      <c r="X478" s="8" t="s">
        <v>582</v>
      </c>
      <c r="Y478" s="8" t="s">
        <v>3822</v>
      </c>
      <c r="Z478" s="8" t="s">
        <v>3823</v>
      </c>
    </row>
    <row r="479" customFormat="false" ht="15" hidden="false" customHeight="false" outlineLevel="0" collapsed="false">
      <c r="A479" s="8" t="s">
        <v>304</v>
      </c>
      <c r="B479" s="8" t="s">
        <v>21</v>
      </c>
      <c r="C479" s="8" t="s">
        <v>22</v>
      </c>
      <c r="D479" s="8" t="s">
        <v>615</v>
      </c>
      <c r="E479" s="8" t="s">
        <v>40</v>
      </c>
      <c r="F479" s="8" t="s">
        <v>51</v>
      </c>
      <c r="G479" s="8" t="s">
        <v>31</v>
      </c>
      <c r="H479" s="8" t="s">
        <v>31</v>
      </c>
      <c r="I479" s="8" t="n">
        <f aca="false">IF(EXACT(G479,H479),1,0)</f>
        <v>1</v>
      </c>
      <c r="J479" s="8" t="n">
        <v>0</v>
      </c>
      <c r="K479" s="8" t="s">
        <v>116</v>
      </c>
      <c r="L479" s="8" t="n">
        <v>3</v>
      </c>
      <c r="M479" s="8" t="n">
        <v>5</v>
      </c>
      <c r="N479" s="8" t="s">
        <v>3781</v>
      </c>
      <c r="O479" s="8" t="n">
        <v>2</v>
      </c>
      <c r="P479" s="10" t="n">
        <v>35.43</v>
      </c>
      <c r="Q479" s="8" t="n">
        <v>9082</v>
      </c>
      <c r="R479" s="8" t="n">
        <v>1936</v>
      </c>
      <c r="S479" s="8" t="s">
        <v>117</v>
      </c>
      <c r="T479" s="8" t="s">
        <v>291</v>
      </c>
      <c r="U479" s="8" t="s">
        <v>292</v>
      </c>
      <c r="V479" s="8"/>
      <c r="W479" s="8" t="s">
        <v>305</v>
      </c>
      <c r="X479" s="8" t="s">
        <v>583</v>
      </c>
      <c r="Y479" s="8" t="s">
        <v>3824</v>
      </c>
      <c r="Z479" s="8" t="s">
        <v>3825</v>
      </c>
    </row>
    <row r="480" customFormat="false" ht="15" hidden="false" customHeight="false" outlineLevel="0" collapsed="false">
      <c r="A480" s="8" t="s">
        <v>304</v>
      </c>
      <c r="B480" s="8" t="s">
        <v>21</v>
      </c>
      <c r="C480" s="8" t="s">
        <v>22</v>
      </c>
      <c r="D480" s="8" t="s">
        <v>615</v>
      </c>
      <c r="E480" s="8" t="s">
        <v>40</v>
      </c>
      <c r="F480" s="8" t="s">
        <v>51</v>
      </c>
      <c r="G480" s="8" t="s">
        <v>31</v>
      </c>
      <c r="H480" s="8" t="s">
        <v>31</v>
      </c>
      <c r="I480" s="8" t="n">
        <f aca="false">IF(EXACT(G480,H480),1,0)</f>
        <v>1</v>
      </c>
      <c r="J480" s="8" t="n">
        <v>1</v>
      </c>
      <c r="K480" s="8" t="s">
        <v>116</v>
      </c>
      <c r="L480" s="8" t="n">
        <v>4</v>
      </c>
      <c r="M480" s="8" t="n">
        <v>5</v>
      </c>
      <c r="N480" s="8" t="s">
        <v>3781</v>
      </c>
      <c r="O480" s="8" t="n">
        <v>2</v>
      </c>
      <c r="P480" s="10" t="n">
        <v>35.22</v>
      </c>
      <c r="Q480" s="8" t="n">
        <v>9079</v>
      </c>
      <c r="R480" s="8" t="n">
        <v>1923</v>
      </c>
      <c r="S480" s="8" t="s">
        <v>117</v>
      </c>
      <c r="T480" s="8" t="s">
        <v>291</v>
      </c>
      <c r="U480" s="8" t="s">
        <v>292</v>
      </c>
      <c r="V480" s="8"/>
      <c r="W480" s="8" t="s">
        <v>305</v>
      </c>
      <c r="X480" s="8" t="s">
        <v>583</v>
      </c>
      <c r="Y480" s="8" t="s">
        <v>3826</v>
      </c>
      <c r="Z480" s="8" t="s">
        <v>3827</v>
      </c>
    </row>
    <row r="481" customFormat="false" ht="15" hidden="false" customHeight="false" outlineLevel="0" collapsed="false">
      <c r="A481" s="8" t="s">
        <v>304</v>
      </c>
      <c r="B481" s="8" t="s">
        <v>21</v>
      </c>
      <c r="C481" s="8" t="s">
        <v>22</v>
      </c>
      <c r="D481" s="8" t="s">
        <v>615</v>
      </c>
      <c r="E481" s="8" t="s">
        <v>40</v>
      </c>
      <c r="F481" s="8" t="s">
        <v>51</v>
      </c>
      <c r="G481" s="8" t="s">
        <v>31</v>
      </c>
      <c r="H481" s="8" t="s">
        <v>31</v>
      </c>
      <c r="I481" s="8" t="n">
        <f aca="false">IF(EXACT(G481,H481),1,0)</f>
        <v>1</v>
      </c>
      <c r="J481" s="8" t="n">
        <v>2</v>
      </c>
      <c r="K481" s="8" t="s">
        <v>116</v>
      </c>
      <c r="L481" s="8" t="n">
        <v>3</v>
      </c>
      <c r="M481" s="8" t="n">
        <v>5</v>
      </c>
      <c r="N481" s="8" t="s">
        <v>2057</v>
      </c>
      <c r="O481" s="8" t="n">
        <v>2</v>
      </c>
      <c r="P481" s="10" t="n">
        <v>37.39</v>
      </c>
      <c r="Q481" s="8" t="n">
        <v>9089</v>
      </c>
      <c r="R481" s="8" t="n">
        <v>2069</v>
      </c>
      <c r="S481" s="8" t="s">
        <v>117</v>
      </c>
      <c r="T481" s="8" t="s">
        <v>291</v>
      </c>
      <c r="U481" s="8" t="s">
        <v>292</v>
      </c>
      <c r="V481" s="8"/>
      <c r="W481" s="8" t="s">
        <v>305</v>
      </c>
      <c r="X481" s="8" t="s">
        <v>583</v>
      </c>
      <c r="Y481" s="8" t="s">
        <v>3828</v>
      </c>
      <c r="Z481" s="8" t="s">
        <v>3829</v>
      </c>
    </row>
    <row r="482" customFormat="false" ht="15" hidden="false" customHeight="false" outlineLevel="0" collapsed="false">
      <c r="A482" s="8" t="s">
        <v>307</v>
      </c>
      <c r="B482" s="8" t="s">
        <v>21</v>
      </c>
      <c r="C482" s="8" t="s">
        <v>22</v>
      </c>
      <c r="D482" s="8" t="s">
        <v>615</v>
      </c>
      <c r="E482" s="8" t="s">
        <v>40</v>
      </c>
      <c r="F482" s="8" t="s">
        <v>51</v>
      </c>
      <c r="G482" s="8" t="s">
        <v>31</v>
      </c>
      <c r="H482" s="8" t="s">
        <v>31</v>
      </c>
      <c r="I482" s="8" t="n">
        <f aca="false">IF(EXACT(G482,H482),1,0)</f>
        <v>1</v>
      </c>
      <c r="J482" s="8" t="n">
        <v>0</v>
      </c>
      <c r="K482" s="8" t="s">
        <v>116</v>
      </c>
      <c r="L482" s="8" t="n">
        <v>1</v>
      </c>
      <c r="M482" s="8" t="n">
        <v>5</v>
      </c>
      <c r="N482" s="8" t="s">
        <v>2057</v>
      </c>
      <c r="O482" s="8" t="n">
        <v>2</v>
      </c>
      <c r="P482" s="10" t="n">
        <v>31.21</v>
      </c>
      <c r="Q482" s="8" t="n">
        <v>8738</v>
      </c>
      <c r="R482" s="8" t="n">
        <v>1501</v>
      </c>
      <c r="S482" s="8" t="s">
        <v>308</v>
      </c>
      <c r="T482" s="8"/>
      <c r="U482" s="8"/>
      <c r="V482" s="8" t="s">
        <v>309</v>
      </c>
      <c r="W482" s="8"/>
      <c r="X482" s="8" t="s">
        <v>584</v>
      </c>
      <c r="Y482" s="8" t="s">
        <v>3830</v>
      </c>
      <c r="Z482" s="8" t="s">
        <v>3831</v>
      </c>
    </row>
    <row r="483" customFormat="false" ht="15" hidden="false" customHeight="false" outlineLevel="0" collapsed="false">
      <c r="A483" s="8" t="s">
        <v>307</v>
      </c>
      <c r="B483" s="8" t="s">
        <v>21</v>
      </c>
      <c r="C483" s="8" t="s">
        <v>22</v>
      </c>
      <c r="D483" s="8" t="s">
        <v>615</v>
      </c>
      <c r="E483" s="8" t="s">
        <v>40</v>
      </c>
      <c r="F483" s="8" t="s">
        <v>51</v>
      </c>
      <c r="G483" s="8" t="s">
        <v>31</v>
      </c>
      <c r="H483" s="8" t="s">
        <v>31</v>
      </c>
      <c r="I483" s="8" t="n">
        <f aca="false">IF(EXACT(G483,H483),1,0)</f>
        <v>1</v>
      </c>
      <c r="J483" s="8" t="n">
        <v>1</v>
      </c>
      <c r="K483" s="8" t="s">
        <v>116</v>
      </c>
      <c r="L483" s="8" t="n">
        <v>1</v>
      </c>
      <c r="M483" s="8" t="n">
        <v>5</v>
      </c>
      <c r="N483" s="8" t="s">
        <v>2057</v>
      </c>
      <c r="O483" s="8" t="n">
        <v>2</v>
      </c>
      <c r="P483" s="10" t="n">
        <v>23.28</v>
      </c>
      <c r="Q483" s="8" t="n">
        <v>8738</v>
      </c>
      <c r="R483" s="8" t="n">
        <v>1103</v>
      </c>
      <c r="S483" s="8" t="s">
        <v>308</v>
      </c>
      <c r="T483" s="8"/>
      <c r="U483" s="8"/>
      <c r="V483" s="8" t="s">
        <v>309</v>
      </c>
      <c r="W483" s="8"/>
      <c r="X483" s="8" t="s">
        <v>584</v>
      </c>
      <c r="Y483" s="8" t="s">
        <v>3832</v>
      </c>
      <c r="Z483" s="8" t="s">
        <v>3833</v>
      </c>
    </row>
    <row r="484" customFormat="false" ht="15" hidden="false" customHeight="false" outlineLevel="0" collapsed="false">
      <c r="A484" s="8" t="s">
        <v>307</v>
      </c>
      <c r="B484" s="8" t="s">
        <v>21</v>
      </c>
      <c r="C484" s="8" t="s">
        <v>22</v>
      </c>
      <c r="D484" s="8" t="s">
        <v>615</v>
      </c>
      <c r="E484" s="8" t="s">
        <v>40</v>
      </c>
      <c r="F484" s="8" t="s">
        <v>51</v>
      </c>
      <c r="G484" s="8" t="s">
        <v>31</v>
      </c>
      <c r="H484" s="8" t="s">
        <v>31</v>
      </c>
      <c r="I484" s="8" t="n">
        <f aca="false">IF(EXACT(G484,H484),1,0)</f>
        <v>1</v>
      </c>
      <c r="J484" s="8" t="n">
        <v>2</v>
      </c>
      <c r="K484" s="8" t="s">
        <v>116</v>
      </c>
      <c r="L484" s="8" t="n">
        <v>1</v>
      </c>
      <c r="M484" s="8" t="n">
        <v>5</v>
      </c>
      <c r="N484" s="8" t="s">
        <v>2057</v>
      </c>
      <c r="O484" s="8" t="n">
        <v>2</v>
      </c>
      <c r="P484" s="10" t="n">
        <v>26.65</v>
      </c>
      <c r="Q484" s="8" t="n">
        <v>8741</v>
      </c>
      <c r="R484" s="8" t="n">
        <v>1310</v>
      </c>
      <c r="S484" s="8" t="s">
        <v>308</v>
      </c>
      <c r="T484" s="8"/>
      <c r="U484" s="8"/>
      <c r="V484" s="8" t="s">
        <v>309</v>
      </c>
      <c r="W484" s="8"/>
      <c r="X484" s="8" t="s">
        <v>584</v>
      </c>
      <c r="Y484" s="8" t="s">
        <v>3834</v>
      </c>
      <c r="Z484" s="8" t="s">
        <v>3835</v>
      </c>
    </row>
    <row r="485" customFormat="false" ht="15" hidden="false" customHeight="false" outlineLevel="0" collapsed="false">
      <c r="A485" s="8" t="s">
        <v>585</v>
      </c>
      <c r="B485" s="8" t="s">
        <v>21</v>
      </c>
      <c r="C485" s="8" t="s">
        <v>22</v>
      </c>
      <c r="D485" s="8" t="s">
        <v>615</v>
      </c>
      <c r="E485" s="8" t="s">
        <v>40</v>
      </c>
      <c r="F485" s="8" t="s">
        <v>54</v>
      </c>
      <c r="G485" s="8" t="s">
        <v>31</v>
      </c>
      <c r="H485" s="8" t="s">
        <v>31</v>
      </c>
      <c r="I485" s="8" t="n">
        <f aca="false">IF(EXACT(G485,H485),1,0)</f>
        <v>1</v>
      </c>
      <c r="J485" s="8" t="n">
        <v>0</v>
      </c>
      <c r="K485" s="8" t="s">
        <v>737</v>
      </c>
      <c r="L485" s="8" t="n">
        <v>1</v>
      </c>
      <c r="M485" s="8" t="n">
        <v>5</v>
      </c>
      <c r="N485" s="8" t="s">
        <v>2057</v>
      </c>
      <c r="O485" s="8" t="n">
        <v>2</v>
      </c>
      <c r="P485" s="10" t="n">
        <v>27.2</v>
      </c>
      <c r="Q485" s="8" t="n">
        <v>9438</v>
      </c>
      <c r="R485" s="8" t="n">
        <v>1624</v>
      </c>
      <c r="S485" s="8" t="s">
        <v>586</v>
      </c>
      <c r="T485" s="8"/>
      <c r="U485" s="8"/>
      <c r="V485" s="8" t="s">
        <v>155</v>
      </c>
      <c r="W485" s="8"/>
      <c r="X485" s="8" t="s">
        <v>587</v>
      </c>
      <c r="Y485" s="8" t="s">
        <v>3836</v>
      </c>
      <c r="Z485" s="8" t="s">
        <v>3837</v>
      </c>
    </row>
    <row r="486" customFormat="false" ht="15" hidden="false" customHeight="false" outlineLevel="0" collapsed="false">
      <c r="A486" s="8" t="s">
        <v>585</v>
      </c>
      <c r="B486" s="8" t="s">
        <v>21</v>
      </c>
      <c r="C486" s="8" t="s">
        <v>22</v>
      </c>
      <c r="D486" s="8" t="s">
        <v>615</v>
      </c>
      <c r="E486" s="8" t="s">
        <v>40</v>
      </c>
      <c r="F486" s="8" t="s">
        <v>54</v>
      </c>
      <c r="G486" s="8" t="s">
        <v>31</v>
      </c>
      <c r="H486" s="8" t="s">
        <v>31</v>
      </c>
      <c r="I486" s="8" t="n">
        <f aca="false">IF(EXACT(G486,H486),1,0)</f>
        <v>1</v>
      </c>
      <c r="J486" s="8" t="n">
        <v>1</v>
      </c>
      <c r="K486" s="8" t="s">
        <v>737</v>
      </c>
      <c r="L486" s="8" t="n">
        <v>1</v>
      </c>
      <c r="M486" s="8" t="n">
        <v>5</v>
      </c>
      <c r="N486" s="8" t="s">
        <v>2057</v>
      </c>
      <c r="O486" s="8" t="n">
        <v>2</v>
      </c>
      <c r="P486" s="10" t="n">
        <v>27.94</v>
      </c>
      <c r="Q486" s="8" t="n">
        <v>9434</v>
      </c>
      <c r="R486" s="8" t="n">
        <v>1589</v>
      </c>
      <c r="S486" s="8" t="s">
        <v>586</v>
      </c>
      <c r="T486" s="8"/>
      <c r="U486" s="8"/>
      <c r="V486" s="8" t="s">
        <v>155</v>
      </c>
      <c r="W486" s="8"/>
      <c r="X486" s="8" t="s">
        <v>587</v>
      </c>
      <c r="Y486" s="8" t="s">
        <v>3838</v>
      </c>
      <c r="Z486" s="8" t="s">
        <v>3839</v>
      </c>
    </row>
    <row r="487" customFormat="false" ht="15" hidden="false" customHeight="false" outlineLevel="0" collapsed="false">
      <c r="A487" s="8" t="s">
        <v>585</v>
      </c>
      <c r="B487" s="8" t="s">
        <v>21</v>
      </c>
      <c r="C487" s="8" t="s">
        <v>22</v>
      </c>
      <c r="D487" s="8" t="s">
        <v>615</v>
      </c>
      <c r="E487" s="8" t="s">
        <v>40</v>
      </c>
      <c r="F487" s="8" t="s">
        <v>54</v>
      </c>
      <c r="G487" s="8" t="s">
        <v>31</v>
      </c>
      <c r="H487" s="8" t="s">
        <v>31</v>
      </c>
      <c r="I487" s="8" t="n">
        <f aca="false">IF(EXACT(G487,H487),1,0)</f>
        <v>1</v>
      </c>
      <c r="J487" s="8" t="n">
        <v>2</v>
      </c>
      <c r="K487" s="8" t="s">
        <v>737</v>
      </c>
      <c r="L487" s="8" t="n">
        <v>1</v>
      </c>
      <c r="M487" s="8" t="n">
        <v>5</v>
      </c>
      <c r="N487" s="8" t="s">
        <v>2057</v>
      </c>
      <c r="O487" s="8" t="n">
        <v>2</v>
      </c>
      <c r="P487" s="10" t="n">
        <v>27.57</v>
      </c>
      <c r="Q487" s="8" t="n">
        <v>9434</v>
      </c>
      <c r="R487" s="8" t="n">
        <v>1599</v>
      </c>
      <c r="S487" s="8" t="s">
        <v>586</v>
      </c>
      <c r="T487" s="8"/>
      <c r="U487" s="8"/>
      <c r="V487" s="8" t="s">
        <v>155</v>
      </c>
      <c r="W487" s="8"/>
      <c r="X487" s="8" t="s">
        <v>587</v>
      </c>
      <c r="Y487" s="8" t="s">
        <v>3840</v>
      </c>
      <c r="Z487" s="8" t="s">
        <v>3841</v>
      </c>
    </row>
    <row r="488" customFormat="false" ht="15" hidden="false" customHeight="false" outlineLevel="0" collapsed="false">
      <c r="A488" s="8" t="s">
        <v>588</v>
      </c>
      <c r="B488" s="8" t="s">
        <v>21</v>
      </c>
      <c r="C488" s="8" t="s">
        <v>22</v>
      </c>
      <c r="D488" s="8" t="s">
        <v>615</v>
      </c>
      <c r="E488" s="8" t="s">
        <v>40</v>
      </c>
      <c r="F488" s="8" t="s">
        <v>54</v>
      </c>
      <c r="G488" s="8" t="s">
        <v>31</v>
      </c>
      <c r="H488" s="8" t="s">
        <v>31</v>
      </c>
      <c r="I488" s="8" t="n">
        <f aca="false">IF(EXACT(G488,H488),1,0)</f>
        <v>1</v>
      </c>
      <c r="J488" s="8" t="n">
        <v>0</v>
      </c>
      <c r="K488" s="8" t="s">
        <v>737</v>
      </c>
      <c r="L488" s="8" t="n">
        <v>1</v>
      </c>
      <c r="M488" s="8" t="n">
        <v>5</v>
      </c>
      <c r="N488" s="8" t="s">
        <v>2057</v>
      </c>
      <c r="O488" s="8" t="n">
        <v>2</v>
      </c>
      <c r="P488" s="10" t="n">
        <v>28.23</v>
      </c>
      <c r="Q488" s="8" t="n">
        <v>9137</v>
      </c>
      <c r="R488" s="8" t="n">
        <v>1497</v>
      </c>
      <c r="S488" s="8" t="s">
        <v>589</v>
      </c>
      <c r="T488" s="8"/>
      <c r="U488" s="8"/>
      <c r="V488" s="8" t="s">
        <v>155</v>
      </c>
      <c r="W488" s="8"/>
      <c r="X488" s="8" t="s">
        <v>590</v>
      </c>
      <c r="Y488" s="8" t="s">
        <v>3842</v>
      </c>
      <c r="Z488" s="8" t="s">
        <v>3843</v>
      </c>
    </row>
    <row r="489" customFormat="false" ht="15" hidden="false" customHeight="false" outlineLevel="0" collapsed="false">
      <c r="A489" s="8" t="s">
        <v>588</v>
      </c>
      <c r="B489" s="8" t="s">
        <v>21</v>
      </c>
      <c r="C489" s="8" t="s">
        <v>22</v>
      </c>
      <c r="D489" s="8" t="s">
        <v>615</v>
      </c>
      <c r="E489" s="8" t="s">
        <v>40</v>
      </c>
      <c r="F489" s="8" t="s">
        <v>54</v>
      </c>
      <c r="G489" s="8" t="s">
        <v>31</v>
      </c>
      <c r="H489" s="8" t="s">
        <v>31</v>
      </c>
      <c r="I489" s="8" t="n">
        <f aca="false">IF(EXACT(G489,H489),1,0)</f>
        <v>1</v>
      </c>
      <c r="J489" s="8" t="n">
        <v>1</v>
      </c>
      <c r="K489" s="8" t="s">
        <v>737</v>
      </c>
      <c r="L489" s="8" t="n">
        <v>1</v>
      </c>
      <c r="M489" s="8" t="n">
        <v>5</v>
      </c>
      <c r="N489" s="8" t="s">
        <v>2057</v>
      </c>
      <c r="O489" s="8" t="n">
        <v>2</v>
      </c>
      <c r="P489" s="10" t="n">
        <v>28.14</v>
      </c>
      <c r="Q489" s="8" t="n">
        <v>9137</v>
      </c>
      <c r="R489" s="8" t="n">
        <v>1481</v>
      </c>
      <c r="S489" s="8" t="s">
        <v>589</v>
      </c>
      <c r="T489" s="8"/>
      <c r="U489" s="8"/>
      <c r="V489" s="8" t="s">
        <v>155</v>
      </c>
      <c r="W489" s="8"/>
      <c r="X489" s="8" t="s">
        <v>590</v>
      </c>
      <c r="Y489" s="8" t="s">
        <v>3844</v>
      </c>
      <c r="Z489" s="8" t="s">
        <v>3845</v>
      </c>
    </row>
    <row r="490" customFormat="false" ht="15" hidden="false" customHeight="false" outlineLevel="0" collapsed="false">
      <c r="A490" s="8" t="s">
        <v>588</v>
      </c>
      <c r="B490" s="8" t="s">
        <v>21</v>
      </c>
      <c r="C490" s="8" t="s">
        <v>22</v>
      </c>
      <c r="D490" s="8" t="s">
        <v>615</v>
      </c>
      <c r="E490" s="8" t="s">
        <v>40</v>
      </c>
      <c r="F490" s="8" t="s">
        <v>54</v>
      </c>
      <c r="G490" s="8" t="s">
        <v>31</v>
      </c>
      <c r="H490" s="8" t="s">
        <v>31</v>
      </c>
      <c r="I490" s="8" t="n">
        <f aca="false">IF(EXACT(G490,H490),1,0)</f>
        <v>1</v>
      </c>
      <c r="J490" s="8" t="n">
        <v>2</v>
      </c>
      <c r="K490" s="8" t="s">
        <v>116</v>
      </c>
      <c r="L490" s="8" t="n">
        <v>1</v>
      </c>
      <c r="M490" s="8" t="n">
        <v>5</v>
      </c>
      <c r="N490" s="8" t="s">
        <v>2057</v>
      </c>
      <c r="O490" s="8" t="n">
        <v>2</v>
      </c>
      <c r="P490" s="10" t="n">
        <v>28.42</v>
      </c>
      <c r="Q490" s="8" t="n">
        <v>9138</v>
      </c>
      <c r="R490" s="8" t="n">
        <v>1472</v>
      </c>
      <c r="S490" s="8" t="s">
        <v>589</v>
      </c>
      <c r="T490" s="8"/>
      <c r="U490" s="8"/>
      <c r="V490" s="8" t="s">
        <v>155</v>
      </c>
      <c r="W490" s="8"/>
      <c r="X490" s="8" t="s">
        <v>590</v>
      </c>
      <c r="Y490" s="8" t="s">
        <v>3846</v>
      </c>
      <c r="Z490" s="8" t="s">
        <v>3847</v>
      </c>
    </row>
    <row r="491" customFormat="false" ht="15" hidden="false" customHeight="false" outlineLevel="0" collapsed="false">
      <c r="A491" s="8" t="s">
        <v>591</v>
      </c>
      <c r="B491" s="8" t="s">
        <v>21</v>
      </c>
      <c r="C491" s="8" t="s">
        <v>22</v>
      </c>
      <c r="D491" s="8" t="s">
        <v>615</v>
      </c>
      <c r="E491" s="8" t="s">
        <v>40</v>
      </c>
      <c r="F491" s="8" t="s">
        <v>54</v>
      </c>
      <c r="G491" s="8" t="s">
        <v>32</v>
      </c>
      <c r="H491" s="8" t="s">
        <v>31</v>
      </c>
      <c r="I491" s="8" t="n">
        <f aca="false">IF(EXACT(G491,H491),1,0)</f>
        <v>0</v>
      </c>
      <c r="J491" s="8" t="n">
        <v>0</v>
      </c>
      <c r="K491" s="8" t="s">
        <v>116</v>
      </c>
      <c r="L491" s="8" t="n">
        <v>1</v>
      </c>
      <c r="M491" s="8" t="n">
        <v>5</v>
      </c>
      <c r="N491" s="8" t="s">
        <v>2057</v>
      </c>
      <c r="O491" s="8" t="n">
        <v>2</v>
      </c>
      <c r="P491" s="10" t="n">
        <v>26.16</v>
      </c>
      <c r="Q491" s="8" t="n">
        <v>9019</v>
      </c>
      <c r="R491" s="8" t="n">
        <v>1363</v>
      </c>
      <c r="S491" s="8" t="s">
        <v>592</v>
      </c>
      <c r="T491" s="8"/>
      <c r="U491" s="8"/>
      <c r="V491" s="8" t="s">
        <v>155</v>
      </c>
      <c r="W491" s="8"/>
      <c r="X491" s="8" t="s">
        <v>593</v>
      </c>
      <c r="Y491" s="8" t="s">
        <v>3848</v>
      </c>
      <c r="Z491" s="8" t="s">
        <v>3849</v>
      </c>
    </row>
    <row r="492" customFormat="false" ht="15" hidden="false" customHeight="false" outlineLevel="0" collapsed="false">
      <c r="A492" s="8" t="s">
        <v>591</v>
      </c>
      <c r="B492" s="8" t="s">
        <v>21</v>
      </c>
      <c r="C492" s="8" t="s">
        <v>22</v>
      </c>
      <c r="D492" s="8" t="s">
        <v>615</v>
      </c>
      <c r="E492" s="8" t="s">
        <v>40</v>
      </c>
      <c r="F492" s="8" t="s">
        <v>54</v>
      </c>
      <c r="G492" s="8" t="s">
        <v>32</v>
      </c>
      <c r="H492" s="8" t="s">
        <v>31</v>
      </c>
      <c r="I492" s="8" t="n">
        <f aca="false">IF(EXACT(G492,H492),1,0)</f>
        <v>0</v>
      </c>
      <c r="J492" s="8" t="n">
        <v>1</v>
      </c>
      <c r="K492" s="8" t="s">
        <v>116</v>
      </c>
      <c r="L492" s="8" t="n">
        <v>1</v>
      </c>
      <c r="M492" s="8" t="n">
        <v>5</v>
      </c>
      <c r="N492" s="8" t="s">
        <v>2057</v>
      </c>
      <c r="O492" s="8" t="n">
        <v>2</v>
      </c>
      <c r="P492" s="10" t="n">
        <v>26.91</v>
      </c>
      <c r="Q492" s="8" t="n">
        <v>9019</v>
      </c>
      <c r="R492" s="8" t="n">
        <v>1352</v>
      </c>
      <c r="S492" s="8" t="s">
        <v>592</v>
      </c>
      <c r="T492" s="8"/>
      <c r="U492" s="8"/>
      <c r="V492" s="8" t="s">
        <v>155</v>
      </c>
      <c r="W492" s="8"/>
      <c r="X492" s="8" t="s">
        <v>593</v>
      </c>
      <c r="Y492" s="8" t="s">
        <v>3850</v>
      </c>
      <c r="Z492" s="8" t="s">
        <v>3849</v>
      </c>
    </row>
    <row r="493" customFormat="false" ht="15" hidden="false" customHeight="false" outlineLevel="0" collapsed="false">
      <c r="A493" s="8" t="s">
        <v>591</v>
      </c>
      <c r="B493" s="8" t="s">
        <v>21</v>
      </c>
      <c r="C493" s="8" t="s">
        <v>22</v>
      </c>
      <c r="D493" s="8" t="s">
        <v>615</v>
      </c>
      <c r="E493" s="8" t="s">
        <v>40</v>
      </c>
      <c r="F493" s="8" t="s">
        <v>54</v>
      </c>
      <c r="G493" s="8" t="s">
        <v>32</v>
      </c>
      <c r="H493" s="8" t="s">
        <v>31</v>
      </c>
      <c r="I493" s="8" t="n">
        <f aca="false">IF(EXACT(G493,H493),1,0)</f>
        <v>0</v>
      </c>
      <c r="J493" s="8" t="n">
        <v>2</v>
      </c>
      <c r="K493" s="8" t="s">
        <v>116</v>
      </c>
      <c r="L493" s="8" t="n">
        <v>1</v>
      </c>
      <c r="M493" s="8" t="n">
        <v>5</v>
      </c>
      <c r="N493" s="8" t="s">
        <v>2057</v>
      </c>
      <c r="O493" s="8" t="n">
        <v>2</v>
      </c>
      <c r="P493" s="10" t="n">
        <v>26.67</v>
      </c>
      <c r="Q493" s="8" t="n">
        <v>9019</v>
      </c>
      <c r="R493" s="8" t="n">
        <v>1348</v>
      </c>
      <c r="S493" s="8" t="s">
        <v>592</v>
      </c>
      <c r="T493" s="8"/>
      <c r="U493" s="8"/>
      <c r="V493" s="8" t="s">
        <v>155</v>
      </c>
      <c r="W493" s="8"/>
      <c r="X493" s="8" t="s">
        <v>593</v>
      </c>
      <c r="Y493" s="8" t="s">
        <v>3851</v>
      </c>
      <c r="Z493" s="8" t="s">
        <v>3852</v>
      </c>
    </row>
    <row r="494" customFormat="false" ht="15" hidden="false" customHeight="false" outlineLevel="0" collapsed="false">
      <c r="A494" s="8" t="s">
        <v>594</v>
      </c>
      <c r="B494" s="8" t="s">
        <v>21</v>
      </c>
      <c r="C494" s="8" t="s">
        <v>22</v>
      </c>
      <c r="D494" s="8" t="s">
        <v>615</v>
      </c>
      <c r="E494" s="8" t="s">
        <v>40</v>
      </c>
      <c r="F494" s="8" t="s">
        <v>54</v>
      </c>
      <c r="G494" s="8" t="s">
        <v>32</v>
      </c>
      <c r="H494" s="8" t="s">
        <v>31</v>
      </c>
      <c r="I494" s="8" t="n">
        <f aca="false">IF(EXACT(G494,H494),1,0)</f>
        <v>0</v>
      </c>
      <c r="J494" s="8" t="n">
        <v>0</v>
      </c>
      <c r="K494" s="8" t="s">
        <v>737</v>
      </c>
      <c r="L494" s="8" t="n">
        <v>1</v>
      </c>
      <c r="M494" s="8" t="n">
        <v>5</v>
      </c>
      <c r="N494" s="8" t="s">
        <v>2057</v>
      </c>
      <c r="O494" s="8" t="n">
        <v>2</v>
      </c>
      <c r="P494" s="10" t="n">
        <v>28.92</v>
      </c>
      <c r="Q494" s="8" t="n">
        <v>9222</v>
      </c>
      <c r="R494" s="8" t="n">
        <v>1583</v>
      </c>
      <c r="S494" s="8" t="s">
        <v>595</v>
      </c>
      <c r="T494" s="8"/>
      <c r="U494" s="8"/>
      <c r="V494" s="8" t="s">
        <v>155</v>
      </c>
      <c r="W494" s="8"/>
      <c r="X494" s="8" t="s">
        <v>596</v>
      </c>
      <c r="Y494" s="8" t="s">
        <v>3853</v>
      </c>
      <c r="Z494" s="8" t="s">
        <v>3854</v>
      </c>
    </row>
    <row r="495" customFormat="false" ht="15" hidden="false" customHeight="false" outlineLevel="0" collapsed="false">
      <c r="A495" s="8" t="s">
        <v>594</v>
      </c>
      <c r="B495" s="8" t="s">
        <v>21</v>
      </c>
      <c r="C495" s="8" t="s">
        <v>22</v>
      </c>
      <c r="D495" s="8" t="s">
        <v>615</v>
      </c>
      <c r="E495" s="8" t="s">
        <v>40</v>
      </c>
      <c r="F495" s="8" t="s">
        <v>54</v>
      </c>
      <c r="G495" s="8" t="s">
        <v>32</v>
      </c>
      <c r="H495" s="8" t="s">
        <v>31</v>
      </c>
      <c r="I495" s="8" t="n">
        <f aca="false">IF(EXACT(G495,H495),1,0)</f>
        <v>0</v>
      </c>
      <c r="J495" s="8" t="n">
        <v>1</v>
      </c>
      <c r="K495" s="8" t="s">
        <v>737</v>
      </c>
      <c r="L495" s="8" t="n">
        <v>1</v>
      </c>
      <c r="M495" s="8" t="n">
        <v>5</v>
      </c>
      <c r="N495" s="8" t="s">
        <v>2057</v>
      </c>
      <c r="O495" s="8" t="n">
        <v>2</v>
      </c>
      <c r="P495" s="10" t="n">
        <v>29.38</v>
      </c>
      <c r="Q495" s="8" t="n">
        <v>9222</v>
      </c>
      <c r="R495" s="8" t="n">
        <v>1593</v>
      </c>
      <c r="S495" s="8" t="s">
        <v>595</v>
      </c>
      <c r="T495" s="8"/>
      <c r="U495" s="8"/>
      <c r="V495" s="8" t="s">
        <v>155</v>
      </c>
      <c r="W495" s="8"/>
      <c r="X495" s="8" t="s">
        <v>596</v>
      </c>
      <c r="Y495" s="8" t="s">
        <v>3855</v>
      </c>
      <c r="Z495" s="8" t="s">
        <v>3856</v>
      </c>
    </row>
    <row r="496" customFormat="false" ht="15" hidden="false" customHeight="false" outlineLevel="0" collapsed="false">
      <c r="A496" s="8" t="s">
        <v>594</v>
      </c>
      <c r="B496" s="8" t="s">
        <v>21</v>
      </c>
      <c r="C496" s="8" t="s">
        <v>22</v>
      </c>
      <c r="D496" s="8" t="s">
        <v>615</v>
      </c>
      <c r="E496" s="8" t="s">
        <v>40</v>
      </c>
      <c r="F496" s="8" t="s">
        <v>54</v>
      </c>
      <c r="G496" s="8" t="s">
        <v>32</v>
      </c>
      <c r="H496" s="8" t="s">
        <v>31</v>
      </c>
      <c r="I496" s="8" t="n">
        <f aca="false">IF(EXACT(G496,H496),1,0)</f>
        <v>0</v>
      </c>
      <c r="J496" s="8" t="n">
        <v>2</v>
      </c>
      <c r="K496" s="8" t="s">
        <v>737</v>
      </c>
      <c r="L496" s="8" t="n">
        <v>1</v>
      </c>
      <c r="M496" s="8" t="n">
        <v>5</v>
      </c>
      <c r="N496" s="8" t="s">
        <v>2057</v>
      </c>
      <c r="O496" s="8" t="n">
        <v>2</v>
      </c>
      <c r="P496" s="10" t="n">
        <v>28.17</v>
      </c>
      <c r="Q496" s="8" t="n">
        <v>9222</v>
      </c>
      <c r="R496" s="8" t="n">
        <v>1560</v>
      </c>
      <c r="S496" s="8" t="s">
        <v>595</v>
      </c>
      <c r="T496" s="8"/>
      <c r="U496" s="8"/>
      <c r="V496" s="8" t="s">
        <v>155</v>
      </c>
      <c r="W496" s="8"/>
      <c r="X496" s="8" t="s">
        <v>596</v>
      </c>
      <c r="Y496" s="8" t="s">
        <v>3857</v>
      </c>
      <c r="Z496" s="8" t="s">
        <v>3858</v>
      </c>
    </row>
    <row r="497" customFormat="false" ht="15" hidden="false" customHeight="false" outlineLevel="0" collapsed="false">
      <c r="A497" s="8" t="s">
        <v>597</v>
      </c>
      <c r="B497" s="8" t="s">
        <v>21</v>
      </c>
      <c r="C497" s="8" t="s">
        <v>22</v>
      </c>
      <c r="D497" s="8" t="s">
        <v>615</v>
      </c>
      <c r="E497" s="8" t="s">
        <v>40</v>
      </c>
      <c r="F497" s="8" t="s">
        <v>54</v>
      </c>
      <c r="G497" s="8" t="s">
        <v>30</v>
      </c>
      <c r="H497" s="8" t="s">
        <v>30</v>
      </c>
      <c r="I497" s="8" t="n">
        <f aca="false">IF(EXACT(G497,H497),1,0)</f>
        <v>1</v>
      </c>
      <c r="J497" s="8" t="n">
        <v>0</v>
      </c>
      <c r="K497" s="8" t="s">
        <v>92</v>
      </c>
      <c r="L497" s="8" t="n">
        <v>0</v>
      </c>
      <c r="M497" s="8" t="n">
        <v>5</v>
      </c>
      <c r="N497" s="8" t="s">
        <v>2057</v>
      </c>
      <c r="O497" s="8" t="n">
        <v>2</v>
      </c>
      <c r="P497" s="10" t="n">
        <v>31.09</v>
      </c>
      <c r="Q497" s="8" t="n">
        <v>9967</v>
      </c>
      <c r="R497" s="8" t="n">
        <v>1917</v>
      </c>
      <c r="S497" s="8" t="s">
        <v>598</v>
      </c>
      <c r="T497" s="8"/>
      <c r="U497" s="8"/>
      <c r="V497" s="8" t="s">
        <v>155</v>
      </c>
      <c r="W497" s="8"/>
      <c r="X497" s="8" t="s">
        <v>599</v>
      </c>
      <c r="Y497" s="8" t="s">
        <v>3859</v>
      </c>
      <c r="Z497" s="8"/>
    </row>
    <row r="498" customFormat="false" ht="15" hidden="false" customHeight="false" outlineLevel="0" collapsed="false">
      <c r="A498" s="8" t="s">
        <v>597</v>
      </c>
      <c r="B498" s="8" t="s">
        <v>21</v>
      </c>
      <c r="C498" s="8" t="s">
        <v>22</v>
      </c>
      <c r="D498" s="8" t="s">
        <v>615</v>
      </c>
      <c r="E498" s="8" t="s">
        <v>40</v>
      </c>
      <c r="F498" s="8" t="s">
        <v>54</v>
      </c>
      <c r="G498" s="8" t="s">
        <v>30</v>
      </c>
      <c r="H498" s="8" t="s">
        <v>30</v>
      </c>
      <c r="I498" s="8" t="n">
        <f aca="false">IF(EXACT(G498,H498),1,0)</f>
        <v>1</v>
      </c>
      <c r="J498" s="8" t="n">
        <v>1</v>
      </c>
      <c r="K498" s="8" t="s">
        <v>92</v>
      </c>
      <c r="L498" s="8" t="n">
        <v>0</v>
      </c>
      <c r="M498" s="8" t="n">
        <v>5</v>
      </c>
      <c r="N498" s="8" t="s">
        <v>2057</v>
      </c>
      <c r="O498" s="8" t="n">
        <v>2</v>
      </c>
      <c r="P498" s="10" t="n">
        <v>29.8</v>
      </c>
      <c r="Q498" s="8" t="n">
        <v>9967</v>
      </c>
      <c r="R498" s="8" t="n">
        <v>1938</v>
      </c>
      <c r="S498" s="8" t="s">
        <v>598</v>
      </c>
      <c r="T498" s="8"/>
      <c r="U498" s="8"/>
      <c r="V498" s="8" t="s">
        <v>155</v>
      </c>
      <c r="W498" s="8"/>
      <c r="X498" s="8" t="s">
        <v>599</v>
      </c>
      <c r="Y498" s="8" t="s">
        <v>3860</v>
      </c>
      <c r="Z498" s="8"/>
    </row>
    <row r="499" customFormat="false" ht="15" hidden="false" customHeight="false" outlineLevel="0" collapsed="false">
      <c r="A499" s="8" t="s">
        <v>597</v>
      </c>
      <c r="B499" s="8" t="s">
        <v>21</v>
      </c>
      <c r="C499" s="8" t="s">
        <v>22</v>
      </c>
      <c r="D499" s="8" t="s">
        <v>615</v>
      </c>
      <c r="E499" s="8" t="s">
        <v>40</v>
      </c>
      <c r="F499" s="8" t="s">
        <v>54</v>
      </c>
      <c r="G499" s="8" t="s">
        <v>30</v>
      </c>
      <c r="H499" s="8" t="s">
        <v>30</v>
      </c>
      <c r="I499" s="8" t="n">
        <f aca="false">IF(EXACT(G499,H499),1,0)</f>
        <v>1</v>
      </c>
      <c r="J499" s="8" t="n">
        <v>2</v>
      </c>
      <c r="K499" s="8" t="s">
        <v>92</v>
      </c>
      <c r="L499" s="8" t="n">
        <v>0</v>
      </c>
      <c r="M499" s="8" t="n">
        <v>5</v>
      </c>
      <c r="N499" s="8" t="s">
        <v>2057</v>
      </c>
      <c r="O499" s="8" t="n">
        <v>2</v>
      </c>
      <c r="P499" s="10" t="n">
        <v>31.05</v>
      </c>
      <c r="Q499" s="8" t="n">
        <v>9963</v>
      </c>
      <c r="R499" s="8" t="n">
        <v>1901</v>
      </c>
      <c r="S499" s="8" t="s">
        <v>598</v>
      </c>
      <c r="T499" s="8"/>
      <c r="U499" s="8"/>
      <c r="V499" s="8" t="s">
        <v>155</v>
      </c>
      <c r="W499" s="8"/>
      <c r="X499" s="8" t="s">
        <v>599</v>
      </c>
      <c r="Y499" s="8" t="s">
        <v>3861</v>
      </c>
      <c r="Z499" s="8"/>
    </row>
    <row r="500" customFormat="false" ht="15" hidden="false" customHeight="false" outlineLevel="0" collapsed="false">
      <c r="A500" s="8" t="s">
        <v>600</v>
      </c>
      <c r="B500" s="8" t="s">
        <v>21</v>
      </c>
      <c r="C500" s="8" t="s">
        <v>22</v>
      </c>
      <c r="D500" s="8" t="s">
        <v>615</v>
      </c>
      <c r="E500" s="8" t="s">
        <v>40</v>
      </c>
      <c r="F500" s="8" t="s">
        <v>54</v>
      </c>
      <c r="G500" s="8" t="s">
        <v>30</v>
      </c>
      <c r="H500" s="8" t="s">
        <v>30</v>
      </c>
      <c r="I500" s="8" t="n">
        <f aca="false">IF(EXACT(G500,H500),1,0)</f>
        <v>1</v>
      </c>
      <c r="J500" s="8" t="n">
        <v>0</v>
      </c>
      <c r="K500" s="8" t="s">
        <v>92</v>
      </c>
      <c r="L500" s="8" t="n">
        <v>0</v>
      </c>
      <c r="M500" s="8" t="n">
        <v>5</v>
      </c>
      <c r="N500" s="8" t="s">
        <v>2057</v>
      </c>
      <c r="O500" s="8" t="n">
        <v>2</v>
      </c>
      <c r="P500" s="10" t="n">
        <v>29.11</v>
      </c>
      <c r="Q500" s="8" t="n">
        <v>9840</v>
      </c>
      <c r="R500" s="8" t="n">
        <v>1785</v>
      </c>
      <c r="S500" s="8" t="s">
        <v>601</v>
      </c>
      <c r="T500" s="8"/>
      <c r="U500" s="8"/>
      <c r="V500" s="8" t="s">
        <v>155</v>
      </c>
      <c r="W500" s="8"/>
      <c r="X500" s="8" t="s">
        <v>602</v>
      </c>
      <c r="Y500" s="8" t="s">
        <v>3862</v>
      </c>
      <c r="Z500" s="8"/>
    </row>
    <row r="501" customFormat="false" ht="15" hidden="false" customHeight="false" outlineLevel="0" collapsed="false">
      <c r="A501" s="8" t="s">
        <v>600</v>
      </c>
      <c r="B501" s="8" t="s">
        <v>21</v>
      </c>
      <c r="C501" s="8" t="s">
        <v>22</v>
      </c>
      <c r="D501" s="8" t="s">
        <v>615</v>
      </c>
      <c r="E501" s="8" t="s">
        <v>40</v>
      </c>
      <c r="F501" s="8" t="s">
        <v>54</v>
      </c>
      <c r="G501" s="8" t="s">
        <v>30</v>
      </c>
      <c r="H501" s="8" t="s">
        <v>30</v>
      </c>
      <c r="I501" s="8" t="n">
        <f aca="false">IF(EXACT(G501,H501),1,0)</f>
        <v>1</v>
      </c>
      <c r="J501" s="8" t="n">
        <v>1</v>
      </c>
      <c r="K501" s="8" t="s">
        <v>92</v>
      </c>
      <c r="L501" s="8" t="n">
        <v>0</v>
      </c>
      <c r="M501" s="8" t="n">
        <v>5</v>
      </c>
      <c r="N501" s="8" t="s">
        <v>2057</v>
      </c>
      <c r="O501" s="8" t="n">
        <v>2</v>
      </c>
      <c r="P501" s="10" t="n">
        <v>28.15</v>
      </c>
      <c r="Q501" s="8" t="n">
        <v>9840</v>
      </c>
      <c r="R501" s="8" t="n">
        <v>1784</v>
      </c>
      <c r="S501" s="8" t="s">
        <v>601</v>
      </c>
      <c r="T501" s="8"/>
      <c r="U501" s="8"/>
      <c r="V501" s="8" t="s">
        <v>155</v>
      </c>
      <c r="W501" s="8"/>
      <c r="X501" s="8" t="s">
        <v>602</v>
      </c>
      <c r="Y501" s="8" t="s">
        <v>3863</v>
      </c>
      <c r="Z501" s="8"/>
    </row>
    <row r="502" customFormat="false" ht="15" hidden="false" customHeight="false" outlineLevel="0" collapsed="false">
      <c r="A502" s="8" t="s">
        <v>600</v>
      </c>
      <c r="B502" s="8" t="s">
        <v>21</v>
      </c>
      <c r="C502" s="8" t="s">
        <v>22</v>
      </c>
      <c r="D502" s="8" t="s">
        <v>615</v>
      </c>
      <c r="E502" s="8" t="s">
        <v>40</v>
      </c>
      <c r="F502" s="8" t="s">
        <v>54</v>
      </c>
      <c r="G502" s="8" t="s">
        <v>30</v>
      </c>
      <c r="H502" s="8" t="s">
        <v>30</v>
      </c>
      <c r="I502" s="8" t="n">
        <f aca="false">IF(EXACT(G502,H502),1,0)</f>
        <v>1</v>
      </c>
      <c r="J502" s="8" t="n">
        <v>2</v>
      </c>
      <c r="K502" s="8" t="s">
        <v>92</v>
      </c>
      <c r="L502" s="8" t="n">
        <v>0</v>
      </c>
      <c r="M502" s="8" t="n">
        <v>5</v>
      </c>
      <c r="N502" s="8" t="s">
        <v>2057</v>
      </c>
      <c r="O502" s="8" t="n">
        <v>2</v>
      </c>
      <c r="P502" s="10" t="n">
        <v>28.3</v>
      </c>
      <c r="Q502" s="8" t="n">
        <v>9840</v>
      </c>
      <c r="R502" s="8" t="n">
        <v>1772</v>
      </c>
      <c r="S502" s="8" t="s">
        <v>601</v>
      </c>
      <c r="T502" s="8"/>
      <c r="U502" s="8"/>
      <c r="V502" s="8" t="s">
        <v>155</v>
      </c>
      <c r="W502" s="8"/>
      <c r="X502" s="8" t="s">
        <v>602</v>
      </c>
      <c r="Y502" s="8" t="s">
        <v>3864</v>
      </c>
      <c r="Z502" s="8"/>
    </row>
    <row r="503" customFormat="false" ht="15" hidden="false" customHeight="false" outlineLevel="0" collapsed="false">
      <c r="A503" s="8" t="s">
        <v>365</v>
      </c>
      <c r="B503" s="8" t="s">
        <v>21</v>
      </c>
      <c r="C503" s="8" t="s">
        <v>22</v>
      </c>
      <c r="D503" s="8" t="s">
        <v>615</v>
      </c>
      <c r="E503" s="8" t="s">
        <v>40</v>
      </c>
      <c r="F503" s="8" t="s">
        <v>55</v>
      </c>
      <c r="G503" s="8" t="s">
        <v>30</v>
      </c>
      <c r="H503" s="8" t="s">
        <v>31</v>
      </c>
      <c r="I503" s="8" t="n">
        <f aca="false">IF(EXACT(G503,H503),1,0)</f>
        <v>0</v>
      </c>
      <c r="J503" s="8" t="n">
        <v>0</v>
      </c>
      <c r="K503" s="8" t="s">
        <v>116</v>
      </c>
      <c r="L503" s="8" t="n">
        <v>1</v>
      </c>
      <c r="M503" s="8" t="n">
        <v>5</v>
      </c>
      <c r="N503" s="8" t="s">
        <v>2057</v>
      </c>
      <c r="O503" s="8" t="n">
        <v>2</v>
      </c>
      <c r="P503" s="10" t="n">
        <v>22.77</v>
      </c>
      <c r="Q503" s="8" t="n">
        <v>8327</v>
      </c>
      <c r="R503" s="8" t="n">
        <v>886</v>
      </c>
      <c r="S503" s="8" t="s">
        <v>366</v>
      </c>
      <c r="T503" s="8" t="s">
        <v>367</v>
      </c>
      <c r="U503" s="8" t="s">
        <v>368</v>
      </c>
      <c r="V503" s="8"/>
      <c r="W503" s="8" t="s">
        <v>369</v>
      </c>
      <c r="X503" s="8" t="s">
        <v>603</v>
      </c>
      <c r="Y503" s="8" t="s">
        <v>3865</v>
      </c>
      <c r="Z503" s="8" t="s">
        <v>3866</v>
      </c>
    </row>
    <row r="504" customFormat="false" ht="15" hidden="false" customHeight="false" outlineLevel="0" collapsed="false">
      <c r="A504" s="8" t="s">
        <v>365</v>
      </c>
      <c r="B504" s="8" t="s">
        <v>21</v>
      </c>
      <c r="C504" s="8" t="s">
        <v>22</v>
      </c>
      <c r="D504" s="8" t="s">
        <v>615</v>
      </c>
      <c r="E504" s="8" t="s">
        <v>40</v>
      </c>
      <c r="F504" s="8" t="s">
        <v>55</v>
      </c>
      <c r="G504" s="8" t="s">
        <v>30</v>
      </c>
      <c r="H504" s="8" t="s">
        <v>31</v>
      </c>
      <c r="I504" s="8" t="n">
        <f aca="false">IF(EXACT(G504,H504),1,0)</f>
        <v>0</v>
      </c>
      <c r="J504" s="8" t="n">
        <v>1</v>
      </c>
      <c r="K504" s="8" t="s">
        <v>116</v>
      </c>
      <c r="L504" s="8" t="n">
        <v>2</v>
      </c>
      <c r="M504" s="8" t="n">
        <v>5</v>
      </c>
      <c r="N504" s="8" t="s">
        <v>2057</v>
      </c>
      <c r="O504" s="8" t="n">
        <v>2</v>
      </c>
      <c r="P504" s="10" t="n">
        <v>24.53</v>
      </c>
      <c r="Q504" s="8" t="n">
        <v>8327</v>
      </c>
      <c r="R504" s="8" t="n">
        <v>1042</v>
      </c>
      <c r="S504" s="8" t="s">
        <v>366</v>
      </c>
      <c r="T504" s="8" t="s">
        <v>367</v>
      </c>
      <c r="U504" s="8" t="s">
        <v>368</v>
      </c>
      <c r="V504" s="8"/>
      <c r="W504" s="8" t="s">
        <v>369</v>
      </c>
      <c r="X504" s="8" t="s">
        <v>603</v>
      </c>
      <c r="Y504" s="8" t="s">
        <v>3867</v>
      </c>
      <c r="Z504" s="8" t="s">
        <v>3868</v>
      </c>
    </row>
    <row r="505" customFormat="false" ht="15" hidden="false" customHeight="false" outlineLevel="0" collapsed="false">
      <c r="A505" s="8" t="s">
        <v>365</v>
      </c>
      <c r="B505" s="8" t="s">
        <v>21</v>
      </c>
      <c r="C505" s="8" t="s">
        <v>22</v>
      </c>
      <c r="D505" s="8" t="s">
        <v>615</v>
      </c>
      <c r="E505" s="8" t="s">
        <v>40</v>
      </c>
      <c r="F505" s="8" t="s">
        <v>55</v>
      </c>
      <c r="G505" s="8" t="s">
        <v>30</v>
      </c>
      <c r="H505" s="8" t="s">
        <v>31</v>
      </c>
      <c r="I505" s="8" t="n">
        <f aca="false">IF(EXACT(G505,H505),1,0)</f>
        <v>0</v>
      </c>
      <c r="J505" s="8" t="n">
        <v>2</v>
      </c>
      <c r="K505" s="8" t="s">
        <v>116</v>
      </c>
      <c r="L505" s="8" t="n">
        <v>1</v>
      </c>
      <c r="M505" s="8" t="n">
        <v>5</v>
      </c>
      <c r="N505" s="8" t="s">
        <v>2057</v>
      </c>
      <c r="O505" s="8" t="n">
        <v>2</v>
      </c>
      <c r="P505" s="10" t="n">
        <v>22.31</v>
      </c>
      <c r="Q505" s="8" t="n">
        <v>8327</v>
      </c>
      <c r="R505" s="8" t="n">
        <v>894</v>
      </c>
      <c r="S505" s="8" t="s">
        <v>366</v>
      </c>
      <c r="T505" s="8" t="s">
        <v>367</v>
      </c>
      <c r="U505" s="8" t="s">
        <v>368</v>
      </c>
      <c r="V505" s="8"/>
      <c r="W505" s="8" t="s">
        <v>369</v>
      </c>
      <c r="X505" s="8" t="s">
        <v>603</v>
      </c>
      <c r="Y505" s="8" t="s">
        <v>3869</v>
      </c>
      <c r="Z505" s="8" t="s">
        <v>3870</v>
      </c>
    </row>
    <row r="506" customFormat="false" ht="15" hidden="false" customHeight="false" outlineLevel="0" collapsed="false">
      <c r="A506" s="8" t="s">
        <v>371</v>
      </c>
      <c r="B506" s="8" t="s">
        <v>21</v>
      </c>
      <c r="C506" s="8" t="s">
        <v>22</v>
      </c>
      <c r="D506" s="8" t="s">
        <v>615</v>
      </c>
      <c r="E506" s="8" t="s">
        <v>40</v>
      </c>
      <c r="F506" s="8" t="s">
        <v>55</v>
      </c>
      <c r="G506" s="8" t="s">
        <v>30</v>
      </c>
      <c r="H506" s="8" t="s">
        <v>31</v>
      </c>
      <c r="I506" s="8" t="n">
        <f aca="false">IF(EXACT(G506,H506),1,0)</f>
        <v>0</v>
      </c>
      <c r="J506" s="8" t="n">
        <v>0</v>
      </c>
      <c r="K506" s="8" t="s">
        <v>116</v>
      </c>
      <c r="L506" s="8" t="n">
        <v>2</v>
      </c>
      <c r="M506" s="8" t="n">
        <v>5</v>
      </c>
      <c r="N506" s="8" t="s">
        <v>2057</v>
      </c>
      <c r="O506" s="8" t="n">
        <v>2</v>
      </c>
      <c r="P506" s="10" t="n">
        <v>27.73</v>
      </c>
      <c r="Q506" s="8" t="n">
        <v>8957</v>
      </c>
      <c r="R506" s="8" t="n">
        <v>1409</v>
      </c>
      <c r="S506" s="8" t="s">
        <v>180</v>
      </c>
      <c r="T506" s="8" t="s">
        <v>372</v>
      </c>
      <c r="U506" s="8" t="s">
        <v>373</v>
      </c>
      <c r="V506" s="8"/>
      <c r="W506" s="8" t="s">
        <v>374</v>
      </c>
      <c r="X506" s="8" t="s">
        <v>604</v>
      </c>
      <c r="Y506" s="8" t="s">
        <v>3871</v>
      </c>
      <c r="Z506" s="8" t="s">
        <v>3872</v>
      </c>
    </row>
    <row r="507" customFormat="false" ht="15" hidden="false" customHeight="false" outlineLevel="0" collapsed="false">
      <c r="A507" s="8" t="s">
        <v>371</v>
      </c>
      <c r="B507" s="8" t="s">
        <v>21</v>
      </c>
      <c r="C507" s="8" t="s">
        <v>22</v>
      </c>
      <c r="D507" s="8" t="s">
        <v>615</v>
      </c>
      <c r="E507" s="8" t="s">
        <v>40</v>
      </c>
      <c r="F507" s="8" t="s">
        <v>55</v>
      </c>
      <c r="G507" s="8" t="s">
        <v>30</v>
      </c>
      <c r="H507" s="8" t="s">
        <v>31</v>
      </c>
      <c r="I507" s="8" t="n">
        <f aca="false">IF(EXACT(G507,H507),1,0)</f>
        <v>0</v>
      </c>
      <c r="J507" s="8" t="n">
        <v>1</v>
      </c>
      <c r="K507" s="8" t="s">
        <v>116</v>
      </c>
      <c r="L507" s="8" t="n">
        <v>2</v>
      </c>
      <c r="M507" s="8" t="n">
        <v>5</v>
      </c>
      <c r="N507" s="8" t="s">
        <v>2057</v>
      </c>
      <c r="O507" s="8" t="n">
        <v>2</v>
      </c>
      <c r="P507" s="10" t="n">
        <v>27.18</v>
      </c>
      <c r="Q507" s="8" t="n">
        <v>8954</v>
      </c>
      <c r="R507" s="8" t="n">
        <v>1449</v>
      </c>
      <c r="S507" s="8" t="s">
        <v>180</v>
      </c>
      <c r="T507" s="8" t="s">
        <v>372</v>
      </c>
      <c r="U507" s="8" t="s">
        <v>373</v>
      </c>
      <c r="V507" s="8"/>
      <c r="W507" s="8" t="s">
        <v>374</v>
      </c>
      <c r="X507" s="8" t="s">
        <v>604</v>
      </c>
      <c r="Y507" s="8" t="s">
        <v>3873</v>
      </c>
      <c r="Z507" s="8" t="s">
        <v>3874</v>
      </c>
    </row>
    <row r="508" customFormat="false" ht="15" hidden="false" customHeight="false" outlineLevel="0" collapsed="false">
      <c r="A508" s="8" t="s">
        <v>371</v>
      </c>
      <c r="B508" s="8" t="s">
        <v>21</v>
      </c>
      <c r="C508" s="8" t="s">
        <v>22</v>
      </c>
      <c r="D508" s="8" t="s">
        <v>615</v>
      </c>
      <c r="E508" s="8" t="s">
        <v>40</v>
      </c>
      <c r="F508" s="8" t="s">
        <v>55</v>
      </c>
      <c r="G508" s="8" t="s">
        <v>30</v>
      </c>
      <c r="H508" s="8" t="s">
        <v>31</v>
      </c>
      <c r="I508" s="8" t="n">
        <f aca="false">IF(EXACT(G508,H508),1,0)</f>
        <v>0</v>
      </c>
      <c r="J508" s="8" t="n">
        <v>2</v>
      </c>
      <c r="K508" s="8" t="s">
        <v>116</v>
      </c>
      <c r="L508" s="8" t="n">
        <v>1</v>
      </c>
      <c r="M508" s="8" t="n">
        <v>5</v>
      </c>
      <c r="N508" s="8" t="s">
        <v>2057</v>
      </c>
      <c r="O508" s="8" t="n">
        <v>2</v>
      </c>
      <c r="P508" s="10" t="n">
        <v>24.13</v>
      </c>
      <c r="Q508" s="8" t="n">
        <v>8957</v>
      </c>
      <c r="R508" s="8" t="n">
        <v>1261</v>
      </c>
      <c r="S508" s="8" t="s">
        <v>180</v>
      </c>
      <c r="T508" s="8" t="s">
        <v>372</v>
      </c>
      <c r="U508" s="8" t="s">
        <v>373</v>
      </c>
      <c r="V508" s="8"/>
      <c r="W508" s="8" t="s">
        <v>374</v>
      </c>
      <c r="X508" s="8" t="s">
        <v>604</v>
      </c>
      <c r="Y508" s="8" t="s">
        <v>3875</v>
      </c>
      <c r="Z508" s="8" t="s">
        <v>3876</v>
      </c>
    </row>
    <row r="509" customFormat="false" ht="15" hidden="false" customHeight="false" outlineLevel="0" collapsed="false">
      <c r="A509" s="8" t="s">
        <v>376</v>
      </c>
      <c r="B509" s="8" t="s">
        <v>21</v>
      </c>
      <c r="C509" s="8" t="s">
        <v>22</v>
      </c>
      <c r="D509" s="8" t="s">
        <v>615</v>
      </c>
      <c r="E509" s="8" t="s">
        <v>40</v>
      </c>
      <c r="F509" s="8" t="s">
        <v>55</v>
      </c>
      <c r="G509" s="8" t="s">
        <v>32</v>
      </c>
      <c r="H509" s="8" t="s">
        <v>31</v>
      </c>
      <c r="I509" s="8" t="n">
        <f aca="false">IF(EXACT(G509,H509),1,0)</f>
        <v>0</v>
      </c>
      <c r="J509" s="8" t="n">
        <v>0</v>
      </c>
      <c r="K509" s="8" t="s">
        <v>116</v>
      </c>
      <c r="L509" s="8" t="n">
        <v>1</v>
      </c>
      <c r="M509" s="8" t="n">
        <v>5</v>
      </c>
      <c r="N509" s="8" t="s">
        <v>2057</v>
      </c>
      <c r="O509" s="8" t="n">
        <v>2</v>
      </c>
      <c r="P509" s="10" t="n">
        <v>20.28</v>
      </c>
      <c r="Q509" s="8" t="n">
        <v>8297</v>
      </c>
      <c r="R509" s="8" t="n">
        <v>798</v>
      </c>
      <c r="S509" s="8" t="s">
        <v>132</v>
      </c>
      <c r="T509" s="8" t="s">
        <v>367</v>
      </c>
      <c r="U509" s="8" t="s">
        <v>368</v>
      </c>
      <c r="V509" s="8"/>
      <c r="W509" s="8" t="s">
        <v>377</v>
      </c>
      <c r="X509" s="8" t="s">
        <v>605</v>
      </c>
      <c r="Y509" s="8" t="s">
        <v>3877</v>
      </c>
      <c r="Z509" s="8" t="s">
        <v>3878</v>
      </c>
    </row>
    <row r="510" customFormat="false" ht="15" hidden="false" customHeight="false" outlineLevel="0" collapsed="false">
      <c r="A510" s="8" t="s">
        <v>376</v>
      </c>
      <c r="B510" s="8" t="s">
        <v>21</v>
      </c>
      <c r="C510" s="8" t="s">
        <v>22</v>
      </c>
      <c r="D510" s="8" t="s">
        <v>615</v>
      </c>
      <c r="E510" s="8" t="s">
        <v>40</v>
      </c>
      <c r="F510" s="8" t="s">
        <v>55</v>
      </c>
      <c r="G510" s="8" t="s">
        <v>32</v>
      </c>
      <c r="H510" s="8" t="s">
        <v>31</v>
      </c>
      <c r="I510" s="8" t="n">
        <f aca="false">IF(EXACT(G510,H510),1,0)</f>
        <v>0</v>
      </c>
      <c r="J510" s="8" t="n">
        <v>1</v>
      </c>
      <c r="K510" s="8" t="s">
        <v>116</v>
      </c>
      <c r="L510" s="8" t="n">
        <v>2</v>
      </c>
      <c r="M510" s="8" t="n">
        <v>5</v>
      </c>
      <c r="N510" s="8" t="s">
        <v>2057</v>
      </c>
      <c r="O510" s="8" t="n">
        <v>2</v>
      </c>
      <c r="P510" s="10" t="n">
        <v>23.88</v>
      </c>
      <c r="Q510" s="8" t="n">
        <v>8297</v>
      </c>
      <c r="R510" s="8" t="n">
        <v>970</v>
      </c>
      <c r="S510" s="8" t="s">
        <v>132</v>
      </c>
      <c r="T510" s="8" t="s">
        <v>367</v>
      </c>
      <c r="U510" s="8" t="s">
        <v>368</v>
      </c>
      <c r="V510" s="8"/>
      <c r="W510" s="8" t="s">
        <v>377</v>
      </c>
      <c r="X510" s="8" t="s">
        <v>605</v>
      </c>
      <c r="Y510" s="8" t="s">
        <v>3879</v>
      </c>
      <c r="Z510" s="8" t="s">
        <v>3880</v>
      </c>
    </row>
    <row r="511" customFormat="false" ht="15" hidden="false" customHeight="false" outlineLevel="0" collapsed="false">
      <c r="A511" s="8" t="s">
        <v>376</v>
      </c>
      <c r="B511" s="8" t="s">
        <v>21</v>
      </c>
      <c r="C511" s="8" t="s">
        <v>22</v>
      </c>
      <c r="D511" s="8" t="s">
        <v>615</v>
      </c>
      <c r="E511" s="8" t="s">
        <v>40</v>
      </c>
      <c r="F511" s="8" t="s">
        <v>55</v>
      </c>
      <c r="G511" s="8" t="s">
        <v>32</v>
      </c>
      <c r="H511" s="8" t="s">
        <v>31</v>
      </c>
      <c r="I511" s="8" t="n">
        <f aca="false">IF(EXACT(G511,H511),1,0)</f>
        <v>0</v>
      </c>
      <c r="J511" s="8" t="n">
        <v>2</v>
      </c>
      <c r="K511" s="8" t="s">
        <v>116</v>
      </c>
      <c r="L511" s="8" t="n">
        <v>2</v>
      </c>
      <c r="M511" s="8" t="n">
        <v>5</v>
      </c>
      <c r="N511" s="8" t="s">
        <v>2057</v>
      </c>
      <c r="O511" s="8" t="n">
        <v>2</v>
      </c>
      <c r="P511" s="10" t="n">
        <v>23.42</v>
      </c>
      <c r="Q511" s="8" t="n">
        <v>8297</v>
      </c>
      <c r="R511" s="8" t="n">
        <v>972</v>
      </c>
      <c r="S511" s="8" t="s">
        <v>132</v>
      </c>
      <c r="T511" s="8" t="s">
        <v>367</v>
      </c>
      <c r="U511" s="8" t="s">
        <v>368</v>
      </c>
      <c r="V511" s="8"/>
      <c r="W511" s="8" t="s">
        <v>377</v>
      </c>
      <c r="X511" s="8" t="s">
        <v>605</v>
      </c>
      <c r="Y511" s="8" t="s">
        <v>3881</v>
      </c>
      <c r="Z511" s="8" t="s">
        <v>3882</v>
      </c>
    </row>
    <row r="512" customFormat="false" ht="15" hidden="false" customHeight="false" outlineLevel="0" collapsed="false">
      <c r="A512" s="8" t="s">
        <v>379</v>
      </c>
      <c r="B512" s="8" t="s">
        <v>21</v>
      </c>
      <c r="C512" s="8" t="s">
        <v>22</v>
      </c>
      <c r="D512" s="8" t="s">
        <v>615</v>
      </c>
      <c r="E512" s="8" t="s">
        <v>40</v>
      </c>
      <c r="F512" s="8" t="s">
        <v>55</v>
      </c>
      <c r="G512" s="8" t="s">
        <v>31</v>
      </c>
      <c r="H512" s="8" t="s">
        <v>31</v>
      </c>
      <c r="I512" s="8" t="n">
        <f aca="false">IF(EXACT(G512,H512),1,0)</f>
        <v>1</v>
      </c>
      <c r="J512" s="8" t="n">
        <v>0</v>
      </c>
      <c r="K512" s="8" t="s">
        <v>116</v>
      </c>
      <c r="L512" s="8" t="n">
        <v>2</v>
      </c>
      <c r="M512" s="8" t="n">
        <v>5</v>
      </c>
      <c r="N512" s="8" t="s">
        <v>2057</v>
      </c>
      <c r="O512" s="8" t="n">
        <v>2</v>
      </c>
      <c r="P512" s="10" t="n">
        <v>24.54</v>
      </c>
      <c r="Q512" s="8" t="n">
        <v>8341</v>
      </c>
      <c r="R512" s="8" t="n">
        <v>1060</v>
      </c>
      <c r="S512" s="8" t="s">
        <v>255</v>
      </c>
      <c r="T512" s="8" t="s">
        <v>367</v>
      </c>
      <c r="U512" s="8" t="s">
        <v>368</v>
      </c>
      <c r="V512" s="8"/>
      <c r="W512" s="8" t="s">
        <v>380</v>
      </c>
      <c r="X512" s="8" t="s">
        <v>606</v>
      </c>
      <c r="Y512" s="8" t="s">
        <v>3883</v>
      </c>
      <c r="Z512" s="8" t="s">
        <v>3884</v>
      </c>
    </row>
    <row r="513" customFormat="false" ht="15" hidden="false" customHeight="false" outlineLevel="0" collapsed="false">
      <c r="A513" s="8" t="s">
        <v>379</v>
      </c>
      <c r="B513" s="8" t="s">
        <v>21</v>
      </c>
      <c r="C513" s="8" t="s">
        <v>22</v>
      </c>
      <c r="D513" s="8" t="s">
        <v>615</v>
      </c>
      <c r="E513" s="8" t="s">
        <v>40</v>
      </c>
      <c r="F513" s="8" t="s">
        <v>55</v>
      </c>
      <c r="G513" s="8" t="s">
        <v>31</v>
      </c>
      <c r="H513" s="8" t="s">
        <v>31</v>
      </c>
      <c r="I513" s="8" t="n">
        <f aca="false">IF(EXACT(G513,H513),1,0)</f>
        <v>1</v>
      </c>
      <c r="J513" s="8" t="n">
        <v>1</v>
      </c>
      <c r="K513" s="8" t="s">
        <v>116</v>
      </c>
      <c r="L513" s="8" t="n">
        <v>2</v>
      </c>
      <c r="M513" s="8" t="n">
        <v>5</v>
      </c>
      <c r="N513" s="8" t="s">
        <v>2057</v>
      </c>
      <c r="O513" s="8" t="n">
        <v>2</v>
      </c>
      <c r="P513" s="10" t="n">
        <v>27.28</v>
      </c>
      <c r="Q513" s="8" t="n">
        <v>8341</v>
      </c>
      <c r="R513" s="8" t="n">
        <v>1077</v>
      </c>
      <c r="S513" s="8" t="s">
        <v>255</v>
      </c>
      <c r="T513" s="8" t="s">
        <v>367</v>
      </c>
      <c r="U513" s="8" t="s">
        <v>368</v>
      </c>
      <c r="V513" s="8"/>
      <c r="W513" s="8" t="s">
        <v>380</v>
      </c>
      <c r="X513" s="8" t="s">
        <v>606</v>
      </c>
      <c r="Y513" s="8" t="s">
        <v>3885</v>
      </c>
      <c r="Z513" s="8" t="s">
        <v>3886</v>
      </c>
    </row>
    <row r="514" customFormat="false" ht="15" hidden="false" customHeight="false" outlineLevel="0" collapsed="false">
      <c r="A514" s="8" t="s">
        <v>379</v>
      </c>
      <c r="B514" s="8" t="s">
        <v>21</v>
      </c>
      <c r="C514" s="8" t="s">
        <v>22</v>
      </c>
      <c r="D514" s="8" t="s">
        <v>615</v>
      </c>
      <c r="E514" s="8" t="s">
        <v>40</v>
      </c>
      <c r="F514" s="8" t="s">
        <v>55</v>
      </c>
      <c r="G514" s="8" t="s">
        <v>31</v>
      </c>
      <c r="H514" s="8" t="s">
        <v>31</v>
      </c>
      <c r="I514" s="8" t="n">
        <f aca="false">IF(EXACT(G514,H514),1,0)</f>
        <v>1</v>
      </c>
      <c r="J514" s="8" t="n">
        <v>2</v>
      </c>
      <c r="K514" s="8" t="s">
        <v>116</v>
      </c>
      <c r="L514" s="8" t="n">
        <v>3</v>
      </c>
      <c r="M514" s="8" t="n">
        <v>5</v>
      </c>
      <c r="N514" s="8" t="s">
        <v>2057</v>
      </c>
      <c r="O514" s="8" t="n">
        <v>2</v>
      </c>
      <c r="P514" s="10" t="n">
        <v>28.44</v>
      </c>
      <c r="Q514" s="8" t="n">
        <v>8341</v>
      </c>
      <c r="R514" s="8" t="n">
        <v>1259</v>
      </c>
      <c r="S514" s="8" t="s">
        <v>255</v>
      </c>
      <c r="T514" s="8" t="s">
        <v>367</v>
      </c>
      <c r="U514" s="8" t="s">
        <v>368</v>
      </c>
      <c r="V514" s="8"/>
      <c r="W514" s="8" t="s">
        <v>380</v>
      </c>
      <c r="X514" s="8" t="s">
        <v>606</v>
      </c>
      <c r="Y514" s="8" t="s">
        <v>3887</v>
      </c>
      <c r="Z514" s="8" t="s">
        <v>3888</v>
      </c>
    </row>
    <row r="515" customFormat="false" ht="15" hidden="false" customHeight="false" outlineLevel="0" collapsed="false">
      <c r="A515" s="8" t="s">
        <v>383</v>
      </c>
      <c r="B515" s="8" t="s">
        <v>21</v>
      </c>
      <c r="C515" s="8" t="s">
        <v>22</v>
      </c>
      <c r="D515" s="8" t="s">
        <v>615</v>
      </c>
      <c r="E515" s="8" t="s">
        <v>40</v>
      </c>
      <c r="F515" s="8" t="s">
        <v>55</v>
      </c>
      <c r="G515" s="8" t="s">
        <v>32</v>
      </c>
      <c r="H515" s="8" t="s">
        <v>31</v>
      </c>
      <c r="I515" s="8" t="n">
        <f aca="false">IF(EXACT(G515,H515),1,0)</f>
        <v>0</v>
      </c>
      <c r="J515" s="8" t="n">
        <v>0</v>
      </c>
      <c r="K515" s="8" t="s">
        <v>116</v>
      </c>
      <c r="L515" s="8" t="n">
        <v>3</v>
      </c>
      <c r="M515" s="8" t="n">
        <v>5</v>
      </c>
      <c r="N515" s="8" t="s">
        <v>2057</v>
      </c>
      <c r="O515" s="8" t="n">
        <v>2</v>
      </c>
      <c r="P515" s="10" t="n">
        <v>24.65</v>
      </c>
      <c r="Q515" s="8" t="n">
        <v>8259</v>
      </c>
      <c r="R515" s="8" t="n">
        <v>1121</v>
      </c>
      <c r="S515" s="8" t="s">
        <v>384</v>
      </c>
      <c r="T515" s="8" t="s">
        <v>372</v>
      </c>
      <c r="U515" s="8" t="s">
        <v>373</v>
      </c>
      <c r="V515" s="8"/>
      <c r="W515" s="8" t="s">
        <v>385</v>
      </c>
      <c r="X515" s="8" t="s">
        <v>607</v>
      </c>
      <c r="Y515" s="8" t="s">
        <v>3889</v>
      </c>
      <c r="Z515" s="8" t="s">
        <v>3890</v>
      </c>
    </row>
    <row r="516" customFormat="false" ht="15" hidden="false" customHeight="false" outlineLevel="0" collapsed="false">
      <c r="A516" s="8" t="s">
        <v>383</v>
      </c>
      <c r="B516" s="8" t="s">
        <v>21</v>
      </c>
      <c r="C516" s="8" t="s">
        <v>22</v>
      </c>
      <c r="D516" s="8" t="s">
        <v>615</v>
      </c>
      <c r="E516" s="8" t="s">
        <v>40</v>
      </c>
      <c r="F516" s="8" t="s">
        <v>55</v>
      </c>
      <c r="G516" s="8" t="s">
        <v>32</v>
      </c>
      <c r="H516" s="8" t="s">
        <v>31</v>
      </c>
      <c r="I516" s="8" t="n">
        <f aca="false">IF(EXACT(G516,H516),1,0)</f>
        <v>0</v>
      </c>
      <c r="J516" s="8" t="n">
        <v>1</v>
      </c>
      <c r="K516" s="8" t="s">
        <v>116</v>
      </c>
      <c r="L516" s="8" t="n">
        <v>1</v>
      </c>
      <c r="M516" s="8" t="n">
        <v>5</v>
      </c>
      <c r="N516" s="8" t="s">
        <v>2057</v>
      </c>
      <c r="O516" s="8" t="n">
        <v>2</v>
      </c>
      <c r="P516" s="10" t="n">
        <v>19.32</v>
      </c>
      <c r="Q516" s="8" t="n">
        <v>8257</v>
      </c>
      <c r="R516" s="8" t="n">
        <v>814</v>
      </c>
      <c r="S516" s="8" t="s">
        <v>384</v>
      </c>
      <c r="T516" s="8" t="s">
        <v>372</v>
      </c>
      <c r="U516" s="8" t="s">
        <v>373</v>
      </c>
      <c r="V516" s="8"/>
      <c r="W516" s="8" t="s">
        <v>385</v>
      </c>
      <c r="X516" s="8" t="s">
        <v>607</v>
      </c>
      <c r="Y516" s="8" t="s">
        <v>3891</v>
      </c>
      <c r="Z516" s="8" t="s">
        <v>3892</v>
      </c>
    </row>
    <row r="517" customFormat="false" ht="15" hidden="false" customHeight="false" outlineLevel="0" collapsed="false">
      <c r="A517" s="8" t="s">
        <v>383</v>
      </c>
      <c r="B517" s="8" t="s">
        <v>21</v>
      </c>
      <c r="C517" s="8" t="s">
        <v>22</v>
      </c>
      <c r="D517" s="8" t="s">
        <v>615</v>
      </c>
      <c r="E517" s="8" t="s">
        <v>40</v>
      </c>
      <c r="F517" s="8" t="s">
        <v>55</v>
      </c>
      <c r="G517" s="8" t="s">
        <v>32</v>
      </c>
      <c r="H517" s="8" t="s">
        <v>31</v>
      </c>
      <c r="I517" s="8" t="n">
        <f aca="false">IF(EXACT(G517,H517),1,0)</f>
        <v>0</v>
      </c>
      <c r="J517" s="8" t="n">
        <v>2</v>
      </c>
      <c r="K517" s="8" t="s">
        <v>116</v>
      </c>
      <c r="L517" s="8" t="n">
        <v>3</v>
      </c>
      <c r="M517" s="8" t="n">
        <v>5</v>
      </c>
      <c r="N517" s="8" t="s">
        <v>2057</v>
      </c>
      <c r="O517" s="8" t="n">
        <v>2</v>
      </c>
      <c r="P517" s="10" t="n">
        <v>23.14</v>
      </c>
      <c r="Q517" s="8" t="n">
        <v>8259</v>
      </c>
      <c r="R517" s="8" t="n">
        <v>1083</v>
      </c>
      <c r="S517" s="8" t="s">
        <v>384</v>
      </c>
      <c r="T517" s="8" t="s">
        <v>372</v>
      </c>
      <c r="U517" s="8" t="s">
        <v>373</v>
      </c>
      <c r="V517" s="8"/>
      <c r="W517" s="8" t="s">
        <v>385</v>
      </c>
      <c r="X517" s="8" t="s">
        <v>607</v>
      </c>
      <c r="Y517" s="8" t="s">
        <v>3893</v>
      </c>
      <c r="Z517" s="8" t="s">
        <v>3894</v>
      </c>
    </row>
    <row r="518" customFormat="false" ht="15" hidden="false" customHeight="false" outlineLevel="0" collapsed="false">
      <c r="A518" s="8" t="s">
        <v>387</v>
      </c>
      <c r="B518" s="8" t="s">
        <v>21</v>
      </c>
      <c r="C518" s="8" t="s">
        <v>22</v>
      </c>
      <c r="D518" s="8" t="s">
        <v>615</v>
      </c>
      <c r="E518" s="8" t="s">
        <v>40</v>
      </c>
      <c r="F518" s="8" t="s">
        <v>55</v>
      </c>
      <c r="G518" s="8" t="s">
        <v>31</v>
      </c>
      <c r="H518" s="8" t="s">
        <v>31</v>
      </c>
      <c r="I518" s="8" t="n">
        <f aca="false">IF(EXACT(G518,H518),1,0)</f>
        <v>1</v>
      </c>
      <c r="J518" s="8" t="n">
        <v>0</v>
      </c>
      <c r="K518" s="8" t="s">
        <v>116</v>
      </c>
      <c r="L518" s="8" t="n">
        <v>2</v>
      </c>
      <c r="M518" s="8" t="n">
        <v>5</v>
      </c>
      <c r="N518" s="8" t="s">
        <v>2057</v>
      </c>
      <c r="O518" s="8" t="n">
        <v>2</v>
      </c>
      <c r="P518" s="10" t="n">
        <v>23.02</v>
      </c>
      <c r="Q518" s="8" t="n">
        <v>8511</v>
      </c>
      <c r="R518" s="8" t="n">
        <v>1202</v>
      </c>
      <c r="S518" s="8" t="s">
        <v>388</v>
      </c>
      <c r="T518" s="8" t="s">
        <v>367</v>
      </c>
      <c r="U518" s="8" t="s">
        <v>368</v>
      </c>
      <c r="V518" s="8"/>
      <c r="W518" s="8" t="s">
        <v>389</v>
      </c>
      <c r="X518" s="8" t="s">
        <v>608</v>
      </c>
      <c r="Y518" s="8" t="s">
        <v>3895</v>
      </c>
      <c r="Z518" s="8" t="s">
        <v>3896</v>
      </c>
    </row>
    <row r="519" customFormat="false" ht="15" hidden="false" customHeight="false" outlineLevel="0" collapsed="false">
      <c r="A519" s="8" t="s">
        <v>387</v>
      </c>
      <c r="B519" s="8" t="s">
        <v>21</v>
      </c>
      <c r="C519" s="8" t="s">
        <v>22</v>
      </c>
      <c r="D519" s="8" t="s">
        <v>615</v>
      </c>
      <c r="E519" s="8" t="s">
        <v>40</v>
      </c>
      <c r="F519" s="8" t="s">
        <v>55</v>
      </c>
      <c r="G519" s="8" t="s">
        <v>31</v>
      </c>
      <c r="H519" s="8" t="s">
        <v>31</v>
      </c>
      <c r="I519" s="8" t="n">
        <f aca="false">IF(EXACT(G519,H519),1,0)</f>
        <v>1</v>
      </c>
      <c r="J519" s="8" t="n">
        <v>1</v>
      </c>
      <c r="K519" s="8" t="s">
        <v>116</v>
      </c>
      <c r="L519" s="8" t="n">
        <v>5</v>
      </c>
      <c r="M519" s="8" t="n">
        <v>5</v>
      </c>
      <c r="N519" s="8" t="s">
        <v>2057</v>
      </c>
      <c r="O519" s="8" t="n">
        <v>2</v>
      </c>
      <c r="P519" s="10" t="n">
        <v>27.43</v>
      </c>
      <c r="Q519" s="8" t="n">
        <v>8511</v>
      </c>
      <c r="R519" s="8" t="n">
        <v>1438</v>
      </c>
      <c r="S519" s="8" t="s">
        <v>388</v>
      </c>
      <c r="T519" s="8" t="s">
        <v>367</v>
      </c>
      <c r="U519" s="8" t="s">
        <v>368</v>
      </c>
      <c r="V519" s="8"/>
      <c r="W519" s="8" t="s">
        <v>389</v>
      </c>
      <c r="X519" s="8" t="s">
        <v>608</v>
      </c>
      <c r="Y519" s="8" t="s">
        <v>3897</v>
      </c>
      <c r="Z519" s="8" t="s">
        <v>3898</v>
      </c>
    </row>
    <row r="520" customFormat="false" ht="15" hidden="false" customHeight="false" outlineLevel="0" collapsed="false">
      <c r="A520" s="8" t="s">
        <v>387</v>
      </c>
      <c r="B520" s="8" t="s">
        <v>21</v>
      </c>
      <c r="C520" s="8" t="s">
        <v>22</v>
      </c>
      <c r="D520" s="8" t="s">
        <v>615</v>
      </c>
      <c r="E520" s="8" t="s">
        <v>40</v>
      </c>
      <c r="F520" s="8" t="s">
        <v>55</v>
      </c>
      <c r="G520" s="8" t="s">
        <v>31</v>
      </c>
      <c r="H520" s="8" t="s">
        <v>31</v>
      </c>
      <c r="I520" s="8" t="n">
        <f aca="false">IF(EXACT(G520,H520),1,0)</f>
        <v>1</v>
      </c>
      <c r="J520" s="8" t="n">
        <v>2</v>
      </c>
      <c r="K520" s="8" t="s">
        <v>116</v>
      </c>
      <c r="L520" s="8" t="n">
        <v>5</v>
      </c>
      <c r="M520" s="8" t="n">
        <v>5</v>
      </c>
      <c r="N520" s="8" t="s">
        <v>2057</v>
      </c>
      <c r="O520" s="8" t="n">
        <v>2</v>
      </c>
      <c r="P520" s="10" t="n">
        <v>27.51</v>
      </c>
      <c r="Q520" s="8" t="n">
        <v>8511</v>
      </c>
      <c r="R520" s="8" t="n">
        <v>1502</v>
      </c>
      <c r="S520" s="8" t="s">
        <v>388</v>
      </c>
      <c r="T520" s="8" t="s">
        <v>367</v>
      </c>
      <c r="U520" s="8" t="s">
        <v>368</v>
      </c>
      <c r="V520" s="8"/>
      <c r="W520" s="8" t="s">
        <v>389</v>
      </c>
      <c r="X520" s="8" t="s">
        <v>608</v>
      </c>
      <c r="Y520" s="8" t="s">
        <v>3899</v>
      </c>
      <c r="Z520" s="8" t="s">
        <v>3900</v>
      </c>
    </row>
    <row r="521" customFormat="false" ht="15" hidden="false" customHeight="false" outlineLevel="0" collapsed="false">
      <c r="A521" s="8" t="s">
        <v>391</v>
      </c>
      <c r="B521" s="8" t="s">
        <v>21</v>
      </c>
      <c r="C521" s="8" t="s">
        <v>22</v>
      </c>
      <c r="D521" s="8" t="s">
        <v>615</v>
      </c>
      <c r="E521" s="8" t="s">
        <v>40</v>
      </c>
      <c r="F521" s="8" t="s">
        <v>59</v>
      </c>
      <c r="G521" s="8" t="s">
        <v>31</v>
      </c>
      <c r="H521" s="8" t="s">
        <v>31</v>
      </c>
      <c r="I521" s="8" t="n">
        <f aca="false">IF(EXACT(G521,H521),1,0)</f>
        <v>1</v>
      </c>
      <c r="J521" s="8" t="n">
        <v>0</v>
      </c>
      <c r="K521" s="8" t="s">
        <v>2333</v>
      </c>
      <c r="L521" s="8" t="n">
        <v>1</v>
      </c>
      <c r="M521" s="8" t="n">
        <v>5</v>
      </c>
      <c r="N521" s="8" t="s">
        <v>2057</v>
      </c>
      <c r="O521" s="8" t="n">
        <v>2</v>
      </c>
      <c r="P521" s="10" t="n">
        <v>28.75</v>
      </c>
      <c r="Q521" s="8" t="n">
        <v>9757</v>
      </c>
      <c r="R521" s="8" t="n">
        <v>1538</v>
      </c>
      <c r="S521" s="8" t="s">
        <v>392</v>
      </c>
      <c r="T521" s="8"/>
      <c r="U521" s="8"/>
      <c r="V521" s="8" t="s">
        <v>155</v>
      </c>
      <c r="W521" s="8"/>
      <c r="X521" s="8" t="s">
        <v>609</v>
      </c>
      <c r="Y521" s="8" t="s">
        <v>3901</v>
      </c>
      <c r="Z521" s="8" t="s">
        <v>3902</v>
      </c>
    </row>
    <row r="522" customFormat="false" ht="15" hidden="false" customHeight="false" outlineLevel="0" collapsed="false">
      <c r="A522" s="8" t="s">
        <v>391</v>
      </c>
      <c r="B522" s="8" t="s">
        <v>21</v>
      </c>
      <c r="C522" s="8" t="s">
        <v>22</v>
      </c>
      <c r="D522" s="8" t="s">
        <v>615</v>
      </c>
      <c r="E522" s="8" t="s">
        <v>40</v>
      </c>
      <c r="F522" s="8" t="s">
        <v>59</v>
      </c>
      <c r="G522" s="8" t="s">
        <v>31</v>
      </c>
      <c r="H522" s="8" t="s">
        <v>31</v>
      </c>
      <c r="I522" s="8" t="n">
        <f aca="false">IF(EXACT(G522,H522),1,0)</f>
        <v>1</v>
      </c>
      <c r="J522" s="8" t="n">
        <v>1</v>
      </c>
      <c r="K522" s="8" t="s">
        <v>2333</v>
      </c>
      <c r="L522" s="8" t="n">
        <v>1</v>
      </c>
      <c r="M522" s="8" t="n">
        <v>5</v>
      </c>
      <c r="N522" s="8" t="s">
        <v>2057</v>
      </c>
      <c r="O522" s="8" t="n">
        <v>2</v>
      </c>
      <c r="P522" s="10" t="n">
        <v>28.48</v>
      </c>
      <c r="Q522" s="8" t="n">
        <v>9756</v>
      </c>
      <c r="R522" s="8" t="n">
        <v>1538</v>
      </c>
      <c r="S522" s="8" t="s">
        <v>392</v>
      </c>
      <c r="T522" s="8"/>
      <c r="U522" s="8"/>
      <c r="V522" s="8" t="s">
        <v>155</v>
      </c>
      <c r="W522" s="8"/>
      <c r="X522" s="8" t="s">
        <v>609</v>
      </c>
      <c r="Y522" s="8" t="s">
        <v>3903</v>
      </c>
      <c r="Z522" s="8" t="s">
        <v>3904</v>
      </c>
    </row>
    <row r="523" customFormat="false" ht="15" hidden="false" customHeight="false" outlineLevel="0" collapsed="false">
      <c r="A523" s="8" t="s">
        <v>391</v>
      </c>
      <c r="B523" s="8" t="s">
        <v>21</v>
      </c>
      <c r="C523" s="8" t="s">
        <v>22</v>
      </c>
      <c r="D523" s="8" t="s">
        <v>615</v>
      </c>
      <c r="E523" s="8" t="s">
        <v>40</v>
      </c>
      <c r="F523" s="8" t="s">
        <v>59</v>
      </c>
      <c r="G523" s="8" t="s">
        <v>31</v>
      </c>
      <c r="H523" s="8" t="s">
        <v>31</v>
      </c>
      <c r="I523" s="8" t="n">
        <f aca="false">IF(EXACT(G523,H523),1,0)</f>
        <v>1</v>
      </c>
      <c r="J523" s="8" t="n">
        <v>2</v>
      </c>
      <c r="K523" s="8" t="s">
        <v>2333</v>
      </c>
      <c r="L523" s="8" t="n">
        <v>1</v>
      </c>
      <c r="M523" s="8" t="n">
        <v>5</v>
      </c>
      <c r="N523" s="8" t="s">
        <v>2057</v>
      </c>
      <c r="O523" s="8" t="n">
        <v>2</v>
      </c>
      <c r="P523" s="10" t="n">
        <v>28.99</v>
      </c>
      <c r="Q523" s="8" t="n">
        <v>9756</v>
      </c>
      <c r="R523" s="8" t="n">
        <v>1534</v>
      </c>
      <c r="S523" s="8" t="s">
        <v>392</v>
      </c>
      <c r="T523" s="8"/>
      <c r="U523" s="8"/>
      <c r="V523" s="8" t="s">
        <v>155</v>
      </c>
      <c r="W523" s="8"/>
      <c r="X523" s="8" t="s">
        <v>609</v>
      </c>
      <c r="Y523" s="8" t="s">
        <v>3905</v>
      </c>
      <c r="Z523" s="8" t="s">
        <v>3906</v>
      </c>
    </row>
    <row r="524" customFormat="false" ht="15" hidden="false" customHeight="false" outlineLevel="0" collapsed="false">
      <c r="A524" s="8" t="s">
        <v>395</v>
      </c>
      <c r="B524" s="8" t="s">
        <v>21</v>
      </c>
      <c r="C524" s="8" t="s">
        <v>22</v>
      </c>
      <c r="D524" s="8" t="s">
        <v>615</v>
      </c>
      <c r="E524" s="8" t="s">
        <v>40</v>
      </c>
      <c r="F524" s="8" t="s">
        <v>59</v>
      </c>
      <c r="G524" s="8" t="s">
        <v>31</v>
      </c>
      <c r="H524" s="8" t="s">
        <v>31</v>
      </c>
      <c r="I524" s="8" t="n">
        <f aca="false">IF(EXACT(G524,H524),1,0)</f>
        <v>1</v>
      </c>
      <c r="J524" s="8" t="n">
        <v>0</v>
      </c>
      <c r="K524" s="8" t="s">
        <v>737</v>
      </c>
      <c r="L524" s="8" t="n">
        <v>3</v>
      </c>
      <c r="M524" s="8" t="n">
        <v>5</v>
      </c>
      <c r="N524" s="8" t="s">
        <v>2057</v>
      </c>
      <c r="O524" s="8" t="n">
        <v>2</v>
      </c>
      <c r="P524" s="10" t="n">
        <v>30.73</v>
      </c>
      <c r="Q524" s="8" t="n">
        <v>9020</v>
      </c>
      <c r="R524" s="8" t="n">
        <v>1648</v>
      </c>
      <c r="S524" s="8" t="s">
        <v>396</v>
      </c>
      <c r="T524" s="8"/>
      <c r="U524" s="8"/>
      <c r="V524" s="8" t="s">
        <v>155</v>
      </c>
      <c r="W524" s="8"/>
      <c r="X524" s="8" t="s">
        <v>610</v>
      </c>
      <c r="Y524" s="8" t="s">
        <v>3907</v>
      </c>
      <c r="Z524" s="8" t="s">
        <v>3908</v>
      </c>
    </row>
    <row r="525" customFormat="false" ht="15" hidden="false" customHeight="false" outlineLevel="0" collapsed="false">
      <c r="A525" s="8" t="s">
        <v>395</v>
      </c>
      <c r="B525" s="8" t="s">
        <v>21</v>
      </c>
      <c r="C525" s="8" t="s">
        <v>22</v>
      </c>
      <c r="D525" s="8" t="s">
        <v>615</v>
      </c>
      <c r="E525" s="8" t="s">
        <v>40</v>
      </c>
      <c r="F525" s="8" t="s">
        <v>59</v>
      </c>
      <c r="G525" s="8" t="s">
        <v>31</v>
      </c>
      <c r="H525" s="8" t="s">
        <v>31</v>
      </c>
      <c r="I525" s="8" t="n">
        <f aca="false">IF(EXACT(G525,H525),1,0)</f>
        <v>1</v>
      </c>
      <c r="J525" s="8" t="n">
        <v>1</v>
      </c>
      <c r="K525" s="8" t="s">
        <v>737</v>
      </c>
      <c r="L525" s="8" t="n">
        <v>3</v>
      </c>
      <c r="M525" s="8" t="n">
        <v>5</v>
      </c>
      <c r="N525" s="8" t="s">
        <v>2057</v>
      </c>
      <c r="O525" s="8" t="n">
        <v>2</v>
      </c>
      <c r="P525" s="10" t="n">
        <v>30.7</v>
      </c>
      <c r="Q525" s="8" t="n">
        <v>9020</v>
      </c>
      <c r="R525" s="8" t="n">
        <v>1579</v>
      </c>
      <c r="S525" s="8" t="s">
        <v>396</v>
      </c>
      <c r="T525" s="8"/>
      <c r="U525" s="8"/>
      <c r="V525" s="8" t="s">
        <v>155</v>
      </c>
      <c r="W525" s="8"/>
      <c r="X525" s="8" t="s">
        <v>610</v>
      </c>
      <c r="Y525" s="8" t="s">
        <v>3909</v>
      </c>
      <c r="Z525" s="8" t="s">
        <v>3910</v>
      </c>
    </row>
    <row r="526" customFormat="false" ht="15" hidden="false" customHeight="false" outlineLevel="0" collapsed="false">
      <c r="A526" s="8" t="s">
        <v>395</v>
      </c>
      <c r="B526" s="8" t="s">
        <v>21</v>
      </c>
      <c r="C526" s="8" t="s">
        <v>22</v>
      </c>
      <c r="D526" s="8" t="s">
        <v>615</v>
      </c>
      <c r="E526" s="8" t="s">
        <v>40</v>
      </c>
      <c r="F526" s="8" t="s">
        <v>59</v>
      </c>
      <c r="G526" s="8" t="s">
        <v>31</v>
      </c>
      <c r="H526" s="8" t="s">
        <v>31</v>
      </c>
      <c r="I526" s="8" t="n">
        <f aca="false">IF(EXACT(G526,H526),1,0)</f>
        <v>1</v>
      </c>
      <c r="J526" s="8" t="n">
        <v>2</v>
      </c>
      <c r="K526" s="8" t="s">
        <v>737</v>
      </c>
      <c r="L526" s="8" t="n">
        <v>3</v>
      </c>
      <c r="M526" s="8" t="n">
        <v>5</v>
      </c>
      <c r="N526" s="8" t="s">
        <v>2057</v>
      </c>
      <c r="O526" s="8" t="n">
        <v>2</v>
      </c>
      <c r="P526" s="10" t="n">
        <v>30.38</v>
      </c>
      <c r="Q526" s="8" t="n">
        <v>9019</v>
      </c>
      <c r="R526" s="8" t="n">
        <v>1590</v>
      </c>
      <c r="S526" s="8" t="s">
        <v>396</v>
      </c>
      <c r="T526" s="8"/>
      <c r="U526" s="8"/>
      <c r="V526" s="8" t="s">
        <v>155</v>
      </c>
      <c r="W526" s="8"/>
      <c r="X526" s="8" t="s">
        <v>610</v>
      </c>
      <c r="Y526" s="8" t="s">
        <v>3911</v>
      </c>
      <c r="Z526" s="8" t="s">
        <v>3912</v>
      </c>
    </row>
    <row r="527" customFormat="false" ht="15" hidden="false" customHeight="false" outlineLevel="0" collapsed="false">
      <c r="A527" s="8" t="s">
        <v>399</v>
      </c>
      <c r="B527" s="8" t="s">
        <v>21</v>
      </c>
      <c r="C527" s="8" t="s">
        <v>22</v>
      </c>
      <c r="D527" s="8" t="s">
        <v>615</v>
      </c>
      <c r="E527" s="8" t="s">
        <v>40</v>
      </c>
      <c r="F527" s="8" t="s">
        <v>59</v>
      </c>
      <c r="G527" s="8" t="s">
        <v>32</v>
      </c>
      <c r="H527" s="8" t="s">
        <v>30</v>
      </c>
      <c r="I527" s="8" t="n">
        <f aca="false">IF(EXACT(G527,H527),1,0)</f>
        <v>0</v>
      </c>
      <c r="J527" s="8" t="n">
        <v>0</v>
      </c>
      <c r="K527" s="8" t="s">
        <v>92</v>
      </c>
      <c r="L527" s="8" t="n">
        <v>0</v>
      </c>
      <c r="M527" s="8" t="n">
        <v>5</v>
      </c>
      <c r="N527" s="8" t="s">
        <v>2057</v>
      </c>
      <c r="O527" s="8" t="n">
        <v>2</v>
      </c>
      <c r="P527" s="10" t="n">
        <v>24.37</v>
      </c>
      <c r="Q527" s="8" t="n">
        <v>9351</v>
      </c>
      <c r="R527" s="8" t="n">
        <v>1252</v>
      </c>
      <c r="S527" s="8" t="s">
        <v>400</v>
      </c>
      <c r="T527" s="8"/>
      <c r="U527" s="8"/>
      <c r="V527" s="8" t="s">
        <v>155</v>
      </c>
      <c r="W527" s="8"/>
      <c r="X527" s="8" t="s">
        <v>611</v>
      </c>
      <c r="Y527" s="8" t="s">
        <v>3913</v>
      </c>
      <c r="Z527" s="8"/>
    </row>
    <row r="528" customFormat="false" ht="15" hidden="false" customHeight="false" outlineLevel="0" collapsed="false">
      <c r="A528" s="8" t="s">
        <v>399</v>
      </c>
      <c r="B528" s="8" t="s">
        <v>21</v>
      </c>
      <c r="C528" s="8" t="s">
        <v>22</v>
      </c>
      <c r="D528" s="8" t="s">
        <v>615</v>
      </c>
      <c r="E528" s="8" t="s">
        <v>40</v>
      </c>
      <c r="F528" s="8" t="s">
        <v>59</v>
      </c>
      <c r="G528" s="8" t="s">
        <v>32</v>
      </c>
      <c r="H528" s="8" t="s">
        <v>31</v>
      </c>
      <c r="I528" s="8" t="n">
        <f aca="false">IF(EXACT(G528,H528),1,0)</f>
        <v>0</v>
      </c>
      <c r="J528" s="8" t="n">
        <v>1</v>
      </c>
      <c r="K528" s="8" t="s">
        <v>116</v>
      </c>
      <c r="L528" s="8" t="n">
        <v>1</v>
      </c>
      <c r="M528" s="8" t="n">
        <v>5</v>
      </c>
      <c r="N528" s="8" t="s">
        <v>3781</v>
      </c>
      <c r="O528" s="8" t="n">
        <v>2</v>
      </c>
      <c r="P528" s="10" t="n">
        <v>28.35</v>
      </c>
      <c r="Q528" s="8" t="n">
        <v>9341</v>
      </c>
      <c r="R528" s="8" t="n">
        <v>1499</v>
      </c>
      <c r="S528" s="8" t="s">
        <v>400</v>
      </c>
      <c r="T528" s="8"/>
      <c r="U528" s="8"/>
      <c r="V528" s="8" t="s">
        <v>155</v>
      </c>
      <c r="W528" s="8"/>
      <c r="X528" s="8" t="s">
        <v>611</v>
      </c>
      <c r="Y528" s="8" t="s">
        <v>3914</v>
      </c>
      <c r="Z528" s="8" t="s">
        <v>3915</v>
      </c>
    </row>
    <row r="529" customFormat="false" ht="15" hidden="false" customHeight="false" outlineLevel="0" collapsed="false">
      <c r="A529" s="8" t="s">
        <v>399</v>
      </c>
      <c r="B529" s="8" t="s">
        <v>21</v>
      </c>
      <c r="C529" s="8" t="s">
        <v>22</v>
      </c>
      <c r="D529" s="8" t="s">
        <v>615</v>
      </c>
      <c r="E529" s="8" t="s">
        <v>40</v>
      </c>
      <c r="F529" s="8" t="s">
        <v>59</v>
      </c>
      <c r="G529" s="8" t="s">
        <v>32</v>
      </c>
      <c r="H529" s="8" t="s">
        <v>30</v>
      </c>
      <c r="I529" s="8" t="n">
        <f aca="false">IF(EXACT(G529,H529),1,0)</f>
        <v>0</v>
      </c>
      <c r="J529" s="8" t="n">
        <v>2</v>
      </c>
      <c r="K529" s="8" t="s">
        <v>92</v>
      </c>
      <c r="L529" s="8" t="n">
        <v>0</v>
      </c>
      <c r="M529" s="8" t="n">
        <v>5</v>
      </c>
      <c r="N529" s="8" t="s">
        <v>2057</v>
      </c>
      <c r="O529" s="8" t="n">
        <v>2</v>
      </c>
      <c r="P529" s="10" t="n">
        <v>24.88</v>
      </c>
      <c r="Q529" s="8" t="n">
        <v>9351</v>
      </c>
      <c r="R529" s="8" t="n">
        <v>1262</v>
      </c>
      <c r="S529" s="8" t="s">
        <v>400</v>
      </c>
      <c r="T529" s="8"/>
      <c r="U529" s="8"/>
      <c r="V529" s="8" t="s">
        <v>155</v>
      </c>
      <c r="W529" s="8"/>
      <c r="X529" s="8" t="s">
        <v>611</v>
      </c>
      <c r="Y529" s="8" t="s">
        <v>3916</v>
      </c>
      <c r="Z529" s="8"/>
    </row>
    <row r="530" customFormat="false" ht="15" hidden="false" customHeight="false" outlineLevel="0" collapsed="false">
      <c r="A530" s="8" t="s">
        <v>402</v>
      </c>
      <c r="B530" s="8" t="s">
        <v>21</v>
      </c>
      <c r="C530" s="8" t="s">
        <v>22</v>
      </c>
      <c r="D530" s="8" t="s">
        <v>615</v>
      </c>
      <c r="E530" s="8" t="s">
        <v>40</v>
      </c>
      <c r="F530" s="8" t="s">
        <v>59</v>
      </c>
      <c r="G530" s="8" t="s">
        <v>32</v>
      </c>
      <c r="H530" s="8" t="s">
        <v>31</v>
      </c>
      <c r="I530" s="8" t="n">
        <f aca="false">IF(EXACT(G530,H530),1,0)</f>
        <v>0</v>
      </c>
      <c r="J530" s="8" t="n">
        <v>0</v>
      </c>
      <c r="K530" s="8" t="s">
        <v>116</v>
      </c>
      <c r="L530" s="8" t="n">
        <v>2</v>
      </c>
      <c r="M530" s="8" t="n">
        <v>5</v>
      </c>
      <c r="N530" s="8" t="s">
        <v>2057</v>
      </c>
      <c r="O530" s="8" t="n">
        <v>2</v>
      </c>
      <c r="P530" s="10" t="n">
        <v>30.6</v>
      </c>
      <c r="Q530" s="8" t="n">
        <v>8834</v>
      </c>
      <c r="R530" s="8" t="n">
        <v>1545</v>
      </c>
      <c r="S530" s="8" t="s">
        <v>403</v>
      </c>
      <c r="T530" s="8"/>
      <c r="U530" s="8"/>
      <c r="V530" s="8" t="s">
        <v>155</v>
      </c>
      <c r="W530" s="8"/>
      <c r="X530" s="8" t="s">
        <v>612</v>
      </c>
      <c r="Y530" s="8" t="s">
        <v>3917</v>
      </c>
      <c r="Z530" s="8" t="s">
        <v>3918</v>
      </c>
    </row>
    <row r="531" customFormat="false" ht="15" hidden="false" customHeight="false" outlineLevel="0" collapsed="false">
      <c r="A531" s="8" t="s">
        <v>402</v>
      </c>
      <c r="B531" s="8" t="s">
        <v>21</v>
      </c>
      <c r="C531" s="8" t="s">
        <v>22</v>
      </c>
      <c r="D531" s="8" t="s">
        <v>615</v>
      </c>
      <c r="E531" s="8" t="s">
        <v>40</v>
      </c>
      <c r="F531" s="8" t="s">
        <v>59</v>
      </c>
      <c r="G531" s="8" t="s">
        <v>32</v>
      </c>
      <c r="H531" s="8" t="s">
        <v>31</v>
      </c>
      <c r="I531" s="8" t="n">
        <f aca="false">IF(EXACT(G531,H531),1,0)</f>
        <v>0</v>
      </c>
      <c r="J531" s="8" t="n">
        <v>1</v>
      </c>
      <c r="K531" s="8" t="s">
        <v>737</v>
      </c>
      <c r="L531" s="8" t="n">
        <v>2</v>
      </c>
      <c r="M531" s="8" t="n">
        <v>5</v>
      </c>
      <c r="N531" s="8" t="s">
        <v>2057</v>
      </c>
      <c r="O531" s="8" t="n">
        <v>2</v>
      </c>
      <c r="P531" s="10" t="n">
        <v>30.09</v>
      </c>
      <c r="Q531" s="8" t="n">
        <v>8838</v>
      </c>
      <c r="R531" s="8" t="n">
        <v>1541</v>
      </c>
      <c r="S531" s="8" t="s">
        <v>403</v>
      </c>
      <c r="T531" s="8"/>
      <c r="U531" s="8"/>
      <c r="V531" s="8" t="s">
        <v>155</v>
      </c>
      <c r="W531" s="8"/>
      <c r="X531" s="8" t="s">
        <v>612</v>
      </c>
      <c r="Y531" s="8" t="s">
        <v>3919</v>
      </c>
      <c r="Z531" s="8" t="s">
        <v>3920</v>
      </c>
    </row>
    <row r="532" customFormat="false" ht="15" hidden="false" customHeight="false" outlineLevel="0" collapsed="false">
      <c r="A532" s="8" t="s">
        <v>402</v>
      </c>
      <c r="B532" s="8" t="s">
        <v>21</v>
      </c>
      <c r="C532" s="8" t="s">
        <v>22</v>
      </c>
      <c r="D532" s="8" t="s">
        <v>615</v>
      </c>
      <c r="E532" s="8" t="s">
        <v>40</v>
      </c>
      <c r="F532" s="8" t="s">
        <v>59</v>
      </c>
      <c r="G532" s="8" t="s">
        <v>32</v>
      </c>
      <c r="H532" s="8" t="s">
        <v>31</v>
      </c>
      <c r="I532" s="8" t="n">
        <f aca="false">IF(EXACT(G532,H532),1,0)</f>
        <v>0</v>
      </c>
      <c r="J532" s="8" t="n">
        <v>2</v>
      </c>
      <c r="K532" s="8" t="s">
        <v>737</v>
      </c>
      <c r="L532" s="8" t="n">
        <v>2</v>
      </c>
      <c r="M532" s="8" t="n">
        <v>5</v>
      </c>
      <c r="N532" s="8" t="s">
        <v>2057</v>
      </c>
      <c r="O532" s="8" t="n">
        <v>2</v>
      </c>
      <c r="P532" s="10" t="n">
        <v>29.28</v>
      </c>
      <c r="Q532" s="8" t="n">
        <v>8841</v>
      </c>
      <c r="R532" s="8" t="n">
        <v>1483</v>
      </c>
      <c r="S532" s="8" t="s">
        <v>403</v>
      </c>
      <c r="T532" s="8"/>
      <c r="U532" s="8"/>
      <c r="V532" s="8" t="s">
        <v>155</v>
      </c>
      <c r="W532" s="8"/>
      <c r="X532" s="8" t="s">
        <v>612</v>
      </c>
      <c r="Y532" s="8" t="s">
        <v>3921</v>
      </c>
      <c r="Z532" s="8" t="s">
        <v>3922</v>
      </c>
    </row>
    <row r="533" customFormat="false" ht="15" hidden="false" customHeight="false" outlineLevel="0" collapsed="false">
      <c r="A533" s="8" t="s">
        <v>405</v>
      </c>
      <c r="B533" s="8" t="s">
        <v>21</v>
      </c>
      <c r="C533" s="8" t="s">
        <v>22</v>
      </c>
      <c r="D533" s="8" t="s">
        <v>615</v>
      </c>
      <c r="E533" s="8" t="s">
        <v>40</v>
      </c>
      <c r="F533" s="8" t="s">
        <v>59</v>
      </c>
      <c r="G533" s="8" t="s">
        <v>30</v>
      </c>
      <c r="H533" s="8" t="s">
        <v>30</v>
      </c>
      <c r="I533" s="8" t="n">
        <f aca="false">IF(EXACT(G533,H533),1,0)</f>
        <v>1</v>
      </c>
      <c r="J533" s="8" t="n">
        <v>0</v>
      </c>
      <c r="K533" s="8" t="s">
        <v>92</v>
      </c>
      <c r="L533" s="8" t="n">
        <v>0</v>
      </c>
      <c r="M533" s="8" t="n">
        <v>5</v>
      </c>
      <c r="N533" s="8" t="s">
        <v>2057</v>
      </c>
      <c r="O533" s="8" t="n">
        <v>2</v>
      </c>
      <c r="P533" s="10" t="n">
        <v>28.66</v>
      </c>
      <c r="Q533" s="8" t="n">
        <v>9259</v>
      </c>
      <c r="R533" s="8" t="n">
        <v>1512</v>
      </c>
      <c r="S533" s="8" t="s">
        <v>406</v>
      </c>
      <c r="T533" s="8"/>
      <c r="U533" s="8"/>
      <c r="V533" s="8" t="s">
        <v>155</v>
      </c>
      <c r="W533" s="8"/>
      <c r="X533" s="8" t="s">
        <v>613</v>
      </c>
      <c r="Y533" s="8" t="s">
        <v>3923</v>
      </c>
      <c r="Z533" s="8"/>
    </row>
    <row r="534" customFormat="false" ht="15" hidden="false" customHeight="false" outlineLevel="0" collapsed="false">
      <c r="A534" s="8" t="s">
        <v>405</v>
      </c>
      <c r="B534" s="8" t="s">
        <v>21</v>
      </c>
      <c r="C534" s="8" t="s">
        <v>22</v>
      </c>
      <c r="D534" s="8" t="s">
        <v>615</v>
      </c>
      <c r="E534" s="8" t="s">
        <v>40</v>
      </c>
      <c r="F534" s="8" t="s">
        <v>59</v>
      </c>
      <c r="G534" s="8" t="s">
        <v>30</v>
      </c>
      <c r="H534" s="8" t="s">
        <v>30</v>
      </c>
      <c r="I534" s="8" t="n">
        <f aca="false">IF(EXACT(G534,H534),1,0)</f>
        <v>1</v>
      </c>
      <c r="J534" s="8" t="n">
        <v>1</v>
      </c>
      <c r="K534" s="8" t="s">
        <v>92</v>
      </c>
      <c r="L534" s="8" t="n">
        <v>0</v>
      </c>
      <c r="M534" s="8" t="n">
        <v>5</v>
      </c>
      <c r="N534" s="8" t="s">
        <v>2057</v>
      </c>
      <c r="O534" s="8" t="n">
        <v>2</v>
      </c>
      <c r="P534" s="10" t="n">
        <v>27.85</v>
      </c>
      <c r="Q534" s="8" t="n">
        <v>9261</v>
      </c>
      <c r="R534" s="8" t="n">
        <v>1516</v>
      </c>
      <c r="S534" s="8" t="s">
        <v>406</v>
      </c>
      <c r="T534" s="8"/>
      <c r="U534" s="8"/>
      <c r="V534" s="8" t="s">
        <v>155</v>
      </c>
      <c r="W534" s="8"/>
      <c r="X534" s="8" t="s">
        <v>613</v>
      </c>
      <c r="Y534" s="8" t="s">
        <v>3924</v>
      </c>
      <c r="Z534" s="8"/>
    </row>
    <row r="535" customFormat="false" ht="15" hidden="false" customHeight="false" outlineLevel="0" collapsed="false">
      <c r="A535" s="8" t="s">
        <v>405</v>
      </c>
      <c r="B535" s="8" t="s">
        <v>21</v>
      </c>
      <c r="C535" s="8" t="s">
        <v>22</v>
      </c>
      <c r="D535" s="8" t="s">
        <v>615</v>
      </c>
      <c r="E535" s="8" t="s">
        <v>40</v>
      </c>
      <c r="F535" s="8" t="s">
        <v>59</v>
      </c>
      <c r="G535" s="8" t="s">
        <v>30</v>
      </c>
      <c r="H535" s="8" t="s">
        <v>30</v>
      </c>
      <c r="I535" s="8" t="n">
        <f aca="false">IF(EXACT(G535,H535),1,0)</f>
        <v>1</v>
      </c>
      <c r="J535" s="8" t="n">
        <v>2</v>
      </c>
      <c r="K535" s="8" t="s">
        <v>92</v>
      </c>
      <c r="L535" s="8" t="n">
        <v>0</v>
      </c>
      <c r="M535" s="8" t="n">
        <v>5</v>
      </c>
      <c r="N535" s="8" t="s">
        <v>2057</v>
      </c>
      <c r="O535" s="8" t="n">
        <v>2</v>
      </c>
      <c r="P535" s="10" t="n">
        <v>26.03</v>
      </c>
      <c r="Q535" s="8" t="n">
        <v>9261</v>
      </c>
      <c r="R535" s="8" t="n">
        <v>1426</v>
      </c>
      <c r="S535" s="8" t="s">
        <v>406</v>
      </c>
      <c r="T535" s="8"/>
      <c r="U535" s="8"/>
      <c r="V535" s="8" t="s">
        <v>155</v>
      </c>
      <c r="W535" s="8"/>
      <c r="X535" s="8" t="s">
        <v>613</v>
      </c>
      <c r="Y535" s="8" t="s">
        <v>3925</v>
      </c>
      <c r="Z535" s="8"/>
    </row>
    <row r="536" customFormat="false" ht="15" hidden="false" customHeight="false" outlineLevel="0" collapsed="false">
      <c r="A536" s="8" t="s">
        <v>408</v>
      </c>
      <c r="B536" s="8" t="s">
        <v>21</v>
      </c>
      <c r="C536" s="8" t="s">
        <v>22</v>
      </c>
      <c r="D536" s="8" t="s">
        <v>615</v>
      </c>
      <c r="E536" s="8" t="s">
        <v>40</v>
      </c>
      <c r="F536" s="8" t="s">
        <v>59</v>
      </c>
      <c r="G536" s="8" t="s">
        <v>30</v>
      </c>
      <c r="H536" s="8" t="s">
        <v>31</v>
      </c>
      <c r="I536" s="8" t="n">
        <f aca="false">IF(EXACT(G536,H536),1,0)</f>
        <v>0</v>
      </c>
      <c r="J536" s="8" t="n">
        <v>0</v>
      </c>
      <c r="K536" s="8" t="s">
        <v>2333</v>
      </c>
      <c r="L536" s="8" t="n">
        <v>1</v>
      </c>
      <c r="M536" s="8" t="n">
        <v>5</v>
      </c>
      <c r="N536" s="8" t="s">
        <v>2057</v>
      </c>
      <c r="O536" s="8" t="n">
        <v>2</v>
      </c>
      <c r="P536" s="10" t="n">
        <v>31.51</v>
      </c>
      <c r="Q536" s="8" t="n">
        <v>9538</v>
      </c>
      <c r="R536" s="8" t="n">
        <v>1699</v>
      </c>
      <c r="S536" s="8" t="s">
        <v>409</v>
      </c>
      <c r="T536" s="8"/>
      <c r="U536" s="8"/>
      <c r="V536" s="8" t="s">
        <v>155</v>
      </c>
      <c r="W536" s="8"/>
      <c r="X536" s="8" t="s">
        <v>614</v>
      </c>
      <c r="Y536" s="8" t="s">
        <v>3926</v>
      </c>
      <c r="Z536" s="8" t="s">
        <v>3927</v>
      </c>
    </row>
    <row r="537" customFormat="false" ht="15" hidden="false" customHeight="false" outlineLevel="0" collapsed="false">
      <c r="A537" s="8" t="s">
        <v>408</v>
      </c>
      <c r="B537" s="8" t="s">
        <v>21</v>
      </c>
      <c r="C537" s="8" t="s">
        <v>22</v>
      </c>
      <c r="D537" s="8" t="s">
        <v>615</v>
      </c>
      <c r="E537" s="8" t="s">
        <v>40</v>
      </c>
      <c r="F537" s="8" t="s">
        <v>59</v>
      </c>
      <c r="G537" s="8" t="s">
        <v>30</v>
      </c>
      <c r="H537" s="8" t="s">
        <v>31</v>
      </c>
      <c r="I537" s="8" t="n">
        <f aca="false">IF(EXACT(G537,H537),1,0)</f>
        <v>0</v>
      </c>
      <c r="J537" s="8" t="n">
        <v>1</v>
      </c>
      <c r="K537" s="8" t="s">
        <v>2333</v>
      </c>
      <c r="L537" s="8" t="n">
        <v>1</v>
      </c>
      <c r="M537" s="8" t="n">
        <v>5</v>
      </c>
      <c r="N537" s="8" t="s">
        <v>2057</v>
      </c>
      <c r="O537" s="8" t="n">
        <v>2</v>
      </c>
      <c r="P537" s="10" t="n">
        <v>32.16</v>
      </c>
      <c r="Q537" s="8" t="n">
        <v>9538</v>
      </c>
      <c r="R537" s="8" t="n">
        <v>1667</v>
      </c>
      <c r="S537" s="8" t="s">
        <v>409</v>
      </c>
      <c r="T537" s="8"/>
      <c r="U537" s="8"/>
      <c r="V537" s="8" t="s">
        <v>155</v>
      </c>
      <c r="W537" s="8"/>
      <c r="X537" s="8" t="s">
        <v>614</v>
      </c>
      <c r="Y537" s="8" t="s">
        <v>3928</v>
      </c>
      <c r="Z537" s="8" t="s">
        <v>3929</v>
      </c>
    </row>
    <row r="538" customFormat="false" ht="15" hidden="false" customHeight="false" outlineLevel="0" collapsed="false">
      <c r="A538" s="8" t="s">
        <v>408</v>
      </c>
      <c r="B538" s="8" t="s">
        <v>21</v>
      </c>
      <c r="C538" s="8" t="s">
        <v>22</v>
      </c>
      <c r="D538" s="8" t="s">
        <v>615</v>
      </c>
      <c r="E538" s="8" t="s">
        <v>40</v>
      </c>
      <c r="F538" s="8" t="s">
        <v>59</v>
      </c>
      <c r="G538" s="8" t="s">
        <v>30</v>
      </c>
      <c r="H538" s="8" t="s">
        <v>31</v>
      </c>
      <c r="I538" s="8" t="n">
        <f aca="false">IF(EXACT(G538,H538),1,0)</f>
        <v>0</v>
      </c>
      <c r="J538" s="8" t="n">
        <v>2</v>
      </c>
      <c r="K538" s="8" t="s">
        <v>2333</v>
      </c>
      <c r="L538" s="8" t="n">
        <v>2</v>
      </c>
      <c r="M538" s="8" t="n">
        <v>5</v>
      </c>
      <c r="N538" s="8" t="s">
        <v>2057</v>
      </c>
      <c r="O538" s="8" t="n">
        <v>2</v>
      </c>
      <c r="P538" s="10" t="n">
        <v>39.38</v>
      </c>
      <c r="Q538" s="8" t="n">
        <v>9538</v>
      </c>
      <c r="R538" s="8" t="n">
        <v>2023</v>
      </c>
      <c r="S538" s="8" t="s">
        <v>409</v>
      </c>
      <c r="T538" s="8"/>
      <c r="U538" s="8"/>
      <c r="V538" s="8" t="s">
        <v>155</v>
      </c>
      <c r="W538" s="8"/>
      <c r="X538" s="8" t="s">
        <v>614</v>
      </c>
      <c r="Y538" s="8" t="s">
        <v>3930</v>
      </c>
      <c r="Z538" s="8" t="s">
        <v>3931</v>
      </c>
    </row>
  </sheetData>
  <autoFilter ref="A1:Z5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2026-08-18T23:35:37Z</dcterms:created>
  <dc:creator>openpyxl</dc:creator>
  <dc:description/>
  <dc:language>en-US</dc:language>
  <cp:lastModifiedBy>Annika Chan</cp:lastModifiedBy>
  <dcterms:modified xsi:type="dcterms:W3CDTF">2026-08-21T06:35:56Z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